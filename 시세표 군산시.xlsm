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경암동" sheetId="6" r:id="rId6"/>
    <sheet name="구암동" sheetId="7" r:id="rId7"/>
    <sheet name="금광동" sheetId="8" r:id="rId8"/>
    <sheet name="나운동" sheetId="9" r:id="rId9"/>
    <sheet name="대명동" sheetId="10" r:id="rId10"/>
    <sheet name="동흥남동" sheetId="11" r:id="rId11"/>
    <sheet name="문화동" sheetId="12" r:id="rId12"/>
    <sheet name="미룡동" sheetId="13" r:id="rId13"/>
    <sheet name="미장동" sheetId="14" r:id="rId14"/>
    <sheet name="사정동" sheetId="15" r:id="rId15"/>
    <sheet name="산북동" sheetId="16" r:id="rId16"/>
    <sheet name="삼학동" sheetId="17" r:id="rId17"/>
    <sheet name="서흥남동" sheetId="18" r:id="rId18"/>
    <sheet name="소룡동" sheetId="19" r:id="rId19"/>
    <sheet name="수송동" sheetId="20" r:id="rId20"/>
    <sheet name="신풍동" sheetId="21" r:id="rId21"/>
    <sheet name="오식도동" sheetId="22" r:id="rId22"/>
    <sheet name="옥산면" sheetId="23" r:id="rId23"/>
    <sheet name="월명동" sheetId="24" r:id="rId24"/>
    <sheet name="장재동" sheetId="25" r:id="rId25"/>
    <sheet name="조촌동" sheetId="26" r:id="rId26"/>
    <sheet name="양식" sheetId="27" r:id="rId27"/>
  </sheets>
  <definedNames>
    <definedName name="_xlnm._FilterDatabase" localSheetId="1" hidden="1">단지추출_가격표용!$A$3:$U$245</definedName>
    <definedName name="_xlnm.Print_Area" localSheetId="5">경암동!$A$1:$U$6</definedName>
    <definedName name="_xlnm.Print_Area" localSheetId="6">구암동!$A$1:$U$6</definedName>
    <definedName name="_xlnm.Print_Area" localSheetId="7">금광동!$A$1:$U$6</definedName>
    <definedName name="_xlnm.Print_Area" localSheetId="8">나운동!$A$1:$U$6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9">대명동!$A$1:$U$6</definedName>
    <definedName name="_xlnm.Print_Area" localSheetId="10">동흥남동!$A$1:$U$6</definedName>
    <definedName name="_xlnm.Print_Area" localSheetId="11">문화동!$A$1:$U$6</definedName>
    <definedName name="_xlnm.Print_Area" localSheetId="12">미룡동!$A$1:$U$6</definedName>
    <definedName name="_xlnm.Print_Area" localSheetId="13">미장동!$A$1:$U$6</definedName>
    <definedName name="_xlnm.Print_Area" localSheetId="14">사정동!$A$1:$U$6</definedName>
    <definedName name="_xlnm.Print_Area" localSheetId="15">산북동!$A$1:$U$6</definedName>
    <definedName name="_xlnm.Print_Area" localSheetId="16">삼학동!$A$1:$U$6</definedName>
    <definedName name="_xlnm.Print_Area" localSheetId="17">서흥남동!$A$1:$U$6</definedName>
    <definedName name="_xlnm.Print_Area" localSheetId="18">소룡동!$A$1:$U$6</definedName>
    <definedName name="_xlnm.Print_Area" localSheetId="19">수송동!$A$1:$U$6</definedName>
    <definedName name="_xlnm.Print_Area" localSheetId="20">신풍동!$A$1:$U$6</definedName>
    <definedName name="_xlnm.Print_Area" localSheetId="26">양식!$A$1:$U$6</definedName>
    <definedName name="_xlnm.Print_Area" localSheetId="21">오식도동!$A$1:$U$6</definedName>
    <definedName name="_xlnm.Print_Area" localSheetId="22">옥산면!$A$1:$U$6</definedName>
    <definedName name="_xlnm.Print_Area" localSheetId="23">월명동!$A$1:$U$6</definedName>
    <definedName name="_xlnm.Print_Area" localSheetId="24">장재동!$A$1:$U$6</definedName>
    <definedName name="_xlnm.Print_Area" localSheetId="25">조촌동!$A$1:$U$6</definedName>
    <definedName name="_xlnm.Print_Titles" localSheetId="5">경암동!$1:$3</definedName>
    <definedName name="_xlnm.Print_Titles" localSheetId="6">구암동!$1:$3</definedName>
    <definedName name="_xlnm.Print_Titles" localSheetId="7">금광동!$1:$3</definedName>
    <definedName name="_xlnm.Print_Titles" localSheetId="8">나운동!$1:$3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9">대명동!$1:$3</definedName>
    <definedName name="_xlnm.Print_Titles" localSheetId="10">동흥남동!$1:$3</definedName>
    <definedName name="_xlnm.Print_Titles" localSheetId="11">문화동!$1:$3</definedName>
    <definedName name="_xlnm.Print_Titles" localSheetId="12">미룡동!$1:$3</definedName>
    <definedName name="_xlnm.Print_Titles" localSheetId="13">미장동!$1:$3</definedName>
    <definedName name="_xlnm.Print_Titles" localSheetId="14">사정동!$1:$3</definedName>
    <definedName name="_xlnm.Print_Titles" localSheetId="15">산북동!$1:$3</definedName>
    <definedName name="_xlnm.Print_Titles" localSheetId="16">삼학동!$1:$3</definedName>
    <definedName name="_xlnm.Print_Titles" localSheetId="17">서흥남동!$1:$3</definedName>
    <definedName name="_xlnm.Print_Titles" localSheetId="18">소룡동!$1:$3</definedName>
    <definedName name="_xlnm.Print_Titles" localSheetId="19">수송동!$1:$3</definedName>
    <definedName name="_xlnm.Print_Titles" localSheetId="20">신풍동!$1:$3</definedName>
    <definedName name="_xlnm.Print_Titles" localSheetId="26">양식!$1:$3</definedName>
    <definedName name="_xlnm.Print_Titles" localSheetId="21">오식도동!$1:$3</definedName>
    <definedName name="_xlnm.Print_Titles" localSheetId="22">옥산면!$1:$3</definedName>
    <definedName name="_xlnm.Print_Titles" localSheetId="23">월명동!$1:$3</definedName>
    <definedName name="_xlnm.Print_Titles" localSheetId="24">장재동!$1:$3</definedName>
    <definedName name="_xlnm.Print_Titles" localSheetId="25">조촌동!$1:$3</definedName>
  </definedNames>
  <calcPr calcId="162913"/>
</workbook>
</file>

<file path=xl/calcChain.xml><?xml version="1.0" encoding="utf-8"?>
<calcChain xmlns="http://schemas.openxmlformats.org/spreadsheetml/2006/main">
  <c r="AU42" i="1" l="1"/>
  <c r="AR42" i="1"/>
  <c r="AP42" i="1"/>
  <c r="AI42" i="1"/>
  <c r="AN42" i="1" s="1"/>
  <c r="AH42" i="1"/>
  <c r="AF42" i="1"/>
  <c r="AE42" i="1"/>
  <c r="AB42" i="1"/>
  <c r="AA42" i="1"/>
  <c r="Z42" i="1"/>
  <c r="Y42" i="1"/>
  <c r="X42" i="1"/>
  <c r="W42" i="1"/>
  <c r="P42" i="1"/>
  <c r="O42" i="1"/>
  <c r="AD42" i="1" s="1"/>
  <c r="N42" i="1"/>
  <c r="AO42" i="1" s="1"/>
  <c r="M42" i="1"/>
  <c r="AU41" i="1"/>
  <c r="AT41" i="1"/>
  <c r="AR41" i="1"/>
  <c r="AP41" i="1"/>
  <c r="AJ41" i="1"/>
  <c r="AI41" i="1"/>
  <c r="AN41" i="1" s="1"/>
  <c r="AH41" i="1"/>
  <c r="AF41" i="1"/>
  <c r="AE41" i="1"/>
  <c r="AC41" i="1"/>
  <c r="AB41" i="1"/>
  <c r="AA41" i="1"/>
  <c r="Z41" i="1"/>
  <c r="Y41" i="1"/>
  <c r="X41" i="1"/>
  <c r="W41" i="1"/>
  <c r="P41" i="1"/>
  <c r="O41" i="1"/>
  <c r="AD41" i="1" s="1"/>
  <c r="N41" i="1"/>
  <c r="AO41" i="1" s="1"/>
  <c r="AV41" i="1" s="1"/>
  <c r="M41" i="1"/>
  <c r="AU40" i="1"/>
  <c r="AR40" i="1"/>
  <c r="AP40" i="1"/>
  <c r="AI40" i="1"/>
  <c r="AN40" i="1" s="1"/>
  <c r="AH40" i="1"/>
  <c r="AF40" i="1"/>
  <c r="AE40" i="1"/>
  <c r="AD40" i="1"/>
  <c r="AC40" i="1"/>
  <c r="AB40" i="1"/>
  <c r="AA40" i="1"/>
  <c r="Z40" i="1"/>
  <c r="Y40" i="1"/>
  <c r="X40" i="1"/>
  <c r="W40" i="1"/>
  <c r="P40" i="1"/>
  <c r="O40" i="1"/>
  <c r="AQ40" i="1" s="1"/>
  <c r="N40" i="1"/>
  <c r="AO40" i="1" s="1"/>
  <c r="M40" i="1"/>
  <c r="AU39" i="1"/>
  <c r="AT39" i="1"/>
  <c r="AP39" i="1"/>
  <c r="AO39" i="1"/>
  <c r="AV39" i="1" s="1"/>
  <c r="AN39" i="1"/>
  <c r="AJ39" i="1"/>
  <c r="AI39" i="1"/>
  <c r="AH39" i="1"/>
  <c r="AF39" i="1"/>
  <c r="AE39" i="1"/>
  <c r="AD39" i="1"/>
  <c r="AC39" i="1"/>
  <c r="AA39" i="1"/>
  <c r="Z39" i="1"/>
  <c r="Y39" i="1"/>
  <c r="X39" i="1"/>
  <c r="W39" i="1"/>
  <c r="P39" i="1"/>
  <c r="O39" i="1"/>
  <c r="AQ39" i="1" s="1"/>
  <c r="N39" i="1"/>
  <c r="M39" i="1"/>
  <c r="AR39" i="1" s="1"/>
  <c r="AU38" i="1"/>
  <c r="AT38" i="1"/>
  <c r="AP38" i="1"/>
  <c r="AN38" i="1"/>
  <c r="AJ38" i="1"/>
  <c r="AI38" i="1"/>
  <c r="AH38" i="1"/>
  <c r="AF38" i="1"/>
  <c r="AE38" i="1"/>
  <c r="AD38" i="1"/>
  <c r="AA38" i="1"/>
  <c r="Z38" i="1"/>
  <c r="Y38" i="1"/>
  <c r="X38" i="1"/>
  <c r="W38" i="1"/>
  <c r="P38" i="1"/>
  <c r="O38" i="1"/>
  <c r="AQ38" i="1" s="1"/>
  <c r="N38" i="1"/>
  <c r="AC38" i="1" s="1"/>
  <c r="M38" i="1"/>
  <c r="AR38" i="1" s="1"/>
  <c r="AU37" i="1"/>
  <c r="AP37" i="1"/>
  <c r="AO37" i="1"/>
  <c r="AV37" i="1" s="1"/>
  <c r="AN37" i="1"/>
  <c r="AI37" i="1"/>
  <c r="AT37" i="1" s="1"/>
  <c r="AH37" i="1"/>
  <c r="AF37" i="1"/>
  <c r="AE37" i="1"/>
  <c r="AA37" i="1"/>
  <c r="Z37" i="1"/>
  <c r="Y37" i="1"/>
  <c r="X37" i="1"/>
  <c r="W37" i="1"/>
  <c r="P37" i="1"/>
  <c r="O37" i="1"/>
  <c r="AD37" i="1" s="1"/>
  <c r="N37" i="1"/>
  <c r="AC37" i="1" s="1"/>
  <c r="M37" i="1"/>
  <c r="AR37" i="1" s="1"/>
  <c r="AU36" i="1"/>
  <c r="AR36" i="1"/>
  <c r="AP36" i="1"/>
  <c r="AI36" i="1"/>
  <c r="AN36" i="1" s="1"/>
  <c r="AH36" i="1"/>
  <c r="AF36" i="1"/>
  <c r="AE36" i="1"/>
  <c r="AB36" i="1"/>
  <c r="AA36" i="1"/>
  <c r="Z36" i="1"/>
  <c r="Y36" i="1"/>
  <c r="X36" i="1"/>
  <c r="W36" i="1"/>
  <c r="P36" i="1"/>
  <c r="O36" i="1"/>
  <c r="AD36" i="1" s="1"/>
  <c r="N36" i="1"/>
  <c r="AO36" i="1" s="1"/>
  <c r="M36" i="1"/>
  <c r="AU35" i="1"/>
  <c r="AT35" i="1"/>
  <c r="AR35" i="1"/>
  <c r="AP35" i="1"/>
  <c r="AJ35" i="1"/>
  <c r="AI35" i="1"/>
  <c r="AN35" i="1" s="1"/>
  <c r="AH35" i="1"/>
  <c r="AF35" i="1"/>
  <c r="AE35" i="1"/>
  <c r="AC35" i="1"/>
  <c r="AB35" i="1"/>
  <c r="AA35" i="1"/>
  <c r="Z35" i="1"/>
  <c r="Y35" i="1"/>
  <c r="X35" i="1"/>
  <c r="W35" i="1"/>
  <c r="P35" i="1"/>
  <c r="O35" i="1"/>
  <c r="AD35" i="1" s="1"/>
  <c r="N35" i="1"/>
  <c r="AO35" i="1" s="1"/>
  <c r="AV35" i="1" s="1"/>
  <c r="M35" i="1"/>
  <c r="AU34" i="1"/>
  <c r="AR34" i="1"/>
  <c r="AP34" i="1"/>
  <c r="AO34" i="1"/>
  <c r="AI34" i="1"/>
  <c r="AN34" i="1" s="1"/>
  <c r="AH34" i="1"/>
  <c r="AF34" i="1"/>
  <c r="AE34" i="1"/>
  <c r="AD34" i="1"/>
  <c r="AC34" i="1"/>
  <c r="AB34" i="1"/>
  <c r="AA34" i="1"/>
  <c r="Z34" i="1"/>
  <c r="Y34" i="1"/>
  <c r="X34" i="1"/>
  <c r="W34" i="1"/>
  <c r="P34" i="1"/>
  <c r="O34" i="1"/>
  <c r="AQ34" i="1" s="1"/>
  <c r="N34" i="1"/>
  <c r="M34" i="1"/>
  <c r="AU33" i="1"/>
  <c r="AT33" i="1"/>
  <c r="AP33" i="1"/>
  <c r="AO33" i="1"/>
  <c r="AV33" i="1" s="1"/>
  <c r="AN33" i="1"/>
  <c r="AJ33" i="1"/>
  <c r="AI33" i="1"/>
  <c r="AH33" i="1"/>
  <c r="AF33" i="1"/>
  <c r="AE33" i="1"/>
  <c r="AD33" i="1"/>
  <c r="AC33" i="1"/>
  <c r="AA33" i="1"/>
  <c r="Z33" i="1"/>
  <c r="Y33" i="1"/>
  <c r="X33" i="1"/>
  <c r="W33" i="1"/>
  <c r="P33" i="1"/>
  <c r="O33" i="1"/>
  <c r="AQ33" i="1" s="1"/>
  <c r="N33" i="1"/>
  <c r="M33" i="1"/>
  <c r="AR33" i="1" s="1"/>
  <c r="AU32" i="1"/>
  <c r="AT32" i="1"/>
  <c r="AP32" i="1"/>
  <c r="AN32" i="1"/>
  <c r="AJ32" i="1"/>
  <c r="AI32" i="1"/>
  <c r="AH32" i="1"/>
  <c r="AF32" i="1"/>
  <c r="AE32" i="1"/>
  <c r="AD32" i="1"/>
  <c r="AA32" i="1"/>
  <c r="Z32" i="1"/>
  <c r="Y32" i="1"/>
  <c r="X32" i="1"/>
  <c r="W32" i="1"/>
  <c r="P32" i="1"/>
  <c r="O32" i="1"/>
  <c r="AQ32" i="1" s="1"/>
  <c r="N32" i="1"/>
  <c r="AC32" i="1" s="1"/>
  <c r="M32" i="1"/>
  <c r="AR32" i="1" s="1"/>
  <c r="AU31" i="1"/>
  <c r="AP31" i="1"/>
  <c r="AO31" i="1"/>
  <c r="AV31" i="1" s="1"/>
  <c r="AN31" i="1"/>
  <c r="AI31" i="1"/>
  <c r="AT31" i="1" s="1"/>
  <c r="AH31" i="1"/>
  <c r="AF31" i="1"/>
  <c r="AE31" i="1"/>
  <c r="AA31" i="1"/>
  <c r="Z31" i="1"/>
  <c r="Y31" i="1"/>
  <c r="X31" i="1"/>
  <c r="W31" i="1"/>
  <c r="P31" i="1"/>
  <c r="O31" i="1"/>
  <c r="AD31" i="1" s="1"/>
  <c r="N31" i="1"/>
  <c r="AC31" i="1" s="1"/>
  <c r="M31" i="1"/>
  <c r="AR31" i="1" s="1"/>
  <c r="AU30" i="1"/>
  <c r="AR30" i="1"/>
  <c r="AP30" i="1"/>
  <c r="AI30" i="1"/>
  <c r="AN30" i="1" s="1"/>
  <c r="AH30" i="1"/>
  <c r="AF30" i="1"/>
  <c r="AE30" i="1"/>
  <c r="AB30" i="1"/>
  <c r="AA30" i="1"/>
  <c r="Z30" i="1"/>
  <c r="Y30" i="1"/>
  <c r="X30" i="1"/>
  <c r="W30" i="1"/>
  <c r="P30" i="1"/>
  <c r="O30" i="1"/>
  <c r="AD30" i="1" s="1"/>
  <c r="N30" i="1"/>
  <c r="AO30" i="1" s="1"/>
  <c r="M30" i="1"/>
  <c r="AU29" i="1"/>
  <c r="AT29" i="1"/>
  <c r="AR29" i="1"/>
  <c r="AP29" i="1"/>
  <c r="AJ29" i="1"/>
  <c r="AI29" i="1"/>
  <c r="AN29" i="1" s="1"/>
  <c r="AH29" i="1"/>
  <c r="AF29" i="1"/>
  <c r="AE29" i="1"/>
  <c r="AC29" i="1"/>
  <c r="AB29" i="1"/>
  <c r="AA29" i="1"/>
  <c r="Z29" i="1"/>
  <c r="Y29" i="1"/>
  <c r="X29" i="1"/>
  <c r="W29" i="1"/>
  <c r="P29" i="1"/>
  <c r="O29" i="1"/>
  <c r="AD29" i="1" s="1"/>
  <c r="N29" i="1"/>
  <c r="AO29" i="1" s="1"/>
  <c r="AV29" i="1" s="1"/>
  <c r="M29" i="1"/>
  <c r="AU28" i="1"/>
  <c r="AR28" i="1"/>
  <c r="AP28" i="1"/>
  <c r="AO28" i="1"/>
  <c r="AI28" i="1"/>
  <c r="AN28" i="1" s="1"/>
  <c r="AH28" i="1"/>
  <c r="AF28" i="1"/>
  <c r="AE28" i="1"/>
  <c r="AD28" i="1"/>
  <c r="AC28" i="1"/>
  <c r="AB28" i="1"/>
  <c r="AA28" i="1"/>
  <c r="Z28" i="1"/>
  <c r="Y28" i="1"/>
  <c r="X28" i="1"/>
  <c r="W28" i="1"/>
  <c r="P28" i="1"/>
  <c r="O28" i="1"/>
  <c r="AQ28" i="1" s="1"/>
  <c r="N28" i="1"/>
  <c r="M28" i="1"/>
  <c r="AU27" i="1"/>
  <c r="AT27" i="1"/>
  <c r="AP27" i="1"/>
  <c r="AO27" i="1"/>
  <c r="AN27" i="1"/>
  <c r="AJ27" i="1"/>
  <c r="AI27" i="1"/>
  <c r="AH27" i="1"/>
  <c r="AF27" i="1"/>
  <c r="AE27" i="1"/>
  <c r="AD27" i="1"/>
  <c r="AC27" i="1"/>
  <c r="AA27" i="1"/>
  <c r="Z27" i="1"/>
  <c r="Y27" i="1"/>
  <c r="X27" i="1"/>
  <c r="W27" i="1"/>
  <c r="P27" i="1"/>
  <c r="O27" i="1"/>
  <c r="AQ27" i="1" s="1"/>
  <c r="N27" i="1"/>
  <c r="M27" i="1"/>
  <c r="AR27" i="1" s="1"/>
  <c r="AU26" i="1"/>
  <c r="AT26" i="1"/>
  <c r="AP26" i="1"/>
  <c r="AN26" i="1"/>
  <c r="AJ26" i="1"/>
  <c r="AI26" i="1"/>
  <c r="AH26" i="1"/>
  <c r="AF26" i="1"/>
  <c r="AE26" i="1"/>
  <c r="AD26" i="1"/>
  <c r="AA26" i="1"/>
  <c r="Z26" i="1"/>
  <c r="Y26" i="1"/>
  <c r="X26" i="1"/>
  <c r="W26" i="1"/>
  <c r="P26" i="1"/>
  <c r="O26" i="1"/>
  <c r="AQ26" i="1" s="1"/>
  <c r="N26" i="1"/>
  <c r="AC26" i="1" s="1"/>
  <c r="M26" i="1"/>
  <c r="AR26" i="1" s="1"/>
  <c r="AU25" i="1"/>
  <c r="AP25" i="1"/>
  <c r="AO25" i="1"/>
  <c r="AV25" i="1" s="1"/>
  <c r="AN25" i="1"/>
  <c r="AI25" i="1"/>
  <c r="AT25" i="1" s="1"/>
  <c r="AH25" i="1"/>
  <c r="AF25" i="1"/>
  <c r="AE25" i="1"/>
  <c r="AA25" i="1"/>
  <c r="Z25" i="1"/>
  <c r="Y25" i="1"/>
  <c r="X25" i="1"/>
  <c r="W25" i="1"/>
  <c r="P25" i="1"/>
  <c r="O25" i="1"/>
  <c r="AD25" i="1" s="1"/>
  <c r="N25" i="1"/>
  <c r="AC25" i="1" s="1"/>
  <c r="M25" i="1"/>
  <c r="AR25" i="1" s="1"/>
  <c r="AU24" i="1"/>
  <c r="AR24" i="1"/>
  <c r="AP24" i="1"/>
  <c r="AI24" i="1"/>
  <c r="AN24" i="1" s="1"/>
  <c r="AH24" i="1"/>
  <c r="AF24" i="1"/>
  <c r="AE24" i="1"/>
  <c r="AB24" i="1"/>
  <c r="AA24" i="1"/>
  <c r="Z24" i="1"/>
  <c r="Y24" i="1"/>
  <c r="X24" i="1"/>
  <c r="W24" i="1"/>
  <c r="P24" i="1"/>
  <c r="O24" i="1"/>
  <c r="AD24" i="1" s="1"/>
  <c r="N24" i="1"/>
  <c r="AO24" i="1" s="1"/>
  <c r="M24" i="1"/>
  <c r="AU23" i="1"/>
  <c r="AT23" i="1"/>
  <c r="AR23" i="1"/>
  <c r="AP23" i="1"/>
  <c r="AJ23" i="1"/>
  <c r="AI23" i="1"/>
  <c r="AN23" i="1" s="1"/>
  <c r="AH23" i="1"/>
  <c r="AF23" i="1"/>
  <c r="AE23" i="1"/>
  <c r="AC23" i="1"/>
  <c r="AB23" i="1"/>
  <c r="AA23" i="1"/>
  <c r="Z23" i="1"/>
  <c r="Y23" i="1"/>
  <c r="X23" i="1"/>
  <c r="W23" i="1"/>
  <c r="P23" i="1"/>
  <c r="O23" i="1"/>
  <c r="AD23" i="1" s="1"/>
  <c r="N23" i="1"/>
  <c r="AO23" i="1" s="1"/>
  <c r="AV23" i="1" s="1"/>
  <c r="M23" i="1"/>
  <c r="AU22" i="1"/>
  <c r="AR22" i="1"/>
  <c r="AP22" i="1"/>
  <c r="AO22" i="1"/>
  <c r="AI22" i="1"/>
  <c r="AN22" i="1" s="1"/>
  <c r="AH22" i="1"/>
  <c r="AF22" i="1"/>
  <c r="AE22" i="1"/>
  <c r="AD22" i="1"/>
  <c r="AC22" i="1"/>
  <c r="AB22" i="1"/>
  <c r="AA22" i="1"/>
  <c r="Z22" i="1"/>
  <c r="Y22" i="1"/>
  <c r="X22" i="1"/>
  <c r="W22" i="1"/>
  <c r="P22" i="1"/>
  <c r="O22" i="1"/>
  <c r="AQ22" i="1" s="1"/>
  <c r="N22" i="1"/>
  <c r="M22" i="1"/>
  <c r="AU21" i="1"/>
  <c r="AT21" i="1"/>
  <c r="AP21" i="1"/>
  <c r="AO21" i="1"/>
  <c r="AN21" i="1"/>
  <c r="AJ21" i="1"/>
  <c r="AI21" i="1"/>
  <c r="AH21" i="1"/>
  <c r="AF21" i="1"/>
  <c r="AE21" i="1"/>
  <c r="AD21" i="1"/>
  <c r="AC21" i="1"/>
  <c r="AA21" i="1"/>
  <c r="Z21" i="1"/>
  <c r="Y21" i="1"/>
  <c r="X21" i="1"/>
  <c r="W21" i="1"/>
  <c r="P21" i="1"/>
  <c r="O21" i="1"/>
  <c r="AQ21" i="1" s="1"/>
  <c r="N21" i="1"/>
  <c r="M21" i="1"/>
  <c r="AR21" i="1" s="1"/>
  <c r="AU20" i="1"/>
  <c r="AT20" i="1"/>
  <c r="AP20" i="1"/>
  <c r="AN20" i="1"/>
  <c r="AJ20" i="1"/>
  <c r="AI20" i="1"/>
  <c r="AH20" i="1"/>
  <c r="AF20" i="1"/>
  <c r="AE20" i="1"/>
  <c r="AD20" i="1"/>
  <c r="AA20" i="1"/>
  <c r="Z20" i="1"/>
  <c r="Y20" i="1"/>
  <c r="X20" i="1"/>
  <c r="W20" i="1"/>
  <c r="P20" i="1"/>
  <c r="O20" i="1"/>
  <c r="AQ20" i="1" s="1"/>
  <c r="N20" i="1"/>
  <c r="AC20" i="1" s="1"/>
  <c r="M20" i="1"/>
  <c r="AR20" i="1" s="1"/>
  <c r="AU19" i="1"/>
  <c r="AP19" i="1"/>
  <c r="AO19" i="1"/>
  <c r="AV19" i="1" s="1"/>
  <c r="AN19" i="1"/>
  <c r="AI19" i="1"/>
  <c r="AT19" i="1" s="1"/>
  <c r="AH19" i="1"/>
  <c r="AF19" i="1"/>
  <c r="AE19" i="1"/>
  <c r="AA19" i="1"/>
  <c r="Z19" i="1"/>
  <c r="Y19" i="1"/>
  <c r="X19" i="1"/>
  <c r="W19" i="1"/>
  <c r="P19" i="1"/>
  <c r="O19" i="1"/>
  <c r="AD19" i="1" s="1"/>
  <c r="N19" i="1"/>
  <c r="AC19" i="1" s="1"/>
  <c r="M19" i="1"/>
  <c r="AR19" i="1" s="1"/>
  <c r="AU18" i="1"/>
  <c r="AR18" i="1"/>
  <c r="AP18" i="1"/>
  <c r="AI18" i="1"/>
  <c r="AN18" i="1" s="1"/>
  <c r="AH18" i="1"/>
  <c r="AF18" i="1"/>
  <c r="AE18" i="1"/>
  <c r="AB18" i="1"/>
  <c r="AA18" i="1"/>
  <c r="Z18" i="1"/>
  <c r="Y18" i="1"/>
  <c r="X18" i="1"/>
  <c r="W18" i="1"/>
  <c r="P18" i="1"/>
  <c r="O18" i="1"/>
  <c r="AD18" i="1" s="1"/>
  <c r="N18" i="1"/>
  <c r="AO18" i="1" s="1"/>
  <c r="M18" i="1"/>
  <c r="AU17" i="1"/>
  <c r="AT17" i="1"/>
  <c r="AR17" i="1"/>
  <c r="AP17" i="1"/>
  <c r="AJ17" i="1"/>
  <c r="AI17" i="1"/>
  <c r="AN17" i="1" s="1"/>
  <c r="AH17" i="1"/>
  <c r="AF17" i="1"/>
  <c r="AE17" i="1"/>
  <c r="AC17" i="1"/>
  <c r="AB17" i="1"/>
  <c r="AA17" i="1"/>
  <c r="Z17" i="1"/>
  <c r="Y17" i="1"/>
  <c r="X17" i="1"/>
  <c r="W17" i="1"/>
  <c r="P17" i="1"/>
  <c r="O17" i="1"/>
  <c r="AD17" i="1" s="1"/>
  <c r="N17" i="1"/>
  <c r="AO17" i="1" s="1"/>
  <c r="AV17" i="1" s="1"/>
  <c r="M17" i="1"/>
  <c r="AU16" i="1"/>
  <c r="AR16" i="1"/>
  <c r="AP16" i="1"/>
  <c r="AO16" i="1"/>
  <c r="AI16" i="1"/>
  <c r="AN16" i="1" s="1"/>
  <c r="AH16" i="1"/>
  <c r="AF16" i="1"/>
  <c r="AE16" i="1"/>
  <c r="AD16" i="1"/>
  <c r="AC16" i="1"/>
  <c r="AB16" i="1"/>
  <c r="AA16" i="1"/>
  <c r="Z16" i="1"/>
  <c r="Y16" i="1"/>
  <c r="X16" i="1"/>
  <c r="W16" i="1"/>
  <c r="P16" i="1"/>
  <c r="O16" i="1"/>
  <c r="AQ16" i="1" s="1"/>
  <c r="N16" i="1"/>
  <c r="M16" i="1"/>
  <c r="AU15" i="1"/>
  <c r="AT15" i="1"/>
  <c r="AP15" i="1"/>
  <c r="AO15" i="1"/>
  <c r="AV15" i="1" s="1"/>
  <c r="AJ15" i="1"/>
  <c r="AI15" i="1"/>
  <c r="AN15" i="1" s="1"/>
  <c r="AH15" i="1"/>
  <c r="AF15" i="1"/>
  <c r="AE15" i="1"/>
  <c r="AD15" i="1"/>
  <c r="AC15" i="1"/>
  <c r="AA15" i="1"/>
  <c r="Z15" i="1"/>
  <c r="Y15" i="1"/>
  <c r="X15" i="1"/>
  <c r="W15" i="1"/>
  <c r="P15" i="1"/>
  <c r="O15" i="1"/>
  <c r="AQ15" i="1" s="1"/>
  <c r="N15" i="1"/>
  <c r="M15" i="1"/>
  <c r="AR15" i="1" s="1"/>
  <c r="AU14" i="1"/>
  <c r="AT14" i="1"/>
  <c r="AP14" i="1"/>
  <c r="AN14" i="1"/>
  <c r="AJ14" i="1"/>
  <c r="AI14" i="1"/>
  <c r="AH14" i="1"/>
  <c r="AF14" i="1"/>
  <c r="AE14" i="1"/>
  <c r="AD14" i="1"/>
  <c r="AA14" i="1"/>
  <c r="Z14" i="1"/>
  <c r="Y14" i="1"/>
  <c r="X14" i="1"/>
  <c r="W14" i="1"/>
  <c r="P14" i="1"/>
  <c r="O14" i="1"/>
  <c r="AQ14" i="1" s="1"/>
  <c r="N14" i="1"/>
  <c r="AC14" i="1" s="1"/>
  <c r="M14" i="1"/>
  <c r="AR14" i="1" s="1"/>
  <c r="AU13" i="1"/>
  <c r="AP13" i="1"/>
  <c r="AO13" i="1"/>
  <c r="AN13" i="1"/>
  <c r="AI13" i="1"/>
  <c r="AT13" i="1" s="1"/>
  <c r="AH13" i="1"/>
  <c r="AF13" i="1"/>
  <c r="AE13" i="1"/>
  <c r="AA13" i="1"/>
  <c r="Z13" i="1"/>
  <c r="Y13" i="1"/>
  <c r="X13" i="1"/>
  <c r="W13" i="1"/>
  <c r="P13" i="1"/>
  <c r="O13" i="1"/>
  <c r="AD13" i="1" s="1"/>
  <c r="N13" i="1"/>
  <c r="AC13" i="1" s="1"/>
  <c r="M13" i="1"/>
  <c r="AR13" i="1" s="1"/>
  <c r="AU12" i="1"/>
  <c r="AR12" i="1"/>
  <c r="AP12" i="1"/>
  <c r="AI12" i="1"/>
  <c r="AN12" i="1" s="1"/>
  <c r="AH12" i="1"/>
  <c r="AF12" i="1"/>
  <c r="AE12" i="1"/>
  <c r="AB12" i="1"/>
  <c r="AA12" i="1"/>
  <c r="Z12" i="1"/>
  <c r="Y12" i="1"/>
  <c r="X12" i="1"/>
  <c r="W12" i="1"/>
  <c r="P12" i="1"/>
  <c r="O12" i="1"/>
  <c r="AD12" i="1" s="1"/>
  <c r="N12" i="1"/>
  <c r="AO12" i="1" s="1"/>
  <c r="M12" i="1"/>
  <c r="AU11" i="1"/>
  <c r="AT11" i="1"/>
  <c r="AR11" i="1"/>
  <c r="AP11" i="1"/>
  <c r="AJ11" i="1"/>
  <c r="AI11" i="1"/>
  <c r="AN11" i="1" s="1"/>
  <c r="AH11" i="1"/>
  <c r="AF11" i="1"/>
  <c r="AE11" i="1"/>
  <c r="AC11" i="1"/>
  <c r="AB11" i="1"/>
  <c r="AA11" i="1"/>
  <c r="Z11" i="1"/>
  <c r="Y11" i="1"/>
  <c r="X11" i="1"/>
  <c r="W11" i="1"/>
  <c r="P11" i="1"/>
  <c r="O11" i="1"/>
  <c r="AD11" i="1" s="1"/>
  <c r="N11" i="1"/>
  <c r="AO11" i="1" s="1"/>
  <c r="AV11" i="1" s="1"/>
  <c r="M11" i="1"/>
  <c r="AU10" i="1"/>
  <c r="AR10" i="1"/>
  <c r="AP10" i="1"/>
  <c r="AI10" i="1"/>
  <c r="AN10" i="1" s="1"/>
  <c r="AH10" i="1"/>
  <c r="AF10" i="1"/>
  <c r="AE10" i="1"/>
  <c r="AD10" i="1"/>
  <c r="AC10" i="1"/>
  <c r="AB10" i="1"/>
  <c r="AA10" i="1"/>
  <c r="Z10" i="1"/>
  <c r="Y10" i="1"/>
  <c r="X10" i="1"/>
  <c r="W10" i="1"/>
  <c r="P10" i="1"/>
  <c r="O10" i="1"/>
  <c r="AQ10" i="1" s="1"/>
  <c r="N10" i="1"/>
  <c r="AO10" i="1" s="1"/>
  <c r="M10" i="1"/>
  <c r="AU9" i="1"/>
  <c r="AT9" i="1"/>
  <c r="AP9" i="1"/>
  <c r="AO9" i="1"/>
  <c r="AV9" i="1" s="1"/>
  <c r="AJ9" i="1"/>
  <c r="AI9" i="1"/>
  <c r="AN9" i="1" s="1"/>
  <c r="AH9" i="1"/>
  <c r="AF9" i="1"/>
  <c r="AE9" i="1"/>
  <c r="AD9" i="1"/>
  <c r="AC9" i="1"/>
  <c r="AA9" i="1"/>
  <c r="Z9" i="1"/>
  <c r="Y9" i="1"/>
  <c r="X9" i="1"/>
  <c r="W9" i="1"/>
  <c r="P9" i="1"/>
  <c r="O9" i="1"/>
  <c r="AQ9" i="1" s="1"/>
  <c r="N9" i="1"/>
  <c r="M9" i="1"/>
  <c r="AR9" i="1" s="1"/>
  <c r="AU8" i="1"/>
  <c r="AT8" i="1"/>
  <c r="AP8" i="1"/>
  <c r="AN8" i="1"/>
  <c r="AJ8" i="1"/>
  <c r="AI8" i="1"/>
  <c r="AH8" i="1"/>
  <c r="AF8" i="1"/>
  <c r="AE8" i="1"/>
  <c r="AD8" i="1"/>
  <c r="AA8" i="1"/>
  <c r="Z8" i="1"/>
  <c r="Y8" i="1"/>
  <c r="X8" i="1"/>
  <c r="W8" i="1"/>
  <c r="P8" i="1"/>
  <c r="O8" i="1"/>
  <c r="AQ8" i="1" s="1"/>
  <c r="N8" i="1"/>
  <c r="AC8" i="1" s="1"/>
  <c r="M8" i="1"/>
  <c r="AR8" i="1" s="1"/>
  <c r="AU7" i="1"/>
  <c r="AP7" i="1"/>
  <c r="AO7" i="1"/>
  <c r="AV7" i="1" s="1"/>
  <c r="AN7" i="1"/>
  <c r="AI7" i="1"/>
  <c r="AT7" i="1" s="1"/>
  <c r="AH7" i="1"/>
  <c r="AF7" i="1"/>
  <c r="AE7" i="1"/>
  <c r="AA7" i="1"/>
  <c r="Z7" i="1"/>
  <c r="Y7" i="1"/>
  <c r="X7" i="1"/>
  <c r="W7" i="1"/>
  <c r="P7" i="1"/>
  <c r="O7" i="1"/>
  <c r="AD7" i="1" s="1"/>
  <c r="N7" i="1"/>
  <c r="AC7" i="1" s="1"/>
  <c r="M7" i="1"/>
  <c r="AR7" i="1" s="1"/>
  <c r="AU6" i="1"/>
  <c r="AR6" i="1"/>
  <c r="AP6" i="1"/>
  <c r="AI6" i="1"/>
  <c r="AN6" i="1" s="1"/>
  <c r="AH6" i="1"/>
  <c r="AF6" i="1"/>
  <c r="AE6" i="1"/>
  <c r="AB6" i="1"/>
  <c r="AA6" i="1"/>
  <c r="Z6" i="1"/>
  <c r="Y6" i="1"/>
  <c r="X6" i="1"/>
  <c r="W6" i="1"/>
  <c r="P6" i="1"/>
  <c r="O6" i="1"/>
  <c r="AD6" i="1" s="1"/>
  <c r="N6" i="1"/>
  <c r="AO6" i="1" s="1"/>
  <c r="M6" i="1"/>
  <c r="AU5" i="1"/>
  <c r="AT5" i="1"/>
  <c r="AR5" i="1"/>
  <c r="AP5" i="1"/>
  <c r="AJ5" i="1"/>
  <c r="AI5" i="1"/>
  <c r="AN5" i="1" s="1"/>
  <c r="AH5" i="1"/>
  <c r="AF5" i="1"/>
  <c r="AE5" i="1"/>
  <c r="AC5" i="1"/>
  <c r="AB5" i="1"/>
  <c r="AA5" i="1"/>
  <c r="Z5" i="1"/>
  <c r="Y5" i="1"/>
  <c r="X5" i="1"/>
  <c r="W5" i="1"/>
  <c r="P5" i="1"/>
  <c r="O5" i="1"/>
  <c r="AQ5" i="1" s="1"/>
  <c r="N5" i="1"/>
  <c r="AO5" i="1" s="1"/>
  <c r="AV5" i="1" s="1"/>
  <c r="M5" i="1"/>
  <c r="AU4" i="1"/>
  <c r="AR4" i="1"/>
  <c r="AP4" i="1"/>
  <c r="AI4" i="1"/>
  <c r="AN4" i="1" s="1"/>
  <c r="AH4" i="1"/>
  <c r="AF4" i="1"/>
  <c r="AE4" i="1"/>
  <c r="AD4" i="1"/>
  <c r="AC4" i="1"/>
  <c r="AB4" i="1"/>
  <c r="AA4" i="1"/>
  <c r="Z4" i="1"/>
  <c r="Y4" i="1"/>
  <c r="X4" i="1"/>
  <c r="W4" i="1"/>
  <c r="P4" i="1"/>
  <c r="O4" i="1"/>
  <c r="AQ4" i="1" s="1"/>
  <c r="N4" i="1"/>
  <c r="AO4" i="1" s="1"/>
  <c r="M4" i="1"/>
  <c r="AV21" i="1" l="1"/>
  <c r="AV27" i="1"/>
  <c r="AV28" i="1"/>
  <c r="AV13" i="1"/>
  <c r="AQ11" i="1"/>
  <c r="AQ17" i="1"/>
  <c r="AQ23" i="1"/>
  <c r="AQ29" i="1"/>
  <c r="AQ35" i="1"/>
  <c r="AQ41" i="1"/>
  <c r="AJ4" i="1"/>
  <c r="AT4" i="1"/>
  <c r="AV4" i="1" s="1"/>
  <c r="AQ6" i="1"/>
  <c r="AO8" i="1"/>
  <c r="AV8" i="1" s="1"/>
  <c r="AJ10" i="1"/>
  <c r="AT10" i="1"/>
  <c r="AV10" i="1" s="1"/>
  <c r="AQ12" i="1"/>
  <c r="AO14" i="1"/>
  <c r="AV14" i="1" s="1"/>
  <c r="AJ16" i="1"/>
  <c r="AT16" i="1"/>
  <c r="AV16" i="1" s="1"/>
  <c r="AQ18" i="1"/>
  <c r="AO20" i="1"/>
  <c r="AV20" i="1" s="1"/>
  <c r="AJ22" i="1"/>
  <c r="AT22" i="1"/>
  <c r="AV22" i="1" s="1"/>
  <c r="AQ24" i="1"/>
  <c r="AO26" i="1"/>
  <c r="AV26" i="1" s="1"/>
  <c r="AJ28" i="1"/>
  <c r="AT28" i="1"/>
  <c r="AQ30" i="1"/>
  <c r="AO32" i="1"/>
  <c r="AV32" i="1" s="1"/>
  <c r="AJ34" i="1"/>
  <c r="AT34" i="1"/>
  <c r="AV34" i="1" s="1"/>
  <c r="AQ36" i="1"/>
  <c r="AO38" i="1"/>
  <c r="AV38" i="1" s="1"/>
  <c r="AJ40" i="1"/>
  <c r="AT40" i="1"/>
  <c r="AV40" i="1" s="1"/>
  <c r="AQ42" i="1"/>
  <c r="AQ7" i="1"/>
  <c r="AD5" i="1"/>
  <c r="AC6" i="1"/>
  <c r="AJ6" i="1"/>
  <c r="AT6" i="1"/>
  <c r="AV6" i="1" s="1"/>
  <c r="AB7" i="1"/>
  <c r="AC12" i="1"/>
  <c r="AJ12" i="1"/>
  <c r="AT12" i="1"/>
  <c r="AV12" i="1" s="1"/>
  <c r="AB13" i="1"/>
  <c r="AC18" i="1"/>
  <c r="AJ18" i="1"/>
  <c r="AT18" i="1"/>
  <c r="AV18" i="1" s="1"/>
  <c r="AB19" i="1"/>
  <c r="AC24" i="1"/>
  <c r="AJ24" i="1"/>
  <c r="AT24" i="1"/>
  <c r="AV24" i="1" s="1"/>
  <c r="AB25" i="1"/>
  <c r="AC30" i="1"/>
  <c r="AJ30" i="1"/>
  <c r="AT30" i="1"/>
  <c r="AV30" i="1" s="1"/>
  <c r="AB31" i="1"/>
  <c r="AC36" i="1"/>
  <c r="AJ36" i="1"/>
  <c r="AT36" i="1"/>
  <c r="AV36" i="1" s="1"/>
  <c r="AB37" i="1"/>
  <c r="AC42" i="1"/>
  <c r="AJ42" i="1"/>
  <c r="AT42" i="1"/>
  <c r="AV42" i="1" s="1"/>
  <c r="AQ25" i="1"/>
  <c r="AQ31" i="1"/>
  <c r="AQ37" i="1"/>
  <c r="AJ7" i="1"/>
  <c r="AB8" i="1"/>
  <c r="AJ13" i="1"/>
  <c r="AB14" i="1"/>
  <c r="AJ19" i="1"/>
  <c r="AB20" i="1"/>
  <c r="AJ25" i="1"/>
  <c r="AB26" i="1"/>
  <c r="AJ31" i="1"/>
  <c r="AB32" i="1"/>
  <c r="AJ37" i="1"/>
  <c r="AB38" i="1"/>
  <c r="AQ13" i="1"/>
  <c r="AQ19" i="1"/>
  <c r="AB9" i="1"/>
  <c r="AB15" i="1"/>
  <c r="AB21" i="1"/>
  <c r="AB27" i="1"/>
  <c r="AB33" i="1"/>
  <c r="AB39" i="1"/>
  <c r="P245" i="2"/>
  <c r="O245" i="2"/>
  <c r="N245" i="2"/>
  <c r="M245" i="2"/>
  <c r="P244" i="2"/>
  <c r="O244" i="2"/>
  <c r="N244" i="2"/>
  <c r="M244" i="2"/>
  <c r="P243" i="2"/>
  <c r="O243" i="2"/>
  <c r="N243" i="2"/>
  <c r="M243" i="2"/>
  <c r="P242" i="2"/>
  <c r="O242" i="2"/>
  <c r="N242" i="2"/>
  <c r="M242" i="2"/>
  <c r="P241" i="2"/>
  <c r="O241" i="2"/>
  <c r="N241" i="2"/>
  <c r="M241" i="2"/>
  <c r="P67" i="2"/>
  <c r="O67" i="2"/>
  <c r="N67" i="2"/>
  <c r="M67" i="2"/>
  <c r="P84" i="2"/>
  <c r="O84" i="2"/>
  <c r="N84" i="2"/>
  <c r="M84" i="2"/>
  <c r="P46" i="2"/>
  <c r="O46" i="2"/>
  <c r="N46" i="2"/>
  <c r="M46" i="2"/>
  <c r="P103" i="2"/>
  <c r="O103" i="2"/>
  <c r="N103" i="2"/>
  <c r="M103" i="2"/>
  <c r="P117" i="2"/>
  <c r="O117" i="2"/>
  <c r="N117" i="2"/>
  <c r="M117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237" i="2"/>
  <c r="O237" i="2"/>
  <c r="N237" i="2"/>
  <c r="M237" i="2"/>
  <c r="P236" i="2"/>
  <c r="O236" i="2"/>
  <c r="N236" i="2"/>
  <c r="M236" i="2"/>
  <c r="P235" i="2"/>
  <c r="O235" i="2"/>
  <c r="N235" i="2"/>
  <c r="M235" i="2"/>
  <c r="P9" i="2"/>
  <c r="O9" i="2"/>
  <c r="N9" i="2"/>
  <c r="M9" i="2"/>
  <c r="P18" i="2"/>
  <c r="O18" i="2"/>
  <c r="N18" i="2"/>
  <c r="M18" i="2"/>
  <c r="P34" i="2"/>
  <c r="O34" i="2"/>
  <c r="N34" i="2"/>
  <c r="M34" i="2"/>
  <c r="P234" i="2"/>
  <c r="O234" i="2"/>
  <c r="N234" i="2"/>
  <c r="M234" i="2"/>
  <c r="P66" i="2"/>
  <c r="O66" i="2"/>
  <c r="N66" i="2"/>
  <c r="M66" i="2"/>
  <c r="P233" i="2"/>
  <c r="O233" i="2"/>
  <c r="N233" i="2"/>
  <c r="M233" i="2"/>
  <c r="P42" i="2"/>
  <c r="O42" i="2"/>
  <c r="N42" i="2"/>
  <c r="M42" i="2"/>
  <c r="P52" i="2"/>
  <c r="O52" i="2"/>
  <c r="N52" i="2"/>
  <c r="M52" i="2"/>
  <c r="P4" i="2"/>
  <c r="O4" i="2"/>
  <c r="N4" i="2"/>
  <c r="M4" i="2"/>
  <c r="P10" i="2"/>
  <c r="O10" i="2"/>
  <c r="N10" i="2"/>
  <c r="M10" i="2"/>
  <c r="P15" i="2"/>
  <c r="O15" i="2"/>
  <c r="N15" i="2"/>
  <c r="M15" i="2"/>
  <c r="P30" i="2"/>
  <c r="O30" i="2"/>
  <c r="N30" i="2"/>
  <c r="M30" i="2"/>
  <c r="P232" i="2"/>
  <c r="O232" i="2"/>
  <c r="N232" i="2"/>
  <c r="M232" i="2"/>
  <c r="P231" i="2"/>
  <c r="O231" i="2"/>
  <c r="N231" i="2"/>
  <c r="M231" i="2"/>
  <c r="P230" i="2"/>
  <c r="O230" i="2"/>
  <c r="N230" i="2"/>
  <c r="M230" i="2"/>
  <c r="P229" i="2"/>
  <c r="O229" i="2"/>
  <c r="N229" i="2"/>
  <c r="M229" i="2"/>
  <c r="P228" i="2"/>
  <c r="O228" i="2"/>
  <c r="N228" i="2"/>
  <c r="M228" i="2"/>
  <c r="P37" i="2"/>
  <c r="O37" i="2"/>
  <c r="N37" i="2"/>
  <c r="M37" i="2"/>
  <c r="P45" i="2"/>
  <c r="O45" i="2"/>
  <c r="N45" i="2"/>
  <c r="M45" i="2"/>
  <c r="P88" i="2"/>
  <c r="O88" i="2"/>
  <c r="N88" i="2"/>
  <c r="M88" i="2"/>
  <c r="P227" i="2"/>
  <c r="O227" i="2"/>
  <c r="N227" i="2"/>
  <c r="M227" i="2"/>
  <c r="P226" i="2"/>
  <c r="O226" i="2"/>
  <c r="N226" i="2"/>
  <c r="M226" i="2"/>
  <c r="P225" i="2"/>
  <c r="O225" i="2"/>
  <c r="N225" i="2"/>
  <c r="M225" i="2"/>
  <c r="P38" i="2"/>
  <c r="O38" i="2"/>
  <c r="N38" i="2"/>
  <c r="M38" i="2"/>
  <c r="P44" i="2"/>
  <c r="O44" i="2"/>
  <c r="N44" i="2"/>
  <c r="M44" i="2"/>
  <c r="P16" i="2"/>
  <c r="O16" i="2"/>
  <c r="N16" i="2"/>
  <c r="M16" i="2"/>
  <c r="P29" i="2"/>
  <c r="O29" i="2"/>
  <c r="N29" i="2"/>
  <c r="M29" i="2"/>
  <c r="P224" i="2"/>
  <c r="O224" i="2"/>
  <c r="N224" i="2"/>
  <c r="M224" i="2"/>
  <c r="P223" i="2"/>
  <c r="O223" i="2"/>
  <c r="N223" i="2"/>
  <c r="M223" i="2"/>
  <c r="P57" i="2"/>
  <c r="O57" i="2"/>
  <c r="N57" i="2"/>
  <c r="M57" i="2"/>
  <c r="P54" i="2"/>
  <c r="O54" i="2"/>
  <c r="N54" i="2"/>
  <c r="M54" i="2"/>
  <c r="P62" i="2"/>
  <c r="O62" i="2"/>
  <c r="N62" i="2"/>
  <c r="M62" i="2"/>
  <c r="P222" i="2"/>
  <c r="O222" i="2"/>
  <c r="N222" i="2"/>
  <c r="M222" i="2"/>
  <c r="P51" i="2"/>
  <c r="O51" i="2"/>
  <c r="N51" i="2"/>
  <c r="M51" i="2"/>
  <c r="P60" i="2"/>
  <c r="O60" i="2"/>
  <c r="N60" i="2"/>
  <c r="M60" i="2"/>
  <c r="P35" i="2"/>
  <c r="O35" i="2"/>
  <c r="N35" i="2"/>
  <c r="M35" i="2"/>
  <c r="P7" i="2"/>
  <c r="O7" i="2"/>
  <c r="N7" i="2"/>
  <c r="M7" i="2"/>
  <c r="P12" i="2"/>
  <c r="O12" i="2"/>
  <c r="N12" i="2"/>
  <c r="M12" i="2"/>
  <c r="P19" i="2"/>
  <c r="O19" i="2"/>
  <c r="N19" i="2"/>
  <c r="M19" i="2"/>
  <c r="P76" i="2"/>
  <c r="O76" i="2"/>
  <c r="N76" i="2"/>
  <c r="M76" i="2"/>
  <c r="P221" i="2"/>
  <c r="O221" i="2"/>
  <c r="N221" i="2"/>
  <c r="M221" i="2"/>
  <c r="P114" i="2"/>
  <c r="O114" i="2"/>
  <c r="N114" i="2"/>
  <c r="M114" i="2"/>
  <c r="P220" i="2"/>
  <c r="O220" i="2"/>
  <c r="N220" i="2"/>
  <c r="M220" i="2"/>
  <c r="P5" i="2"/>
  <c r="O5" i="2"/>
  <c r="N5" i="2"/>
  <c r="M5" i="2"/>
  <c r="P219" i="2"/>
  <c r="O219" i="2"/>
  <c r="N219" i="2"/>
  <c r="M219" i="2"/>
  <c r="P218" i="2"/>
  <c r="O218" i="2"/>
  <c r="N218" i="2"/>
  <c r="M218" i="2"/>
  <c r="P217" i="2"/>
  <c r="O217" i="2"/>
  <c r="N217" i="2"/>
  <c r="M217" i="2"/>
  <c r="P33" i="2"/>
  <c r="O33" i="2"/>
  <c r="N33" i="2"/>
  <c r="M33" i="2"/>
  <c r="P216" i="2"/>
  <c r="O216" i="2"/>
  <c r="N216" i="2"/>
  <c r="M216" i="2"/>
  <c r="P215" i="2"/>
  <c r="O215" i="2"/>
  <c r="N215" i="2"/>
  <c r="M215" i="2"/>
  <c r="P122" i="2"/>
  <c r="O122" i="2"/>
  <c r="N122" i="2"/>
  <c r="M122" i="2"/>
  <c r="P214" i="2"/>
  <c r="O214" i="2"/>
  <c r="N214" i="2"/>
  <c r="M214" i="2"/>
  <c r="P98" i="2"/>
  <c r="O98" i="2"/>
  <c r="N98" i="2"/>
  <c r="M98" i="2"/>
  <c r="P213" i="2"/>
  <c r="O213" i="2"/>
  <c r="N213" i="2"/>
  <c r="M213" i="2"/>
  <c r="P212" i="2"/>
  <c r="O212" i="2"/>
  <c r="N212" i="2"/>
  <c r="M212" i="2"/>
  <c r="P116" i="2"/>
  <c r="O116" i="2"/>
  <c r="N116" i="2"/>
  <c r="M116" i="2"/>
  <c r="P120" i="2"/>
  <c r="O120" i="2"/>
  <c r="N120" i="2"/>
  <c r="M120" i="2"/>
  <c r="P125" i="2"/>
  <c r="O125" i="2"/>
  <c r="N125" i="2"/>
  <c r="M125" i="2"/>
  <c r="P211" i="2"/>
  <c r="O211" i="2"/>
  <c r="N211" i="2"/>
  <c r="M211" i="2"/>
  <c r="P99" i="2"/>
  <c r="O99" i="2"/>
  <c r="N99" i="2"/>
  <c r="M99" i="2"/>
  <c r="P210" i="2"/>
  <c r="O210" i="2"/>
  <c r="N210" i="2"/>
  <c r="M210" i="2"/>
  <c r="P118" i="2"/>
  <c r="O118" i="2"/>
  <c r="N118" i="2"/>
  <c r="M118" i="2"/>
  <c r="P107" i="2"/>
  <c r="O107" i="2"/>
  <c r="N107" i="2"/>
  <c r="M107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94" i="2"/>
  <c r="O94" i="2"/>
  <c r="N94" i="2"/>
  <c r="M94" i="2"/>
  <c r="P97" i="2"/>
  <c r="O97" i="2"/>
  <c r="N97" i="2"/>
  <c r="M97" i="2"/>
  <c r="P206" i="2"/>
  <c r="O206" i="2"/>
  <c r="N206" i="2"/>
  <c r="M206" i="2"/>
  <c r="P205" i="2"/>
  <c r="O205" i="2"/>
  <c r="N205" i="2"/>
  <c r="M205" i="2"/>
  <c r="P204" i="2"/>
  <c r="O204" i="2"/>
  <c r="N204" i="2"/>
  <c r="M204" i="2"/>
  <c r="P106" i="2"/>
  <c r="O106" i="2"/>
  <c r="N106" i="2"/>
  <c r="M106" i="2"/>
  <c r="P127" i="2"/>
  <c r="O127" i="2"/>
  <c r="N127" i="2"/>
  <c r="M127" i="2"/>
  <c r="P203" i="2"/>
  <c r="O203" i="2"/>
  <c r="N203" i="2"/>
  <c r="M203" i="2"/>
  <c r="P128" i="2"/>
  <c r="O128" i="2"/>
  <c r="N128" i="2"/>
  <c r="M128" i="2"/>
  <c r="P202" i="2"/>
  <c r="O202" i="2"/>
  <c r="N202" i="2"/>
  <c r="M202" i="2"/>
  <c r="P201" i="2"/>
  <c r="O201" i="2"/>
  <c r="N201" i="2"/>
  <c r="M201" i="2"/>
  <c r="P105" i="2"/>
  <c r="O105" i="2"/>
  <c r="N105" i="2"/>
  <c r="M105" i="2"/>
  <c r="P200" i="2"/>
  <c r="O200" i="2"/>
  <c r="N200" i="2"/>
  <c r="M200" i="2"/>
  <c r="P199" i="2"/>
  <c r="O199" i="2"/>
  <c r="N199" i="2"/>
  <c r="M199" i="2"/>
  <c r="P102" i="2"/>
  <c r="O102" i="2"/>
  <c r="N102" i="2"/>
  <c r="M102" i="2"/>
  <c r="P198" i="2"/>
  <c r="O198" i="2"/>
  <c r="N198" i="2"/>
  <c r="M198" i="2"/>
  <c r="P197" i="2"/>
  <c r="O197" i="2"/>
  <c r="N197" i="2"/>
  <c r="M197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93" i="2"/>
  <c r="O193" i="2"/>
  <c r="N193" i="2"/>
  <c r="M193" i="2"/>
  <c r="P192" i="2"/>
  <c r="O192" i="2"/>
  <c r="N192" i="2"/>
  <c r="M192" i="2"/>
  <c r="P191" i="2"/>
  <c r="O191" i="2"/>
  <c r="N191" i="2"/>
  <c r="M191" i="2"/>
  <c r="P190" i="2"/>
  <c r="O190" i="2"/>
  <c r="N190" i="2"/>
  <c r="M190" i="2"/>
  <c r="P8" i="2"/>
  <c r="O8" i="2"/>
  <c r="N8" i="2"/>
  <c r="M8" i="2"/>
  <c r="P22" i="2"/>
  <c r="O22" i="2"/>
  <c r="N22" i="2"/>
  <c r="M22" i="2"/>
  <c r="P25" i="2"/>
  <c r="O25" i="2"/>
  <c r="N25" i="2"/>
  <c r="M25" i="2"/>
  <c r="P40" i="2"/>
  <c r="O40" i="2"/>
  <c r="N40" i="2"/>
  <c r="M40" i="2"/>
  <c r="P41" i="2"/>
  <c r="O41" i="2"/>
  <c r="N41" i="2"/>
  <c r="M41" i="2"/>
  <c r="P14" i="2"/>
  <c r="O14" i="2"/>
  <c r="N14" i="2"/>
  <c r="M14" i="2"/>
  <c r="P20" i="2"/>
  <c r="O20" i="2"/>
  <c r="N20" i="2"/>
  <c r="M20" i="2"/>
  <c r="P21" i="2"/>
  <c r="O21" i="2"/>
  <c r="N21" i="2"/>
  <c r="M21" i="2"/>
  <c r="P36" i="2"/>
  <c r="O36" i="2"/>
  <c r="N36" i="2"/>
  <c r="M36" i="2"/>
  <c r="P6" i="2"/>
  <c r="O6" i="2"/>
  <c r="N6" i="2"/>
  <c r="M6" i="2"/>
  <c r="P189" i="2"/>
  <c r="O189" i="2"/>
  <c r="N189" i="2"/>
  <c r="M189" i="2"/>
  <c r="P27" i="2"/>
  <c r="O27" i="2"/>
  <c r="N27" i="2"/>
  <c r="M27" i="2"/>
  <c r="P188" i="2"/>
  <c r="O188" i="2"/>
  <c r="N188" i="2"/>
  <c r="M188" i="2"/>
  <c r="P23" i="2"/>
  <c r="O23" i="2"/>
  <c r="N23" i="2"/>
  <c r="M23" i="2"/>
  <c r="P47" i="2"/>
  <c r="O47" i="2"/>
  <c r="N47" i="2"/>
  <c r="M47" i="2"/>
  <c r="P11" i="2"/>
  <c r="O11" i="2"/>
  <c r="N11" i="2"/>
  <c r="M11" i="2"/>
  <c r="P17" i="2"/>
  <c r="O17" i="2"/>
  <c r="N17" i="2"/>
  <c r="M17" i="2"/>
  <c r="P187" i="2"/>
  <c r="O187" i="2"/>
  <c r="N187" i="2"/>
  <c r="M187" i="2"/>
  <c r="P70" i="2"/>
  <c r="O70" i="2"/>
  <c r="N70" i="2"/>
  <c r="M70" i="2"/>
  <c r="P53" i="2"/>
  <c r="O53" i="2"/>
  <c r="N53" i="2"/>
  <c r="M53" i="2"/>
  <c r="P186" i="2"/>
  <c r="O186" i="2"/>
  <c r="N186" i="2"/>
  <c r="M186" i="2"/>
  <c r="P185" i="2"/>
  <c r="O185" i="2"/>
  <c r="N185" i="2"/>
  <c r="M185" i="2"/>
  <c r="P91" i="2"/>
  <c r="O91" i="2"/>
  <c r="N91" i="2"/>
  <c r="M91" i="2"/>
  <c r="P112" i="2"/>
  <c r="O112" i="2"/>
  <c r="N112" i="2"/>
  <c r="M112" i="2"/>
  <c r="P184" i="2"/>
  <c r="O184" i="2"/>
  <c r="N184" i="2"/>
  <c r="M184" i="2"/>
  <c r="P28" i="2"/>
  <c r="O28" i="2"/>
  <c r="N28" i="2"/>
  <c r="M28" i="2"/>
  <c r="P183" i="2"/>
  <c r="O183" i="2"/>
  <c r="N183" i="2"/>
  <c r="M183" i="2"/>
  <c r="P182" i="2"/>
  <c r="O182" i="2"/>
  <c r="N182" i="2"/>
  <c r="M182" i="2"/>
  <c r="P92" i="2"/>
  <c r="O92" i="2"/>
  <c r="N92" i="2"/>
  <c r="M92" i="2"/>
  <c r="P111" i="2"/>
  <c r="O111" i="2"/>
  <c r="N111" i="2"/>
  <c r="M111" i="2"/>
  <c r="P32" i="2"/>
  <c r="O32" i="2"/>
  <c r="N32" i="2"/>
  <c r="M32" i="2"/>
  <c r="P181" i="2"/>
  <c r="O181" i="2"/>
  <c r="N181" i="2"/>
  <c r="M181" i="2"/>
  <c r="P180" i="2"/>
  <c r="O180" i="2"/>
  <c r="N180" i="2"/>
  <c r="M180" i="2"/>
  <c r="P13" i="2"/>
  <c r="O13" i="2"/>
  <c r="N13" i="2"/>
  <c r="M13" i="2"/>
  <c r="P24" i="2"/>
  <c r="O24" i="2"/>
  <c r="N24" i="2"/>
  <c r="M24" i="2"/>
  <c r="P26" i="2"/>
  <c r="O26" i="2"/>
  <c r="N26" i="2"/>
  <c r="M26" i="2"/>
  <c r="P31" i="2"/>
  <c r="O31" i="2"/>
  <c r="N31" i="2"/>
  <c r="M31" i="2"/>
  <c r="P179" i="2"/>
  <c r="O179" i="2"/>
  <c r="N179" i="2"/>
  <c r="M179" i="2"/>
  <c r="P126" i="2"/>
  <c r="O126" i="2"/>
  <c r="N126" i="2"/>
  <c r="M126" i="2"/>
  <c r="P79" i="2"/>
  <c r="O79" i="2"/>
  <c r="N79" i="2"/>
  <c r="M79" i="2"/>
  <c r="P81" i="2"/>
  <c r="O81" i="2"/>
  <c r="N81" i="2"/>
  <c r="M81" i="2"/>
  <c r="P178" i="2"/>
  <c r="O178" i="2"/>
  <c r="N178" i="2"/>
  <c r="M178" i="2"/>
  <c r="P177" i="2"/>
  <c r="O177" i="2"/>
  <c r="N177" i="2"/>
  <c r="M177" i="2"/>
  <c r="P176" i="2"/>
  <c r="O176" i="2"/>
  <c r="N176" i="2"/>
  <c r="M176" i="2"/>
  <c r="P175" i="2"/>
  <c r="O175" i="2"/>
  <c r="N175" i="2"/>
  <c r="M175" i="2"/>
  <c r="P174" i="2"/>
  <c r="O174" i="2"/>
  <c r="N174" i="2"/>
  <c r="M174" i="2"/>
  <c r="P173" i="2"/>
  <c r="O173" i="2"/>
  <c r="N173" i="2"/>
  <c r="M173" i="2"/>
  <c r="P172" i="2"/>
  <c r="O172" i="2"/>
  <c r="N172" i="2"/>
  <c r="M172" i="2"/>
  <c r="P171" i="2"/>
  <c r="O171" i="2"/>
  <c r="N171" i="2"/>
  <c r="M171" i="2"/>
  <c r="P50" i="2"/>
  <c r="O50" i="2"/>
  <c r="N50" i="2"/>
  <c r="M50" i="2"/>
  <c r="P69" i="2"/>
  <c r="O69" i="2"/>
  <c r="N69" i="2"/>
  <c r="M69" i="2"/>
  <c r="P170" i="2"/>
  <c r="O170" i="2"/>
  <c r="N170" i="2"/>
  <c r="M170" i="2"/>
  <c r="P169" i="2"/>
  <c r="O169" i="2"/>
  <c r="N169" i="2"/>
  <c r="M169" i="2"/>
  <c r="P168" i="2"/>
  <c r="O168" i="2"/>
  <c r="N168" i="2"/>
  <c r="M168" i="2"/>
  <c r="P64" i="2"/>
  <c r="O64" i="2"/>
  <c r="N64" i="2"/>
  <c r="M64" i="2"/>
  <c r="P167" i="2"/>
  <c r="O167" i="2"/>
  <c r="N167" i="2"/>
  <c r="M167" i="2"/>
  <c r="P166" i="2"/>
  <c r="O166" i="2"/>
  <c r="N166" i="2"/>
  <c r="M166" i="2"/>
  <c r="P48" i="2"/>
  <c r="O48" i="2"/>
  <c r="N48" i="2"/>
  <c r="M48" i="2"/>
  <c r="P56" i="2"/>
  <c r="O56" i="2"/>
  <c r="N56" i="2"/>
  <c r="M56" i="2"/>
  <c r="P165" i="2"/>
  <c r="O165" i="2"/>
  <c r="N165" i="2"/>
  <c r="M165" i="2"/>
  <c r="P73" i="2"/>
  <c r="O73" i="2"/>
  <c r="N73" i="2"/>
  <c r="M73" i="2"/>
  <c r="P108" i="2"/>
  <c r="O108" i="2"/>
  <c r="N108" i="2"/>
  <c r="M108" i="2"/>
  <c r="P110" i="2"/>
  <c r="O110" i="2"/>
  <c r="N110" i="2"/>
  <c r="M110" i="2"/>
  <c r="P164" i="2"/>
  <c r="O164" i="2"/>
  <c r="N164" i="2"/>
  <c r="M164" i="2"/>
  <c r="P163" i="2"/>
  <c r="O163" i="2"/>
  <c r="N163" i="2"/>
  <c r="M163" i="2"/>
  <c r="P162" i="2"/>
  <c r="O162" i="2"/>
  <c r="N162" i="2"/>
  <c r="M162" i="2"/>
  <c r="P109" i="2"/>
  <c r="O109" i="2"/>
  <c r="N109" i="2"/>
  <c r="M109" i="2"/>
  <c r="P161" i="2"/>
  <c r="O161" i="2"/>
  <c r="N161" i="2"/>
  <c r="M161" i="2"/>
  <c r="P90" i="2"/>
  <c r="O90" i="2"/>
  <c r="N90" i="2"/>
  <c r="M90" i="2"/>
  <c r="P113" i="2"/>
  <c r="O113" i="2"/>
  <c r="N113" i="2"/>
  <c r="M113" i="2"/>
  <c r="P121" i="2"/>
  <c r="O121" i="2"/>
  <c r="N121" i="2"/>
  <c r="M121" i="2"/>
  <c r="P160" i="2"/>
  <c r="O160" i="2"/>
  <c r="N160" i="2"/>
  <c r="M160" i="2"/>
  <c r="P159" i="2"/>
  <c r="O159" i="2"/>
  <c r="N159" i="2"/>
  <c r="M159" i="2"/>
  <c r="P158" i="2"/>
  <c r="O158" i="2"/>
  <c r="N158" i="2"/>
  <c r="M158" i="2"/>
  <c r="P96" i="2"/>
  <c r="O96" i="2"/>
  <c r="N96" i="2"/>
  <c r="M96" i="2"/>
  <c r="P157" i="2"/>
  <c r="O157" i="2"/>
  <c r="N157" i="2"/>
  <c r="M157" i="2"/>
  <c r="P156" i="2"/>
  <c r="O156" i="2"/>
  <c r="N156" i="2"/>
  <c r="M156" i="2"/>
  <c r="P71" i="2"/>
  <c r="O71" i="2"/>
  <c r="N71" i="2"/>
  <c r="M71" i="2"/>
  <c r="P101" i="2"/>
  <c r="O101" i="2"/>
  <c r="N101" i="2"/>
  <c r="M101" i="2"/>
  <c r="P95" i="2"/>
  <c r="O95" i="2"/>
  <c r="N95" i="2"/>
  <c r="M95" i="2"/>
  <c r="P155" i="2"/>
  <c r="O155" i="2"/>
  <c r="N155" i="2"/>
  <c r="M155" i="2"/>
  <c r="P154" i="2"/>
  <c r="O154" i="2"/>
  <c r="N154" i="2"/>
  <c r="M154" i="2"/>
  <c r="P78" i="2"/>
  <c r="O78" i="2"/>
  <c r="N78" i="2"/>
  <c r="M78" i="2"/>
  <c r="P85" i="2"/>
  <c r="O85" i="2"/>
  <c r="N85" i="2"/>
  <c r="M85" i="2"/>
  <c r="P153" i="2"/>
  <c r="O153" i="2"/>
  <c r="N153" i="2"/>
  <c r="M153" i="2"/>
  <c r="P152" i="2"/>
  <c r="O152" i="2"/>
  <c r="N152" i="2"/>
  <c r="M152" i="2"/>
  <c r="P151" i="2"/>
  <c r="O151" i="2"/>
  <c r="N151" i="2"/>
  <c r="M151" i="2"/>
  <c r="P59" i="2"/>
  <c r="O59" i="2"/>
  <c r="N59" i="2"/>
  <c r="M59" i="2"/>
  <c r="P39" i="2"/>
  <c r="O39" i="2"/>
  <c r="N39" i="2"/>
  <c r="M39" i="2"/>
  <c r="P150" i="2"/>
  <c r="O150" i="2"/>
  <c r="N150" i="2"/>
  <c r="M150" i="2"/>
  <c r="P72" i="2"/>
  <c r="O72" i="2"/>
  <c r="N72" i="2"/>
  <c r="M72" i="2"/>
  <c r="P49" i="2"/>
  <c r="O49" i="2"/>
  <c r="N49" i="2"/>
  <c r="M49" i="2"/>
  <c r="P58" i="2"/>
  <c r="O58" i="2"/>
  <c r="N58" i="2"/>
  <c r="M58" i="2"/>
  <c r="P61" i="2"/>
  <c r="O61" i="2"/>
  <c r="N61" i="2"/>
  <c r="M61" i="2"/>
  <c r="P68" i="2"/>
  <c r="O68" i="2"/>
  <c r="N68" i="2"/>
  <c r="M68" i="2"/>
  <c r="P89" i="2"/>
  <c r="O89" i="2"/>
  <c r="N89" i="2"/>
  <c r="M89" i="2"/>
  <c r="P75" i="2"/>
  <c r="O75" i="2"/>
  <c r="N75" i="2"/>
  <c r="M75" i="2"/>
  <c r="P83" i="2"/>
  <c r="O83" i="2"/>
  <c r="N83" i="2"/>
  <c r="M83" i="2"/>
  <c r="P65" i="2"/>
  <c r="O65" i="2"/>
  <c r="N65" i="2"/>
  <c r="M65" i="2"/>
  <c r="P149" i="2"/>
  <c r="O149" i="2"/>
  <c r="N149" i="2"/>
  <c r="M149" i="2"/>
  <c r="P148" i="2"/>
  <c r="O148" i="2"/>
  <c r="N148" i="2"/>
  <c r="M148" i="2"/>
  <c r="P77" i="2"/>
  <c r="O77" i="2"/>
  <c r="N77" i="2"/>
  <c r="M77" i="2"/>
  <c r="P93" i="2"/>
  <c r="O93" i="2"/>
  <c r="N93" i="2"/>
  <c r="M93" i="2"/>
  <c r="P147" i="2"/>
  <c r="O147" i="2"/>
  <c r="N147" i="2"/>
  <c r="M147" i="2"/>
  <c r="P146" i="2"/>
  <c r="O146" i="2"/>
  <c r="N146" i="2"/>
  <c r="M146" i="2"/>
  <c r="P145" i="2"/>
  <c r="O145" i="2"/>
  <c r="N145" i="2"/>
  <c r="M145" i="2"/>
  <c r="P87" i="2"/>
  <c r="O87" i="2"/>
  <c r="N87" i="2"/>
  <c r="M87" i="2"/>
  <c r="P144" i="2"/>
  <c r="O144" i="2"/>
  <c r="N144" i="2"/>
  <c r="M144" i="2"/>
  <c r="P143" i="2"/>
  <c r="O143" i="2"/>
  <c r="N143" i="2"/>
  <c r="M143" i="2"/>
  <c r="P142" i="2"/>
  <c r="O142" i="2"/>
  <c r="N142" i="2"/>
  <c r="M142" i="2"/>
  <c r="P141" i="2"/>
  <c r="O141" i="2"/>
  <c r="N141" i="2"/>
  <c r="M141" i="2"/>
  <c r="P140" i="2"/>
  <c r="O140" i="2"/>
  <c r="N140" i="2"/>
  <c r="M140" i="2"/>
  <c r="P74" i="2"/>
  <c r="O74" i="2"/>
  <c r="N74" i="2"/>
  <c r="M74" i="2"/>
  <c r="P139" i="2"/>
  <c r="O139" i="2"/>
  <c r="N139" i="2"/>
  <c r="M139" i="2"/>
  <c r="P104" i="2"/>
  <c r="O104" i="2"/>
  <c r="N104" i="2"/>
  <c r="M104" i="2"/>
  <c r="P138" i="2"/>
  <c r="O138" i="2"/>
  <c r="N138" i="2"/>
  <c r="M138" i="2"/>
  <c r="P63" i="2"/>
  <c r="O63" i="2"/>
  <c r="N63" i="2"/>
  <c r="M63" i="2"/>
  <c r="P100" i="2"/>
  <c r="O100" i="2"/>
  <c r="N100" i="2"/>
  <c r="M100" i="2"/>
  <c r="P55" i="2"/>
  <c r="O55" i="2"/>
  <c r="N55" i="2"/>
  <c r="M55" i="2"/>
  <c r="P119" i="2"/>
  <c r="O119" i="2"/>
  <c r="N119" i="2"/>
  <c r="M119" i="2"/>
  <c r="P123" i="2"/>
  <c r="O123" i="2"/>
  <c r="N123" i="2"/>
  <c r="M123" i="2"/>
  <c r="P137" i="2"/>
  <c r="O137" i="2"/>
  <c r="N137" i="2"/>
  <c r="M137" i="2"/>
  <c r="P136" i="2"/>
  <c r="O136" i="2"/>
  <c r="N136" i="2"/>
  <c r="M136" i="2"/>
  <c r="P135" i="2"/>
  <c r="O135" i="2"/>
  <c r="N135" i="2"/>
  <c r="M135" i="2"/>
  <c r="P134" i="2"/>
  <c r="O134" i="2"/>
  <c r="N134" i="2"/>
  <c r="M134" i="2"/>
  <c r="P133" i="2"/>
  <c r="O133" i="2"/>
  <c r="N133" i="2"/>
  <c r="M133" i="2"/>
  <c r="P82" i="2"/>
  <c r="O82" i="2"/>
  <c r="N82" i="2"/>
  <c r="M82" i="2"/>
  <c r="P132" i="2"/>
  <c r="O132" i="2"/>
  <c r="N132" i="2"/>
  <c r="M132" i="2"/>
  <c r="P131" i="2"/>
  <c r="O131" i="2"/>
  <c r="N131" i="2"/>
  <c r="M131" i="2"/>
  <c r="P80" i="2"/>
  <c r="O80" i="2"/>
  <c r="N80" i="2"/>
  <c r="M80" i="2"/>
  <c r="P115" i="2"/>
  <c r="O115" i="2"/>
  <c r="N115" i="2"/>
  <c r="M115" i="2"/>
  <c r="P124" i="2"/>
  <c r="O124" i="2"/>
  <c r="N124" i="2"/>
  <c r="M124" i="2"/>
  <c r="P43" i="2"/>
  <c r="O43" i="2"/>
  <c r="N43" i="2"/>
  <c r="M43" i="2"/>
  <c r="P86" i="2"/>
  <c r="O86" i="2"/>
  <c r="N86" i="2"/>
  <c r="M86" i="2"/>
  <c r="P130" i="2"/>
  <c r="O130" i="2"/>
  <c r="N130" i="2"/>
  <c r="M130" i="2"/>
  <c r="P129" i="2"/>
  <c r="O129" i="2"/>
  <c r="N129" i="2"/>
  <c r="M129" i="2"/>
  <c r="AU6" i="27" l="1"/>
  <c r="AR6" i="27"/>
  <c r="AP6" i="27"/>
  <c r="AI6" i="27"/>
  <c r="AH6" i="27"/>
  <c r="AF6" i="27"/>
  <c r="AE6" i="27"/>
  <c r="AD6" i="27"/>
  <c r="AB6" i="27"/>
  <c r="AA6" i="27"/>
  <c r="Z6" i="27"/>
  <c r="Y6" i="27"/>
  <c r="X6" i="27"/>
  <c r="W6" i="27"/>
  <c r="P6" i="27"/>
  <c r="O6" i="27"/>
  <c r="AQ6" i="27" s="1"/>
  <c r="N6" i="27"/>
  <c r="AO6" i="27" s="1"/>
  <c r="AV6" i="27" s="1"/>
  <c r="M6" i="27"/>
  <c r="AI5" i="27"/>
  <c r="AH5" i="27"/>
  <c r="W5" i="27"/>
  <c r="AI4" i="27"/>
  <c r="AO3" i="27"/>
  <c r="AI3" i="27"/>
  <c r="AH3" i="27"/>
  <c r="AN2" i="27"/>
  <c r="AM2" i="27"/>
  <c r="AL2" i="27"/>
  <c r="AK2" i="27"/>
  <c r="AJ2" i="27"/>
  <c r="AA2" i="27"/>
  <c r="A2" i="27"/>
  <c r="AU1" i="27"/>
  <c r="AU3" i="27" s="1"/>
  <c r="AR1" i="27"/>
  <c r="AR3" i="27" s="1"/>
  <c r="AQ1" i="27"/>
  <c r="AQ3" i="27" s="1"/>
  <c r="AP1" i="27"/>
  <c r="AP3" i="27" s="1"/>
  <c r="AO1" i="27"/>
  <c r="AA1" i="27"/>
  <c r="A1" i="27"/>
  <c r="AJ1" i="27" s="1"/>
  <c r="AT65" i="26"/>
  <c r="AP65" i="26"/>
  <c r="AI65" i="26"/>
  <c r="AH65" i="26"/>
  <c r="AF65" i="26"/>
  <c r="AE65" i="26"/>
  <c r="AC65" i="26"/>
  <c r="AA65" i="26"/>
  <c r="Z65" i="26"/>
  <c r="Y65" i="26"/>
  <c r="X65" i="26"/>
  <c r="W65" i="26"/>
  <c r="P65" i="26"/>
  <c r="O65" i="26"/>
  <c r="AD65" i="26" s="1"/>
  <c r="N65" i="26"/>
  <c r="AO65" i="26" s="1"/>
  <c r="AV65" i="26" s="1"/>
  <c r="M65" i="26"/>
  <c r="AI64" i="26"/>
  <c r="AH64" i="26"/>
  <c r="W64" i="26"/>
  <c r="AT63" i="26"/>
  <c r="AP63" i="26"/>
  <c r="AO63" i="26"/>
  <c r="AV63" i="26" s="1"/>
  <c r="AI63" i="26"/>
  <c r="AH63" i="26"/>
  <c r="AF63" i="26"/>
  <c r="AE63" i="26"/>
  <c r="AA63" i="26"/>
  <c r="Z63" i="26"/>
  <c r="Y63" i="26"/>
  <c r="X63" i="26"/>
  <c r="W63" i="26"/>
  <c r="P63" i="26"/>
  <c r="O63" i="26"/>
  <c r="N63" i="26"/>
  <c r="AC63" i="26" s="1"/>
  <c r="M63" i="26"/>
  <c r="AP62" i="26"/>
  <c r="AI62" i="26"/>
  <c r="AT62" i="26" s="1"/>
  <c r="AH62" i="26"/>
  <c r="AF62" i="26"/>
  <c r="AE62" i="26"/>
  <c r="AB62" i="26"/>
  <c r="AA62" i="26"/>
  <c r="Z62" i="26"/>
  <c r="Y62" i="26"/>
  <c r="X62" i="26"/>
  <c r="W62" i="26"/>
  <c r="P62" i="26"/>
  <c r="O62" i="26"/>
  <c r="N62" i="26"/>
  <c r="M62" i="26"/>
  <c r="AT61" i="26"/>
  <c r="AQ61" i="26"/>
  <c r="AP61" i="26"/>
  <c r="AI61" i="26"/>
  <c r="AH61" i="26"/>
  <c r="AF61" i="26"/>
  <c r="AE61" i="26"/>
  <c r="AC61" i="26"/>
  <c r="AB61" i="26"/>
  <c r="AA61" i="26"/>
  <c r="Z61" i="26"/>
  <c r="Y61" i="26"/>
  <c r="X61" i="26"/>
  <c r="W61" i="26"/>
  <c r="P61" i="26"/>
  <c r="O61" i="26"/>
  <c r="AD61" i="26" s="1"/>
  <c r="N61" i="26"/>
  <c r="AO61" i="26" s="1"/>
  <c r="AV61" i="26" s="1"/>
  <c r="M61" i="26"/>
  <c r="AP60" i="26"/>
  <c r="AI60" i="26"/>
  <c r="AH60" i="26"/>
  <c r="AF60" i="26"/>
  <c r="AE60" i="26"/>
  <c r="AD60" i="26"/>
  <c r="AB60" i="26"/>
  <c r="AA60" i="26"/>
  <c r="Z60" i="26"/>
  <c r="Y60" i="26"/>
  <c r="X60" i="26"/>
  <c r="W60" i="26"/>
  <c r="P60" i="26"/>
  <c r="O60" i="26"/>
  <c r="N60" i="26"/>
  <c r="AO60" i="26" s="1"/>
  <c r="AV60" i="26" s="1"/>
  <c r="M60" i="26"/>
  <c r="AT59" i="26"/>
  <c r="AP59" i="26"/>
  <c r="AO59" i="26"/>
  <c r="AV59" i="26" s="1"/>
  <c r="AI59" i="26"/>
  <c r="AH59" i="26"/>
  <c r="AF59" i="26"/>
  <c r="AE59" i="26"/>
  <c r="AC59" i="26"/>
  <c r="AA59" i="26"/>
  <c r="Z59" i="26"/>
  <c r="Y59" i="26"/>
  <c r="X59" i="26"/>
  <c r="W59" i="26"/>
  <c r="P59" i="26"/>
  <c r="O59" i="26"/>
  <c r="AD59" i="26" s="1"/>
  <c r="N59" i="26"/>
  <c r="M59" i="26"/>
  <c r="AP58" i="26"/>
  <c r="AN58" i="26"/>
  <c r="AI58" i="26"/>
  <c r="AT58" i="26" s="1"/>
  <c r="AH58" i="26"/>
  <c r="AF58" i="26"/>
  <c r="AE58" i="26"/>
  <c r="AD58" i="26"/>
  <c r="AA58" i="26"/>
  <c r="Z58" i="26"/>
  <c r="Y58" i="26"/>
  <c r="X58" i="26"/>
  <c r="W58" i="26"/>
  <c r="P58" i="26"/>
  <c r="O58" i="26"/>
  <c r="N58" i="26"/>
  <c r="AO58" i="26" s="1"/>
  <c r="AV58" i="26" s="1"/>
  <c r="M58" i="26"/>
  <c r="AT57" i="26"/>
  <c r="AP57" i="26"/>
  <c r="AO57" i="26"/>
  <c r="AV57" i="26" s="1"/>
  <c r="AI57" i="26"/>
  <c r="AH57" i="26"/>
  <c r="AF57" i="26"/>
  <c r="AE57" i="26"/>
  <c r="AA57" i="26"/>
  <c r="Z57" i="26"/>
  <c r="Y57" i="26"/>
  <c r="X57" i="26"/>
  <c r="W57" i="26"/>
  <c r="P57" i="26"/>
  <c r="O57" i="26"/>
  <c r="N57" i="26"/>
  <c r="AC57" i="26" s="1"/>
  <c r="M57" i="26"/>
  <c r="AI56" i="26"/>
  <c r="AH56" i="26"/>
  <c r="W56" i="26"/>
  <c r="AT55" i="26"/>
  <c r="AJ55" i="26"/>
  <c r="AI55" i="26"/>
  <c r="AH55" i="26"/>
  <c r="AF55" i="26"/>
  <c r="AE55" i="26"/>
  <c r="AC55" i="26"/>
  <c r="AA55" i="26"/>
  <c r="Z55" i="26"/>
  <c r="Y55" i="26"/>
  <c r="X55" i="26"/>
  <c r="W55" i="26"/>
  <c r="P55" i="26"/>
  <c r="O55" i="26"/>
  <c r="AD55" i="26" s="1"/>
  <c r="N55" i="26"/>
  <c r="M55" i="26"/>
  <c r="AP54" i="26"/>
  <c r="AI54" i="26"/>
  <c r="AT54" i="26" s="1"/>
  <c r="AH54" i="26"/>
  <c r="AF54" i="26"/>
  <c r="AE54" i="26"/>
  <c r="AD54" i="26"/>
  <c r="AA54" i="26"/>
  <c r="Z54" i="26"/>
  <c r="Y54" i="26"/>
  <c r="X54" i="26"/>
  <c r="W54" i="26"/>
  <c r="P54" i="26"/>
  <c r="O54" i="26"/>
  <c r="N54" i="26"/>
  <c r="AO54" i="26" s="1"/>
  <c r="AV54" i="26" s="1"/>
  <c r="M54" i="26"/>
  <c r="AT53" i="26"/>
  <c r="AO53" i="26"/>
  <c r="AI53" i="26"/>
  <c r="AH53" i="26"/>
  <c r="AF53" i="26"/>
  <c r="AE53" i="26"/>
  <c r="AA53" i="26"/>
  <c r="Z53" i="26"/>
  <c r="Y53" i="26"/>
  <c r="X53" i="26"/>
  <c r="W53" i="26"/>
  <c r="P53" i="26"/>
  <c r="O53" i="26"/>
  <c r="N53" i="26"/>
  <c r="AC53" i="26" s="1"/>
  <c r="M53" i="26"/>
  <c r="AI52" i="26"/>
  <c r="AH52" i="26"/>
  <c r="W52" i="26"/>
  <c r="AT51" i="26"/>
  <c r="AI51" i="26"/>
  <c r="AH51" i="26"/>
  <c r="AF51" i="26"/>
  <c r="AE51" i="26"/>
  <c r="AC51" i="26"/>
  <c r="AA51" i="26"/>
  <c r="Z51" i="26"/>
  <c r="Y51" i="26"/>
  <c r="X51" i="26"/>
  <c r="W51" i="26"/>
  <c r="P51" i="26"/>
  <c r="O51" i="26"/>
  <c r="AD51" i="26" s="1"/>
  <c r="N51" i="26"/>
  <c r="M51" i="26"/>
  <c r="AI50" i="26"/>
  <c r="AT50" i="26" s="1"/>
  <c r="AH50" i="26"/>
  <c r="AF50" i="26"/>
  <c r="AE50" i="26"/>
  <c r="AD50" i="26"/>
  <c r="AA50" i="26"/>
  <c r="Z50" i="26"/>
  <c r="Y50" i="26"/>
  <c r="X50" i="26"/>
  <c r="W50" i="26"/>
  <c r="P50" i="26"/>
  <c r="O50" i="26"/>
  <c r="N50" i="26"/>
  <c r="AO50" i="26" s="1"/>
  <c r="M50" i="26"/>
  <c r="AI49" i="26"/>
  <c r="AH49" i="26"/>
  <c r="W49" i="26"/>
  <c r="AI48" i="26"/>
  <c r="AH48" i="26"/>
  <c r="AF48" i="26"/>
  <c r="AE48" i="26"/>
  <c r="AD48" i="26"/>
  <c r="AB48" i="26"/>
  <c r="AA48" i="26"/>
  <c r="Z48" i="26"/>
  <c r="Y48" i="26"/>
  <c r="X48" i="26"/>
  <c r="W48" i="26"/>
  <c r="P48" i="26"/>
  <c r="O48" i="26"/>
  <c r="N48" i="26"/>
  <c r="AO48" i="26" s="1"/>
  <c r="M48" i="26"/>
  <c r="AT47" i="26"/>
  <c r="AI47" i="26"/>
  <c r="AH47" i="26"/>
  <c r="AF47" i="26"/>
  <c r="AE47" i="26"/>
  <c r="AC47" i="26"/>
  <c r="AA47" i="26"/>
  <c r="Z47" i="26"/>
  <c r="Y47" i="26"/>
  <c r="X47" i="26"/>
  <c r="W47" i="26"/>
  <c r="P47" i="26"/>
  <c r="O47" i="26"/>
  <c r="AD47" i="26" s="1"/>
  <c r="N47" i="26"/>
  <c r="M47" i="26"/>
  <c r="AI46" i="26"/>
  <c r="AH46" i="26"/>
  <c r="W46" i="26"/>
  <c r="AT45" i="26"/>
  <c r="AP45" i="26"/>
  <c r="AO45" i="26"/>
  <c r="AV45" i="26" s="1"/>
  <c r="AI45" i="26"/>
  <c r="AH45" i="26"/>
  <c r="AF45" i="26"/>
  <c r="AE45" i="26"/>
  <c r="AC45" i="26"/>
  <c r="AA45" i="26"/>
  <c r="Z45" i="26"/>
  <c r="Y45" i="26"/>
  <c r="X45" i="26"/>
  <c r="W45" i="26"/>
  <c r="P45" i="26"/>
  <c r="O45" i="26"/>
  <c r="AD45" i="26" s="1"/>
  <c r="N45" i="26"/>
  <c r="M45" i="26"/>
  <c r="AP44" i="26"/>
  <c r="AI44" i="26"/>
  <c r="AH44" i="26"/>
  <c r="AF44" i="26"/>
  <c r="AE44" i="26"/>
  <c r="AD44" i="26"/>
  <c r="AB44" i="26"/>
  <c r="AA44" i="26"/>
  <c r="Z44" i="26"/>
  <c r="Y44" i="26"/>
  <c r="X44" i="26"/>
  <c r="W44" i="26"/>
  <c r="P44" i="26"/>
  <c r="O44" i="26"/>
  <c r="N44" i="26"/>
  <c r="AO44" i="26" s="1"/>
  <c r="AV44" i="26" s="1"/>
  <c r="M44" i="26"/>
  <c r="AT43" i="26"/>
  <c r="AP43" i="26"/>
  <c r="AO43" i="26"/>
  <c r="AV43" i="26" s="1"/>
  <c r="AJ43" i="26"/>
  <c r="AI43" i="26"/>
  <c r="AN43" i="26" s="1"/>
  <c r="AH43" i="26"/>
  <c r="AF43" i="26"/>
  <c r="AE43" i="26"/>
  <c r="AC43" i="26"/>
  <c r="AA43" i="26"/>
  <c r="Z43" i="26"/>
  <c r="Y43" i="26"/>
  <c r="X43" i="26"/>
  <c r="W43" i="26"/>
  <c r="P43" i="26"/>
  <c r="O43" i="26"/>
  <c r="AD43" i="26" s="1"/>
  <c r="N43" i="26"/>
  <c r="M43" i="26"/>
  <c r="AP42" i="26"/>
  <c r="AI42" i="26"/>
  <c r="AT42" i="26" s="1"/>
  <c r="AH42" i="26"/>
  <c r="AF42" i="26"/>
  <c r="AE42" i="26"/>
  <c r="AD42" i="26"/>
  <c r="AB42" i="26"/>
  <c r="AA42" i="26"/>
  <c r="Z42" i="26"/>
  <c r="Y42" i="26"/>
  <c r="X42" i="26"/>
  <c r="W42" i="26"/>
  <c r="P42" i="26"/>
  <c r="O42" i="26"/>
  <c r="N42" i="26"/>
  <c r="AO42" i="26" s="1"/>
  <c r="AV42" i="26" s="1"/>
  <c r="M42" i="26"/>
  <c r="AV41" i="26"/>
  <c r="AT41" i="26"/>
  <c r="AP41" i="26"/>
  <c r="AO41" i="26"/>
  <c r="AI41" i="26"/>
  <c r="AN41" i="26" s="1"/>
  <c r="AH41" i="26"/>
  <c r="AF41" i="26"/>
  <c r="AE41" i="26"/>
  <c r="AC41" i="26"/>
  <c r="AA41" i="26"/>
  <c r="Z41" i="26"/>
  <c r="Y41" i="26"/>
  <c r="X41" i="26"/>
  <c r="W41" i="26"/>
  <c r="P41" i="26"/>
  <c r="O41" i="26"/>
  <c r="N41" i="26"/>
  <c r="M41" i="26"/>
  <c r="AP40" i="26"/>
  <c r="AI40" i="26"/>
  <c r="AT40" i="26" s="1"/>
  <c r="AH40" i="26"/>
  <c r="AF40" i="26"/>
  <c r="AE40" i="26"/>
  <c r="AD40" i="26"/>
  <c r="AB40" i="26"/>
  <c r="AA40" i="26"/>
  <c r="Z40" i="26"/>
  <c r="Y40" i="26"/>
  <c r="X40" i="26"/>
  <c r="W40" i="26"/>
  <c r="P40" i="26"/>
  <c r="O40" i="26"/>
  <c r="N40" i="26"/>
  <c r="M40" i="26"/>
  <c r="AT39" i="26"/>
  <c r="AP39" i="26"/>
  <c r="AO39" i="26"/>
  <c r="AV39" i="26" s="1"/>
  <c r="AI39" i="26"/>
  <c r="AN39" i="26" s="1"/>
  <c r="AH39" i="26"/>
  <c r="AF39" i="26"/>
  <c r="AE39" i="26"/>
  <c r="AC39" i="26"/>
  <c r="AA39" i="26"/>
  <c r="Z39" i="26"/>
  <c r="Y39" i="26"/>
  <c r="X39" i="26"/>
  <c r="W39" i="26"/>
  <c r="P39" i="26"/>
  <c r="O39" i="26"/>
  <c r="AD39" i="26" s="1"/>
  <c r="N39" i="26"/>
  <c r="M39" i="26"/>
  <c r="AI38" i="26"/>
  <c r="AH38" i="26"/>
  <c r="W38" i="26"/>
  <c r="AT37" i="26"/>
  <c r="AP37" i="26"/>
  <c r="AO37" i="26"/>
  <c r="AV37" i="26" s="1"/>
  <c r="AI37" i="26"/>
  <c r="AH37" i="26"/>
  <c r="AF37" i="26"/>
  <c r="AE37" i="26"/>
  <c r="AC37" i="26"/>
  <c r="AA37" i="26"/>
  <c r="Z37" i="26"/>
  <c r="Y37" i="26"/>
  <c r="X37" i="26"/>
  <c r="W37" i="26"/>
  <c r="P37" i="26"/>
  <c r="O37" i="26"/>
  <c r="AD37" i="26" s="1"/>
  <c r="N37" i="26"/>
  <c r="M37" i="26"/>
  <c r="AP36" i="26"/>
  <c r="AI36" i="26"/>
  <c r="AH36" i="26"/>
  <c r="AF36" i="26"/>
  <c r="AE36" i="26"/>
  <c r="AD36" i="26"/>
  <c r="AB36" i="26"/>
  <c r="AA36" i="26"/>
  <c r="Z36" i="26"/>
  <c r="Y36" i="26"/>
  <c r="X36" i="26"/>
  <c r="W36" i="26"/>
  <c r="P36" i="26"/>
  <c r="O36" i="26"/>
  <c r="N36" i="26"/>
  <c r="M36" i="26"/>
  <c r="AI35" i="26"/>
  <c r="AH35" i="26"/>
  <c r="W35" i="26"/>
  <c r="AP34" i="26"/>
  <c r="AN34" i="26"/>
  <c r="AI34" i="26"/>
  <c r="AT34" i="26" s="1"/>
  <c r="AH34" i="26"/>
  <c r="AF34" i="26"/>
  <c r="AE34" i="26"/>
  <c r="AD34" i="26"/>
  <c r="AB34" i="26"/>
  <c r="AA34" i="26"/>
  <c r="Z34" i="26"/>
  <c r="Y34" i="26"/>
  <c r="X34" i="26"/>
  <c r="W34" i="26"/>
  <c r="P34" i="26"/>
  <c r="O34" i="26"/>
  <c r="N34" i="26"/>
  <c r="M34" i="26"/>
  <c r="AT33" i="26"/>
  <c r="AI33" i="26"/>
  <c r="AH33" i="26"/>
  <c r="AF33" i="26"/>
  <c r="AE33" i="26"/>
  <c r="AC33" i="26"/>
  <c r="AA33" i="26"/>
  <c r="Z33" i="26"/>
  <c r="Y33" i="26"/>
  <c r="X33" i="26"/>
  <c r="W33" i="26"/>
  <c r="P33" i="26"/>
  <c r="O33" i="26"/>
  <c r="AD33" i="26" s="1"/>
  <c r="N33" i="26"/>
  <c r="M33" i="26"/>
  <c r="AI32" i="26"/>
  <c r="AH32" i="26"/>
  <c r="AF32" i="26"/>
  <c r="AE32" i="26"/>
  <c r="AD32" i="26"/>
  <c r="AB32" i="26"/>
  <c r="AA32" i="26"/>
  <c r="Z32" i="26"/>
  <c r="Y32" i="26"/>
  <c r="X32" i="26"/>
  <c r="W32" i="26"/>
  <c r="P32" i="26"/>
  <c r="O32" i="26"/>
  <c r="AQ32" i="26" s="1"/>
  <c r="N32" i="26"/>
  <c r="M32" i="26"/>
  <c r="AT31" i="26"/>
  <c r="AI31" i="26"/>
  <c r="AN31" i="26" s="1"/>
  <c r="AH31" i="26"/>
  <c r="AF31" i="26"/>
  <c r="AE31" i="26"/>
  <c r="AC31" i="26"/>
  <c r="AA31" i="26"/>
  <c r="Z31" i="26"/>
  <c r="Y31" i="26"/>
  <c r="X31" i="26"/>
  <c r="W31" i="26"/>
  <c r="P31" i="26"/>
  <c r="O31" i="26"/>
  <c r="AD31" i="26" s="1"/>
  <c r="N31" i="26"/>
  <c r="M31" i="26"/>
  <c r="AN30" i="26"/>
  <c r="AI30" i="26"/>
  <c r="AH30" i="26"/>
  <c r="AF30" i="26"/>
  <c r="AE30" i="26"/>
  <c r="AD30" i="26"/>
  <c r="AB30" i="26"/>
  <c r="AA30" i="26"/>
  <c r="Z30" i="26"/>
  <c r="Y30" i="26"/>
  <c r="X30" i="26"/>
  <c r="W30" i="26"/>
  <c r="P30" i="26"/>
  <c r="O30" i="26"/>
  <c r="N30" i="26"/>
  <c r="AO30" i="26" s="1"/>
  <c r="M30" i="26"/>
  <c r="AT29" i="26"/>
  <c r="AO29" i="26"/>
  <c r="AI29" i="26"/>
  <c r="AH29" i="26"/>
  <c r="AF29" i="26"/>
  <c r="AE29" i="26"/>
  <c r="AC29" i="26"/>
  <c r="AA29" i="26"/>
  <c r="Z29" i="26"/>
  <c r="Y29" i="26"/>
  <c r="X29" i="26"/>
  <c r="W29" i="26"/>
  <c r="P29" i="26"/>
  <c r="O29" i="26"/>
  <c r="AD29" i="26" s="1"/>
  <c r="N29" i="26"/>
  <c r="M29" i="26"/>
  <c r="AI28" i="26"/>
  <c r="AH28" i="26"/>
  <c r="W28" i="26"/>
  <c r="AT27" i="26"/>
  <c r="AP27" i="26"/>
  <c r="AO27" i="26"/>
  <c r="AV27" i="26" s="1"/>
  <c r="AJ27" i="26"/>
  <c r="AI27" i="26"/>
  <c r="AN27" i="26" s="1"/>
  <c r="AH27" i="26"/>
  <c r="AF27" i="26"/>
  <c r="AE27" i="26"/>
  <c r="AC27" i="26"/>
  <c r="AA27" i="26"/>
  <c r="Z27" i="26"/>
  <c r="Y27" i="26"/>
  <c r="X27" i="26"/>
  <c r="W27" i="26"/>
  <c r="P27" i="26"/>
  <c r="O27" i="26"/>
  <c r="AD27" i="26" s="1"/>
  <c r="N27" i="26"/>
  <c r="M27" i="26"/>
  <c r="AI26" i="26"/>
  <c r="AH26" i="26"/>
  <c r="W26" i="26"/>
  <c r="AV25" i="26"/>
  <c r="AT25" i="26"/>
  <c r="AP25" i="26"/>
  <c r="AO25" i="26"/>
  <c r="AI25" i="26"/>
  <c r="AH25" i="26"/>
  <c r="AF25" i="26"/>
  <c r="AE25" i="26"/>
  <c r="AC25" i="26"/>
  <c r="AA25" i="26"/>
  <c r="Z25" i="26"/>
  <c r="Y25" i="26"/>
  <c r="X25" i="26"/>
  <c r="W25" i="26"/>
  <c r="P25" i="26"/>
  <c r="O25" i="26"/>
  <c r="AD25" i="26" s="1"/>
  <c r="N25" i="26"/>
  <c r="M25" i="26"/>
  <c r="AI24" i="26"/>
  <c r="AH24" i="26"/>
  <c r="AF24" i="26"/>
  <c r="AE24" i="26"/>
  <c r="AD24" i="26"/>
  <c r="AB24" i="26"/>
  <c r="AA24" i="26"/>
  <c r="Z24" i="26"/>
  <c r="Y24" i="26"/>
  <c r="X24" i="26"/>
  <c r="W24" i="26"/>
  <c r="P24" i="26"/>
  <c r="O24" i="26"/>
  <c r="N24" i="26"/>
  <c r="M24" i="26"/>
  <c r="AT23" i="26"/>
  <c r="AP23" i="26"/>
  <c r="AO23" i="26"/>
  <c r="AV23" i="26" s="1"/>
  <c r="AJ23" i="26"/>
  <c r="AI23" i="26"/>
  <c r="AH23" i="26"/>
  <c r="AF23" i="26"/>
  <c r="AE23" i="26"/>
  <c r="AC23" i="26"/>
  <c r="AA23" i="26"/>
  <c r="Z23" i="26"/>
  <c r="Y23" i="26"/>
  <c r="X23" i="26"/>
  <c r="W23" i="26"/>
  <c r="P23" i="26"/>
  <c r="O23" i="26"/>
  <c r="AD23" i="26" s="1"/>
  <c r="N23" i="26"/>
  <c r="M23" i="26"/>
  <c r="AN22" i="26"/>
  <c r="AI22" i="26"/>
  <c r="AH22" i="26"/>
  <c r="AF22" i="26"/>
  <c r="AE22" i="26"/>
  <c r="AD22" i="26"/>
  <c r="AB22" i="26"/>
  <c r="AA22" i="26"/>
  <c r="Z22" i="26"/>
  <c r="Y22" i="26"/>
  <c r="X22" i="26"/>
  <c r="W22" i="26"/>
  <c r="P22" i="26"/>
  <c r="O22" i="26"/>
  <c r="N22" i="26"/>
  <c r="M22" i="26"/>
  <c r="AI21" i="26"/>
  <c r="AH21" i="26"/>
  <c r="W21" i="26"/>
  <c r="AN20" i="26"/>
  <c r="AI20" i="26"/>
  <c r="AH20" i="26"/>
  <c r="AF20" i="26"/>
  <c r="AE20" i="26"/>
  <c r="AD20" i="26"/>
  <c r="AB20" i="26"/>
  <c r="AA20" i="26"/>
  <c r="Z20" i="26"/>
  <c r="Y20" i="26"/>
  <c r="X20" i="26"/>
  <c r="W20" i="26"/>
  <c r="P20" i="26"/>
  <c r="O20" i="26"/>
  <c r="N20" i="26"/>
  <c r="M20" i="26"/>
  <c r="AI19" i="26"/>
  <c r="AN19" i="26" s="1"/>
  <c r="AH19" i="26"/>
  <c r="AF19" i="26"/>
  <c r="AE19" i="26"/>
  <c r="AB19" i="26"/>
  <c r="AA19" i="26"/>
  <c r="Z19" i="26"/>
  <c r="Y19" i="26"/>
  <c r="X19" i="26"/>
  <c r="W19" i="26"/>
  <c r="P19" i="26"/>
  <c r="O19" i="26"/>
  <c r="AD19" i="26" s="1"/>
  <c r="N19" i="26"/>
  <c r="AO19" i="26" s="1"/>
  <c r="M19" i="26"/>
  <c r="AJ18" i="26"/>
  <c r="AI18" i="26"/>
  <c r="AT18" i="26" s="1"/>
  <c r="AH18" i="26"/>
  <c r="AF18" i="26"/>
  <c r="AE18" i="26"/>
  <c r="AC18" i="26"/>
  <c r="AB18" i="26"/>
  <c r="AA18" i="26"/>
  <c r="Z18" i="26"/>
  <c r="Y18" i="26"/>
  <c r="X18" i="26"/>
  <c r="W18" i="26"/>
  <c r="P18" i="26"/>
  <c r="O18" i="26"/>
  <c r="AD18" i="26" s="1"/>
  <c r="N18" i="26"/>
  <c r="AO18" i="26" s="1"/>
  <c r="M18" i="26"/>
  <c r="AO17" i="26"/>
  <c r="AJ17" i="26"/>
  <c r="AI17" i="26"/>
  <c r="AT17" i="26" s="1"/>
  <c r="AH17" i="26"/>
  <c r="AF17" i="26"/>
  <c r="AE17" i="26"/>
  <c r="AC17" i="26"/>
  <c r="AA17" i="26"/>
  <c r="Z17" i="26"/>
  <c r="Y17" i="26"/>
  <c r="X17" i="26"/>
  <c r="W17" i="26"/>
  <c r="P17" i="26"/>
  <c r="O17" i="26"/>
  <c r="AD17" i="26" s="1"/>
  <c r="N17" i="26"/>
  <c r="M17" i="26"/>
  <c r="AB17" i="26" s="1"/>
  <c r="AI16" i="26"/>
  <c r="AH16" i="26"/>
  <c r="W16" i="26"/>
  <c r="AI15" i="26"/>
  <c r="AN15" i="26" s="1"/>
  <c r="AH15" i="26"/>
  <c r="AF15" i="26"/>
  <c r="AE15" i="26"/>
  <c r="AB15" i="26"/>
  <c r="AA15" i="26"/>
  <c r="Z15" i="26"/>
  <c r="Y15" i="26"/>
  <c r="X15" i="26"/>
  <c r="W15" i="26"/>
  <c r="P15" i="26"/>
  <c r="O15" i="26"/>
  <c r="N15" i="26"/>
  <c r="AO15" i="26" s="1"/>
  <c r="M15" i="26"/>
  <c r="AN14" i="26"/>
  <c r="AI14" i="26"/>
  <c r="AT14" i="26" s="1"/>
  <c r="AH14" i="26"/>
  <c r="AF14" i="26"/>
  <c r="AE14" i="26"/>
  <c r="AB14" i="26"/>
  <c r="AA14" i="26"/>
  <c r="Z14" i="26"/>
  <c r="Y14" i="26"/>
  <c r="X14" i="26"/>
  <c r="W14" i="26"/>
  <c r="P14" i="26"/>
  <c r="O14" i="26"/>
  <c r="N14" i="26"/>
  <c r="AC14" i="26" s="1"/>
  <c r="M14" i="26"/>
  <c r="AV13" i="26"/>
  <c r="AP13" i="26"/>
  <c r="AO13" i="26"/>
  <c r="AI13" i="26"/>
  <c r="AH13" i="26"/>
  <c r="AF13" i="26"/>
  <c r="AE13" i="26"/>
  <c r="AC13" i="26"/>
  <c r="AA13" i="26"/>
  <c r="Z13" i="26"/>
  <c r="Y13" i="26"/>
  <c r="X13" i="26"/>
  <c r="W13" i="26"/>
  <c r="P13" i="26"/>
  <c r="O13" i="26"/>
  <c r="AD13" i="26" s="1"/>
  <c r="N13" i="26"/>
  <c r="M13" i="26"/>
  <c r="AB13" i="26" s="1"/>
  <c r="AT12" i="26"/>
  <c r="AP12" i="26"/>
  <c r="AJ12" i="26"/>
  <c r="AI12" i="26"/>
  <c r="AN12" i="26" s="1"/>
  <c r="AH12" i="26"/>
  <c r="AF12" i="26"/>
  <c r="AE12" i="26"/>
  <c r="AD12" i="26"/>
  <c r="AB12" i="26"/>
  <c r="AA12" i="26"/>
  <c r="Z12" i="26"/>
  <c r="Y12" i="26"/>
  <c r="X12" i="26"/>
  <c r="W12" i="26"/>
  <c r="P12" i="26"/>
  <c r="O12" i="26"/>
  <c r="N12" i="26"/>
  <c r="AO12" i="26" s="1"/>
  <c r="M12" i="26"/>
  <c r="AU11" i="26"/>
  <c r="AT11" i="26"/>
  <c r="AO11" i="26"/>
  <c r="AN11" i="26"/>
  <c r="AJ11" i="26"/>
  <c r="AI11" i="26"/>
  <c r="AH11" i="26"/>
  <c r="AF11" i="26"/>
  <c r="AE11" i="26"/>
  <c r="AC11" i="26"/>
  <c r="AA11" i="26"/>
  <c r="Z11" i="26"/>
  <c r="Y11" i="26"/>
  <c r="X11" i="26"/>
  <c r="W11" i="26"/>
  <c r="P11" i="26"/>
  <c r="O11" i="26"/>
  <c r="N11" i="26"/>
  <c r="M11" i="26"/>
  <c r="AO10" i="26"/>
  <c r="AI10" i="26"/>
  <c r="AH10" i="26"/>
  <c r="AF10" i="26"/>
  <c r="AE10" i="26"/>
  <c r="AD10" i="26"/>
  <c r="AA10" i="26"/>
  <c r="Z10" i="26"/>
  <c r="Y10" i="26"/>
  <c r="X10" i="26"/>
  <c r="W10" i="26"/>
  <c r="P10" i="26"/>
  <c r="O10" i="26"/>
  <c r="N10" i="26"/>
  <c r="AC10" i="26" s="1"/>
  <c r="M10" i="26"/>
  <c r="AT9" i="26"/>
  <c r="AN9" i="26"/>
  <c r="AJ9" i="26"/>
  <c r="AI9" i="26"/>
  <c r="AH9" i="26"/>
  <c r="AF9" i="26"/>
  <c r="AE9" i="26"/>
  <c r="AA9" i="26"/>
  <c r="Z9" i="26"/>
  <c r="Y9" i="26"/>
  <c r="X9" i="26"/>
  <c r="W9" i="26"/>
  <c r="P9" i="26"/>
  <c r="O9" i="26"/>
  <c r="AQ9" i="26" s="1"/>
  <c r="N9" i="26"/>
  <c r="AO9" i="26" s="1"/>
  <c r="M9" i="26"/>
  <c r="AN8" i="26"/>
  <c r="AI8" i="26"/>
  <c r="AT8" i="26" s="1"/>
  <c r="AH8" i="26"/>
  <c r="AF8" i="26"/>
  <c r="AE8" i="26"/>
  <c r="AB8" i="26"/>
  <c r="AA8" i="26"/>
  <c r="Z8" i="26"/>
  <c r="Y8" i="26"/>
  <c r="X8" i="26"/>
  <c r="W8" i="26"/>
  <c r="P8" i="26"/>
  <c r="O8" i="26"/>
  <c r="AD8" i="26" s="1"/>
  <c r="N8" i="26"/>
  <c r="M8" i="26"/>
  <c r="AO7" i="26"/>
  <c r="AI7" i="26"/>
  <c r="AH7" i="26"/>
  <c r="AF7" i="26"/>
  <c r="AE7" i="26"/>
  <c r="AC7" i="26"/>
  <c r="AA7" i="26"/>
  <c r="Z7" i="26"/>
  <c r="Y7" i="26"/>
  <c r="X7" i="26"/>
  <c r="W7" i="26"/>
  <c r="P7" i="26"/>
  <c r="O7" i="26"/>
  <c r="AD7" i="26" s="1"/>
  <c r="N7" i="26"/>
  <c r="M7" i="26"/>
  <c r="AB7" i="26" s="1"/>
  <c r="AJ6" i="26"/>
  <c r="AI6" i="26"/>
  <c r="AN6" i="26" s="1"/>
  <c r="AH6" i="26"/>
  <c r="AF6" i="26"/>
  <c r="AE6" i="26"/>
  <c r="AD6" i="26"/>
  <c r="AC6" i="26"/>
  <c r="AB6" i="26"/>
  <c r="AA6" i="26"/>
  <c r="Z6" i="26"/>
  <c r="Y6" i="26"/>
  <c r="X6" i="26"/>
  <c r="W6" i="26"/>
  <c r="P6" i="26"/>
  <c r="O6" i="26"/>
  <c r="N6" i="26"/>
  <c r="AO6" i="26" s="1"/>
  <c r="M6" i="26"/>
  <c r="AI5" i="26"/>
  <c r="AH5" i="26"/>
  <c r="W5" i="26"/>
  <c r="AI4" i="26"/>
  <c r="AO3" i="26"/>
  <c r="AI3" i="26"/>
  <c r="AH3" i="26"/>
  <c r="AN2" i="26"/>
  <c r="AN50" i="26" s="1"/>
  <c r="AM2" i="26"/>
  <c r="AL2" i="26"/>
  <c r="AK2" i="26"/>
  <c r="AJ2" i="26"/>
  <c r="AA2" i="26"/>
  <c r="A2" i="26"/>
  <c r="AU1" i="26"/>
  <c r="AU42" i="26" s="1"/>
  <c r="AR1" i="26"/>
  <c r="AR6" i="26" s="1"/>
  <c r="AQ1" i="26"/>
  <c r="AQ39" i="26" s="1"/>
  <c r="AP1" i="26"/>
  <c r="AP8" i="26" s="1"/>
  <c r="AO1" i="26"/>
  <c r="AA1" i="26"/>
  <c r="A1" i="26"/>
  <c r="AH1" i="26" s="1"/>
  <c r="AH2" i="26" s="1"/>
  <c r="AQ9" i="25"/>
  <c r="AP9" i="25"/>
  <c r="AO9" i="25"/>
  <c r="AV9" i="25" s="1"/>
  <c r="AI9" i="25"/>
  <c r="AH9" i="25"/>
  <c r="AF9" i="25"/>
  <c r="AE9" i="25"/>
  <c r="AC9" i="25"/>
  <c r="AB9" i="25"/>
  <c r="AA9" i="25"/>
  <c r="Z9" i="25"/>
  <c r="Y9" i="25"/>
  <c r="X9" i="25"/>
  <c r="W9" i="25"/>
  <c r="P9" i="25"/>
  <c r="O9" i="25"/>
  <c r="AD9" i="25" s="1"/>
  <c r="N9" i="25"/>
  <c r="M9" i="25"/>
  <c r="AU8" i="25"/>
  <c r="AT8" i="25"/>
  <c r="AP8" i="25"/>
  <c r="AJ8" i="25"/>
  <c r="AI8" i="25"/>
  <c r="AH8" i="25"/>
  <c r="AF8" i="25"/>
  <c r="AE8" i="25"/>
  <c r="AD8" i="25"/>
  <c r="AC8" i="25"/>
  <c r="AB8" i="25"/>
  <c r="AA8" i="25"/>
  <c r="Z8" i="25"/>
  <c r="Y8" i="25"/>
  <c r="X8" i="25"/>
  <c r="W8" i="25"/>
  <c r="P8" i="25"/>
  <c r="O8" i="25"/>
  <c r="AQ8" i="25" s="1"/>
  <c r="N8" i="25"/>
  <c r="AO8" i="25" s="1"/>
  <c r="AV8" i="25" s="1"/>
  <c r="M8" i="25"/>
  <c r="AU7" i="25"/>
  <c r="AT7" i="25"/>
  <c r="AP7" i="25"/>
  <c r="AO7" i="25"/>
  <c r="AV7" i="25" s="1"/>
  <c r="AJ7" i="25"/>
  <c r="AI7" i="25"/>
  <c r="AH7" i="25"/>
  <c r="AF7" i="25"/>
  <c r="AE7" i="25"/>
  <c r="AC7" i="25"/>
  <c r="AA7" i="25"/>
  <c r="Z7" i="25"/>
  <c r="Y7" i="25"/>
  <c r="X7" i="25"/>
  <c r="W7" i="25"/>
  <c r="P7" i="25"/>
  <c r="O7" i="25"/>
  <c r="AD7" i="25" s="1"/>
  <c r="N7" i="25"/>
  <c r="M7" i="25"/>
  <c r="AV6" i="25"/>
  <c r="AU6" i="25"/>
  <c r="AP6" i="25"/>
  <c r="AO6" i="25"/>
  <c r="AN6" i="25"/>
  <c r="AI6" i="25"/>
  <c r="AH6" i="25"/>
  <c r="AF6" i="25"/>
  <c r="AE6" i="25"/>
  <c r="AD6" i="25"/>
  <c r="AB6" i="25"/>
  <c r="AA6" i="25"/>
  <c r="Z6" i="25"/>
  <c r="Y6" i="25"/>
  <c r="X6" i="25"/>
  <c r="W6" i="25"/>
  <c r="P6" i="25"/>
  <c r="O6" i="25"/>
  <c r="N6" i="25"/>
  <c r="AC6" i="25" s="1"/>
  <c r="M6" i="25"/>
  <c r="AI5" i="25"/>
  <c r="AH5" i="25"/>
  <c r="W5" i="25"/>
  <c r="AI4" i="25"/>
  <c r="AU3" i="25"/>
  <c r="AQ3" i="25"/>
  <c r="AI3" i="25"/>
  <c r="AH3" i="25"/>
  <c r="AN2" i="25"/>
  <c r="AN7" i="25" s="1"/>
  <c r="AM2" i="25"/>
  <c r="AL2" i="25"/>
  <c r="AK2" i="25"/>
  <c r="AJ2" i="25"/>
  <c r="AA2" i="25"/>
  <c r="A2" i="25"/>
  <c r="AU1" i="25"/>
  <c r="AU9" i="25" s="1"/>
  <c r="AR1" i="25"/>
  <c r="AR3" i="25" s="1"/>
  <c r="AQ1" i="25"/>
  <c r="AP1" i="25"/>
  <c r="AP3" i="25" s="1"/>
  <c r="AO1" i="25"/>
  <c r="AO3" i="25" s="1"/>
  <c r="AA1" i="25"/>
  <c r="A1" i="25"/>
  <c r="AH1" i="25" s="1"/>
  <c r="AH2" i="25" s="1"/>
  <c r="AU9" i="24"/>
  <c r="AT9" i="24"/>
  <c r="AP9" i="24"/>
  <c r="AO9" i="24"/>
  <c r="AV9" i="24" s="1"/>
  <c r="AN9" i="24"/>
  <c r="AI9" i="24"/>
  <c r="AH9" i="24"/>
  <c r="AF9" i="24"/>
  <c r="AE9" i="24"/>
  <c r="AD9" i="24"/>
  <c r="AC9" i="24"/>
  <c r="AA9" i="24"/>
  <c r="Z9" i="24"/>
  <c r="Y9" i="24"/>
  <c r="X9" i="24"/>
  <c r="W9" i="24"/>
  <c r="P9" i="24"/>
  <c r="O9" i="24"/>
  <c r="N9" i="24"/>
  <c r="M9" i="24"/>
  <c r="AU8" i="24"/>
  <c r="AP8" i="24"/>
  <c r="AN8" i="24"/>
  <c r="AI8" i="24"/>
  <c r="AH8" i="24"/>
  <c r="AF8" i="24"/>
  <c r="AE8" i="24"/>
  <c r="AD8" i="24"/>
  <c r="AB8" i="24"/>
  <c r="AA8" i="24"/>
  <c r="Z8" i="24"/>
  <c r="Y8" i="24"/>
  <c r="X8" i="24"/>
  <c r="W8" i="24"/>
  <c r="P8" i="24"/>
  <c r="O8" i="24"/>
  <c r="N8" i="24"/>
  <c r="M8" i="24"/>
  <c r="AU7" i="24"/>
  <c r="AT7" i="24"/>
  <c r="AP7" i="24"/>
  <c r="AI7" i="24"/>
  <c r="AH7" i="24"/>
  <c r="AF7" i="24"/>
  <c r="AE7" i="24"/>
  <c r="AA7" i="24"/>
  <c r="Z7" i="24"/>
  <c r="Y7" i="24"/>
  <c r="X7" i="24"/>
  <c r="W7" i="24"/>
  <c r="P7" i="24"/>
  <c r="O7" i="24"/>
  <c r="AD7" i="24" s="1"/>
  <c r="N7" i="24"/>
  <c r="AO7" i="24" s="1"/>
  <c r="AV7" i="24" s="1"/>
  <c r="M7" i="24"/>
  <c r="AU6" i="24"/>
  <c r="AP6" i="24"/>
  <c r="AI6" i="24"/>
  <c r="AH6" i="24"/>
  <c r="AF6" i="24"/>
  <c r="AE6" i="24"/>
  <c r="AB6" i="24"/>
  <c r="AA6" i="24"/>
  <c r="Z6" i="24"/>
  <c r="Y6" i="24"/>
  <c r="X6" i="24"/>
  <c r="W6" i="24"/>
  <c r="P6" i="24"/>
  <c r="O6" i="24"/>
  <c r="N6" i="24"/>
  <c r="M6" i="24"/>
  <c r="AI5" i="24"/>
  <c r="AH5" i="24"/>
  <c r="W5" i="24"/>
  <c r="AI4" i="24"/>
  <c r="AU3" i="24"/>
  <c r="AQ3" i="24"/>
  <c r="AO3" i="24"/>
  <c r="AI3" i="24"/>
  <c r="AH3" i="24"/>
  <c r="AN2" i="24"/>
  <c r="AN7" i="24" s="1"/>
  <c r="AM2" i="24"/>
  <c r="AL2" i="24"/>
  <c r="AK2" i="24"/>
  <c r="AJ2" i="24"/>
  <c r="AJ9" i="24" s="1"/>
  <c r="AA2" i="24"/>
  <c r="A2" i="24"/>
  <c r="AU1" i="24"/>
  <c r="AR1" i="24"/>
  <c r="AR3" i="24" s="1"/>
  <c r="AQ1" i="24"/>
  <c r="AP1" i="24"/>
  <c r="AP3" i="24" s="1"/>
  <c r="AO1" i="24"/>
  <c r="AA1" i="24"/>
  <c r="A1" i="24"/>
  <c r="AH1" i="24" s="1"/>
  <c r="AH2" i="24" s="1"/>
  <c r="AT10" i="23"/>
  <c r="AP10" i="23"/>
  <c r="AO10" i="23"/>
  <c r="AV10" i="23" s="1"/>
  <c r="AI10" i="23"/>
  <c r="AH10" i="23"/>
  <c r="AF10" i="23"/>
  <c r="AE10" i="23"/>
  <c r="AC10" i="23"/>
  <c r="AA10" i="23"/>
  <c r="Z10" i="23"/>
  <c r="Y10" i="23"/>
  <c r="X10" i="23"/>
  <c r="W10" i="23"/>
  <c r="P10" i="23"/>
  <c r="O10" i="23"/>
  <c r="AD10" i="23" s="1"/>
  <c r="N10" i="23"/>
  <c r="M10" i="23"/>
  <c r="AU9" i="23"/>
  <c r="AR9" i="23"/>
  <c r="AN9" i="23"/>
  <c r="AI9" i="23"/>
  <c r="AH9" i="23"/>
  <c r="AF9" i="23"/>
  <c r="AE9" i="23"/>
  <c r="AB9" i="23"/>
  <c r="AA9" i="23"/>
  <c r="Z9" i="23"/>
  <c r="Y9" i="23"/>
  <c r="X9" i="23"/>
  <c r="W9" i="23"/>
  <c r="P9" i="23"/>
  <c r="O9" i="23"/>
  <c r="AD9" i="23" s="1"/>
  <c r="N9" i="23"/>
  <c r="M9" i="23"/>
  <c r="AO8" i="23"/>
  <c r="AI8" i="23"/>
  <c r="AH8" i="23"/>
  <c r="AF8" i="23"/>
  <c r="AE8" i="23"/>
  <c r="AC8" i="23"/>
  <c r="AA8" i="23"/>
  <c r="Z8" i="23"/>
  <c r="Y8" i="23"/>
  <c r="X8" i="23"/>
  <c r="W8" i="23"/>
  <c r="P8" i="23"/>
  <c r="O8" i="23"/>
  <c r="N8" i="23"/>
  <c r="M8" i="23"/>
  <c r="AR8" i="23" s="1"/>
  <c r="AI7" i="23"/>
  <c r="AH7" i="23"/>
  <c r="W7" i="23"/>
  <c r="AT6" i="23"/>
  <c r="AI6" i="23"/>
  <c r="AH6" i="23"/>
  <c r="AF6" i="23"/>
  <c r="AE6" i="23"/>
  <c r="AA6" i="23"/>
  <c r="Z6" i="23"/>
  <c r="Y6" i="23"/>
  <c r="X6" i="23"/>
  <c r="W6" i="23"/>
  <c r="P6" i="23"/>
  <c r="O6" i="23"/>
  <c r="AD6" i="23" s="1"/>
  <c r="N6" i="23"/>
  <c r="M6" i="23"/>
  <c r="AI5" i="23"/>
  <c r="AH5" i="23"/>
  <c r="W5" i="23"/>
  <c r="AI4" i="23"/>
  <c r="AU3" i="23"/>
  <c r="AI3" i="23"/>
  <c r="AH3" i="23"/>
  <c r="AN2" i="23"/>
  <c r="AM2" i="23"/>
  <c r="AL2" i="23"/>
  <c r="AK2" i="23"/>
  <c r="AJ2" i="23"/>
  <c r="AJ10" i="23" s="1"/>
  <c r="AA2" i="23"/>
  <c r="A2" i="23"/>
  <c r="AU1" i="23"/>
  <c r="AR1" i="23"/>
  <c r="AR3" i="23" s="1"/>
  <c r="AQ1" i="23"/>
  <c r="AQ3" i="23" s="1"/>
  <c r="AP1" i="23"/>
  <c r="AP8" i="23" s="1"/>
  <c r="AO1" i="23"/>
  <c r="AO3" i="23" s="1"/>
  <c r="AA1" i="23"/>
  <c r="A1" i="23"/>
  <c r="AJ1" i="23" s="1"/>
  <c r="AU9" i="22"/>
  <c r="AP9" i="22"/>
  <c r="AI9" i="22"/>
  <c r="AH9" i="22"/>
  <c r="AF9" i="22"/>
  <c r="AE9" i="22"/>
  <c r="AD9" i="22"/>
  <c r="AB9" i="22"/>
  <c r="AA9" i="22"/>
  <c r="Z9" i="22"/>
  <c r="Y9" i="22"/>
  <c r="X9" i="22"/>
  <c r="W9" i="22"/>
  <c r="P9" i="22"/>
  <c r="O9" i="22"/>
  <c r="N9" i="22"/>
  <c r="AC9" i="22" s="1"/>
  <c r="M9" i="22"/>
  <c r="AT8" i="22"/>
  <c r="AQ8" i="22"/>
  <c r="AP8" i="22"/>
  <c r="AI8" i="22"/>
  <c r="AH8" i="22"/>
  <c r="AF8" i="22"/>
  <c r="AE8" i="22"/>
  <c r="AA8" i="22"/>
  <c r="Z8" i="22"/>
  <c r="Y8" i="22"/>
  <c r="X8" i="22"/>
  <c r="W8" i="22"/>
  <c r="P8" i="22"/>
  <c r="O8" i="22"/>
  <c r="AD8" i="22" s="1"/>
  <c r="N8" i="22"/>
  <c r="M8" i="22"/>
  <c r="AU7" i="22"/>
  <c r="AQ7" i="22"/>
  <c r="AP7" i="22"/>
  <c r="AN7" i="22"/>
  <c r="AI7" i="22"/>
  <c r="AH7" i="22"/>
  <c r="AF7" i="22"/>
  <c r="AE7" i="22"/>
  <c r="AB7" i="22"/>
  <c r="AA7" i="22"/>
  <c r="Z7" i="22"/>
  <c r="Y7" i="22"/>
  <c r="X7" i="22"/>
  <c r="W7" i="22"/>
  <c r="P7" i="22"/>
  <c r="O7" i="22"/>
  <c r="AD7" i="22" s="1"/>
  <c r="N7" i="22"/>
  <c r="M7" i="22"/>
  <c r="AO6" i="22"/>
  <c r="AI6" i="22"/>
  <c r="AT6" i="22" s="1"/>
  <c r="AH6" i="22"/>
  <c r="AF6" i="22"/>
  <c r="AE6" i="22"/>
  <c r="AC6" i="22"/>
  <c r="AA6" i="22"/>
  <c r="Z6" i="22"/>
  <c r="Y6" i="22"/>
  <c r="X6" i="22"/>
  <c r="W6" i="22"/>
  <c r="P6" i="22"/>
  <c r="O6" i="22"/>
  <c r="AD6" i="22" s="1"/>
  <c r="N6" i="22"/>
  <c r="M6" i="22"/>
  <c r="AB6" i="22" s="1"/>
  <c r="AI5" i="22"/>
  <c r="AH5" i="22"/>
  <c r="W5" i="22"/>
  <c r="AI4" i="22"/>
  <c r="AP3" i="22"/>
  <c r="AI3" i="22"/>
  <c r="AH3" i="22"/>
  <c r="AN2" i="22"/>
  <c r="AN8" i="22" s="1"/>
  <c r="AM2" i="22"/>
  <c r="AL2" i="22"/>
  <c r="AK2" i="22"/>
  <c r="AJ2" i="22"/>
  <c r="AJ8" i="22" s="1"/>
  <c r="AA2" i="22"/>
  <c r="A2" i="22"/>
  <c r="AU1" i="22"/>
  <c r="AR1" i="22"/>
  <c r="AR6" i="22" s="1"/>
  <c r="AQ1" i="22"/>
  <c r="AQ3" i="22" s="1"/>
  <c r="AP1" i="22"/>
  <c r="AP6" i="22" s="1"/>
  <c r="AO1" i="22"/>
  <c r="AO3" i="22" s="1"/>
  <c r="AA1" i="22"/>
  <c r="A1" i="22"/>
  <c r="AP11" i="21"/>
  <c r="AI11" i="21"/>
  <c r="AH11" i="21"/>
  <c r="AF11" i="21"/>
  <c r="AE11" i="21"/>
  <c r="AB11" i="21"/>
  <c r="AA11" i="21"/>
  <c r="Z11" i="21"/>
  <c r="Y11" i="21"/>
  <c r="X11" i="21"/>
  <c r="W11" i="21"/>
  <c r="P11" i="21"/>
  <c r="O11" i="21"/>
  <c r="N11" i="21"/>
  <c r="M11" i="21"/>
  <c r="AP10" i="21"/>
  <c r="AO10" i="21"/>
  <c r="AV10" i="21" s="1"/>
  <c r="AI10" i="21"/>
  <c r="AH10" i="21"/>
  <c r="AF10" i="21"/>
  <c r="AE10" i="21"/>
  <c r="AC10" i="21"/>
  <c r="AA10" i="21"/>
  <c r="Z10" i="21"/>
  <c r="Y10" i="21"/>
  <c r="X10" i="21"/>
  <c r="W10" i="21"/>
  <c r="P10" i="21"/>
  <c r="O10" i="21"/>
  <c r="AD10" i="21" s="1"/>
  <c r="N10" i="21"/>
  <c r="M10" i="21"/>
  <c r="AT9" i="21"/>
  <c r="AP9" i="21"/>
  <c r="AJ9" i="21"/>
  <c r="AI9" i="21"/>
  <c r="AN9" i="21" s="1"/>
  <c r="AH9" i="21"/>
  <c r="AF9" i="21"/>
  <c r="AE9" i="21"/>
  <c r="AC9" i="21"/>
  <c r="AB9" i="21"/>
  <c r="AA9" i="21"/>
  <c r="Z9" i="21"/>
  <c r="Y9" i="21"/>
  <c r="X9" i="21"/>
  <c r="W9" i="21"/>
  <c r="P9" i="21"/>
  <c r="O9" i="21"/>
  <c r="AD9" i="21" s="1"/>
  <c r="N9" i="21"/>
  <c r="AO9" i="21" s="1"/>
  <c r="AV9" i="21" s="1"/>
  <c r="M9" i="21"/>
  <c r="AU8" i="21"/>
  <c r="AP8" i="21"/>
  <c r="AO8" i="21"/>
  <c r="AV8" i="21" s="1"/>
  <c r="AN8" i="21"/>
  <c r="AI8" i="21"/>
  <c r="AT8" i="21" s="1"/>
  <c r="AH8" i="21"/>
  <c r="AF8" i="21"/>
  <c r="AE8" i="21"/>
  <c r="AD8" i="21"/>
  <c r="AC8" i="21"/>
  <c r="AB8" i="21"/>
  <c r="AA8" i="21"/>
  <c r="Z8" i="21"/>
  <c r="Y8" i="21"/>
  <c r="X8" i="21"/>
  <c r="W8" i="21"/>
  <c r="P8" i="21"/>
  <c r="O8" i="21"/>
  <c r="N8" i="21"/>
  <c r="M8" i="21"/>
  <c r="AP7" i="21"/>
  <c r="AI7" i="21"/>
  <c r="AJ7" i="21" s="1"/>
  <c r="AH7" i="21"/>
  <c r="AF7" i="21"/>
  <c r="AE7" i="21"/>
  <c r="AD7" i="21"/>
  <c r="AB7" i="21"/>
  <c r="AA7" i="21"/>
  <c r="Z7" i="21"/>
  <c r="Y7" i="21"/>
  <c r="X7" i="21"/>
  <c r="W7" i="21"/>
  <c r="P7" i="21"/>
  <c r="O7" i="21"/>
  <c r="N7" i="21"/>
  <c r="AC7" i="21" s="1"/>
  <c r="M7" i="21"/>
  <c r="AT6" i="21"/>
  <c r="AP6" i="21"/>
  <c r="AO6" i="21"/>
  <c r="AV6" i="21" s="1"/>
  <c r="AJ6" i="21"/>
  <c r="AI6" i="21"/>
  <c r="AH6" i="21"/>
  <c r="AF6" i="21"/>
  <c r="AE6" i="21"/>
  <c r="AC6" i="21"/>
  <c r="AA6" i="21"/>
  <c r="Z6" i="21"/>
  <c r="Y6" i="21"/>
  <c r="X6" i="21"/>
  <c r="W6" i="21"/>
  <c r="P6" i="21"/>
  <c r="O6" i="21"/>
  <c r="AD6" i="21" s="1"/>
  <c r="N6" i="21"/>
  <c r="M6" i="21"/>
  <c r="AI5" i="21"/>
  <c r="AH5" i="21"/>
  <c r="W5" i="21"/>
  <c r="AI4" i="21"/>
  <c r="AP3" i="21"/>
  <c r="AI3" i="21"/>
  <c r="AH3" i="21"/>
  <c r="AN2" i="21"/>
  <c r="AN7" i="21" s="1"/>
  <c r="AM2" i="21"/>
  <c r="AL2" i="21"/>
  <c r="AK2" i="21"/>
  <c r="AJ2" i="21"/>
  <c r="AA2" i="21"/>
  <c r="A2" i="21"/>
  <c r="AU1" i="21"/>
  <c r="AU10" i="21" s="1"/>
  <c r="AR1" i="21"/>
  <c r="AR11" i="21" s="1"/>
  <c r="AQ1" i="21"/>
  <c r="AQ3" i="21" s="1"/>
  <c r="AP1" i="21"/>
  <c r="AO1" i="21"/>
  <c r="AO3" i="21" s="1"/>
  <c r="AH1" i="21"/>
  <c r="AH2" i="21" s="1"/>
  <c r="AA1" i="21"/>
  <c r="A1" i="21"/>
  <c r="AJ1" i="21" s="1"/>
  <c r="AN59" i="20"/>
  <c r="AI59" i="20"/>
  <c r="AT59" i="20" s="1"/>
  <c r="AH59" i="20"/>
  <c r="AF59" i="20"/>
  <c r="AE59" i="20"/>
  <c r="AD59" i="20"/>
  <c r="AB59" i="20"/>
  <c r="AA59" i="20"/>
  <c r="Z59" i="20"/>
  <c r="Y59" i="20"/>
  <c r="X59" i="20"/>
  <c r="W59" i="20"/>
  <c r="P59" i="20"/>
  <c r="O59" i="20"/>
  <c r="N59" i="20"/>
  <c r="AC59" i="20" s="1"/>
  <c r="M59" i="20"/>
  <c r="AV58" i="20"/>
  <c r="AT58" i="20"/>
  <c r="AP58" i="20"/>
  <c r="AO58" i="20"/>
  <c r="AI58" i="20"/>
  <c r="AH58" i="20"/>
  <c r="AF58" i="20"/>
  <c r="AE58" i="20"/>
  <c r="AC58" i="20"/>
  <c r="AA58" i="20"/>
  <c r="Z58" i="20"/>
  <c r="Y58" i="20"/>
  <c r="X58" i="20"/>
  <c r="W58" i="20"/>
  <c r="P58" i="20"/>
  <c r="O58" i="20"/>
  <c r="AD58" i="20" s="1"/>
  <c r="N58" i="20"/>
  <c r="M58" i="20"/>
  <c r="AP57" i="20"/>
  <c r="AI57" i="20"/>
  <c r="AT57" i="20" s="1"/>
  <c r="AH57" i="20"/>
  <c r="AF57" i="20"/>
  <c r="AE57" i="20"/>
  <c r="AD57" i="20"/>
  <c r="AB57" i="20"/>
  <c r="AA57" i="20"/>
  <c r="Z57" i="20"/>
  <c r="Y57" i="20"/>
  <c r="X57" i="20"/>
  <c r="W57" i="20"/>
  <c r="P57" i="20"/>
  <c r="O57" i="20"/>
  <c r="N57" i="20"/>
  <c r="M57" i="20"/>
  <c r="AT56" i="20"/>
  <c r="AI56" i="20"/>
  <c r="AH56" i="20"/>
  <c r="AF56" i="20"/>
  <c r="AE56" i="20"/>
  <c r="AC56" i="20"/>
  <c r="AA56" i="20"/>
  <c r="Z56" i="20"/>
  <c r="Y56" i="20"/>
  <c r="X56" i="20"/>
  <c r="W56" i="20"/>
  <c r="P56" i="20"/>
  <c r="O56" i="20"/>
  <c r="AD56" i="20" s="1"/>
  <c r="N56" i="20"/>
  <c r="M56" i="20"/>
  <c r="AI55" i="20"/>
  <c r="AH55" i="20"/>
  <c r="W55" i="20"/>
  <c r="AT54" i="20"/>
  <c r="AI54" i="20"/>
  <c r="AN54" i="20" s="1"/>
  <c r="AH54" i="20"/>
  <c r="AF54" i="20"/>
  <c r="AE54" i="20"/>
  <c r="AC54" i="20"/>
  <c r="AA54" i="20"/>
  <c r="Z54" i="20"/>
  <c r="Y54" i="20"/>
  <c r="X54" i="20"/>
  <c r="W54" i="20"/>
  <c r="P54" i="20"/>
  <c r="O54" i="20"/>
  <c r="AD54" i="20" s="1"/>
  <c r="N54" i="20"/>
  <c r="M54" i="20"/>
  <c r="AP53" i="20"/>
  <c r="AI53" i="20"/>
  <c r="AT53" i="20" s="1"/>
  <c r="AH53" i="20"/>
  <c r="AF53" i="20"/>
  <c r="AE53" i="20"/>
  <c r="AD53" i="20"/>
  <c r="AB53" i="20"/>
  <c r="AA53" i="20"/>
  <c r="Z53" i="20"/>
  <c r="Y53" i="20"/>
  <c r="X53" i="20"/>
  <c r="W53" i="20"/>
  <c r="P53" i="20"/>
  <c r="O53" i="20"/>
  <c r="N53" i="20"/>
  <c r="M53" i="20"/>
  <c r="AT52" i="20"/>
  <c r="AI52" i="20"/>
  <c r="AH52" i="20"/>
  <c r="AF52" i="20"/>
  <c r="AE52" i="20"/>
  <c r="AC52" i="20"/>
  <c r="AA52" i="20"/>
  <c r="Z52" i="20"/>
  <c r="Y52" i="20"/>
  <c r="X52" i="20"/>
  <c r="W52" i="20"/>
  <c r="P52" i="20"/>
  <c r="O52" i="20"/>
  <c r="AD52" i="20" s="1"/>
  <c r="N52" i="20"/>
  <c r="M52" i="20"/>
  <c r="AP51" i="20"/>
  <c r="AI51" i="20"/>
  <c r="AH51" i="20"/>
  <c r="AF51" i="20"/>
  <c r="AE51" i="20"/>
  <c r="AD51" i="20"/>
  <c r="AB51" i="20"/>
  <c r="AA51" i="20"/>
  <c r="Z51" i="20"/>
  <c r="Y51" i="20"/>
  <c r="X51" i="20"/>
  <c r="W51" i="20"/>
  <c r="P51" i="20"/>
  <c r="O51" i="20"/>
  <c r="N51" i="20"/>
  <c r="M51" i="20"/>
  <c r="AI50" i="20"/>
  <c r="AH50" i="20"/>
  <c r="W50" i="20"/>
  <c r="AP49" i="20"/>
  <c r="AI49" i="20"/>
  <c r="AT49" i="20" s="1"/>
  <c r="AH49" i="20"/>
  <c r="AF49" i="20"/>
  <c r="AE49" i="20"/>
  <c r="AD49" i="20"/>
  <c r="AB49" i="20"/>
  <c r="AA49" i="20"/>
  <c r="Z49" i="20"/>
  <c r="Y49" i="20"/>
  <c r="X49" i="20"/>
  <c r="W49" i="20"/>
  <c r="P49" i="20"/>
  <c r="O49" i="20"/>
  <c r="N49" i="20"/>
  <c r="M49" i="20"/>
  <c r="AT48" i="20"/>
  <c r="AP48" i="20"/>
  <c r="AO48" i="20"/>
  <c r="AV48" i="20" s="1"/>
  <c r="AI48" i="20"/>
  <c r="AH48" i="20"/>
  <c r="AF48" i="20"/>
  <c r="AE48" i="20"/>
  <c r="AC48" i="20"/>
  <c r="AA48" i="20"/>
  <c r="Z48" i="20"/>
  <c r="Y48" i="20"/>
  <c r="X48" i="20"/>
  <c r="W48" i="20"/>
  <c r="P48" i="20"/>
  <c r="O48" i="20"/>
  <c r="AD48" i="20" s="1"/>
  <c r="N48" i="20"/>
  <c r="M48" i="20"/>
  <c r="AP47" i="20"/>
  <c r="AI47" i="20"/>
  <c r="AH47" i="20"/>
  <c r="AF47" i="20"/>
  <c r="AE47" i="20"/>
  <c r="AD47" i="20"/>
  <c r="AB47" i="20"/>
  <c r="AA47" i="20"/>
  <c r="Z47" i="20"/>
  <c r="Y47" i="20"/>
  <c r="X47" i="20"/>
  <c r="W47" i="20"/>
  <c r="P47" i="20"/>
  <c r="O47" i="20"/>
  <c r="AQ47" i="20" s="1"/>
  <c r="N47" i="20"/>
  <c r="AO47" i="20" s="1"/>
  <c r="AV47" i="20" s="1"/>
  <c r="M47" i="20"/>
  <c r="AT46" i="20"/>
  <c r="AP46" i="20"/>
  <c r="AO46" i="20"/>
  <c r="AV46" i="20" s="1"/>
  <c r="AJ46" i="20"/>
  <c r="AI46" i="20"/>
  <c r="AH46" i="20"/>
  <c r="AF46" i="20"/>
  <c r="AE46" i="20"/>
  <c r="AC46" i="20"/>
  <c r="AA46" i="20"/>
  <c r="Z46" i="20"/>
  <c r="Y46" i="20"/>
  <c r="X46" i="20"/>
  <c r="W46" i="20"/>
  <c r="P46" i="20"/>
  <c r="O46" i="20"/>
  <c r="AQ46" i="20" s="1"/>
  <c r="N46" i="20"/>
  <c r="M46" i="20"/>
  <c r="AI45" i="20"/>
  <c r="AH45" i="20"/>
  <c r="W45" i="20"/>
  <c r="AT44" i="20"/>
  <c r="AP44" i="20"/>
  <c r="AO44" i="20"/>
  <c r="AV44" i="20" s="1"/>
  <c r="AI44" i="20"/>
  <c r="AH44" i="20"/>
  <c r="AF44" i="20"/>
  <c r="AE44" i="20"/>
  <c r="AC44" i="20"/>
  <c r="AA44" i="20"/>
  <c r="Z44" i="20"/>
  <c r="Y44" i="20"/>
  <c r="X44" i="20"/>
  <c r="W44" i="20"/>
  <c r="P44" i="20"/>
  <c r="O44" i="20"/>
  <c r="AD44" i="20" s="1"/>
  <c r="N44" i="20"/>
  <c r="M44" i="20"/>
  <c r="AR43" i="20"/>
  <c r="AP43" i="20"/>
  <c r="AI43" i="20"/>
  <c r="AH43" i="20"/>
  <c r="AF43" i="20"/>
  <c r="AE43" i="20"/>
  <c r="AD43" i="20"/>
  <c r="AB43" i="20"/>
  <c r="AA43" i="20"/>
  <c r="Z43" i="20"/>
  <c r="Y43" i="20"/>
  <c r="X43" i="20"/>
  <c r="W43" i="20"/>
  <c r="P43" i="20"/>
  <c r="O43" i="20"/>
  <c r="N43" i="20"/>
  <c r="M43" i="20"/>
  <c r="AT42" i="20"/>
  <c r="AQ42" i="20"/>
  <c r="AP42" i="20"/>
  <c r="AI42" i="20"/>
  <c r="AH42" i="20"/>
  <c r="AF42" i="20"/>
  <c r="AE42" i="20"/>
  <c r="AC42" i="20"/>
  <c r="AA42" i="20"/>
  <c r="Z42" i="20"/>
  <c r="Y42" i="20"/>
  <c r="X42" i="20"/>
  <c r="W42" i="20"/>
  <c r="P42" i="20"/>
  <c r="O42" i="20"/>
  <c r="AD42" i="20" s="1"/>
  <c r="N42" i="20"/>
  <c r="M42" i="20"/>
  <c r="AI41" i="20"/>
  <c r="AH41" i="20"/>
  <c r="W41" i="20"/>
  <c r="AT40" i="20"/>
  <c r="AP40" i="20"/>
  <c r="AO40" i="20"/>
  <c r="AI40" i="20"/>
  <c r="AH40" i="20"/>
  <c r="AF40" i="20"/>
  <c r="AE40" i="20"/>
  <c r="AC40" i="20"/>
  <c r="AA40" i="20"/>
  <c r="Z40" i="20"/>
  <c r="Y40" i="20"/>
  <c r="X40" i="20"/>
  <c r="W40" i="20"/>
  <c r="P40" i="20"/>
  <c r="O40" i="20"/>
  <c r="AD40" i="20" s="1"/>
  <c r="N40" i="20"/>
  <c r="M40" i="20"/>
  <c r="AP39" i="20"/>
  <c r="AI39" i="20"/>
  <c r="AH39" i="20"/>
  <c r="AF39" i="20"/>
  <c r="AE39" i="20"/>
  <c r="AD39" i="20"/>
  <c r="AB39" i="20"/>
  <c r="AA39" i="20"/>
  <c r="Z39" i="20"/>
  <c r="Y39" i="20"/>
  <c r="X39" i="20"/>
  <c r="W39" i="20"/>
  <c r="P39" i="20"/>
  <c r="O39" i="20"/>
  <c r="N39" i="20"/>
  <c r="M39" i="20"/>
  <c r="AT38" i="20"/>
  <c r="AP38" i="20"/>
  <c r="AO38" i="20"/>
  <c r="AV38" i="20" s="1"/>
  <c r="AI38" i="20"/>
  <c r="AH38" i="20"/>
  <c r="AF38" i="20"/>
  <c r="AE38" i="20"/>
  <c r="AC38" i="20"/>
  <c r="AA38" i="20"/>
  <c r="Z38" i="20"/>
  <c r="Y38" i="20"/>
  <c r="X38" i="20"/>
  <c r="W38" i="20"/>
  <c r="P38" i="20"/>
  <c r="O38" i="20"/>
  <c r="AD38" i="20" s="1"/>
  <c r="N38" i="20"/>
  <c r="M38" i="20"/>
  <c r="AI37" i="20"/>
  <c r="AH37" i="20"/>
  <c r="W37" i="20"/>
  <c r="AV36" i="20"/>
  <c r="AT36" i="20"/>
  <c r="AP36" i="20"/>
  <c r="AO36" i="20"/>
  <c r="AJ36" i="20"/>
  <c r="AI36" i="20"/>
  <c r="AH36" i="20"/>
  <c r="AF36" i="20"/>
  <c r="AE36" i="20"/>
  <c r="AC36" i="20"/>
  <c r="AA36" i="20"/>
  <c r="Z36" i="20"/>
  <c r="Y36" i="20"/>
  <c r="X36" i="20"/>
  <c r="W36" i="20"/>
  <c r="P36" i="20"/>
  <c r="O36" i="20"/>
  <c r="AD36" i="20" s="1"/>
  <c r="N36" i="20"/>
  <c r="M36" i="20"/>
  <c r="AP35" i="20"/>
  <c r="AN35" i="20"/>
  <c r="AI35" i="20"/>
  <c r="AH35" i="20"/>
  <c r="AF35" i="20"/>
  <c r="AE35" i="20"/>
  <c r="AD35" i="20"/>
  <c r="AB35" i="20"/>
  <c r="AA35" i="20"/>
  <c r="Z35" i="20"/>
  <c r="Y35" i="20"/>
  <c r="X35" i="20"/>
  <c r="W35" i="20"/>
  <c r="P35" i="20"/>
  <c r="O35" i="20"/>
  <c r="N35" i="20"/>
  <c r="M35" i="20"/>
  <c r="AT34" i="20"/>
  <c r="AQ34" i="20"/>
  <c r="AP34" i="20"/>
  <c r="AI34" i="20"/>
  <c r="AH34" i="20"/>
  <c r="AF34" i="20"/>
  <c r="AE34" i="20"/>
  <c r="AC34" i="20"/>
  <c r="AA34" i="20"/>
  <c r="Z34" i="20"/>
  <c r="Y34" i="20"/>
  <c r="X34" i="20"/>
  <c r="W34" i="20"/>
  <c r="P34" i="20"/>
  <c r="O34" i="20"/>
  <c r="AD34" i="20" s="1"/>
  <c r="N34" i="20"/>
  <c r="M34" i="20"/>
  <c r="AI33" i="20"/>
  <c r="AH33" i="20"/>
  <c r="W33" i="20"/>
  <c r="AT32" i="20"/>
  <c r="AP32" i="20"/>
  <c r="AI32" i="20"/>
  <c r="AH32" i="20"/>
  <c r="AF32" i="20"/>
  <c r="AE32" i="20"/>
  <c r="AC32" i="20"/>
  <c r="AA32" i="20"/>
  <c r="Z32" i="20"/>
  <c r="Y32" i="20"/>
  <c r="X32" i="20"/>
  <c r="W32" i="20"/>
  <c r="P32" i="20"/>
  <c r="O32" i="20"/>
  <c r="AD32" i="20" s="1"/>
  <c r="N32" i="20"/>
  <c r="M32" i="20"/>
  <c r="AR31" i="20"/>
  <c r="AP31" i="20"/>
  <c r="AI31" i="20"/>
  <c r="AH31" i="20"/>
  <c r="AF31" i="20"/>
  <c r="AE31" i="20"/>
  <c r="AD31" i="20"/>
  <c r="AB31" i="20"/>
  <c r="AA31" i="20"/>
  <c r="Z31" i="20"/>
  <c r="Y31" i="20"/>
  <c r="X31" i="20"/>
  <c r="W31" i="20"/>
  <c r="P31" i="20"/>
  <c r="O31" i="20"/>
  <c r="N31" i="20"/>
  <c r="M31" i="20"/>
  <c r="AT30" i="20"/>
  <c r="AP30" i="20"/>
  <c r="AI30" i="20"/>
  <c r="AN30" i="20" s="1"/>
  <c r="AH30" i="20"/>
  <c r="AF30" i="20"/>
  <c r="AE30" i="20"/>
  <c r="AA30" i="20"/>
  <c r="Z30" i="20"/>
  <c r="Y30" i="20"/>
  <c r="X30" i="20"/>
  <c r="W30" i="20"/>
  <c r="P30" i="20"/>
  <c r="O30" i="20"/>
  <c r="AD30" i="20" s="1"/>
  <c r="N30" i="20"/>
  <c r="AO30" i="20" s="1"/>
  <c r="M30" i="20"/>
  <c r="AP29" i="20"/>
  <c r="AN29" i="20"/>
  <c r="AI29" i="20"/>
  <c r="AH29" i="20"/>
  <c r="AF29" i="20"/>
  <c r="AE29" i="20"/>
  <c r="AB29" i="20"/>
  <c r="AA29" i="20"/>
  <c r="Z29" i="20"/>
  <c r="Y29" i="20"/>
  <c r="X29" i="20"/>
  <c r="W29" i="20"/>
  <c r="P29" i="20"/>
  <c r="O29" i="20"/>
  <c r="AD29" i="20" s="1"/>
  <c r="N29" i="20"/>
  <c r="M29" i="20"/>
  <c r="AI28" i="20"/>
  <c r="AH28" i="20"/>
  <c r="W28" i="20"/>
  <c r="AP27" i="20"/>
  <c r="AO27" i="20"/>
  <c r="AV27" i="20" s="1"/>
  <c r="AI27" i="20"/>
  <c r="AH27" i="20"/>
  <c r="AF27" i="20"/>
  <c r="AE27" i="20"/>
  <c r="AD27" i="20"/>
  <c r="AA27" i="20"/>
  <c r="Z27" i="20"/>
  <c r="Y27" i="20"/>
  <c r="X27" i="20"/>
  <c r="W27" i="20"/>
  <c r="P27" i="20"/>
  <c r="O27" i="20"/>
  <c r="AQ27" i="20" s="1"/>
  <c r="N27" i="20"/>
  <c r="AC27" i="20" s="1"/>
  <c r="M27" i="20"/>
  <c r="AB27" i="20" s="1"/>
  <c r="AP26" i="20"/>
  <c r="AI26" i="20"/>
  <c r="AT26" i="20" s="1"/>
  <c r="AH26" i="20"/>
  <c r="AF26" i="20"/>
  <c r="AE26" i="20"/>
  <c r="AC26" i="20"/>
  <c r="AA26" i="20"/>
  <c r="Z26" i="20"/>
  <c r="Y26" i="20"/>
  <c r="X26" i="20"/>
  <c r="W26" i="20"/>
  <c r="P26" i="20"/>
  <c r="O26" i="20"/>
  <c r="N26" i="20"/>
  <c r="M26" i="20"/>
  <c r="AQ25" i="20"/>
  <c r="AP25" i="20"/>
  <c r="AN25" i="20"/>
  <c r="AI25" i="20"/>
  <c r="AT25" i="20" s="1"/>
  <c r="AH25" i="20"/>
  <c r="AF25" i="20"/>
  <c r="AE25" i="20"/>
  <c r="AD25" i="20"/>
  <c r="AB25" i="20"/>
  <c r="AA25" i="20"/>
  <c r="Z25" i="20"/>
  <c r="Y25" i="20"/>
  <c r="X25" i="20"/>
  <c r="W25" i="20"/>
  <c r="P25" i="20"/>
  <c r="O25" i="20"/>
  <c r="N25" i="20"/>
  <c r="M25" i="20"/>
  <c r="AT24" i="20"/>
  <c r="AQ24" i="20"/>
  <c r="AP24" i="20"/>
  <c r="AO24" i="20"/>
  <c r="AV24" i="20" s="1"/>
  <c r="AN24" i="20"/>
  <c r="AI24" i="20"/>
  <c r="AH24" i="20"/>
  <c r="AF24" i="20"/>
  <c r="AE24" i="20"/>
  <c r="AC24" i="20"/>
  <c r="AA24" i="20"/>
  <c r="Z24" i="20"/>
  <c r="Y24" i="20"/>
  <c r="X24" i="20"/>
  <c r="W24" i="20"/>
  <c r="P24" i="20"/>
  <c r="O24" i="20"/>
  <c r="AD24" i="20" s="1"/>
  <c r="N24" i="20"/>
  <c r="M24" i="20"/>
  <c r="AP23" i="20"/>
  <c r="AN23" i="20"/>
  <c r="AI23" i="20"/>
  <c r="AT23" i="20" s="1"/>
  <c r="AH23" i="20"/>
  <c r="AF23" i="20"/>
  <c r="AE23" i="20"/>
  <c r="AD23" i="20"/>
  <c r="AC23" i="20"/>
  <c r="AA23" i="20"/>
  <c r="Z23" i="20"/>
  <c r="Y23" i="20"/>
  <c r="X23" i="20"/>
  <c r="W23" i="20"/>
  <c r="P23" i="20"/>
  <c r="O23" i="20"/>
  <c r="N23" i="20"/>
  <c r="M23" i="20"/>
  <c r="AB23" i="20" s="1"/>
  <c r="AI22" i="20"/>
  <c r="AH22" i="20"/>
  <c r="W22" i="20"/>
  <c r="AU21" i="20"/>
  <c r="AP21" i="20"/>
  <c r="AJ21" i="20"/>
  <c r="AI21" i="20"/>
  <c r="AT21" i="20" s="1"/>
  <c r="AH21" i="20"/>
  <c r="AF21" i="20"/>
  <c r="AE21" i="20"/>
  <c r="AC21" i="20"/>
  <c r="AB21" i="20"/>
  <c r="AA21" i="20"/>
  <c r="Z21" i="20"/>
  <c r="Y21" i="20"/>
  <c r="X21" i="20"/>
  <c r="W21" i="20"/>
  <c r="P21" i="20"/>
  <c r="O21" i="20"/>
  <c r="N21" i="20"/>
  <c r="M21" i="20"/>
  <c r="AU20" i="20"/>
  <c r="AP20" i="20"/>
  <c r="AO20" i="20"/>
  <c r="AV20" i="20" s="1"/>
  <c r="AN20" i="20"/>
  <c r="AI20" i="20"/>
  <c r="AT20" i="20" s="1"/>
  <c r="AH20" i="20"/>
  <c r="AF20" i="20"/>
  <c r="AE20" i="20"/>
  <c r="AD20" i="20"/>
  <c r="AC20" i="20"/>
  <c r="AB20" i="20"/>
  <c r="AA20" i="20"/>
  <c r="Z20" i="20"/>
  <c r="Y20" i="20"/>
  <c r="X20" i="20"/>
  <c r="W20" i="20"/>
  <c r="P20" i="20"/>
  <c r="O20" i="20"/>
  <c r="N20" i="20"/>
  <c r="M20" i="20"/>
  <c r="AP19" i="20"/>
  <c r="AN19" i="20"/>
  <c r="AI19" i="20"/>
  <c r="AJ19" i="20" s="1"/>
  <c r="AH19" i="20"/>
  <c r="AF19" i="20"/>
  <c r="AE19" i="20"/>
  <c r="AD19" i="20"/>
  <c r="AB19" i="20"/>
  <c r="AA19" i="20"/>
  <c r="Z19" i="20"/>
  <c r="Y19" i="20"/>
  <c r="X19" i="20"/>
  <c r="W19" i="20"/>
  <c r="P19" i="20"/>
  <c r="O19" i="20"/>
  <c r="N19" i="20"/>
  <c r="AC19" i="20" s="1"/>
  <c r="M19" i="20"/>
  <c r="AT18" i="20"/>
  <c r="AP18" i="20"/>
  <c r="AN18" i="20"/>
  <c r="AI18" i="20"/>
  <c r="AH18" i="20"/>
  <c r="AF18" i="20"/>
  <c r="AE18" i="20"/>
  <c r="AD18" i="20"/>
  <c r="AA18" i="20"/>
  <c r="Z18" i="20"/>
  <c r="Y18" i="20"/>
  <c r="X18" i="20"/>
  <c r="W18" i="20"/>
  <c r="P18" i="20"/>
  <c r="O18" i="20"/>
  <c r="N18" i="20"/>
  <c r="AC18" i="20" s="1"/>
  <c r="M18" i="20"/>
  <c r="AP17" i="20"/>
  <c r="AO17" i="20"/>
  <c r="AV17" i="20" s="1"/>
  <c r="AI17" i="20"/>
  <c r="AH17" i="20"/>
  <c r="AF17" i="20"/>
  <c r="AE17" i="20"/>
  <c r="AA17" i="20"/>
  <c r="Z17" i="20"/>
  <c r="Y17" i="20"/>
  <c r="X17" i="20"/>
  <c r="W17" i="20"/>
  <c r="P17" i="20"/>
  <c r="O17" i="20"/>
  <c r="N17" i="20"/>
  <c r="AC17" i="20" s="1"/>
  <c r="M17" i="20"/>
  <c r="AI16" i="20"/>
  <c r="AH16" i="20"/>
  <c r="W16" i="20"/>
  <c r="AP15" i="20"/>
  <c r="AN15" i="20"/>
  <c r="AI15" i="20"/>
  <c r="AJ15" i="20" s="1"/>
  <c r="AH15" i="20"/>
  <c r="AF15" i="20"/>
  <c r="AE15" i="20"/>
  <c r="AD15" i="20"/>
  <c r="AB15" i="20"/>
  <c r="AA15" i="20"/>
  <c r="Z15" i="20"/>
  <c r="Y15" i="20"/>
  <c r="X15" i="20"/>
  <c r="W15" i="20"/>
  <c r="P15" i="20"/>
  <c r="O15" i="20"/>
  <c r="N15" i="20"/>
  <c r="AC15" i="20" s="1"/>
  <c r="M15" i="20"/>
  <c r="AT14" i="20"/>
  <c r="AP14" i="20"/>
  <c r="AN14" i="20"/>
  <c r="AI14" i="20"/>
  <c r="AH14" i="20"/>
  <c r="AF14" i="20"/>
  <c r="AE14" i="20"/>
  <c r="AD14" i="20"/>
  <c r="AA14" i="20"/>
  <c r="Z14" i="20"/>
  <c r="Y14" i="20"/>
  <c r="X14" i="20"/>
  <c r="W14" i="20"/>
  <c r="P14" i="20"/>
  <c r="O14" i="20"/>
  <c r="N14" i="20"/>
  <c r="AC14" i="20" s="1"/>
  <c r="M14" i="20"/>
  <c r="AU13" i="20"/>
  <c r="AP13" i="20"/>
  <c r="AO13" i="20"/>
  <c r="AV13" i="20" s="1"/>
  <c r="AI13" i="20"/>
  <c r="AH13" i="20"/>
  <c r="AF13" i="20"/>
  <c r="AE13" i="20"/>
  <c r="AA13" i="20"/>
  <c r="Z13" i="20"/>
  <c r="Y13" i="20"/>
  <c r="X13" i="20"/>
  <c r="W13" i="20"/>
  <c r="P13" i="20"/>
  <c r="O13" i="20"/>
  <c r="N13" i="20"/>
  <c r="AC13" i="20" s="1"/>
  <c r="M13" i="20"/>
  <c r="AP12" i="20"/>
  <c r="AO12" i="20"/>
  <c r="AV12" i="20" s="1"/>
  <c r="AI12" i="20"/>
  <c r="AN12" i="20" s="1"/>
  <c r="AH12" i="20"/>
  <c r="AF12" i="20"/>
  <c r="AE12" i="20"/>
  <c r="AC12" i="20"/>
  <c r="AA12" i="20"/>
  <c r="Z12" i="20"/>
  <c r="Y12" i="20"/>
  <c r="X12" i="20"/>
  <c r="W12" i="20"/>
  <c r="P12" i="20"/>
  <c r="O12" i="20"/>
  <c r="AD12" i="20" s="1"/>
  <c r="N12" i="20"/>
  <c r="M12" i="20"/>
  <c r="AP11" i="20"/>
  <c r="AN11" i="20"/>
  <c r="AI11" i="20"/>
  <c r="AJ11" i="20" s="1"/>
  <c r="AH11" i="20"/>
  <c r="AF11" i="20"/>
  <c r="AE11" i="20"/>
  <c r="AD11" i="20"/>
  <c r="AB11" i="20"/>
  <c r="AA11" i="20"/>
  <c r="Z11" i="20"/>
  <c r="Y11" i="20"/>
  <c r="X11" i="20"/>
  <c r="W11" i="20"/>
  <c r="P11" i="20"/>
  <c r="O11" i="20"/>
  <c r="AQ11" i="20" s="1"/>
  <c r="N11" i="20"/>
  <c r="M11" i="20"/>
  <c r="AP10" i="20"/>
  <c r="AO10" i="20"/>
  <c r="AV10" i="20" s="1"/>
  <c r="AI10" i="20"/>
  <c r="AN10" i="20" s="1"/>
  <c r="AH10" i="20"/>
  <c r="AF10" i="20"/>
  <c r="AE10" i="20"/>
  <c r="AC10" i="20"/>
  <c r="AA10" i="20"/>
  <c r="Z10" i="20"/>
  <c r="Y10" i="20"/>
  <c r="X10" i="20"/>
  <c r="W10" i="20"/>
  <c r="P10" i="20"/>
  <c r="O10" i="20"/>
  <c r="AD10" i="20" s="1"/>
  <c r="N10" i="20"/>
  <c r="M10" i="20"/>
  <c r="AI9" i="20"/>
  <c r="AH9" i="20"/>
  <c r="W9" i="20"/>
  <c r="AP8" i="20"/>
  <c r="AI8" i="20"/>
  <c r="AH8" i="20"/>
  <c r="AF8" i="20"/>
  <c r="AE8" i="20"/>
  <c r="AB8" i="20"/>
  <c r="AA8" i="20"/>
  <c r="Z8" i="20"/>
  <c r="Y8" i="20"/>
  <c r="X8" i="20"/>
  <c r="W8" i="20"/>
  <c r="P8" i="20"/>
  <c r="O8" i="20"/>
  <c r="AD8" i="20" s="1"/>
  <c r="N8" i="20"/>
  <c r="M8" i="20"/>
  <c r="AP7" i="20"/>
  <c r="AI7" i="20"/>
  <c r="AN7" i="20" s="1"/>
  <c r="AH7" i="20"/>
  <c r="AF7" i="20"/>
  <c r="AE7" i="20"/>
  <c r="AC7" i="20"/>
  <c r="AB7" i="20"/>
  <c r="AA7" i="20"/>
  <c r="Z7" i="20"/>
  <c r="Y7" i="20"/>
  <c r="X7" i="20"/>
  <c r="W7" i="20"/>
  <c r="P7" i="20"/>
  <c r="O7" i="20"/>
  <c r="AD7" i="20" s="1"/>
  <c r="N7" i="20"/>
  <c r="M7" i="20"/>
  <c r="AO6" i="20"/>
  <c r="AI6" i="20"/>
  <c r="AN6" i="20" s="1"/>
  <c r="AH6" i="20"/>
  <c r="AF6" i="20"/>
  <c r="AE6" i="20"/>
  <c r="AC6" i="20"/>
  <c r="AA6" i="20"/>
  <c r="Z6" i="20"/>
  <c r="Y6" i="20"/>
  <c r="X6" i="20"/>
  <c r="W6" i="20"/>
  <c r="P6" i="20"/>
  <c r="O6" i="20"/>
  <c r="AD6" i="20" s="1"/>
  <c r="N6" i="20"/>
  <c r="M6" i="20"/>
  <c r="AI5" i="20"/>
  <c r="AH5" i="20"/>
  <c r="W5" i="20"/>
  <c r="AI4" i="20"/>
  <c r="AP3" i="20"/>
  <c r="AO3" i="20"/>
  <c r="AI3" i="20"/>
  <c r="AH3" i="20"/>
  <c r="AN2" i="20"/>
  <c r="AM2" i="20"/>
  <c r="AL2" i="20"/>
  <c r="AK2" i="20"/>
  <c r="AJ2" i="20"/>
  <c r="AJ24" i="20" s="1"/>
  <c r="AA2" i="20"/>
  <c r="A2" i="20"/>
  <c r="AU1" i="20"/>
  <c r="AR1" i="20"/>
  <c r="AR39" i="20" s="1"/>
  <c r="AQ1" i="20"/>
  <c r="AQ8" i="20" s="1"/>
  <c r="AP1" i="20"/>
  <c r="AP56" i="20" s="1"/>
  <c r="AO1" i="20"/>
  <c r="AO54" i="20" s="1"/>
  <c r="AA1" i="20"/>
  <c r="A1" i="20"/>
  <c r="AJ1" i="20" s="1"/>
  <c r="AP43" i="19"/>
  <c r="AI43" i="19"/>
  <c r="AT43" i="19" s="1"/>
  <c r="AH43" i="19"/>
  <c r="AF43" i="19"/>
  <c r="AE43" i="19"/>
  <c r="AD43" i="19"/>
  <c r="AB43" i="19"/>
  <c r="AA43" i="19"/>
  <c r="Z43" i="19"/>
  <c r="Y43" i="19"/>
  <c r="X43" i="19"/>
  <c r="W43" i="19"/>
  <c r="P43" i="19"/>
  <c r="O43" i="19"/>
  <c r="N43" i="19"/>
  <c r="M43" i="19"/>
  <c r="AU42" i="19"/>
  <c r="AT42" i="19"/>
  <c r="AP42" i="19"/>
  <c r="AO42" i="19"/>
  <c r="AV42" i="19" s="1"/>
  <c r="AI42" i="19"/>
  <c r="AH42" i="19"/>
  <c r="AF42" i="19"/>
  <c r="AE42" i="19"/>
  <c r="AC42" i="19"/>
  <c r="AA42" i="19"/>
  <c r="Z42" i="19"/>
  <c r="Y42" i="19"/>
  <c r="X42" i="19"/>
  <c r="W42" i="19"/>
  <c r="P42" i="19"/>
  <c r="O42" i="19"/>
  <c r="AD42" i="19" s="1"/>
  <c r="N42" i="19"/>
  <c r="M42" i="19"/>
  <c r="AV41" i="19"/>
  <c r="AP41" i="19"/>
  <c r="AO41" i="19"/>
  <c r="AI41" i="19"/>
  <c r="AT41" i="19" s="1"/>
  <c r="AH41" i="19"/>
  <c r="AF41" i="19"/>
  <c r="AE41" i="19"/>
  <c r="AD41" i="19"/>
  <c r="AC41" i="19"/>
  <c r="AA41" i="19"/>
  <c r="Z41" i="19"/>
  <c r="Y41" i="19"/>
  <c r="X41" i="19"/>
  <c r="W41" i="19"/>
  <c r="P41" i="19"/>
  <c r="O41" i="19"/>
  <c r="AQ41" i="19" s="1"/>
  <c r="N41" i="19"/>
  <c r="M41" i="19"/>
  <c r="AB41" i="19" s="1"/>
  <c r="AI40" i="19"/>
  <c r="AH40" i="19"/>
  <c r="W40" i="19"/>
  <c r="AU39" i="19"/>
  <c r="AP39" i="19"/>
  <c r="AJ39" i="19"/>
  <c r="AI39" i="19"/>
  <c r="AT39" i="19" s="1"/>
  <c r="AH39" i="19"/>
  <c r="AF39" i="19"/>
  <c r="AE39" i="19"/>
  <c r="AC39" i="19"/>
  <c r="AB39" i="19"/>
  <c r="AA39" i="19"/>
  <c r="Z39" i="19"/>
  <c r="Y39" i="19"/>
  <c r="X39" i="19"/>
  <c r="W39" i="19"/>
  <c r="P39" i="19"/>
  <c r="O39" i="19"/>
  <c r="AD39" i="19" s="1"/>
  <c r="N39" i="19"/>
  <c r="AO39" i="19" s="1"/>
  <c r="AV39" i="19" s="1"/>
  <c r="M39" i="19"/>
  <c r="AU38" i="19"/>
  <c r="AJ38" i="19"/>
  <c r="AI38" i="19"/>
  <c r="AT38" i="19" s="1"/>
  <c r="AH38" i="19"/>
  <c r="AF38" i="19"/>
  <c r="AE38" i="19"/>
  <c r="AC38" i="19"/>
  <c r="AA38" i="19"/>
  <c r="Z38" i="19"/>
  <c r="Y38" i="19"/>
  <c r="X38" i="19"/>
  <c r="W38" i="19"/>
  <c r="P38" i="19"/>
  <c r="O38" i="19"/>
  <c r="AD38" i="19" s="1"/>
  <c r="N38" i="19"/>
  <c r="M38" i="19"/>
  <c r="AB38" i="19" s="1"/>
  <c r="AI37" i="19"/>
  <c r="AH37" i="19"/>
  <c r="W37" i="19"/>
  <c r="AP36" i="19"/>
  <c r="AI36" i="19"/>
  <c r="AH36" i="19"/>
  <c r="AF36" i="19"/>
  <c r="AE36" i="19"/>
  <c r="AB36" i="19"/>
  <c r="AA36" i="19"/>
  <c r="Z36" i="19"/>
  <c r="Y36" i="19"/>
  <c r="X36" i="19"/>
  <c r="W36" i="19"/>
  <c r="P36" i="19"/>
  <c r="O36" i="19"/>
  <c r="AD36" i="19" s="1"/>
  <c r="N36" i="19"/>
  <c r="AO36" i="19" s="1"/>
  <c r="AV36" i="19" s="1"/>
  <c r="M36" i="19"/>
  <c r="AU35" i="19"/>
  <c r="AJ35" i="19"/>
  <c r="AI35" i="19"/>
  <c r="AT35" i="19" s="1"/>
  <c r="AH35" i="19"/>
  <c r="AF35" i="19"/>
  <c r="AE35" i="19"/>
  <c r="AC35" i="19"/>
  <c r="AB35" i="19"/>
  <c r="AA35" i="19"/>
  <c r="Z35" i="19"/>
  <c r="Y35" i="19"/>
  <c r="X35" i="19"/>
  <c r="W35" i="19"/>
  <c r="P35" i="19"/>
  <c r="O35" i="19"/>
  <c r="AD35" i="19" s="1"/>
  <c r="N35" i="19"/>
  <c r="M35" i="19"/>
  <c r="AU34" i="19"/>
  <c r="AP34" i="19"/>
  <c r="AO34" i="19"/>
  <c r="AV34" i="19" s="1"/>
  <c r="AN34" i="19"/>
  <c r="AI34" i="19"/>
  <c r="AT34" i="19" s="1"/>
  <c r="AH34" i="19"/>
  <c r="AF34" i="19"/>
  <c r="AE34" i="19"/>
  <c r="AD34" i="19"/>
  <c r="AC34" i="19"/>
  <c r="AB34" i="19"/>
  <c r="AA34" i="19"/>
  <c r="Z34" i="19"/>
  <c r="Y34" i="19"/>
  <c r="X34" i="19"/>
  <c r="W34" i="19"/>
  <c r="P34" i="19"/>
  <c r="O34" i="19"/>
  <c r="AQ34" i="19" s="1"/>
  <c r="N34" i="19"/>
  <c r="M34" i="19"/>
  <c r="AI33" i="19"/>
  <c r="AH33" i="19"/>
  <c r="W33" i="19"/>
  <c r="AV32" i="19"/>
  <c r="AQ32" i="19"/>
  <c r="AP32" i="19"/>
  <c r="AO32" i="19"/>
  <c r="AJ32" i="19"/>
  <c r="AI32" i="19"/>
  <c r="AH32" i="19"/>
  <c r="AF32" i="19"/>
  <c r="AE32" i="19"/>
  <c r="AC32" i="19"/>
  <c r="AA32" i="19"/>
  <c r="Z32" i="19"/>
  <c r="Y32" i="19"/>
  <c r="X32" i="19"/>
  <c r="W32" i="19"/>
  <c r="P32" i="19"/>
  <c r="O32" i="19"/>
  <c r="AD32" i="19" s="1"/>
  <c r="N32" i="19"/>
  <c r="M32" i="19"/>
  <c r="AP31" i="19"/>
  <c r="AN31" i="19"/>
  <c r="AI31" i="19"/>
  <c r="AJ31" i="19" s="1"/>
  <c r="AH31" i="19"/>
  <c r="AF31" i="19"/>
  <c r="AE31" i="19"/>
  <c r="AD31" i="19"/>
  <c r="AB31" i="19"/>
  <c r="AA31" i="19"/>
  <c r="Z31" i="19"/>
  <c r="Y31" i="19"/>
  <c r="X31" i="19"/>
  <c r="W31" i="19"/>
  <c r="P31" i="19"/>
  <c r="O31" i="19"/>
  <c r="N31" i="19"/>
  <c r="AO31" i="19" s="1"/>
  <c r="AV31" i="19" s="1"/>
  <c r="M31" i="19"/>
  <c r="AI30" i="19"/>
  <c r="AH30" i="19"/>
  <c r="W30" i="19"/>
  <c r="AV29" i="19"/>
  <c r="AU29" i="19"/>
  <c r="AP29" i="19"/>
  <c r="AO29" i="19"/>
  <c r="AI29" i="19"/>
  <c r="AH29" i="19"/>
  <c r="AF29" i="19"/>
  <c r="AE29" i="19"/>
  <c r="AD29" i="19"/>
  <c r="AA29" i="19"/>
  <c r="Z29" i="19"/>
  <c r="Y29" i="19"/>
  <c r="X29" i="19"/>
  <c r="W29" i="19"/>
  <c r="P29" i="19"/>
  <c r="O29" i="19"/>
  <c r="N29" i="19"/>
  <c r="AC29" i="19" s="1"/>
  <c r="M29" i="19"/>
  <c r="AO28" i="19"/>
  <c r="AI28" i="19"/>
  <c r="AH28" i="19"/>
  <c r="AF28" i="19"/>
  <c r="AE28" i="19"/>
  <c r="AC28" i="19"/>
  <c r="AA28" i="19"/>
  <c r="Z28" i="19"/>
  <c r="Y28" i="19"/>
  <c r="X28" i="19"/>
  <c r="W28" i="19"/>
  <c r="P28" i="19"/>
  <c r="O28" i="19"/>
  <c r="AD28" i="19" s="1"/>
  <c r="N28" i="19"/>
  <c r="M28" i="19"/>
  <c r="AB28" i="19" s="1"/>
  <c r="AQ27" i="19"/>
  <c r="AP27" i="19"/>
  <c r="AI27" i="19"/>
  <c r="AT27" i="19" s="1"/>
  <c r="AH27" i="19"/>
  <c r="AF27" i="19"/>
  <c r="AE27" i="19"/>
  <c r="AD27" i="19"/>
  <c r="AB27" i="19"/>
  <c r="AA27" i="19"/>
  <c r="Z27" i="19"/>
  <c r="Y27" i="19"/>
  <c r="X27" i="19"/>
  <c r="W27" i="19"/>
  <c r="P27" i="19"/>
  <c r="O27" i="19"/>
  <c r="N27" i="19"/>
  <c r="AO27" i="19" s="1"/>
  <c r="AV27" i="19" s="1"/>
  <c r="M27" i="19"/>
  <c r="AQ26" i="19"/>
  <c r="AI26" i="19"/>
  <c r="AT26" i="19" s="1"/>
  <c r="AH26" i="19"/>
  <c r="AF26" i="19"/>
  <c r="AE26" i="19"/>
  <c r="AD26" i="19"/>
  <c r="AC26" i="19"/>
  <c r="AB26" i="19"/>
  <c r="AA26" i="19"/>
  <c r="Z26" i="19"/>
  <c r="Y26" i="19"/>
  <c r="X26" i="19"/>
  <c r="W26" i="19"/>
  <c r="P26" i="19"/>
  <c r="O26" i="19"/>
  <c r="N26" i="19"/>
  <c r="M26" i="19"/>
  <c r="AP25" i="19"/>
  <c r="AI25" i="19"/>
  <c r="AT25" i="19" s="1"/>
  <c r="AH25" i="19"/>
  <c r="AF25" i="19"/>
  <c r="AE25" i="19"/>
  <c r="AD25" i="19"/>
  <c r="AB25" i="19"/>
  <c r="AA25" i="19"/>
  <c r="Z25" i="19"/>
  <c r="Y25" i="19"/>
  <c r="X25" i="19"/>
  <c r="W25" i="19"/>
  <c r="P25" i="19"/>
  <c r="O25" i="19"/>
  <c r="N25" i="19"/>
  <c r="AO25" i="19" s="1"/>
  <c r="AV25" i="19" s="1"/>
  <c r="M25" i="19"/>
  <c r="AT24" i="19"/>
  <c r="AI24" i="19"/>
  <c r="AH24" i="19"/>
  <c r="AF24" i="19"/>
  <c r="AE24" i="19"/>
  <c r="AA24" i="19"/>
  <c r="Z24" i="19"/>
  <c r="Y24" i="19"/>
  <c r="X24" i="19"/>
  <c r="W24" i="19"/>
  <c r="P24" i="19"/>
  <c r="O24" i="19"/>
  <c r="N24" i="19"/>
  <c r="AC24" i="19" s="1"/>
  <c r="M24" i="19"/>
  <c r="AU23" i="19"/>
  <c r="AQ23" i="19"/>
  <c r="AP23" i="19"/>
  <c r="AO23" i="19"/>
  <c r="AV23" i="19" s="1"/>
  <c r="AI23" i="19"/>
  <c r="AH23" i="19"/>
  <c r="AF23" i="19"/>
  <c r="AE23" i="19"/>
  <c r="AD23" i="19"/>
  <c r="AA23" i="19"/>
  <c r="Z23" i="19"/>
  <c r="Y23" i="19"/>
  <c r="X23" i="19"/>
  <c r="W23" i="19"/>
  <c r="P23" i="19"/>
  <c r="O23" i="19"/>
  <c r="N23" i="19"/>
  <c r="AC23" i="19" s="1"/>
  <c r="M23" i="19"/>
  <c r="AI22" i="19"/>
  <c r="AH22" i="19"/>
  <c r="W22" i="19"/>
  <c r="AT21" i="19"/>
  <c r="AI21" i="19"/>
  <c r="AH21" i="19"/>
  <c r="AF21" i="19"/>
  <c r="AE21" i="19"/>
  <c r="AD21" i="19"/>
  <c r="AB21" i="19"/>
  <c r="AA21" i="19"/>
  <c r="Z21" i="19"/>
  <c r="Y21" i="19"/>
  <c r="X21" i="19"/>
  <c r="W21" i="19"/>
  <c r="P21" i="19"/>
  <c r="O21" i="19"/>
  <c r="N21" i="19"/>
  <c r="AO21" i="19" s="1"/>
  <c r="M21" i="19"/>
  <c r="AT20" i="19"/>
  <c r="AP20" i="19"/>
  <c r="AO20" i="19"/>
  <c r="AV20" i="19" s="1"/>
  <c r="AI20" i="19"/>
  <c r="AH20" i="19"/>
  <c r="AF20" i="19"/>
  <c r="AE20" i="19"/>
  <c r="AC20" i="19"/>
  <c r="AA20" i="19"/>
  <c r="Z20" i="19"/>
  <c r="Y20" i="19"/>
  <c r="X20" i="19"/>
  <c r="W20" i="19"/>
  <c r="P20" i="19"/>
  <c r="O20" i="19"/>
  <c r="N20" i="19"/>
  <c r="M20" i="19"/>
  <c r="AU19" i="19"/>
  <c r="AQ19" i="19"/>
  <c r="AP19" i="19"/>
  <c r="AO19" i="19"/>
  <c r="AV19" i="19" s="1"/>
  <c r="AI19" i="19"/>
  <c r="AH19" i="19"/>
  <c r="AF19" i="19"/>
  <c r="AE19" i="19"/>
  <c r="AD19" i="19"/>
  <c r="AA19" i="19"/>
  <c r="Z19" i="19"/>
  <c r="Y19" i="19"/>
  <c r="X19" i="19"/>
  <c r="W19" i="19"/>
  <c r="P19" i="19"/>
  <c r="O19" i="19"/>
  <c r="N19" i="19"/>
  <c r="AC19" i="19" s="1"/>
  <c r="M19" i="19"/>
  <c r="AO18" i="19"/>
  <c r="AI18" i="19"/>
  <c r="AH18" i="19"/>
  <c r="AF18" i="19"/>
  <c r="AE18" i="19"/>
  <c r="AC18" i="19"/>
  <c r="AA18" i="19"/>
  <c r="Z18" i="19"/>
  <c r="Y18" i="19"/>
  <c r="X18" i="19"/>
  <c r="W18" i="19"/>
  <c r="P18" i="19"/>
  <c r="O18" i="19"/>
  <c r="AD18" i="19" s="1"/>
  <c r="N18" i="19"/>
  <c r="M18" i="19"/>
  <c r="AB18" i="19" s="1"/>
  <c r="AI17" i="19"/>
  <c r="AH17" i="19"/>
  <c r="W17" i="19"/>
  <c r="AU16" i="19"/>
  <c r="AP16" i="19"/>
  <c r="AJ16" i="19"/>
  <c r="AI16" i="19"/>
  <c r="AT16" i="19" s="1"/>
  <c r="AH16" i="19"/>
  <c r="AF16" i="19"/>
  <c r="AE16" i="19"/>
  <c r="AD16" i="19"/>
  <c r="AB16" i="19"/>
  <c r="AA16" i="19"/>
  <c r="Z16" i="19"/>
  <c r="Y16" i="19"/>
  <c r="X16" i="19"/>
  <c r="W16" i="19"/>
  <c r="P16" i="19"/>
  <c r="O16" i="19"/>
  <c r="N16" i="19"/>
  <c r="M16" i="19"/>
  <c r="AU15" i="19"/>
  <c r="AT15" i="19"/>
  <c r="AJ15" i="19"/>
  <c r="AI15" i="19"/>
  <c r="AH15" i="19"/>
  <c r="AF15" i="19"/>
  <c r="AE15" i="19"/>
  <c r="AC15" i="19"/>
  <c r="AA15" i="19"/>
  <c r="Z15" i="19"/>
  <c r="Y15" i="19"/>
  <c r="X15" i="19"/>
  <c r="W15" i="19"/>
  <c r="P15" i="19"/>
  <c r="O15" i="19"/>
  <c r="AD15" i="19" s="1"/>
  <c r="N15" i="19"/>
  <c r="M15" i="19"/>
  <c r="AU14" i="19"/>
  <c r="AP14" i="19"/>
  <c r="AI14" i="19"/>
  <c r="AH14" i="19"/>
  <c r="AF14" i="19"/>
  <c r="AE14" i="19"/>
  <c r="AD14" i="19"/>
  <c r="AB14" i="19"/>
  <c r="AA14" i="19"/>
  <c r="Z14" i="19"/>
  <c r="Y14" i="19"/>
  <c r="X14" i="19"/>
  <c r="W14" i="19"/>
  <c r="P14" i="19"/>
  <c r="O14" i="19"/>
  <c r="AQ14" i="19" s="1"/>
  <c r="N14" i="19"/>
  <c r="AO14" i="19" s="1"/>
  <c r="AV14" i="19" s="1"/>
  <c r="M14" i="19"/>
  <c r="AT13" i="19"/>
  <c r="AP13" i="19"/>
  <c r="AJ13" i="19"/>
  <c r="AI13" i="19"/>
  <c r="AN13" i="19" s="1"/>
  <c r="AH13" i="19"/>
  <c r="AF13" i="19"/>
  <c r="AE13" i="19"/>
  <c r="AC13" i="19"/>
  <c r="AA13" i="19"/>
  <c r="Z13" i="19"/>
  <c r="Y13" i="19"/>
  <c r="X13" i="19"/>
  <c r="W13" i="19"/>
  <c r="P13" i="19"/>
  <c r="O13" i="19"/>
  <c r="N13" i="19"/>
  <c r="AO13" i="19" s="1"/>
  <c r="AV13" i="19" s="1"/>
  <c r="M13" i="19"/>
  <c r="AU12" i="19"/>
  <c r="AP12" i="19"/>
  <c r="AN12" i="19"/>
  <c r="AI12" i="19"/>
  <c r="AT12" i="19" s="1"/>
  <c r="AH12" i="19"/>
  <c r="AF12" i="19"/>
  <c r="AE12" i="19"/>
  <c r="AD12" i="19"/>
  <c r="AB12" i="19"/>
  <c r="AA12" i="19"/>
  <c r="Z12" i="19"/>
  <c r="Y12" i="19"/>
  <c r="X12" i="19"/>
  <c r="W12" i="19"/>
  <c r="P12" i="19"/>
  <c r="O12" i="19"/>
  <c r="N12" i="19"/>
  <c r="AC12" i="19" s="1"/>
  <c r="M12" i="19"/>
  <c r="AP11" i="19"/>
  <c r="AO11" i="19"/>
  <c r="AV11" i="19" s="1"/>
  <c r="AI11" i="19"/>
  <c r="AN11" i="19" s="1"/>
  <c r="AH11" i="19"/>
  <c r="AF11" i="19"/>
  <c r="AE11" i="19"/>
  <c r="AC11" i="19"/>
  <c r="AA11" i="19"/>
  <c r="Z11" i="19"/>
  <c r="Y11" i="19"/>
  <c r="X11" i="19"/>
  <c r="W11" i="19"/>
  <c r="P11" i="19"/>
  <c r="O11" i="19"/>
  <c r="AD11" i="19" s="1"/>
  <c r="N11" i="19"/>
  <c r="M11" i="19"/>
  <c r="AI10" i="19"/>
  <c r="AH10" i="19"/>
  <c r="W10" i="19"/>
  <c r="AT9" i="19"/>
  <c r="AP9" i="19"/>
  <c r="AJ9" i="19"/>
  <c r="AI9" i="19"/>
  <c r="AH9" i="19"/>
  <c r="AF9" i="19"/>
  <c r="AE9" i="19"/>
  <c r="AC9" i="19"/>
  <c r="AA9" i="19"/>
  <c r="Z9" i="19"/>
  <c r="Y9" i="19"/>
  <c r="X9" i="19"/>
  <c r="W9" i="19"/>
  <c r="P9" i="19"/>
  <c r="O9" i="19"/>
  <c r="N9" i="19"/>
  <c r="AO9" i="19" s="1"/>
  <c r="AV9" i="19" s="1"/>
  <c r="M9" i="19"/>
  <c r="AI8" i="19"/>
  <c r="AH8" i="19"/>
  <c r="W8" i="19"/>
  <c r="AU7" i="19"/>
  <c r="AT7" i="19"/>
  <c r="AQ7" i="19"/>
  <c r="AJ7" i="19"/>
  <c r="AI7" i="19"/>
  <c r="AH7" i="19"/>
  <c r="AF7" i="19"/>
  <c r="AE7" i="19"/>
  <c r="AC7" i="19"/>
  <c r="AA7" i="19"/>
  <c r="Z7" i="19"/>
  <c r="Y7" i="19"/>
  <c r="X7" i="19"/>
  <c r="W7" i="19"/>
  <c r="P7" i="19"/>
  <c r="O7" i="19"/>
  <c r="AD7" i="19" s="1"/>
  <c r="N7" i="19"/>
  <c r="M7" i="19"/>
  <c r="AU6" i="19"/>
  <c r="AI6" i="19"/>
  <c r="AH6" i="19"/>
  <c r="AF6" i="19"/>
  <c r="AE6" i="19"/>
  <c r="AD6" i="19"/>
  <c r="AB6" i="19"/>
  <c r="AA6" i="19"/>
  <c r="Z6" i="19"/>
  <c r="Y6" i="19"/>
  <c r="X6" i="19"/>
  <c r="W6" i="19"/>
  <c r="P6" i="19"/>
  <c r="O6" i="19"/>
  <c r="AQ6" i="19" s="1"/>
  <c r="N6" i="19"/>
  <c r="AO6" i="19" s="1"/>
  <c r="M6" i="19"/>
  <c r="AI5" i="19"/>
  <c r="AH5" i="19"/>
  <c r="W5" i="19"/>
  <c r="AI4" i="19"/>
  <c r="AU3" i="19"/>
  <c r="AO3" i="19"/>
  <c r="AI3" i="19"/>
  <c r="AH3" i="19"/>
  <c r="AN2" i="19"/>
  <c r="AN43" i="19" s="1"/>
  <c r="AM2" i="19"/>
  <c r="AL2" i="19"/>
  <c r="AK2" i="19"/>
  <c r="AJ2" i="19"/>
  <c r="AJ43" i="19" s="1"/>
  <c r="AA2" i="19"/>
  <c r="A2" i="19"/>
  <c r="AU1" i="19"/>
  <c r="AR1" i="19"/>
  <c r="AR41" i="19" s="1"/>
  <c r="AQ1" i="19"/>
  <c r="AQ39" i="19" s="1"/>
  <c r="AP1" i="19"/>
  <c r="AP35" i="19" s="1"/>
  <c r="AO1" i="19"/>
  <c r="AO15" i="19" s="1"/>
  <c r="AA1" i="19"/>
  <c r="A1" i="19"/>
  <c r="AH1" i="19" s="1"/>
  <c r="AH2" i="19" s="1"/>
  <c r="AU15" i="18"/>
  <c r="AT15" i="18"/>
  <c r="AP15" i="18"/>
  <c r="AO15" i="18"/>
  <c r="AV15" i="18" s="1"/>
  <c r="AN15" i="18"/>
  <c r="AI15" i="18"/>
  <c r="AH15" i="18"/>
  <c r="AF15" i="18"/>
  <c r="AE15" i="18"/>
  <c r="AC15" i="18"/>
  <c r="AA15" i="18"/>
  <c r="Z15" i="18"/>
  <c r="Y15" i="18"/>
  <c r="X15" i="18"/>
  <c r="W15" i="18"/>
  <c r="P15" i="18"/>
  <c r="O15" i="18"/>
  <c r="AD15" i="18" s="1"/>
  <c r="N15" i="18"/>
  <c r="M15" i="18"/>
  <c r="AU14" i="18"/>
  <c r="AP14" i="18"/>
  <c r="AI14" i="18"/>
  <c r="AH14" i="18"/>
  <c r="AF14" i="18"/>
  <c r="AE14" i="18"/>
  <c r="AD14" i="18"/>
  <c r="AB14" i="18"/>
  <c r="AA14" i="18"/>
  <c r="Z14" i="18"/>
  <c r="Y14" i="18"/>
  <c r="X14" i="18"/>
  <c r="W14" i="18"/>
  <c r="P14" i="18"/>
  <c r="O14" i="18"/>
  <c r="N14" i="18"/>
  <c r="AO14" i="18" s="1"/>
  <c r="AV14" i="18" s="1"/>
  <c r="M14" i="18"/>
  <c r="AT13" i="18"/>
  <c r="AP13" i="18"/>
  <c r="AI13" i="18"/>
  <c r="AN13" i="18" s="1"/>
  <c r="AH13" i="18"/>
  <c r="AF13" i="18"/>
  <c r="AE13" i="18"/>
  <c r="AC13" i="18"/>
  <c r="AA13" i="18"/>
  <c r="Z13" i="18"/>
  <c r="Y13" i="18"/>
  <c r="X13" i="18"/>
  <c r="W13" i="18"/>
  <c r="P13" i="18"/>
  <c r="O13" i="18"/>
  <c r="N13" i="18"/>
  <c r="AO13" i="18" s="1"/>
  <c r="AV13" i="18" s="1"/>
  <c r="M13" i="18"/>
  <c r="AU12" i="18"/>
  <c r="AP12" i="18"/>
  <c r="AN12" i="18"/>
  <c r="AI12" i="18"/>
  <c r="AT12" i="18" s="1"/>
  <c r="AH12" i="18"/>
  <c r="AF12" i="18"/>
  <c r="AE12" i="18"/>
  <c r="AD12" i="18"/>
  <c r="AB12" i="18"/>
  <c r="AA12" i="18"/>
  <c r="Z12" i="18"/>
  <c r="Y12" i="18"/>
  <c r="X12" i="18"/>
  <c r="W12" i="18"/>
  <c r="P12" i="18"/>
  <c r="O12" i="18"/>
  <c r="N12" i="18"/>
  <c r="AC12" i="18" s="1"/>
  <c r="M12" i="18"/>
  <c r="AV11" i="18"/>
  <c r="AT11" i="18"/>
  <c r="AP11" i="18"/>
  <c r="AO11" i="18"/>
  <c r="AJ11" i="18"/>
  <c r="AI11" i="18"/>
  <c r="AN11" i="18" s="1"/>
  <c r="AH11" i="18"/>
  <c r="AF11" i="18"/>
  <c r="AE11" i="18"/>
  <c r="AC11" i="18"/>
  <c r="AB11" i="18"/>
  <c r="AA11" i="18"/>
  <c r="Z11" i="18"/>
  <c r="Y11" i="18"/>
  <c r="X11" i="18"/>
  <c r="W11" i="18"/>
  <c r="P11" i="18"/>
  <c r="O11" i="18"/>
  <c r="AD11" i="18" s="1"/>
  <c r="N11" i="18"/>
  <c r="M11" i="18"/>
  <c r="AU10" i="18"/>
  <c r="AT10" i="18"/>
  <c r="AP10" i="18"/>
  <c r="AN10" i="18"/>
  <c r="AJ10" i="18"/>
  <c r="AI10" i="18"/>
  <c r="AH10" i="18"/>
  <c r="AF10" i="18"/>
  <c r="AE10" i="18"/>
  <c r="AD10" i="18"/>
  <c r="AC10" i="18"/>
  <c r="AB10" i="18"/>
  <c r="AA10" i="18"/>
  <c r="Z10" i="18"/>
  <c r="Y10" i="18"/>
  <c r="X10" i="18"/>
  <c r="W10" i="18"/>
  <c r="P10" i="18"/>
  <c r="O10" i="18"/>
  <c r="N10" i="18"/>
  <c r="AO10" i="18" s="1"/>
  <c r="AV10" i="18" s="1"/>
  <c r="M10" i="18"/>
  <c r="AV9" i="18"/>
  <c r="AU9" i="18"/>
  <c r="AT9" i="18"/>
  <c r="AP9" i="18"/>
  <c r="AO9" i="18"/>
  <c r="AN9" i="18"/>
  <c r="AI9" i="18"/>
  <c r="AH9" i="18"/>
  <c r="AF9" i="18"/>
  <c r="AE9" i="18"/>
  <c r="AC9" i="18"/>
  <c r="AA9" i="18"/>
  <c r="Z9" i="18"/>
  <c r="Y9" i="18"/>
  <c r="X9" i="18"/>
  <c r="W9" i="18"/>
  <c r="P9" i="18"/>
  <c r="O9" i="18"/>
  <c r="AD9" i="18" s="1"/>
  <c r="N9" i="18"/>
  <c r="M9" i="18"/>
  <c r="AU8" i="18"/>
  <c r="AP8" i="18"/>
  <c r="AO8" i="18"/>
  <c r="AV8" i="18" s="1"/>
  <c r="AI8" i="18"/>
  <c r="AH8" i="18"/>
  <c r="AF8" i="18"/>
  <c r="AE8" i="18"/>
  <c r="AD8" i="18"/>
  <c r="AA8" i="18"/>
  <c r="Z8" i="18"/>
  <c r="Y8" i="18"/>
  <c r="X8" i="18"/>
  <c r="W8" i="18"/>
  <c r="P8" i="18"/>
  <c r="O8" i="18"/>
  <c r="N8" i="18"/>
  <c r="AC8" i="18" s="1"/>
  <c r="M8" i="18"/>
  <c r="AB8" i="18" s="1"/>
  <c r="AT7" i="18"/>
  <c r="AP7" i="18"/>
  <c r="AI7" i="18"/>
  <c r="AN7" i="18" s="1"/>
  <c r="AH7" i="18"/>
  <c r="AF7" i="18"/>
  <c r="AE7" i="18"/>
  <c r="AC7" i="18"/>
  <c r="AA7" i="18"/>
  <c r="Z7" i="18"/>
  <c r="Y7" i="18"/>
  <c r="X7" i="18"/>
  <c r="W7" i="18"/>
  <c r="P7" i="18"/>
  <c r="O7" i="18"/>
  <c r="AD7" i="18" s="1"/>
  <c r="N7" i="18"/>
  <c r="AO7" i="18" s="1"/>
  <c r="AV7" i="18" s="1"/>
  <c r="M7" i="18"/>
  <c r="AU6" i="18"/>
  <c r="AP6" i="18"/>
  <c r="AI6" i="18"/>
  <c r="AH6" i="18"/>
  <c r="AF6" i="18"/>
  <c r="AE6" i="18"/>
  <c r="AB6" i="18"/>
  <c r="AA6" i="18"/>
  <c r="Z6" i="18"/>
  <c r="Y6" i="18"/>
  <c r="X6" i="18"/>
  <c r="W6" i="18"/>
  <c r="P6" i="18"/>
  <c r="O6" i="18"/>
  <c r="AQ6" i="18" s="1"/>
  <c r="N6" i="18"/>
  <c r="AC6" i="18" s="1"/>
  <c r="M6" i="18"/>
  <c r="AI5" i="18"/>
  <c r="AH5" i="18"/>
  <c r="W5" i="18"/>
  <c r="AI4" i="18"/>
  <c r="AU3" i="18"/>
  <c r="AO3" i="18"/>
  <c r="AI3" i="18"/>
  <c r="AH3" i="18"/>
  <c r="AN2" i="18"/>
  <c r="AM2" i="18"/>
  <c r="AL2" i="18"/>
  <c r="AK2" i="18"/>
  <c r="AJ2" i="18"/>
  <c r="AA2" i="18"/>
  <c r="A2" i="18"/>
  <c r="AU1" i="18"/>
  <c r="AU11" i="18" s="1"/>
  <c r="AR1" i="18"/>
  <c r="AR14" i="18" s="1"/>
  <c r="AQ1" i="18"/>
  <c r="AQ7" i="18" s="1"/>
  <c r="AP1" i="18"/>
  <c r="AP3" i="18" s="1"/>
  <c r="AO1" i="18"/>
  <c r="AA1" i="18"/>
  <c r="A1" i="18"/>
  <c r="AH1" i="18" s="1"/>
  <c r="AH2" i="18" s="1"/>
  <c r="AT8" i="17"/>
  <c r="AP8" i="17"/>
  <c r="AI8" i="17"/>
  <c r="AN8" i="17" s="1"/>
  <c r="AH8" i="17"/>
  <c r="AF8" i="17"/>
  <c r="AE8" i="17"/>
  <c r="AA8" i="17"/>
  <c r="Z8" i="17"/>
  <c r="Y8" i="17"/>
  <c r="X8" i="17"/>
  <c r="W8" i="17"/>
  <c r="P8" i="17"/>
  <c r="O8" i="17"/>
  <c r="AD8" i="17" s="1"/>
  <c r="N8" i="17"/>
  <c r="AO8" i="17" s="1"/>
  <c r="AV8" i="17" s="1"/>
  <c r="M8" i="17"/>
  <c r="AU7" i="17"/>
  <c r="AP7" i="17"/>
  <c r="AI7" i="17"/>
  <c r="AH7" i="17"/>
  <c r="AF7" i="17"/>
  <c r="AE7" i="17"/>
  <c r="AB7" i="17"/>
  <c r="AA7" i="17"/>
  <c r="Z7" i="17"/>
  <c r="Y7" i="17"/>
  <c r="X7" i="17"/>
  <c r="W7" i="17"/>
  <c r="P7" i="17"/>
  <c r="O7" i="17"/>
  <c r="AQ7" i="17" s="1"/>
  <c r="N7" i="17"/>
  <c r="AC7" i="17" s="1"/>
  <c r="M7" i="17"/>
  <c r="AT6" i="17"/>
  <c r="AR6" i="17"/>
  <c r="AO6" i="17"/>
  <c r="AI6" i="17"/>
  <c r="AH6" i="17"/>
  <c r="AF6" i="17"/>
  <c r="AE6" i="17"/>
  <c r="AC6" i="17"/>
  <c r="AA6" i="17"/>
  <c r="Z6" i="17"/>
  <c r="Y6" i="17"/>
  <c r="X6" i="17"/>
  <c r="W6" i="17"/>
  <c r="P6" i="17"/>
  <c r="O6" i="17"/>
  <c r="AD6" i="17" s="1"/>
  <c r="N6" i="17"/>
  <c r="M6" i="17"/>
  <c r="AB6" i="17" s="1"/>
  <c r="AI5" i="17"/>
  <c r="AH5" i="17"/>
  <c r="W5" i="17"/>
  <c r="AI4" i="17"/>
  <c r="AP3" i="17"/>
  <c r="AO3" i="17"/>
  <c r="AI3" i="17"/>
  <c r="AH3" i="17"/>
  <c r="AN2" i="17"/>
  <c r="AM2" i="17"/>
  <c r="AL2" i="17"/>
  <c r="AK2" i="17"/>
  <c r="AJ2" i="17"/>
  <c r="AJ8" i="17" s="1"/>
  <c r="AA2" i="17"/>
  <c r="A2" i="17"/>
  <c r="AU1" i="17"/>
  <c r="AR1" i="17"/>
  <c r="AR3" i="17" s="1"/>
  <c r="AQ1" i="17"/>
  <c r="AQ3" i="17" s="1"/>
  <c r="AP1" i="17"/>
  <c r="AP6" i="17" s="1"/>
  <c r="AO1" i="17"/>
  <c r="AA1" i="17"/>
  <c r="A1" i="17"/>
  <c r="AJ1" i="17" s="1"/>
  <c r="AU32" i="16"/>
  <c r="AI32" i="16"/>
  <c r="AH32" i="16"/>
  <c r="AF32" i="16"/>
  <c r="AE32" i="16"/>
  <c r="AB32" i="16"/>
  <c r="AA32" i="16"/>
  <c r="Z32" i="16"/>
  <c r="Y32" i="16"/>
  <c r="X32" i="16"/>
  <c r="W32" i="16"/>
  <c r="P32" i="16"/>
  <c r="O32" i="16"/>
  <c r="N32" i="16"/>
  <c r="M32" i="16"/>
  <c r="AP31" i="16"/>
  <c r="AO31" i="16"/>
  <c r="AV31" i="16" s="1"/>
  <c r="AI31" i="16"/>
  <c r="AN31" i="16" s="1"/>
  <c r="AH31" i="16"/>
  <c r="AF31" i="16"/>
  <c r="AE31" i="16"/>
  <c r="AC31" i="16"/>
  <c r="AA31" i="16"/>
  <c r="Z31" i="16"/>
  <c r="Y31" i="16"/>
  <c r="X31" i="16"/>
  <c r="W31" i="16"/>
  <c r="P31" i="16"/>
  <c r="O31" i="16"/>
  <c r="AD31" i="16" s="1"/>
  <c r="N31" i="16"/>
  <c r="M31" i="16"/>
  <c r="AI30" i="16"/>
  <c r="AH30" i="16"/>
  <c r="W30" i="16"/>
  <c r="AT29" i="16"/>
  <c r="AO29" i="16"/>
  <c r="AI29" i="16"/>
  <c r="AH29" i="16"/>
  <c r="AF29" i="16"/>
  <c r="AE29" i="16"/>
  <c r="AC29" i="16"/>
  <c r="AA29" i="16"/>
  <c r="Z29" i="16"/>
  <c r="Y29" i="16"/>
  <c r="X29" i="16"/>
  <c r="W29" i="16"/>
  <c r="P29" i="16"/>
  <c r="O29" i="16"/>
  <c r="AD29" i="16" s="1"/>
  <c r="N29" i="16"/>
  <c r="M29" i="16"/>
  <c r="AU28" i="16"/>
  <c r="AP28" i="16"/>
  <c r="AN28" i="16"/>
  <c r="AI28" i="16"/>
  <c r="AH28" i="16"/>
  <c r="AF28" i="16"/>
  <c r="AE28" i="16"/>
  <c r="AD28" i="16"/>
  <c r="AB28" i="16"/>
  <c r="AA28" i="16"/>
  <c r="Z28" i="16"/>
  <c r="Y28" i="16"/>
  <c r="X28" i="16"/>
  <c r="W28" i="16"/>
  <c r="P28" i="16"/>
  <c r="O28" i="16"/>
  <c r="N28" i="16"/>
  <c r="M28" i="16"/>
  <c r="AI27" i="16"/>
  <c r="AH27" i="16"/>
  <c r="W27" i="16"/>
  <c r="AU26" i="16"/>
  <c r="AP26" i="16"/>
  <c r="AN26" i="16"/>
  <c r="AI26" i="16"/>
  <c r="AH26" i="16"/>
  <c r="AF26" i="16"/>
  <c r="AE26" i="16"/>
  <c r="AD26" i="16"/>
  <c r="AA26" i="16"/>
  <c r="Z26" i="16"/>
  <c r="Y26" i="16"/>
  <c r="X26" i="16"/>
  <c r="W26" i="16"/>
  <c r="P26" i="16"/>
  <c r="O26" i="16"/>
  <c r="N26" i="16"/>
  <c r="AC26" i="16" s="1"/>
  <c r="M26" i="16"/>
  <c r="AI25" i="16"/>
  <c r="AH25" i="16"/>
  <c r="W25" i="16"/>
  <c r="AU24" i="16"/>
  <c r="AT24" i="16"/>
  <c r="AP24" i="16"/>
  <c r="AN24" i="16"/>
  <c r="AI24" i="16"/>
  <c r="AH24" i="16"/>
  <c r="AF24" i="16"/>
  <c r="AE24" i="16"/>
  <c r="AD24" i="16"/>
  <c r="AB24" i="16"/>
  <c r="AA24" i="16"/>
  <c r="Z24" i="16"/>
  <c r="Y24" i="16"/>
  <c r="X24" i="16"/>
  <c r="W24" i="16"/>
  <c r="P24" i="16"/>
  <c r="O24" i="16"/>
  <c r="N24" i="16"/>
  <c r="AO24" i="16" s="1"/>
  <c r="AV24" i="16" s="1"/>
  <c r="M24" i="16"/>
  <c r="AI23" i="16"/>
  <c r="AH23" i="16"/>
  <c r="W23" i="16"/>
  <c r="AU22" i="16"/>
  <c r="AN22" i="16"/>
  <c r="AI22" i="16"/>
  <c r="AH22" i="16"/>
  <c r="AF22" i="16"/>
  <c r="AE22" i="16"/>
  <c r="AD22" i="16"/>
  <c r="AB22" i="16"/>
  <c r="AA22" i="16"/>
  <c r="Z22" i="16"/>
  <c r="Y22" i="16"/>
  <c r="X22" i="16"/>
  <c r="W22" i="16"/>
  <c r="P22" i="16"/>
  <c r="O22" i="16"/>
  <c r="N22" i="16"/>
  <c r="M22" i="16"/>
  <c r="AO21" i="16"/>
  <c r="AI21" i="16"/>
  <c r="AH21" i="16"/>
  <c r="AF21" i="16"/>
  <c r="AE21" i="16"/>
  <c r="AC21" i="16"/>
  <c r="AB21" i="16"/>
  <c r="AA21" i="16"/>
  <c r="Z21" i="16"/>
  <c r="Y21" i="16"/>
  <c r="X21" i="16"/>
  <c r="W21" i="16"/>
  <c r="P21" i="16"/>
  <c r="O21" i="16"/>
  <c r="N21" i="16"/>
  <c r="M21" i="16"/>
  <c r="AU20" i="16"/>
  <c r="AT20" i="16"/>
  <c r="AP20" i="16"/>
  <c r="AN20" i="16"/>
  <c r="AI20" i="16"/>
  <c r="AH20" i="16"/>
  <c r="AF20" i="16"/>
  <c r="AE20" i="16"/>
  <c r="AD20" i="16"/>
  <c r="AB20" i="16"/>
  <c r="AA20" i="16"/>
  <c r="Z20" i="16"/>
  <c r="Y20" i="16"/>
  <c r="X20" i="16"/>
  <c r="W20" i="16"/>
  <c r="P20" i="16"/>
  <c r="O20" i="16"/>
  <c r="N20" i="16"/>
  <c r="M20" i="16"/>
  <c r="AU19" i="16"/>
  <c r="AT19" i="16"/>
  <c r="AO19" i="16"/>
  <c r="AN19" i="16"/>
  <c r="AI19" i="16"/>
  <c r="AH19" i="16"/>
  <c r="AF19" i="16"/>
  <c r="AE19" i="16"/>
  <c r="AD19" i="16"/>
  <c r="AC19" i="16"/>
  <c r="AA19" i="16"/>
  <c r="Z19" i="16"/>
  <c r="Y19" i="16"/>
  <c r="X19" i="16"/>
  <c r="W19" i="16"/>
  <c r="P19" i="16"/>
  <c r="O19" i="16"/>
  <c r="N19" i="16"/>
  <c r="M19" i="16"/>
  <c r="AI18" i="16"/>
  <c r="AH18" i="16"/>
  <c r="W18" i="16"/>
  <c r="AP17" i="16"/>
  <c r="AO17" i="16"/>
  <c r="AV17" i="16" s="1"/>
  <c r="AI17" i="16"/>
  <c r="AN17" i="16" s="1"/>
  <c r="AH17" i="16"/>
  <c r="AF17" i="16"/>
  <c r="AE17" i="16"/>
  <c r="AC17" i="16"/>
  <c r="AA17" i="16"/>
  <c r="Z17" i="16"/>
  <c r="Y17" i="16"/>
  <c r="X17" i="16"/>
  <c r="W17" i="16"/>
  <c r="P17" i="16"/>
  <c r="O17" i="16"/>
  <c r="AD17" i="16" s="1"/>
  <c r="N17" i="16"/>
  <c r="M17" i="16"/>
  <c r="AU16" i="16"/>
  <c r="AI16" i="16"/>
  <c r="AH16" i="16"/>
  <c r="AF16" i="16"/>
  <c r="AE16" i="16"/>
  <c r="AD16" i="16"/>
  <c r="AC16" i="16"/>
  <c r="AB16" i="16"/>
  <c r="AA16" i="16"/>
  <c r="Z16" i="16"/>
  <c r="Y16" i="16"/>
  <c r="X16" i="16"/>
  <c r="W16" i="16"/>
  <c r="P16" i="16"/>
  <c r="O16" i="16"/>
  <c r="N16" i="16"/>
  <c r="AO16" i="16" s="1"/>
  <c r="M16" i="16"/>
  <c r="AI15" i="16"/>
  <c r="AH15" i="16"/>
  <c r="W15" i="16"/>
  <c r="AU14" i="16"/>
  <c r="AP14" i="16"/>
  <c r="AN14" i="16"/>
  <c r="AI14" i="16"/>
  <c r="AH14" i="16"/>
  <c r="AF14" i="16"/>
  <c r="AE14" i="16"/>
  <c r="AB14" i="16"/>
  <c r="AA14" i="16"/>
  <c r="Z14" i="16"/>
  <c r="Y14" i="16"/>
  <c r="X14" i="16"/>
  <c r="W14" i="16"/>
  <c r="P14" i="16"/>
  <c r="O14" i="16"/>
  <c r="N14" i="16"/>
  <c r="M14" i="16"/>
  <c r="AQ13" i="16"/>
  <c r="AP13" i="16"/>
  <c r="AO13" i="16"/>
  <c r="AV13" i="16" s="1"/>
  <c r="AI13" i="16"/>
  <c r="AH13" i="16"/>
  <c r="AF13" i="16"/>
  <c r="AE13" i="16"/>
  <c r="AC13" i="16"/>
  <c r="AA13" i="16"/>
  <c r="Z13" i="16"/>
  <c r="Y13" i="16"/>
  <c r="X13" i="16"/>
  <c r="W13" i="16"/>
  <c r="P13" i="16"/>
  <c r="O13" i="16"/>
  <c r="AD13" i="16" s="1"/>
  <c r="N13" i="16"/>
  <c r="M13" i="16"/>
  <c r="AB13" i="16" s="1"/>
  <c r="AI12" i="16"/>
  <c r="AH12" i="16"/>
  <c r="W12" i="16"/>
  <c r="AT11" i="16"/>
  <c r="AP11" i="16"/>
  <c r="AI11" i="16"/>
  <c r="AH11" i="16"/>
  <c r="AF11" i="16"/>
  <c r="AE11" i="16"/>
  <c r="AA11" i="16"/>
  <c r="Z11" i="16"/>
  <c r="Y11" i="16"/>
  <c r="X11" i="16"/>
  <c r="W11" i="16"/>
  <c r="P11" i="16"/>
  <c r="O11" i="16"/>
  <c r="AD11" i="16" s="1"/>
  <c r="N11" i="16"/>
  <c r="M11" i="16"/>
  <c r="AI10" i="16"/>
  <c r="AH10" i="16"/>
  <c r="W10" i="16"/>
  <c r="AU9" i="16"/>
  <c r="AT9" i="16"/>
  <c r="AP9" i="16"/>
  <c r="AO9" i="16"/>
  <c r="AV9" i="16" s="1"/>
  <c r="AN9" i="16"/>
  <c r="AI9" i="16"/>
  <c r="AH9" i="16"/>
  <c r="AF9" i="16"/>
  <c r="AE9" i="16"/>
  <c r="AC9" i="16"/>
  <c r="AA9" i="16"/>
  <c r="Z9" i="16"/>
  <c r="Y9" i="16"/>
  <c r="X9" i="16"/>
  <c r="W9" i="16"/>
  <c r="P9" i="16"/>
  <c r="O9" i="16"/>
  <c r="AD9" i="16" s="1"/>
  <c r="N9" i="16"/>
  <c r="M9" i="16"/>
  <c r="AU8" i="16"/>
  <c r="AP8" i="16"/>
  <c r="AO8" i="16"/>
  <c r="AV8" i="16" s="1"/>
  <c r="AN8" i="16"/>
  <c r="AI8" i="16"/>
  <c r="AH8" i="16"/>
  <c r="AF8" i="16"/>
  <c r="AE8" i="16"/>
  <c r="AD8" i="16"/>
  <c r="AA8" i="16"/>
  <c r="Z8" i="16"/>
  <c r="Y8" i="16"/>
  <c r="X8" i="16"/>
  <c r="W8" i="16"/>
  <c r="P8" i="16"/>
  <c r="O8" i="16"/>
  <c r="N8" i="16"/>
  <c r="AC8" i="16" s="1"/>
  <c r="M8" i="16"/>
  <c r="AB8" i="16" s="1"/>
  <c r="AT7" i="16"/>
  <c r="AP7" i="16"/>
  <c r="AJ7" i="16"/>
  <c r="AI7" i="16"/>
  <c r="AH7" i="16"/>
  <c r="AF7" i="16"/>
  <c r="AE7" i="16"/>
  <c r="AA7" i="16"/>
  <c r="Z7" i="16"/>
  <c r="Y7" i="16"/>
  <c r="X7" i="16"/>
  <c r="W7" i="16"/>
  <c r="P7" i="16"/>
  <c r="O7" i="16"/>
  <c r="N7" i="16"/>
  <c r="M7" i="16"/>
  <c r="AU6" i="16"/>
  <c r="AP6" i="16"/>
  <c r="AI6" i="16"/>
  <c r="AH6" i="16"/>
  <c r="AF6" i="16"/>
  <c r="AE6" i="16"/>
  <c r="AB6" i="16"/>
  <c r="AA6" i="16"/>
  <c r="Z6" i="16"/>
  <c r="Y6" i="16"/>
  <c r="X6" i="16"/>
  <c r="W6" i="16"/>
  <c r="P6" i="16"/>
  <c r="O6" i="16"/>
  <c r="N6" i="16"/>
  <c r="M6" i="16"/>
  <c r="AI5" i="16"/>
  <c r="AH5" i="16"/>
  <c r="W5" i="16"/>
  <c r="AI4" i="16"/>
  <c r="AU3" i="16"/>
  <c r="AO3" i="16"/>
  <c r="AI3" i="16"/>
  <c r="AH3" i="16"/>
  <c r="AN2" i="16"/>
  <c r="AN29" i="16" s="1"/>
  <c r="AM2" i="16"/>
  <c r="AL2" i="16"/>
  <c r="AK2" i="16"/>
  <c r="AJ2" i="16"/>
  <c r="AA2" i="16"/>
  <c r="A2" i="16"/>
  <c r="AU1" i="16"/>
  <c r="AU31" i="16" s="1"/>
  <c r="AR1" i="16"/>
  <c r="AR3" i="16" s="1"/>
  <c r="AQ1" i="16"/>
  <c r="AQ9" i="16" s="1"/>
  <c r="AP1" i="16"/>
  <c r="AO1" i="16"/>
  <c r="AJ1" i="16"/>
  <c r="AA1" i="16"/>
  <c r="A1" i="16"/>
  <c r="AH1" i="16" s="1"/>
  <c r="AH2" i="16" s="1"/>
  <c r="AT10" i="15"/>
  <c r="AP10" i="15"/>
  <c r="AI10" i="15"/>
  <c r="AH10" i="15"/>
  <c r="AF10" i="15"/>
  <c r="AE10" i="15"/>
  <c r="AA10" i="15"/>
  <c r="Z10" i="15"/>
  <c r="Y10" i="15"/>
  <c r="X10" i="15"/>
  <c r="W10" i="15"/>
  <c r="P10" i="15"/>
  <c r="O10" i="15"/>
  <c r="AD10" i="15" s="1"/>
  <c r="N10" i="15"/>
  <c r="M10" i="15"/>
  <c r="AU9" i="15"/>
  <c r="AP9" i="15"/>
  <c r="AI9" i="15"/>
  <c r="AH9" i="15"/>
  <c r="AF9" i="15"/>
  <c r="AE9" i="15"/>
  <c r="AB9" i="15"/>
  <c r="AA9" i="15"/>
  <c r="Z9" i="15"/>
  <c r="Y9" i="15"/>
  <c r="X9" i="15"/>
  <c r="W9" i="15"/>
  <c r="P9" i="15"/>
  <c r="O9" i="15"/>
  <c r="N9" i="15"/>
  <c r="M9" i="15"/>
  <c r="AI8" i="15"/>
  <c r="AH8" i="15"/>
  <c r="W8" i="15"/>
  <c r="AU7" i="15"/>
  <c r="AP7" i="15"/>
  <c r="AI7" i="15"/>
  <c r="AH7" i="15"/>
  <c r="AF7" i="15"/>
  <c r="AE7" i="15"/>
  <c r="AD7" i="15"/>
  <c r="AA7" i="15"/>
  <c r="Z7" i="15"/>
  <c r="Y7" i="15"/>
  <c r="X7" i="15"/>
  <c r="W7" i="15"/>
  <c r="P7" i="15"/>
  <c r="O7" i="15"/>
  <c r="N7" i="15"/>
  <c r="M7" i="15"/>
  <c r="AB7" i="15" s="1"/>
  <c r="AT6" i="15"/>
  <c r="AP6" i="15"/>
  <c r="AJ6" i="15"/>
  <c r="AI6" i="15"/>
  <c r="AH6" i="15"/>
  <c r="AF6" i="15"/>
  <c r="AE6" i="15"/>
  <c r="AD6" i="15"/>
  <c r="AA6" i="15"/>
  <c r="Z6" i="15"/>
  <c r="Y6" i="15"/>
  <c r="X6" i="15"/>
  <c r="W6" i="15"/>
  <c r="P6" i="15"/>
  <c r="O6" i="15"/>
  <c r="N6" i="15"/>
  <c r="AC6" i="15" s="1"/>
  <c r="M6" i="15"/>
  <c r="AI5" i="15"/>
  <c r="AH5" i="15"/>
  <c r="W5" i="15"/>
  <c r="AI4" i="15"/>
  <c r="AU3" i="15"/>
  <c r="AR3" i="15"/>
  <c r="AQ3" i="15"/>
  <c r="AI3" i="15"/>
  <c r="AH3" i="15"/>
  <c r="AN2" i="15"/>
  <c r="AN10" i="15" s="1"/>
  <c r="AM2" i="15"/>
  <c r="AL2" i="15"/>
  <c r="AK2" i="15"/>
  <c r="AJ2" i="15"/>
  <c r="AJ10" i="15" s="1"/>
  <c r="AA2" i="15"/>
  <c r="A2" i="15"/>
  <c r="AU1" i="15"/>
  <c r="AR1" i="15"/>
  <c r="AR7" i="15" s="1"/>
  <c r="AQ1" i="15"/>
  <c r="AQ6" i="15" s="1"/>
  <c r="AP1" i="15"/>
  <c r="AP3" i="15" s="1"/>
  <c r="AO1" i="15"/>
  <c r="AO3" i="15" s="1"/>
  <c r="AA1" i="15"/>
  <c r="A1" i="15"/>
  <c r="AH1" i="15" s="1"/>
  <c r="AH2" i="15" s="1"/>
  <c r="AI48" i="14"/>
  <c r="AN48" i="14" s="1"/>
  <c r="AH48" i="14"/>
  <c r="AF48" i="14"/>
  <c r="AE48" i="14"/>
  <c r="AD48" i="14"/>
  <c r="AC48" i="14"/>
  <c r="AB48" i="14"/>
  <c r="AA48" i="14"/>
  <c r="Z48" i="14"/>
  <c r="Y48" i="14"/>
  <c r="X48" i="14"/>
  <c r="W48" i="14"/>
  <c r="P48" i="14"/>
  <c r="O48" i="14"/>
  <c r="N48" i="14"/>
  <c r="M48" i="14"/>
  <c r="AT47" i="14"/>
  <c r="AI47" i="14"/>
  <c r="AH47" i="14"/>
  <c r="AF47" i="14"/>
  <c r="AE47" i="14"/>
  <c r="AD47" i="14"/>
  <c r="AA47" i="14"/>
  <c r="Z47" i="14"/>
  <c r="Y47" i="14"/>
  <c r="X47" i="14"/>
  <c r="W47" i="14"/>
  <c r="P47" i="14"/>
  <c r="O47" i="14"/>
  <c r="N47" i="14"/>
  <c r="AC47" i="14" s="1"/>
  <c r="M47" i="14"/>
  <c r="AT46" i="14"/>
  <c r="AI46" i="14"/>
  <c r="AH46" i="14"/>
  <c r="AF46" i="14"/>
  <c r="AE46" i="14"/>
  <c r="AD46" i="14"/>
  <c r="AA46" i="14"/>
  <c r="Z46" i="14"/>
  <c r="Y46" i="14"/>
  <c r="X46" i="14"/>
  <c r="W46" i="14"/>
  <c r="P46" i="14"/>
  <c r="O46" i="14"/>
  <c r="N46" i="14"/>
  <c r="AC46" i="14" s="1"/>
  <c r="M46" i="14"/>
  <c r="AI45" i="14"/>
  <c r="AH45" i="14"/>
  <c r="AF45" i="14"/>
  <c r="AE45" i="14"/>
  <c r="AA45" i="14"/>
  <c r="Z45" i="14"/>
  <c r="Y45" i="14"/>
  <c r="X45" i="14"/>
  <c r="W45" i="14"/>
  <c r="P45" i="14"/>
  <c r="O45" i="14"/>
  <c r="AD45" i="14" s="1"/>
  <c r="N45" i="14"/>
  <c r="AC45" i="14" s="1"/>
  <c r="M45" i="14"/>
  <c r="AB45" i="14" s="1"/>
  <c r="AT44" i="14"/>
  <c r="AI44" i="14"/>
  <c r="AH44" i="14"/>
  <c r="AF44" i="14"/>
  <c r="AE44" i="14"/>
  <c r="AB44" i="14"/>
  <c r="AA44" i="14"/>
  <c r="Z44" i="14"/>
  <c r="Y44" i="14"/>
  <c r="X44" i="14"/>
  <c r="W44" i="14"/>
  <c r="P44" i="14"/>
  <c r="O44" i="14"/>
  <c r="AD44" i="14" s="1"/>
  <c r="N44" i="14"/>
  <c r="AC44" i="14" s="1"/>
  <c r="M44" i="14"/>
  <c r="AP43" i="14"/>
  <c r="AI43" i="14"/>
  <c r="AJ43" i="14" s="1"/>
  <c r="AH43" i="14"/>
  <c r="AF43" i="14"/>
  <c r="AE43" i="14"/>
  <c r="AD43" i="14"/>
  <c r="AC43" i="14"/>
  <c r="AB43" i="14"/>
  <c r="AA43" i="14"/>
  <c r="Z43" i="14"/>
  <c r="Y43" i="14"/>
  <c r="X43" i="14"/>
  <c r="W43" i="14"/>
  <c r="P43" i="14"/>
  <c r="O43" i="14"/>
  <c r="N43" i="14"/>
  <c r="AO43" i="14" s="1"/>
  <c r="AV43" i="14" s="1"/>
  <c r="M43" i="14"/>
  <c r="AT42" i="14"/>
  <c r="AI42" i="14"/>
  <c r="AH42" i="14"/>
  <c r="AF42" i="14"/>
  <c r="AE42" i="14"/>
  <c r="AD42" i="14"/>
  <c r="AC42" i="14"/>
  <c r="AA42" i="14"/>
  <c r="Z42" i="14"/>
  <c r="Y42" i="14"/>
  <c r="X42" i="14"/>
  <c r="W42" i="14"/>
  <c r="P42" i="14"/>
  <c r="O42" i="14"/>
  <c r="N42" i="14"/>
  <c r="M42" i="14"/>
  <c r="AT41" i="14"/>
  <c r="AJ41" i="14"/>
  <c r="AI41" i="14"/>
  <c r="AH41" i="14"/>
  <c r="AF41" i="14"/>
  <c r="AE41" i="14"/>
  <c r="AD41" i="14"/>
  <c r="AC41" i="14"/>
  <c r="AA41" i="14"/>
  <c r="Z41" i="14"/>
  <c r="Y41" i="14"/>
  <c r="X41" i="14"/>
  <c r="W41" i="14"/>
  <c r="P41" i="14"/>
  <c r="O41" i="14"/>
  <c r="N41" i="14"/>
  <c r="AO41" i="14" s="1"/>
  <c r="M41" i="14"/>
  <c r="AT40" i="14"/>
  <c r="AI40" i="14"/>
  <c r="AH40" i="14"/>
  <c r="AF40" i="14"/>
  <c r="AE40" i="14"/>
  <c r="AD40" i="14"/>
  <c r="AA40" i="14"/>
  <c r="Z40" i="14"/>
  <c r="Y40" i="14"/>
  <c r="X40" i="14"/>
  <c r="W40" i="14"/>
  <c r="P40" i="14"/>
  <c r="O40" i="14"/>
  <c r="N40" i="14"/>
  <c r="AC40" i="14" s="1"/>
  <c r="M40" i="14"/>
  <c r="AI39" i="14"/>
  <c r="AH39" i="14"/>
  <c r="AF39" i="14"/>
  <c r="AE39" i="14"/>
  <c r="AA39" i="14"/>
  <c r="Z39" i="14"/>
  <c r="Y39" i="14"/>
  <c r="X39" i="14"/>
  <c r="W39" i="14"/>
  <c r="P39" i="14"/>
  <c r="O39" i="14"/>
  <c r="AD39" i="14" s="1"/>
  <c r="N39" i="14"/>
  <c r="AC39" i="14" s="1"/>
  <c r="M39" i="14"/>
  <c r="AB39" i="14" s="1"/>
  <c r="AI38" i="14"/>
  <c r="AH38" i="14"/>
  <c r="W38" i="14"/>
  <c r="AT37" i="14"/>
  <c r="AP37" i="14"/>
  <c r="AI37" i="14"/>
  <c r="AH37" i="14"/>
  <c r="AF37" i="14"/>
  <c r="AE37" i="14"/>
  <c r="AD37" i="14"/>
  <c r="AA37" i="14"/>
  <c r="Z37" i="14"/>
  <c r="Y37" i="14"/>
  <c r="X37" i="14"/>
  <c r="W37" i="14"/>
  <c r="P37" i="14"/>
  <c r="O37" i="14"/>
  <c r="N37" i="14"/>
  <c r="AC37" i="14" s="1"/>
  <c r="M37" i="14"/>
  <c r="AT36" i="14"/>
  <c r="AQ36" i="14"/>
  <c r="AI36" i="14"/>
  <c r="AH36" i="14"/>
  <c r="AF36" i="14"/>
  <c r="AE36" i="14"/>
  <c r="AD36" i="14"/>
  <c r="AA36" i="14"/>
  <c r="Z36" i="14"/>
  <c r="Y36" i="14"/>
  <c r="X36" i="14"/>
  <c r="W36" i="14"/>
  <c r="P36" i="14"/>
  <c r="O36" i="14"/>
  <c r="N36" i="14"/>
  <c r="AC36" i="14" s="1"/>
  <c r="M36" i="14"/>
  <c r="AI35" i="14"/>
  <c r="AH35" i="14"/>
  <c r="AF35" i="14"/>
  <c r="AE35" i="14"/>
  <c r="AA35" i="14"/>
  <c r="Z35" i="14"/>
  <c r="Y35" i="14"/>
  <c r="X35" i="14"/>
  <c r="W35" i="14"/>
  <c r="P35" i="14"/>
  <c r="O35" i="14"/>
  <c r="AD35" i="14" s="1"/>
  <c r="N35" i="14"/>
  <c r="AC35" i="14" s="1"/>
  <c r="M35" i="14"/>
  <c r="AI34" i="14"/>
  <c r="AT34" i="14" s="1"/>
  <c r="AH34" i="14"/>
  <c r="AF34" i="14"/>
  <c r="AE34" i="14"/>
  <c r="AB34" i="14"/>
  <c r="AA34" i="14"/>
  <c r="Z34" i="14"/>
  <c r="Y34" i="14"/>
  <c r="X34" i="14"/>
  <c r="W34" i="14"/>
  <c r="P34" i="14"/>
  <c r="O34" i="14"/>
  <c r="AD34" i="14" s="1"/>
  <c r="N34" i="14"/>
  <c r="M34" i="14"/>
  <c r="AQ33" i="14"/>
  <c r="AI33" i="14"/>
  <c r="AT33" i="14" s="1"/>
  <c r="AH33" i="14"/>
  <c r="AF33" i="14"/>
  <c r="AE33" i="14"/>
  <c r="AD33" i="14"/>
  <c r="AC33" i="14"/>
  <c r="AB33" i="14"/>
  <c r="AA33" i="14"/>
  <c r="Z33" i="14"/>
  <c r="Y33" i="14"/>
  <c r="X33" i="14"/>
  <c r="W33" i="14"/>
  <c r="P33" i="14"/>
  <c r="O33" i="14"/>
  <c r="N33" i="14"/>
  <c r="M33" i="14"/>
  <c r="AJ32" i="14"/>
  <c r="AI32" i="14"/>
  <c r="AT32" i="14" s="1"/>
  <c r="AH32" i="14"/>
  <c r="AF32" i="14"/>
  <c r="AE32" i="14"/>
  <c r="AD32" i="14"/>
  <c r="AC32" i="14"/>
  <c r="AA32" i="14"/>
  <c r="Z32" i="14"/>
  <c r="Y32" i="14"/>
  <c r="X32" i="14"/>
  <c r="W32" i="14"/>
  <c r="P32" i="14"/>
  <c r="O32" i="14"/>
  <c r="N32" i="14"/>
  <c r="M32" i="14"/>
  <c r="AU31" i="14"/>
  <c r="AT31" i="14"/>
  <c r="AJ31" i="14"/>
  <c r="AI31" i="14"/>
  <c r="AH31" i="14"/>
  <c r="AF31" i="14"/>
  <c r="AE31" i="14"/>
  <c r="AD31" i="14"/>
  <c r="AC31" i="14"/>
  <c r="AA31" i="14"/>
  <c r="Z31" i="14"/>
  <c r="Y31" i="14"/>
  <c r="X31" i="14"/>
  <c r="W31" i="14"/>
  <c r="P31" i="14"/>
  <c r="O31" i="14"/>
  <c r="AQ31" i="14" s="1"/>
  <c r="N31" i="14"/>
  <c r="AO31" i="14" s="1"/>
  <c r="M31" i="14"/>
  <c r="AI30" i="14"/>
  <c r="AH30" i="14"/>
  <c r="W30" i="14"/>
  <c r="AU29" i="14"/>
  <c r="AJ29" i="14"/>
  <c r="AI29" i="14"/>
  <c r="AN29" i="14" s="1"/>
  <c r="AH29" i="14"/>
  <c r="AF29" i="14"/>
  <c r="AE29" i="14"/>
  <c r="AD29" i="14"/>
  <c r="AC29" i="14"/>
  <c r="AB29" i="14"/>
  <c r="AA29" i="14"/>
  <c r="Z29" i="14"/>
  <c r="Y29" i="14"/>
  <c r="X29" i="14"/>
  <c r="W29" i="14"/>
  <c r="P29" i="14"/>
  <c r="O29" i="14"/>
  <c r="N29" i="14"/>
  <c r="M29" i="14"/>
  <c r="AV28" i="14"/>
  <c r="AU28" i="14"/>
  <c r="AP28" i="14"/>
  <c r="AO28" i="14"/>
  <c r="AJ28" i="14"/>
  <c r="AI28" i="14"/>
  <c r="AN28" i="14" s="1"/>
  <c r="AH28" i="14"/>
  <c r="AF28" i="14"/>
  <c r="AE28" i="14"/>
  <c r="AD28" i="14"/>
  <c r="AC28" i="14"/>
  <c r="AB28" i="14"/>
  <c r="AA28" i="14"/>
  <c r="Z28" i="14"/>
  <c r="Y28" i="14"/>
  <c r="X28" i="14"/>
  <c r="W28" i="14"/>
  <c r="P28" i="14"/>
  <c r="O28" i="14"/>
  <c r="N28" i="14"/>
  <c r="M28" i="14"/>
  <c r="AU27" i="14"/>
  <c r="AI27" i="14"/>
  <c r="AN27" i="14" s="1"/>
  <c r="AH27" i="14"/>
  <c r="AF27" i="14"/>
  <c r="AE27" i="14"/>
  <c r="AD27" i="14"/>
  <c r="AC27" i="14"/>
  <c r="AB27" i="14"/>
  <c r="AA27" i="14"/>
  <c r="Z27" i="14"/>
  <c r="Y27" i="14"/>
  <c r="X27" i="14"/>
  <c r="W27" i="14"/>
  <c r="P27" i="14"/>
  <c r="O27" i="14"/>
  <c r="AQ27" i="14" s="1"/>
  <c r="N27" i="14"/>
  <c r="AO27" i="14" s="1"/>
  <c r="M27" i="14"/>
  <c r="AI26" i="14"/>
  <c r="AH26" i="14"/>
  <c r="W26" i="14"/>
  <c r="AU25" i="14"/>
  <c r="AP25" i="14"/>
  <c r="AJ25" i="14"/>
  <c r="AI25" i="14"/>
  <c r="AT25" i="14" s="1"/>
  <c r="AH25" i="14"/>
  <c r="AF25" i="14"/>
  <c r="AE25" i="14"/>
  <c r="AD25" i="14"/>
  <c r="AC25" i="14"/>
  <c r="AB25" i="14"/>
  <c r="AA25" i="14"/>
  <c r="Z25" i="14"/>
  <c r="Y25" i="14"/>
  <c r="X25" i="14"/>
  <c r="W25" i="14"/>
  <c r="P25" i="14"/>
  <c r="O25" i="14"/>
  <c r="N25" i="14"/>
  <c r="AO25" i="14" s="1"/>
  <c r="AV25" i="14" s="1"/>
  <c r="M25" i="14"/>
  <c r="AU24" i="14"/>
  <c r="AJ24" i="14"/>
  <c r="AI24" i="14"/>
  <c r="AT24" i="14" s="1"/>
  <c r="AH24" i="14"/>
  <c r="AF24" i="14"/>
  <c r="AE24" i="14"/>
  <c r="AD24" i="14"/>
  <c r="AC24" i="14"/>
  <c r="AA24" i="14"/>
  <c r="Z24" i="14"/>
  <c r="Y24" i="14"/>
  <c r="X24" i="14"/>
  <c r="W24" i="14"/>
  <c r="P24" i="14"/>
  <c r="O24" i="14"/>
  <c r="N24" i="14"/>
  <c r="M24" i="14"/>
  <c r="AB24" i="14" s="1"/>
  <c r="AU23" i="14"/>
  <c r="AJ23" i="14"/>
  <c r="AI23" i="14"/>
  <c r="AT23" i="14" s="1"/>
  <c r="AH23" i="14"/>
  <c r="AF23" i="14"/>
  <c r="AE23" i="14"/>
  <c r="AD23" i="14"/>
  <c r="AC23" i="14"/>
  <c r="AA23" i="14"/>
  <c r="Z23" i="14"/>
  <c r="Y23" i="14"/>
  <c r="X23" i="14"/>
  <c r="W23" i="14"/>
  <c r="P23" i="14"/>
  <c r="O23" i="14"/>
  <c r="N23" i="14"/>
  <c r="M23" i="14"/>
  <c r="AB23" i="14" s="1"/>
  <c r="AU22" i="14"/>
  <c r="AT22" i="14"/>
  <c r="AJ22" i="14"/>
  <c r="AI22" i="14"/>
  <c r="AH22" i="14"/>
  <c r="AF22" i="14"/>
  <c r="AE22" i="14"/>
  <c r="AD22" i="14"/>
  <c r="AC22" i="14"/>
  <c r="AA22" i="14"/>
  <c r="Z22" i="14"/>
  <c r="Y22" i="14"/>
  <c r="X22" i="14"/>
  <c r="W22" i="14"/>
  <c r="P22" i="14"/>
  <c r="O22" i="14"/>
  <c r="N22" i="14"/>
  <c r="M22" i="14"/>
  <c r="AU21" i="14"/>
  <c r="AI21" i="14"/>
  <c r="AH21" i="14"/>
  <c r="AF21" i="14"/>
  <c r="AE21" i="14"/>
  <c r="AB21" i="14"/>
  <c r="AA21" i="14"/>
  <c r="Z21" i="14"/>
  <c r="Y21" i="14"/>
  <c r="X21" i="14"/>
  <c r="W21" i="14"/>
  <c r="P21" i="14"/>
  <c r="O21" i="14"/>
  <c r="AD21" i="14" s="1"/>
  <c r="N21" i="14"/>
  <c r="AC21" i="14" s="1"/>
  <c r="M21" i="14"/>
  <c r="AI20" i="14"/>
  <c r="AH20" i="14"/>
  <c r="AF20" i="14"/>
  <c r="AE20" i="14"/>
  <c r="AA20" i="14"/>
  <c r="Z20" i="14"/>
  <c r="Y20" i="14"/>
  <c r="X20" i="14"/>
  <c r="W20" i="14"/>
  <c r="P20" i="14"/>
  <c r="O20" i="14"/>
  <c r="AD20" i="14" s="1"/>
  <c r="N20" i="14"/>
  <c r="AO20" i="14" s="1"/>
  <c r="M20" i="14"/>
  <c r="AU19" i="14"/>
  <c r="AJ19" i="14"/>
  <c r="AI19" i="14"/>
  <c r="AT19" i="14" s="1"/>
  <c r="AH19" i="14"/>
  <c r="AF19" i="14"/>
  <c r="AE19" i="14"/>
  <c r="AD19" i="14"/>
  <c r="AC19" i="14"/>
  <c r="AA19" i="14"/>
  <c r="Z19" i="14"/>
  <c r="Y19" i="14"/>
  <c r="X19" i="14"/>
  <c r="W19" i="14"/>
  <c r="P19" i="14"/>
  <c r="O19" i="14"/>
  <c r="AQ19" i="14" s="1"/>
  <c r="N19" i="14"/>
  <c r="M19" i="14"/>
  <c r="AB19" i="14" s="1"/>
  <c r="AI18" i="14"/>
  <c r="AH18" i="14"/>
  <c r="W18" i="14"/>
  <c r="AI17" i="14"/>
  <c r="AN17" i="14" s="1"/>
  <c r="AH17" i="14"/>
  <c r="AF17" i="14"/>
  <c r="AE17" i="14"/>
  <c r="AC17" i="14"/>
  <c r="AB17" i="14"/>
  <c r="AA17" i="14"/>
  <c r="Z17" i="14"/>
  <c r="Y17" i="14"/>
  <c r="X17" i="14"/>
  <c r="W17" i="14"/>
  <c r="P17" i="14"/>
  <c r="O17" i="14"/>
  <c r="AD17" i="14" s="1"/>
  <c r="N17" i="14"/>
  <c r="AO17" i="14" s="1"/>
  <c r="M17" i="14"/>
  <c r="AU16" i="14"/>
  <c r="AT16" i="14"/>
  <c r="AP16" i="14"/>
  <c r="AJ16" i="14"/>
  <c r="AI16" i="14"/>
  <c r="AN16" i="14" s="1"/>
  <c r="AH16" i="14"/>
  <c r="AF16" i="14"/>
  <c r="AE16" i="14"/>
  <c r="AD16" i="14"/>
  <c r="AC16" i="14"/>
  <c r="AB16" i="14"/>
  <c r="AA16" i="14"/>
  <c r="Z16" i="14"/>
  <c r="Y16" i="14"/>
  <c r="X16" i="14"/>
  <c r="W16" i="14"/>
  <c r="P16" i="14"/>
  <c r="O16" i="14"/>
  <c r="N16" i="14"/>
  <c r="AO16" i="14" s="1"/>
  <c r="AV16" i="14" s="1"/>
  <c r="M16" i="14"/>
  <c r="AU15" i="14"/>
  <c r="AT15" i="14"/>
  <c r="AJ15" i="14"/>
  <c r="AI15" i="14"/>
  <c r="AH15" i="14"/>
  <c r="AF15" i="14"/>
  <c r="AE15" i="14"/>
  <c r="AD15" i="14"/>
  <c r="AC15" i="14"/>
  <c r="AA15" i="14"/>
  <c r="Z15" i="14"/>
  <c r="Y15" i="14"/>
  <c r="X15" i="14"/>
  <c r="W15" i="14"/>
  <c r="P15" i="14"/>
  <c r="O15" i="14"/>
  <c r="N15" i="14"/>
  <c r="M15" i="14"/>
  <c r="AU14" i="14"/>
  <c r="AT14" i="14"/>
  <c r="AI14" i="14"/>
  <c r="AH14" i="14"/>
  <c r="AF14" i="14"/>
  <c r="AE14" i="14"/>
  <c r="AD14" i="14"/>
  <c r="AA14" i="14"/>
  <c r="Z14" i="14"/>
  <c r="Y14" i="14"/>
  <c r="X14" i="14"/>
  <c r="W14" i="14"/>
  <c r="P14" i="14"/>
  <c r="O14" i="14"/>
  <c r="N14" i="14"/>
  <c r="AC14" i="14" s="1"/>
  <c r="M14" i="14"/>
  <c r="AT13" i="14"/>
  <c r="AI13" i="14"/>
  <c r="AH13" i="14"/>
  <c r="AF13" i="14"/>
  <c r="AE13" i="14"/>
  <c r="AA13" i="14"/>
  <c r="Z13" i="14"/>
  <c r="Y13" i="14"/>
  <c r="X13" i="14"/>
  <c r="W13" i="14"/>
  <c r="P13" i="14"/>
  <c r="O13" i="14"/>
  <c r="N13" i="14"/>
  <c r="AO13" i="14" s="1"/>
  <c r="M13" i="14"/>
  <c r="AI12" i="14"/>
  <c r="AT12" i="14" s="1"/>
  <c r="AH12" i="14"/>
  <c r="AF12" i="14"/>
  <c r="AE12" i="14"/>
  <c r="AB12" i="14"/>
  <c r="AA12" i="14"/>
  <c r="Z12" i="14"/>
  <c r="Y12" i="14"/>
  <c r="X12" i="14"/>
  <c r="W12" i="14"/>
  <c r="P12" i="14"/>
  <c r="O12" i="14"/>
  <c r="N12" i="14"/>
  <c r="AC12" i="14" s="1"/>
  <c r="M12" i="14"/>
  <c r="AI11" i="14"/>
  <c r="AH11" i="14"/>
  <c r="W11" i="14"/>
  <c r="AU10" i="14"/>
  <c r="AT10" i="14"/>
  <c r="AP10" i="14"/>
  <c r="AO10" i="14"/>
  <c r="AV10" i="14" s="1"/>
  <c r="AJ10" i="14"/>
  <c r="AI10" i="14"/>
  <c r="AH10" i="14"/>
  <c r="AF10" i="14"/>
  <c r="AE10" i="14"/>
  <c r="AD10" i="14"/>
  <c r="AA10" i="14"/>
  <c r="Z10" i="14"/>
  <c r="Y10" i="14"/>
  <c r="X10" i="14"/>
  <c r="W10" i="14"/>
  <c r="P10" i="14"/>
  <c r="O10" i="14"/>
  <c r="AQ10" i="14" s="1"/>
  <c r="N10" i="14"/>
  <c r="AC10" i="14" s="1"/>
  <c r="M10" i="14"/>
  <c r="AT9" i="14"/>
  <c r="AI9" i="14"/>
  <c r="AH9" i="14"/>
  <c r="AF9" i="14"/>
  <c r="AE9" i="14"/>
  <c r="AA9" i="14"/>
  <c r="Z9" i="14"/>
  <c r="Y9" i="14"/>
  <c r="X9" i="14"/>
  <c r="W9" i="14"/>
  <c r="P9" i="14"/>
  <c r="O9" i="14"/>
  <c r="N9" i="14"/>
  <c r="AO9" i="14" s="1"/>
  <c r="M9" i="14"/>
  <c r="AI8" i="14"/>
  <c r="AH8" i="14"/>
  <c r="W8" i="14"/>
  <c r="AU7" i="14"/>
  <c r="AT7" i="14"/>
  <c r="AJ7" i="14"/>
  <c r="AI7" i="14"/>
  <c r="AH7" i="14"/>
  <c r="AF7" i="14"/>
  <c r="AE7" i="14"/>
  <c r="AD7" i="14"/>
  <c r="AC7" i="14"/>
  <c r="AA7" i="14"/>
  <c r="Z7" i="14"/>
  <c r="Y7" i="14"/>
  <c r="X7" i="14"/>
  <c r="W7" i="14"/>
  <c r="P7" i="14"/>
  <c r="O7" i="14"/>
  <c r="N7" i="14"/>
  <c r="M7" i="14"/>
  <c r="AU6" i="14"/>
  <c r="AT6" i="14"/>
  <c r="AP6" i="14"/>
  <c r="AO6" i="14"/>
  <c r="AV6" i="14" s="1"/>
  <c r="AJ6" i="14"/>
  <c r="AI6" i="14"/>
  <c r="AH6" i="14"/>
  <c r="AF6" i="14"/>
  <c r="AE6" i="14"/>
  <c r="AD6" i="14"/>
  <c r="AA6" i="14"/>
  <c r="Z6" i="14"/>
  <c r="Y6" i="14"/>
  <c r="X6" i="14"/>
  <c r="W6" i="14"/>
  <c r="P6" i="14"/>
  <c r="O6" i="14"/>
  <c r="AQ6" i="14" s="1"/>
  <c r="N6" i="14"/>
  <c r="AC6" i="14" s="1"/>
  <c r="M6" i="14"/>
  <c r="AI5" i="14"/>
  <c r="AH5" i="14"/>
  <c r="W5" i="14"/>
  <c r="AI4" i="14"/>
  <c r="AU3" i="14"/>
  <c r="AI3" i="14"/>
  <c r="AH3" i="14"/>
  <c r="AN2" i="14"/>
  <c r="AN40" i="14" s="1"/>
  <c r="AM2" i="14"/>
  <c r="AL2" i="14"/>
  <c r="AK2" i="14"/>
  <c r="AJ2" i="14"/>
  <c r="AJ37" i="14" s="1"/>
  <c r="AA2" i="14"/>
  <c r="A2" i="14"/>
  <c r="AU1" i="14"/>
  <c r="AU46" i="14" s="1"/>
  <c r="AR1" i="14"/>
  <c r="AR43" i="14" s="1"/>
  <c r="AQ1" i="14"/>
  <c r="AQ46" i="14" s="1"/>
  <c r="AP1" i="14"/>
  <c r="AP46" i="14" s="1"/>
  <c r="AO1" i="14"/>
  <c r="AO42" i="14" s="1"/>
  <c r="AA1" i="14"/>
  <c r="A1" i="14"/>
  <c r="AJ1" i="14" s="1"/>
  <c r="AT46" i="13"/>
  <c r="AP46" i="13"/>
  <c r="AO46" i="13"/>
  <c r="AV46" i="13" s="1"/>
  <c r="AI46" i="13"/>
  <c r="AH46" i="13"/>
  <c r="AF46" i="13"/>
  <c r="AE46" i="13"/>
  <c r="AD46" i="13"/>
  <c r="AC46" i="13"/>
  <c r="AA46" i="13"/>
  <c r="Z46" i="13"/>
  <c r="Y46" i="13"/>
  <c r="X46" i="13"/>
  <c r="W46" i="13"/>
  <c r="P46" i="13"/>
  <c r="O46" i="13"/>
  <c r="N46" i="13"/>
  <c r="M46" i="13"/>
  <c r="AT45" i="13"/>
  <c r="AI45" i="13"/>
  <c r="AH45" i="13"/>
  <c r="AF45" i="13"/>
  <c r="AE45" i="13"/>
  <c r="AD45" i="13"/>
  <c r="AA45" i="13"/>
  <c r="Z45" i="13"/>
  <c r="Y45" i="13"/>
  <c r="X45" i="13"/>
  <c r="W45" i="13"/>
  <c r="P45" i="13"/>
  <c r="O45" i="13"/>
  <c r="N45" i="13"/>
  <c r="AC45" i="13" s="1"/>
  <c r="M45" i="13"/>
  <c r="AT44" i="13"/>
  <c r="AI44" i="13"/>
  <c r="AH44" i="13"/>
  <c r="AF44" i="13"/>
  <c r="AE44" i="13"/>
  <c r="AA44" i="13"/>
  <c r="Z44" i="13"/>
  <c r="Y44" i="13"/>
  <c r="X44" i="13"/>
  <c r="W44" i="13"/>
  <c r="P44" i="13"/>
  <c r="O44" i="13"/>
  <c r="AQ44" i="13" s="1"/>
  <c r="N44" i="13"/>
  <c r="M44" i="13"/>
  <c r="AI43" i="13"/>
  <c r="AT43" i="13" s="1"/>
  <c r="AH43" i="13"/>
  <c r="AF43" i="13"/>
  <c r="AE43" i="13"/>
  <c r="AB43" i="13"/>
  <c r="AA43" i="13"/>
  <c r="Z43" i="13"/>
  <c r="Y43" i="13"/>
  <c r="X43" i="13"/>
  <c r="W43" i="13"/>
  <c r="P43" i="13"/>
  <c r="O43" i="13"/>
  <c r="N43" i="13"/>
  <c r="AC43" i="13" s="1"/>
  <c r="M43" i="13"/>
  <c r="AP42" i="13"/>
  <c r="AI42" i="13"/>
  <c r="AN42" i="13" s="1"/>
  <c r="AH42" i="13"/>
  <c r="AF42" i="13"/>
  <c r="AE42" i="13"/>
  <c r="AC42" i="13"/>
  <c r="AB42" i="13"/>
  <c r="AA42" i="13"/>
  <c r="Z42" i="13"/>
  <c r="Y42" i="13"/>
  <c r="X42" i="13"/>
  <c r="W42" i="13"/>
  <c r="P42" i="13"/>
  <c r="O42" i="13"/>
  <c r="AD42" i="13" s="1"/>
  <c r="N42" i="13"/>
  <c r="AO42" i="13" s="1"/>
  <c r="AV42" i="13" s="1"/>
  <c r="M42" i="13"/>
  <c r="AT41" i="13"/>
  <c r="AI41" i="13"/>
  <c r="AN41" i="13" s="1"/>
  <c r="AH41" i="13"/>
  <c r="AF41" i="13"/>
  <c r="AE41" i="13"/>
  <c r="AD41" i="13"/>
  <c r="AC41" i="13"/>
  <c r="AB41" i="13"/>
  <c r="AA41" i="13"/>
  <c r="Z41" i="13"/>
  <c r="Y41" i="13"/>
  <c r="X41" i="13"/>
  <c r="W41" i="13"/>
  <c r="P41" i="13"/>
  <c r="O41" i="13"/>
  <c r="N41" i="13"/>
  <c r="M41" i="13"/>
  <c r="AI40" i="13"/>
  <c r="AH40" i="13"/>
  <c r="W40" i="13"/>
  <c r="AP39" i="13"/>
  <c r="AI39" i="13"/>
  <c r="AT39" i="13" s="1"/>
  <c r="AH39" i="13"/>
  <c r="AF39" i="13"/>
  <c r="AE39" i="13"/>
  <c r="AB39" i="13"/>
  <c r="AA39" i="13"/>
  <c r="Z39" i="13"/>
  <c r="Y39" i="13"/>
  <c r="X39" i="13"/>
  <c r="W39" i="13"/>
  <c r="P39" i="13"/>
  <c r="O39" i="13"/>
  <c r="N39" i="13"/>
  <c r="AC39" i="13" s="1"/>
  <c r="M39" i="13"/>
  <c r="AP38" i="13"/>
  <c r="AI38" i="13"/>
  <c r="AN38" i="13" s="1"/>
  <c r="AH38" i="13"/>
  <c r="AF38" i="13"/>
  <c r="AE38" i="13"/>
  <c r="AC38" i="13"/>
  <c r="AB38" i="13"/>
  <c r="AA38" i="13"/>
  <c r="Z38" i="13"/>
  <c r="Y38" i="13"/>
  <c r="X38" i="13"/>
  <c r="W38" i="13"/>
  <c r="P38" i="13"/>
  <c r="O38" i="13"/>
  <c r="AD38" i="13" s="1"/>
  <c r="N38" i="13"/>
  <c r="AO38" i="13" s="1"/>
  <c r="AV38" i="13" s="1"/>
  <c r="M38" i="13"/>
  <c r="AI37" i="13"/>
  <c r="AH37" i="13"/>
  <c r="W37" i="13"/>
  <c r="AT36" i="13"/>
  <c r="AP36" i="13"/>
  <c r="AI36" i="13"/>
  <c r="AH36" i="13"/>
  <c r="AF36" i="13"/>
  <c r="AE36" i="13"/>
  <c r="AA36" i="13"/>
  <c r="Z36" i="13"/>
  <c r="Y36" i="13"/>
  <c r="X36" i="13"/>
  <c r="W36" i="13"/>
  <c r="P36" i="13"/>
  <c r="O36" i="13"/>
  <c r="N36" i="13"/>
  <c r="M36" i="13"/>
  <c r="AP35" i="13"/>
  <c r="AI35" i="13"/>
  <c r="AT35" i="13" s="1"/>
  <c r="AH35" i="13"/>
  <c r="AF35" i="13"/>
  <c r="AE35" i="13"/>
  <c r="AB35" i="13"/>
  <c r="AA35" i="13"/>
  <c r="Z35" i="13"/>
  <c r="Y35" i="13"/>
  <c r="X35" i="13"/>
  <c r="W35" i="13"/>
  <c r="P35" i="13"/>
  <c r="O35" i="13"/>
  <c r="AQ35" i="13" s="1"/>
  <c r="N35" i="13"/>
  <c r="AC35" i="13" s="1"/>
  <c r="M35" i="13"/>
  <c r="AI34" i="13"/>
  <c r="AH34" i="13"/>
  <c r="W34" i="13"/>
  <c r="AT33" i="13"/>
  <c r="AP33" i="13"/>
  <c r="AO33" i="13"/>
  <c r="AV33" i="13" s="1"/>
  <c r="AI33" i="13"/>
  <c r="AH33" i="13"/>
  <c r="AF33" i="13"/>
  <c r="AE33" i="13"/>
  <c r="AD33" i="13"/>
  <c r="AA33" i="13"/>
  <c r="Z33" i="13"/>
  <c r="Y33" i="13"/>
  <c r="X33" i="13"/>
  <c r="W33" i="13"/>
  <c r="P33" i="13"/>
  <c r="O33" i="13"/>
  <c r="N33" i="13"/>
  <c r="AC33" i="13" s="1"/>
  <c r="M33" i="13"/>
  <c r="AT32" i="13"/>
  <c r="AP32" i="13"/>
  <c r="AI32" i="13"/>
  <c r="AH32" i="13"/>
  <c r="AF32" i="13"/>
  <c r="AE32" i="13"/>
  <c r="AA32" i="13"/>
  <c r="Z32" i="13"/>
  <c r="Y32" i="13"/>
  <c r="X32" i="13"/>
  <c r="W32" i="13"/>
  <c r="P32" i="13"/>
  <c r="O32" i="13"/>
  <c r="N32" i="13"/>
  <c r="AO32" i="13" s="1"/>
  <c r="AV32" i="13" s="1"/>
  <c r="M32" i="13"/>
  <c r="AI31" i="13"/>
  <c r="AH31" i="13"/>
  <c r="W31" i="13"/>
  <c r="AT30" i="13"/>
  <c r="AP30" i="13"/>
  <c r="AO30" i="13"/>
  <c r="AV30" i="13" s="1"/>
  <c r="AJ30" i="13"/>
  <c r="AI30" i="13"/>
  <c r="AH30" i="13"/>
  <c r="AF30" i="13"/>
  <c r="AE30" i="13"/>
  <c r="AD30" i="13"/>
  <c r="AC30" i="13"/>
  <c r="AA30" i="13"/>
  <c r="Z30" i="13"/>
  <c r="Y30" i="13"/>
  <c r="X30" i="13"/>
  <c r="W30" i="13"/>
  <c r="P30" i="13"/>
  <c r="O30" i="13"/>
  <c r="N30" i="13"/>
  <c r="M30" i="13"/>
  <c r="AT29" i="13"/>
  <c r="AP29" i="13"/>
  <c r="AI29" i="13"/>
  <c r="AH29" i="13"/>
  <c r="AF29" i="13"/>
  <c r="AE29" i="13"/>
  <c r="AD29" i="13"/>
  <c r="AA29" i="13"/>
  <c r="Z29" i="13"/>
  <c r="Y29" i="13"/>
  <c r="X29" i="13"/>
  <c r="W29" i="13"/>
  <c r="P29" i="13"/>
  <c r="O29" i="13"/>
  <c r="N29" i="13"/>
  <c r="AC29" i="13" s="1"/>
  <c r="M29" i="13"/>
  <c r="AT28" i="13"/>
  <c r="AP28" i="13"/>
  <c r="AI28" i="13"/>
  <c r="AH28" i="13"/>
  <c r="AF28" i="13"/>
  <c r="AE28" i="13"/>
  <c r="AA28" i="13"/>
  <c r="Z28" i="13"/>
  <c r="Y28" i="13"/>
  <c r="X28" i="13"/>
  <c r="W28" i="13"/>
  <c r="P28" i="13"/>
  <c r="O28" i="13"/>
  <c r="N28" i="13"/>
  <c r="M28" i="13"/>
  <c r="AP27" i="13"/>
  <c r="AI27" i="13"/>
  <c r="AT27" i="13" s="1"/>
  <c r="AH27" i="13"/>
  <c r="AF27" i="13"/>
  <c r="AE27" i="13"/>
  <c r="AB27" i="13"/>
  <c r="AA27" i="13"/>
  <c r="Z27" i="13"/>
  <c r="Y27" i="13"/>
  <c r="X27" i="13"/>
  <c r="W27" i="13"/>
  <c r="P27" i="13"/>
  <c r="O27" i="13"/>
  <c r="N27" i="13"/>
  <c r="AC27" i="13" s="1"/>
  <c r="M27" i="13"/>
  <c r="AP26" i="13"/>
  <c r="AI26" i="13"/>
  <c r="AH26" i="13"/>
  <c r="AF26" i="13"/>
  <c r="AE26" i="13"/>
  <c r="AC26" i="13"/>
  <c r="AB26" i="13"/>
  <c r="AA26" i="13"/>
  <c r="Z26" i="13"/>
  <c r="Y26" i="13"/>
  <c r="X26" i="13"/>
  <c r="W26" i="13"/>
  <c r="P26" i="13"/>
  <c r="O26" i="13"/>
  <c r="AD26" i="13" s="1"/>
  <c r="N26" i="13"/>
  <c r="AO26" i="13" s="1"/>
  <c r="AV26" i="13" s="1"/>
  <c r="M26" i="13"/>
  <c r="AI25" i="13"/>
  <c r="AH25" i="13"/>
  <c r="W25" i="13"/>
  <c r="AT24" i="13"/>
  <c r="AP24" i="13"/>
  <c r="AI24" i="13"/>
  <c r="AH24" i="13"/>
  <c r="AF24" i="13"/>
  <c r="AE24" i="13"/>
  <c r="AA24" i="13"/>
  <c r="Z24" i="13"/>
  <c r="Y24" i="13"/>
  <c r="X24" i="13"/>
  <c r="W24" i="13"/>
  <c r="P24" i="13"/>
  <c r="O24" i="13"/>
  <c r="N24" i="13"/>
  <c r="AO24" i="13" s="1"/>
  <c r="AV24" i="13" s="1"/>
  <c r="M24" i="13"/>
  <c r="AP23" i="13"/>
  <c r="AI23" i="13"/>
  <c r="AT23" i="13" s="1"/>
  <c r="AH23" i="13"/>
  <c r="AF23" i="13"/>
  <c r="AE23" i="13"/>
  <c r="AB23" i="13"/>
  <c r="AA23" i="13"/>
  <c r="Z23" i="13"/>
  <c r="Y23" i="13"/>
  <c r="X23" i="13"/>
  <c r="W23" i="13"/>
  <c r="P23" i="13"/>
  <c r="O23" i="13"/>
  <c r="N23" i="13"/>
  <c r="AC23" i="13" s="1"/>
  <c r="M23" i="13"/>
  <c r="AP22" i="13"/>
  <c r="AI22" i="13"/>
  <c r="AN22" i="13" s="1"/>
  <c r="AH22" i="13"/>
  <c r="AF22" i="13"/>
  <c r="AE22" i="13"/>
  <c r="AC22" i="13"/>
  <c r="AB22" i="13"/>
  <c r="AA22" i="13"/>
  <c r="Z22" i="13"/>
  <c r="Y22" i="13"/>
  <c r="X22" i="13"/>
  <c r="W22" i="13"/>
  <c r="P22" i="13"/>
  <c r="O22" i="13"/>
  <c r="AD22" i="13" s="1"/>
  <c r="N22" i="13"/>
  <c r="AO22" i="13" s="1"/>
  <c r="AV22" i="13" s="1"/>
  <c r="M22" i="13"/>
  <c r="AT21" i="13"/>
  <c r="AJ21" i="13"/>
  <c r="AI21" i="13"/>
  <c r="AN21" i="13" s="1"/>
  <c r="AH21" i="13"/>
  <c r="AF21" i="13"/>
  <c r="AE21" i="13"/>
  <c r="AD21" i="13"/>
  <c r="AC21" i="13"/>
  <c r="AB21" i="13"/>
  <c r="AA21" i="13"/>
  <c r="Z21" i="13"/>
  <c r="Y21" i="13"/>
  <c r="X21" i="13"/>
  <c r="W21" i="13"/>
  <c r="P21" i="13"/>
  <c r="O21" i="13"/>
  <c r="N21" i="13"/>
  <c r="M21" i="13"/>
  <c r="AT20" i="13"/>
  <c r="AP20" i="13"/>
  <c r="AO20" i="13"/>
  <c r="AV20" i="13" s="1"/>
  <c r="AJ20" i="13"/>
  <c r="AI20" i="13"/>
  <c r="AH20" i="13"/>
  <c r="AF20" i="13"/>
  <c r="AE20" i="13"/>
  <c r="AD20" i="13"/>
  <c r="AC20" i="13"/>
  <c r="AA20" i="13"/>
  <c r="Z20" i="13"/>
  <c r="Y20" i="13"/>
  <c r="X20" i="13"/>
  <c r="W20" i="13"/>
  <c r="P20" i="13"/>
  <c r="O20" i="13"/>
  <c r="AQ20" i="13" s="1"/>
  <c r="N20" i="13"/>
  <c r="M20" i="13"/>
  <c r="AT19" i="13"/>
  <c r="AP19" i="13"/>
  <c r="AO19" i="13"/>
  <c r="AV19" i="13" s="1"/>
  <c r="AI19" i="13"/>
  <c r="AH19" i="13"/>
  <c r="AF19" i="13"/>
  <c r="AE19" i="13"/>
  <c r="AD19" i="13"/>
  <c r="AA19" i="13"/>
  <c r="Z19" i="13"/>
  <c r="Y19" i="13"/>
  <c r="X19" i="13"/>
  <c r="W19" i="13"/>
  <c r="P19" i="13"/>
  <c r="O19" i="13"/>
  <c r="N19" i="13"/>
  <c r="AC19" i="13" s="1"/>
  <c r="M19" i="13"/>
  <c r="AT18" i="13"/>
  <c r="AP18" i="13"/>
  <c r="AI18" i="13"/>
  <c r="AH18" i="13"/>
  <c r="AF18" i="13"/>
  <c r="AE18" i="13"/>
  <c r="AA18" i="13"/>
  <c r="Z18" i="13"/>
  <c r="Y18" i="13"/>
  <c r="X18" i="13"/>
  <c r="W18" i="13"/>
  <c r="P18" i="13"/>
  <c r="O18" i="13"/>
  <c r="N18" i="13"/>
  <c r="M18" i="13"/>
  <c r="AI17" i="13"/>
  <c r="AH17" i="13"/>
  <c r="W17" i="13"/>
  <c r="AT16" i="13"/>
  <c r="AN16" i="13"/>
  <c r="AJ16" i="13"/>
  <c r="AI16" i="13"/>
  <c r="AH16" i="13"/>
  <c r="AF16" i="13"/>
  <c r="AE16" i="13"/>
  <c r="AD16" i="13"/>
  <c r="AC16" i="13"/>
  <c r="AA16" i="13"/>
  <c r="Z16" i="13"/>
  <c r="Y16" i="13"/>
  <c r="X16" i="13"/>
  <c r="W16" i="13"/>
  <c r="P16" i="13"/>
  <c r="O16" i="13"/>
  <c r="N16" i="13"/>
  <c r="M16" i="13"/>
  <c r="AT15" i="13"/>
  <c r="AP15" i="13"/>
  <c r="AI15" i="13"/>
  <c r="AH15" i="13"/>
  <c r="AF15" i="13"/>
  <c r="AE15" i="13"/>
  <c r="AD15" i="13"/>
  <c r="AA15" i="13"/>
  <c r="Z15" i="13"/>
  <c r="Y15" i="13"/>
  <c r="X15" i="13"/>
  <c r="W15" i="13"/>
  <c r="P15" i="13"/>
  <c r="O15" i="13"/>
  <c r="N15" i="13"/>
  <c r="AC15" i="13" s="1"/>
  <c r="M15" i="13"/>
  <c r="AT14" i="13"/>
  <c r="AP14" i="13"/>
  <c r="AI14" i="13"/>
  <c r="AH14" i="13"/>
  <c r="AF14" i="13"/>
  <c r="AE14" i="13"/>
  <c r="AA14" i="13"/>
  <c r="Z14" i="13"/>
  <c r="Y14" i="13"/>
  <c r="X14" i="13"/>
  <c r="W14" i="13"/>
  <c r="P14" i="13"/>
  <c r="O14" i="13"/>
  <c r="AQ14" i="13" s="1"/>
  <c r="N14" i="13"/>
  <c r="M14" i="13"/>
  <c r="AP13" i="13"/>
  <c r="AI13" i="13"/>
  <c r="AT13" i="13" s="1"/>
  <c r="AH13" i="13"/>
  <c r="AF13" i="13"/>
  <c r="AE13" i="13"/>
  <c r="AB13" i="13"/>
  <c r="AA13" i="13"/>
  <c r="Z13" i="13"/>
  <c r="Y13" i="13"/>
  <c r="X13" i="13"/>
  <c r="W13" i="13"/>
  <c r="P13" i="13"/>
  <c r="O13" i="13"/>
  <c r="AD13" i="13" s="1"/>
  <c r="N13" i="13"/>
  <c r="M13" i="13"/>
  <c r="AI12" i="13"/>
  <c r="AH12" i="13"/>
  <c r="AF12" i="13"/>
  <c r="AE12" i="13"/>
  <c r="AC12" i="13"/>
  <c r="AB12" i="13"/>
  <c r="AA12" i="13"/>
  <c r="Z12" i="13"/>
  <c r="Y12" i="13"/>
  <c r="X12" i="13"/>
  <c r="W12" i="13"/>
  <c r="P12" i="13"/>
  <c r="O12" i="13"/>
  <c r="AD12" i="13" s="1"/>
  <c r="N12" i="13"/>
  <c r="M12" i="13"/>
  <c r="AT11" i="13"/>
  <c r="AJ11" i="13"/>
  <c r="AI11" i="13"/>
  <c r="AH11" i="13"/>
  <c r="AF11" i="13"/>
  <c r="AE11" i="13"/>
  <c r="AD11" i="13"/>
  <c r="AC11" i="13"/>
  <c r="AB11" i="13"/>
  <c r="AA11" i="13"/>
  <c r="Z11" i="13"/>
  <c r="Y11" i="13"/>
  <c r="X11" i="13"/>
  <c r="W11" i="13"/>
  <c r="P11" i="13"/>
  <c r="O11" i="13"/>
  <c r="N11" i="13"/>
  <c r="M11" i="13"/>
  <c r="AU10" i="13"/>
  <c r="AT10" i="13"/>
  <c r="AP10" i="13"/>
  <c r="AO10" i="13"/>
  <c r="AV10" i="13" s="1"/>
  <c r="AN10" i="13"/>
  <c r="AJ10" i="13"/>
  <c r="AI10" i="13"/>
  <c r="AH10" i="13"/>
  <c r="AF10" i="13"/>
  <c r="AE10" i="13"/>
  <c r="AD10" i="13"/>
  <c r="AC10" i="13"/>
  <c r="AA10" i="13"/>
  <c r="Z10" i="13"/>
  <c r="Y10" i="13"/>
  <c r="X10" i="13"/>
  <c r="W10" i="13"/>
  <c r="P10" i="13"/>
  <c r="O10" i="13"/>
  <c r="N10" i="13"/>
  <c r="M10" i="13"/>
  <c r="AU9" i="13"/>
  <c r="AT9" i="13"/>
  <c r="AP9" i="13"/>
  <c r="AO9" i="13"/>
  <c r="AV9" i="13" s="1"/>
  <c r="AI9" i="13"/>
  <c r="AH9" i="13"/>
  <c r="AF9" i="13"/>
  <c r="AE9" i="13"/>
  <c r="AD9" i="13"/>
  <c r="AA9" i="13"/>
  <c r="Z9" i="13"/>
  <c r="Y9" i="13"/>
  <c r="X9" i="13"/>
  <c r="W9" i="13"/>
  <c r="P9" i="13"/>
  <c r="O9" i="13"/>
  <c r="N9" i="13"/>
  <c r="AC9" i="13" s="1"/>
  <c r="M9" i="13"/>
  <c r="AT8" i="13"/>
  <c r="AP8" i="13"/>
  <c r="AI8" i="13"/>
  <c r="AH8" i="13"/>
  <c r="AF8" i="13"/>
  <c r="AE8" i="13"/>
  <c r="AA8" i="13"/>
  <c r="Z8" i="13"/>
  <c r="Y8" i="13"/>
  <c r="X8" i="13"/>
  <c r="W8" i="13"/>
  <c r="P8" i="13"/>
  <c r="O8" i="13"/>
  <c r="AD8" i="13" s="1"/>
  <c r="N8" i="13"/>
  <c r="AC8" i="13" s="1"/>
  <c r="M8" i="13"/>
  <c r="AI7" i="13"/>
  <c r="AH7" i="13"/>
  <c r="W7" i="13"/>
  <c r="AT6" i="13"/>
  <c r="AN6" i="13"/>
  <c r="AJ6" i="13"/>
  <c r="AI6" i="13"/>
  <c r="AH6" i="13"/>
  <c r="AF6" i="13"/>
  <c r="AE6" i="13"/>
  <c r="AD6" i="13"/>
  <c r="AC6" i="13"/>
  <c r="AA6" i="13"/>
  <c r="Z6" i="13"/>
  <c r="Y6" i="13"/>
  <c r="X6" i="13"/>
  <c r="W6" i="13"/>
  <c r="P6" i="13"/>
  <c r="O6" i="13"/>
  <c r="N6" i="13"/>
  <c r="M6" i="13"/>
  <c r="AI5" i="13"/>
  <c r="AH5" i="13"/>
  <c r="W5" i="13"/>
  <c r="AI4" i="13"/>
  <c r="AP3" i="13"/>
  <c r="AI3" i="13"/>
  <c r="AH3" i="13"/>
  <c r="AN2" i="13"/>
  <c r="AM2" i="13"/>
  <c r="AL2" i="13"/>
  <c r="AK2" i="13"/>
  <c r="AJ2" i="13"/>
  <c r="AJ41" i="13" s="1"/>
  <c r="AA2" i="13"/>
  <c r="A2" i="13"/>
  <c r="AU1" i="13"/>
  <c r="AR1" i="13"/>
  <c r="AR43" i="13" s="1"/>
  <c r="AQ1" i="13"/>
  <c r="AQ12" i="13" s="1"/>
  <c r="AP1" i="13"/>
  <c r="AP16" i="13" s="1"/>
  <c r="AO1" i="13"/>
  <c r="AA1" i="13"/>
  <c r="A1" i="13"/>
  <c r="AJ1" i="13" s="1"/>
  <c r="AU8" i="12"/>
  <c r="AT8" i="12"/>
  <c r="AI8" i="12"/>
  <c r="AJ8" i="12" s="1"/>
  <c r="AH8" i="12"/>
  <c r="AF8" i="12"/>
  <c r="AE8" i="12"/>
  <c r="AD8" i="12"/>
  <c r="AC8" i="12"/>
  <c r="AB8" i="12"/>
  <c r="AA8" i="12"/>
  <c r="Z8" i="12"/>
  <c r="Y8" i="12"/>
  <c r="X8" i="12"/>
  <c r="W8" i="12"/>
  <c r="P8" i="12"/>
  <c r="O8" i="12"/>
  <c r="N8" i="12"/>
  <c r="AO8" i="12" s="1"/>
  <c r="M8" i="12"/>
  <c r="AU7" i="12"/>
  <c r="AT7" i="12"/>
  <c r="AN7" i="12"/>
  <c r="AJ7" i="12"/>
  <c r="AI7" i="12"/>
  <c r="AH7" i="12"/>
  <c r="AF7" i="12"/>
  <c r="AE7" i="12"/>
  <c r="AD7" i="12"/>
  <c r="AC7" i="12"/>
  <c r="AA7" i="12"/>
  <c r="Z7" i="12"/>
  <c r="Y7" i="12"/>
  <c r="X7" i="12"/>
  <c r="W7" i="12"/>
  <c r="P7" i="12"/>
  <c r="O7" i="12"/>
  <c r="AQ7" i="12" s="1"/>
  <c r="N7" i="12"/>
  <c r="M7" i="12"/>
  <c r="AU6" i="12"/>
  <c r="AT6" i="12"/>
  <c r="AP6" i="12"/>
  <c r="AN6" i="12"/>
  <c r="AJ6" i="12"/>
  <c r="AI6" i="12"/>
  <c r="AH6" i="12"/>
  <c r="AF6" i="12"/>
  <c r="AE6" i="12"/>
  <c r="AD6" i="12"/>
  <c r="AA6" i="12"/>
  <c r="Z6" i="12"/>
  <c r="Y6" i="12"/>
  <c r="X6" i="12"/>
  <c r="W6" i="12"/>
  <c r="P6" i="12"/>
  <c r="O6" i="12"/>
  <c r="AQ6" i="12" s="1"/>
  <c r="N6" i="12"/>
  <c r="M6" i="12"/>
  <c r="AI5" i="12"/>
  <c r="AH5" i="12"/>
  <c r="W5" i="12"/>
  <c r="AI4" i="12"/>
  <c r="AU3" i="12"/>
  <c r="AI3" i="12"/>
  <c r="AH3" i="12"/>
  <c r="AN2" i="12"/>
  <c r="AM2" i="12"/>
  <c r="AL2" i="12"/>
  <c r="AK2" i="12"/>
  <c r="AJ2" i="12"/>
  <c r="AA2" i="12"/>
  <c r="A2" i="12"/>
  <c r="AU1" i="12"/>
  <c r="AR1" i="12"/>
  <c r="AR8" i="12" s="1"/>
  <c r="AQ1" i="12"/>
  <c r="AQ3" i="12" s="1"/>
  <c r="AP1" i="12"/>
  <c r="AO1" i="12"/>
  <c r="AO3" i="12" s="1"/>
  <c r="AA1" i="12"/>
  <c r="A1" i="12"/>
  <c r="AJ1" i="12" s="1"/>
  <c r="AV8" i="11"/>
  <c r="AU8" i="11"/>
  <c r="AT8" i="11"/>
  <c r="AP8" i="11"/>
  <c r="AO8" i="11"/>
  <c r="AI8" i="11"/>
  <c r="AH8" i="11"/>
  <c r="AF8" i="11"/>
  <c r="AE8" i="11"/>
  <c r="AD8" i="11"/>
  <c r="AC8" i="11"/>
  <c r="AA8" i="11"/>
  <c r="Z8" i="11"/>
  <c r="Y8" i="11"/>
  <c r="X8" i="11"/>
  <c r="W8" i="11"/>
  <c r="P8" i="11"/>
  <c r="O8" i="11"/>
  <c r="N8" i="11"/>
  <c r="M8" i="11"/>
  <c r="AU7" i="11"/>
  <c r="AT7" i="11"/>
  <c r="AI7" i="11"/>
  <c r="AH7" i="11"/>
  <c r="AF7" i="11"/>
  <c r="AE7" i="11"/>
  <c r="AD7" i="11"/>
  <c r="AA7" i="11"/>
  <c r="Z7" i="11"/>
  <c r="Y7" i="11"/>
  <c r="X7" i="11"/>
  <c r="W7" i="11"/>
  <c r="P7" i="11"/>
  <c r="O7" i="11"/>
  <c r="N7" i="11"/>
  <c r="AC7" i="11" s="1"/>
  <c r="M7" i="11"/>
  <c r="AT6" i="11"/>
  <c r="AQ6" i="11"/>
  <c r="AP6" i="11"/>
  <c r="AI6" i="11"/>
  <c r="AH6" i="11"/>
  <c r="AF6" i="11"/>
  <c r="AE6" i="11"/>
  <c r="AA6" i="11"/>
  <c r="Z6" i="11"/>
  <c r="Y6" i="11"/>
  <c r="X6" i="11"/>
  <c r="W6" i="11"/>
  <c r="P6" i="11"/>
  <c r="O6" i="11"/>
  <c r="AD6" i="11" s="1"/>
  <c r="N6" i="11"/>
  <c r="AC6" i="11" s="1"/>
  <c r="M6" i="11"/>
  <c r="AI5" i="11"/>
  <c r="AH5" i="11"/>
  <c r="W5" i="11"/>
  <c r="AI4" i="11"/>
  <c r="AU3" i="11"/>
  <c r="AI3" i="11"/>
  <c r="AH3" i="11"/>
  <c r="AN2" i="11"/>
  <c r="AM2" i="11"/>
  <c r="AL2" i="11"/>
  <c r="AK2" i="11"/>
  <c r="AJ2" i="11"/>
  <c r="AA2" i="11"/>
  <c r="A2" i="11"/>
  <c r="AU1" i="11"/>
  <c r="AU6" i="11" s="1"/>
  <c r="AR1" i="11"/>
  <c r="AR3" i="11" s="1"/>
  <c r="AQ1" i="11"/>
  <c r="AQ3" i="11" s="1"/>
  <c r="AP1" i="11"/>
  <c r="AP3" i="11" s="1"/>
  <c r="AO1" i="11"/>
  <c r="AO3" i="11" s="1"/>
  <c r="AA1" i="11"/>
  <c r="A1" i="11"/>
  <c r="AU12" i="10"/>
  <c r="AT12" i="10"/>
  <c r="AP12" i="10"/>
  <c r="AN12" i="10"/>
  <c r="AI12" i="10"/>
  <c r="AH12" i="10"/>
  <c r="AF12" i="10"/>
  <c r="AE12" i="10"/>
  <c r="AD12" i="10"/>
  <c r="AA12" i="10"/>
  <c r="Z12" i="10"/>
  <c r="Y12" i="10"/>
  <c r="X12" i="10"/>
  <c r="W12" i="10"/>
  <c r="P12" i="10"/>
  <c r="O12" i="10"/>
  <c r="N12" i="10"/>
  <c r="AC12" i="10" s="1"/>
  <c r="M12" i="10"/>
  <c r="AT11" i="10"/>
  <c r="AP11" i="10"/>
  <c r="AI11" i="10"/>
  <c r="AH11" i="10"/>
  <c r="AF11" i="10"/>
  <c r="AE11" i="10"/>
  <c r="AA11" i="10"/>
  <c r="Z11" i="10"/>
  <c r="Y11" i="10"/>
  <c r="X11" i="10"/>
  <c r="W11" i="10"/>
  <c r="P11" i="10"/>
  <c r="O11" i="10"/>
  <c r="AD11" i="10" s="1"/>
  <c r="N11" i="10"/>
  <c r="AC11" i="10" s="1"/>
  <c r="M11" i="10"/>
  <c r="AP10" i="10"/>
  <c r="AI10" i="10"/>
  <c r="AH10" i="10"/>
  <c r="AF10" i="10"/>
  <c r="AE10" i="10"/>
  <c r="AB10" i="10"/>
  <c r="AA10" i="10"/>
  <c r="Z10" i="10"/>
  <c r="Y10" i="10"/>
  <c r="X10" i="10"/>
  <c r="W10" i="10"/>
  <c r="P10" i="10"/>
  <c r="O10" i="10"/>
  <c r="AD10" i="10" s="1"/>
  <c r="N10" i="10"/>
  <c r="M10" i="10"/>
  <c r="AI9" i="10"/>
  <c r="AH9" i="10"/>
  <c r="W9" i="10"/>
  <c r="AU8" i="10"/>
  <c r="AT8" i="10"/>
  <c r="AP8" i="10"/>
  <c r="AO8" i="10"/>
  <c r="AV8" i="10" s="1"/>
  <c r="AN8" i="10"/>
  <c r="AI8" i="10"/>
  <c r="AH8" i="10"/>
  <c r="AF8" i="10"/>
  <c r="AE8" i="10"/>
  <c r="AD8" i="10"/>
  <c r="AA8" i="10"/>
  <c r="Z8" i="10"/>
  <c r="Y8" i="10"/>
  <c r="X8" i="10"/>
  <c r="W8" i="10"/>
  <c r="P8" i="10"/>
  <c r="O8" i="10"/>
  <c r="N8" i="10"/>
  <c r="AC8" i="10" s="1"/>
  <c r="M8" i="10"/>
  <c r="AQ7" i="10"/>
  <c r="AP7" i="10"/>
  <c r="AI7" i="10"/>
  <c r="AT7" i="10" s="1"/>
  <c r="AH7" i="10"/>
  <c r="AF7" i="10"/>
  <c r="AE7" i="10"/>
  <c r="AA7" i="10"/>
  <c r="Z7" i="10"/>
  <c r="Y7" i="10"/>
  <c r="X7" i="10"/>
  <c r="W7" i="10"/>
  <c r="P7" i="10"/>
  <c r="O7" i="10"/>
  <c r="AD7" i="10" s="1"/>
  <c r="N7" i="10"/>
  <c r="AC7" i="10" s="1"/>
  <c r="M7" i="10"/>
  <c r="AP6" i="10"/>
  <c r="AI6" i="10"/>
  <c r="AH6" i="10"/>
  <c r="AF6" i="10"/>
  <c r="AE6" i="10"/>
  <c r="AB6" i="10"/>
  <c r="AA6" i="10"/>
  <c r="Z6" i="10"/>
  <c r="Y6" i="10"/>
  <c r="X6" i="10"/>
  <c r="W6" i="10"/>
  <c r="P6" i="10"/>
  <c r="O6" i="10"/>
  <c r="AD6" i="10" s="1"/>
  <c r="N6" i="10"/>
  <c r="M6" i="10"/>
  <c r="AI5" i="10"/>
  <c r="AH5" i="10"/>
  <c r="W5" i="10"/>
  <c r="AI4" i="10"/>
  <c r="AU3" i="10"/>
  <c r="AO3" i="10"/>
  <c r="AI3" i="10"/>
  <c r="AH3" i="10"/>
  <c r="AN2" i="10"/>
  <c r="AN11" i="10" s="1"/>
  <c r="AM2" i="10"/>
  <c r="AL2" i="10"/>
  <c r="AK2" i="10"/>
  <c r="AJ2" i="10"/>
  <c r="AA2" i="10"/>
  <c r="A2" i="10"/>
  <c r="AU1" i="10"/>
  <c r="AU11" i="10" s="1"/>
  <c r="AR1" i="10"/>
  <c r="AQ1" i="10"/>
  <c r="AQ3" i="10" s="1"/>
  <c r="AP1" i="10"/>
  <c r="AP3" i="10" s="1"/>
  <c r="AO1" i="10"/>
  <c r="AA1" i="10"/>
  <c r="A1" i="10"/>
  <c r="AP134" i="9"/>
  <c r="AI134" i="9"/>
  <c r="AT134" i="9" s="1"/>
  <c r="AH134" i="9"/>
  <c r="AF134" i="9"/>
  <c r="AE134" i="9"/>
  <c r="AA134" i="9"/>
  <c r="Z134" i="9"/>
  <c r="Y134" i="9"/>
  <c r="X134" i="9"/>
  <c r="W134" i="9"/>
  <c r="P134" i="9"/>
  <c r="O134" i="9"/>
  <c r="AD134" i="9" s="1"/>
  <c r="N134" i="9"/>
  <c r="AC134" i="9" s="1"/>
  <c r="M134" i="9"/>
  <c r="AP133" i="9"/>
  <c r="AI133" i="9"/>
  <c r="AH133" i="9"/>
  <c r="AF133" i="9"/>
  <c r="AE133" i="9"/>
  <c r="AB133" i="9"/>
  <c r="AA133" i="9"/>
  <c r="Z133" i="9"/>
  <c r="Y133" i="9"/>
  <c r="X133" i="9"/>
  <c r="W133" i="9"/>
  <c r="P133" i="9"/>
  <c r="O133" i="9"/>
  <c r="AD133" i="9" s="1"/>
  <c r="N133" i="9"/>
  <c r="M133" i="9"/>
  <c r="AT132" i="9"/>
  <c r="AP132" i="9"/>
  <c r="AI132" i="9"/>
  <c r="AH132" i="9"/>
  <c r="AF132" i="9"/>
  <c r="AE132" i="9"/>
  <c r="AC132" i="9"/>
  <c r="AB132" i="9"/>
  <c r="AA132" i="9"/>
  <c r="Z132" i="9"/>
  <c r="Y132" i="9"/>
  <c r="X132" i="9"/>
  <c r="W132" i="9"/>
  <c r="P132" i="9"/>
  <c r="O132" i="9"/>
  <c r="AD132" i="9" s="1"/>
  <c r="N132" i="9"/>
  <c r="AO132" i="9" s="1"/>
  <c r="AV132" i="9" s="1"/>
  <c r="M132" i="9"/>
  <c r="AI131" i="9"/>
  <c r="AH131" i="9"/>
  <c r="W131" i="9"/>
  <c r="AI130" i="9"/>
  <c r="AT130" i="9" s="1"/>
  <c r="AH130" i="9"/>
  <c r="AF130" i="9"/>
  <c r="AE130" i="9"/>
  <c r="AA130" i="9"/>
  <c r="Z130" i="9"/>
  <c r="Y130" i="9"/>
  <c r="X130" i="9"/>
  <c r="W130" i="9"/>
  <c r="P130" i="9"/>
  <c r="O130" i="9"/>
  <c r="AD130" i="9" s="1"/>
  <c r="N130" i="9"/>
  <c r="AC130" i="9" s="1"/>
  <c r="M130" i="9"/>
  <c r="AI129" i="9"/>
  <c r="AH129" i="9"/>
  <c r="AF129" i="9"/>
  <c r="AE129" i="9"/>
  <c r="AB129" i="9"/>
  <c r="AA129" i="9"/>
  <c r="Z129" i="9"/>
  <c r="Y129" i="9"/>
  <c r="X129" i="9"/>
  <c r="W129" i="9"/>
  <c r="P129" i="9"/>
  <c r="O129" i="9"/>
  <c r="AD129" i="9" s="1"/>
  <c r="N129" i="9"/>
  <c r="M129" i="9"/>
  <c r="AP128" i="9"/>
  <c r="AI128" i="9"/>
  <c r="AH128" i="9"/>
  <c r="AF128" i="9"/>
  <c r="AE128" i="9"/>
  <c r="AC128" i="9"/>
  <c r="AB128" i="9"/>
  <c r="AA128" i="9"/>
  <c r="Z128" i="9"/>
  <c r="Y128" i="9"/>
  <c r="X128" i="9"/>
  <c r="W128" i="9"/>
  <c r="P128" i="9"/>
  <c r="O128" i="9"/>
  <c r="N128" i="9"/>
  <c r="AO128" i="9" s="1"/>
  <c r="AV128" i="9" s="1"/>
  <c r="M128" i="9"/>
  <c r="AI127" i="9"/>
  <c r="AH127" i="9"/>
  <c r="W127" i="9"/>
  <c r="AV126" i="9"/>
  <c r="AP126" i="9"/>
  <c r="AO126" i="9"/>
  <c r="AI126" i="9"/>
  <c r="AT126" i="9" s="1"/>
  <c r="AH126" i="9"/>
  <c r="AF126" i="9"/>
  <c r="AE126" i="9"/>
  <c r="AD126" i="9"/>
  <c r="AC126" i="9"/>
  <c r="AB126" i="9"/>
  <c r="AA126" i="9"/>
  <c r="Z126" i="9"/>
  <c r="Y126" i="9"/>
  <c r="X126" i="9"/>
  <c r="W126" i="9"/>
  <c r="P126" i="9"/>
  <c r="O126" i="9"/>
  <c r="N126" i="9"/>
  <c r="M126" i="9"/>
  <c r="AT125" i="9"/>
  <c r="AP125" i="9"/>
  <c r="AO125" i="9"/>
  <c r="AV125" i="9" s="1"/>
  <c r="AJ125" i="9"/>
  <c r="AI125" i="9"/>
  <c r="AH125" i="9"/>
  <c r="AF125" i="9"/>
  <c r="AE125" i="9"/>
  <c r="AD125" i="9"/>
  <c r="AC125" i="9"/>
  <c r="AA125" i="9"/>
  <c r="Z125" i="9"/>
  <c r="Y125" i="9"/>
  <c r="X125" i="9"/>
  <c r="W125" i="9"/>
  <c r="P125" i="9"/>
  <c r="O125" i="9"/>
  <c r="N125" i="9"/>
  <c r="M125" i="9"/>
  <c r="AI124" i="9"/>
  <c r="AT124" i="9" s="1"/>
  <c r="AH124" i="9"/>
  <c r="AF124" i="9"/>
  <c r="AE124" i="9"/>
  <c r="AD124" i="9"/>
  <c r="AA124" i="9"/>
  <c r="Z124" i="9"/>
  <c r="Y124" i="9"/>
  <c r="X124" i="9"/>
  <c r="W124" i="9"/>
  <c r="P124" i="9"/>
  <c r="O124" i="9"/>
  <c r="N124" i="9"/>
  <c r="M124" i="9"/>
  <c r="AP123" i="9"/>
  <c r="AO123" i="9"/>
  <c r="AV123" i="9" s="1"/>
  <c r="AI123" i="9"/>
  <c r="AH123" i="9"/>
  <c r="AF123" i="9"/>
  <c r="AE123" i="9"/>
  <c r="AA123" i="9"/>
  <c r="Z123" i="9"/>
  <c r="Y123" i="9"/>
  <c r="X123" i="9"/>
  <c r="W123" i="9"/>
  <c r="P123" i="9"/>
  <c r="O123" i="9"/>
  <c r="N123" i="9"/>
  <c r="AC123" i="9" s="1"/>
  <c r="M123" i="9"/>
  <c r="AI122" i="9"/>
  <c r="AH122" i="9"/>
  <c r="W122" i="9"/>
  <c r="AT121" i="9"/>
  <c r="AP121" i="9"/>
  <c r="AO121" i="9"/>
  <c r="AV121" i="9" s="1"/>
  <c r="AJ121" i="9"/>
  <c r="AI121" i="9"/>
  <c r="AH121" i="9"/>
  <c r="AF121" i="9"/>
  <c r="AE121" i="9"/>
  <c r="AD121" i="9"/>
  <c r="AC121" i="9"/>
  <c r="AA121" i="9"/>
  <c r="Z121" i="9"/>
  <c r="Y121" i="9"/>
  <c r="X121" i="9"/>
  <c r="W121" i="9"/>
  <c r="P121" i="9"/>
  <c r="O121" i="9"/>
  <c r="N121" i="9"/>
  <c r="M121" i="9"/>
  <c r="AI120" i="9"/>
  <c r="AT120" i="9" s="1"/>
  <c r="AH120" i="9"/>
  <c r="AF120" i="9"/>
  <c r="AE120" i="9"/>
  <c r="AD120" i="9"/>
  <c r="AA120" i="9"/>
  <c r="Z120" i="9"/>
  <c r="Y120" i="9"/>
  <c r="X120" i="9"/>
  <c r="W120" i="9"/>
  <c r="P120" i="9"/>
  <c r="O120" i="9"/>
  <c r="N120" i="9"/>
  <c r="AO120" i="9" s="1"/>
  <c r="M120" i="9"/>
  <c r="AI119" i="9"/>
  <c r="AH119" i="9"/>
  <c r="AF119" i="9"/>
  <c r="AE119" i="9"/>
  <c r="AA119" i="9"/>
  <c r="Z119" i="9"/>
  <c r="Y119" i="9"/>
  <c r="X119" i="9"/>
  <c r="W119" i="9"/>
  <c r="P119" i="9"/>
  <c r="O119" i="9"/>
  <c r="N119" i="9"/>
  <c r="AC119" i="9" s="1"/>
  <c r="M119" i="9"/>
  <c r="AP118" i="9"/>
  <c r="AI118" i="9"/>
  <c r="AT118" i="9" s="1"/>
  <c r="AH118" i="9"/>
  <c r="AF118" i="9"/>
  <c r="AE118" i="9"/>
  <c r="AB118" i="9"/>
  <c r="AA118" i="9"/>
  <c r="Z118" i="9"/>
  <c r="Y118" i="9"/>
  <c r="X118" i="9"/>
  <c r="W118" i="9"/>
  <c r="P118" i="9"/>
  <c r="O118" i="9"/>
  <c r="N118" i="9"/>
  <c r="M118" i="9"/>
  <c r="AT117" i="9"/>
  <c r="AI117" i="9"/>
  <c r="AH117" i="9"/>
  <c r="AF117" i="9"/>
  <c r="AE117" i="9"/>
  <c r="AC117" i="9"/>
  <c r="AB117" i="9"/>
  <c r="AA117" i="9"/>
  <c r="Z117" i="9"/>
  <c r="Y117" i="9"/>
  <c r="X117" i="9"/>
  <c r="W117" i="9"/>
  <c r="P117" i="9"/>
  <c r="O117" i="9"/>
  <c r="AD117" i="9" s="1"/>
  <c r="N117" i="9"/>
  <c r="M117" i="9"/>
  <c r="AI116" i="9"/>
  <c r="AH116" i="9"/>
  <c r="W116" i="9"/>
  <c r="AI115" i="9"/>
  <c r="AH115" i="9"/>
  <c r="AF115" i="9"/>
  <c r="AE115" i="9"/>
  <c r="AA115" i="9"/>
  <c r="Z115" i="9"/>
  <c r="Y115" i="9"/>
  <c r="X115" i="9"/>
  <c r="W115" i="9"/>
  <c r="P115" i="9"/>
  <c r="O115" i="9"/>
  <c r="N115" i="9"/>
  <c r="AC115" i="9" s="1"/>
  <c r="M115" i="9"/>
  <c r="AI114" i="9"/>
  <c r="AT114" i="9" s="1"/>
  <c r="AH114" i="9"/>
  <c r="AF114" i="9"/>
  <c r="AE114" i="9"/>
  <c r="AB114" i="9"/>
  <c r="AA114" i="9"/>
  <c r="Z114" i="9"/>
  <c r="Y114" i="9"/>
  <c r="X114" i="9"/>
  <c r="W114" i="9"/>
  <c r="P114" i="9"/>
  <c r="O114" i="9"/>
  <c r="N114" i="9"/>
  <c r="M114" i="9"/>
  <c r="AT113" i="9"/>
  <c r="AP113" i="9"/>
  <c r="AO113" i="9"/>
  <c r="AV113" i="9" s="1"/>
  <c r="AI113" i="9"/>
  <c r="AH113" i="9"/>
  <c r="AF113" i="9"/>
  <c r="AE113" i="9"/>
  <c r="AC113" i="9"/>
  <c r="AB113" i="9"/>
  <c r="AA113" i="9"/>
  <c r="Z113" i="9"/>
  <c r="Y113" i="9"/>
  <c r="X113" i="9"/>
  <c r="W113" i="9"/>
  <c r="P113" i="9"/>
  <c r="O113" i="9"/>
  <c r="AD113" i="9" s="1"/>
  <c r="N113" i="9"/>
  <c r="M113" i="9"/>
  <c r="AI112" i="9"/>
  <c r="AH112" i="9"/>
  <c r="W112" i="9"/>
  <c r="AP111" i="9"/>
  <c r="AO111" i="9"/>
  <c r="AV111" i="9" s="1"/>
  <c r="AI111" i="9"/>
  <c r="AH111" i="9"/>
  <c r="AF111" i="9"/>
  <c r="AE111" i="9"/>
  <c r="AA111" i="9"/>
  <c r="Z111" i="9"/>
  <c r="Y111" i="9"/>
  <c r="X111" i="9"/>
  <c r="W111" i="9"/>
  <c r="P111" i="9"/>
  <c r="O111" i="9"/>
  <c r="N111" i="9"/>
  <c r="AC111" i="9" s="1"/>
  <c r="M111" i="9"/>
  <c r="AP110" i="9"/>
  <c r="AI110" i="9"/>
  <c r="AT110" i="9" s="1"/>
  <c r="AH110" i="9"/>
  <c r="AF110" i="9"/>
  <c r="AE110" i="9"/>
  <c r="AB110" i="9"/>
  <c r="AA110" i="9"/>
  <c r="Z110" i="9"/>
  <c r="Y110" i="9"/>
  <c r="X110" i="9"/>
  <c r="W110" i="9"/>
  <c r="P110" i="9"/>
  <c r="O110" i="9"/>
  <c r="AQ110" i="9" s="1"/>
  <c r="N110" i="9"/>
  <c r="M110" i="9"/>
  <c r="AT109" i="9"/>
  <c r="AI109" i="9"/>
  <c r="AH109" i="9"/>
  <c r="AF109" i="9"/>
  <c r="AE109" i="9"/>
  <c r="AC109" i="9"/>
  <c r="AB109" i="9"/>
  <c r="AA109" i="9"/>
  <c r="Z109" i="9"/>
  <c r="Y109" i="9"/>
  <c r="X109" i="9"/>
  <c r="W109" i="9"/>
  <c r="P109" i="9"/>
  <c r="O109" i="9"/>
  <c r="AD109" i="9" s="1"/>
  <c r="N109" i="9"/>
  <c r="M109" i="9"/>
  <c r="AI108" i="9"/>
  <c r="AH108" i="9"/>
  <c r="W108" i="9"/>
  <c r="AV107" i="9"/>
  <c r="AP107" i="9"/>
  <c r="AO107" i="9"/>
  <c r="AI107" i="9"/>
  <c r="AH107" i="9"/>
  <c r="AF107" i="9"/>
  <c r="AE107" i="9"/>
  <c r="AA107" i="9"/>
  <c r="Z107" i="9"/>
  <c r="Y107" i="9"/>
  <c r="X107" i="9"/>
  <c r="W107" i="9"/>
  <c r="P107" i="9"/>
  <c r="O107" i="9"/>
  <c r="AQ107" i="9" s="1"/>
  <c r="N107" i="9"/>
  <c r="AC107" i="9" s="1"/>
  <c r="M107" i="9"/>
  <c r="AI106" i="9"/>
  <c r="AH106" i="9"/>
  <c r="W106" i="9"/>
  <c r="AT105" i="9"/>
  <c r="AI105" i="9"/>
  <c r="AH105" i="9"/>
  <c r="AF105" i="9"/>
  <c r="AE105" i="9"/>
  <c r="AD105" i="9"/>
  <c r="AC105" i="9"/>
  <c r="AA105" i="9"/>
  <c r="Z105" i="9"/>
  <c r="Y105" i="9"/>
  <c r="X105" i="9"/>
  <c r="W105" i="9"/>
  <c r="P105" i="9"/>
  <c r="O105" i="9"/>
  <c r="N105" i="9"/>
  <c r="M105" i="9"/>
  <c r="AI104" i="9"/>
  <c r="AT104" i="9" s="1"/>
  <c r="AH104" i="9"/>
  <c r="AF104" i="9"/>
  <c r="AE104" i="9"/>
  <c r="AD104" i="9"/>
  <c r="AA104" i="9"/>
  <c r="Z104" i="9"/>
  <c r="Y104" i="9"/>
  <c r="X104" i="9"/>
  <c r="W104" i="9"/>
  <c r="P104" i="9"/>
  <c r="O104" i="9"/>
  <c r="N104" i="9"/>
  <c r="M104" i="9"/>
  <c r="AI103" i="9"/>
  <c r="AH103" i="9"/>
  <c r="AF103" i="9"/>
  <c r="AE103" i="9"/>
  <c r="AA103" i="9"/>
  <c r="Z103" i="9"/>
  <c r="Y103" i="9"/>
  <c r="X103" i="9"/>
  <c r="W103" i="9"/>
  <c r="P103" i="9"/>
  <c r="O103" i="9"/>
  <c r="N103" i="9"/>
  <c r="AC103" i="9" s="1"/>
  <c r="M103" i="9"/>
  <c r="AP102" i="9"/>
  <c r="AI102" i="9"/>
  <c r="AT102" i="9" s="1"/>
  <c r="AH102" i="9"/>
  <c r="AF102" i="9"/>
  <c r="AE102" i="9"/>
  <c r="AB102" i="9"/>
  <c r="AA102" i="9"/>
  <c r="Z102" i="9"/>
  <c r="Y102" i="9"/>
  <c r="X102" i="9"/>
  <c r="W102" i="9"/>
  <c r="P102" i="9"/>
  <c r="O102" i="9"/>
  <c r="AQ102" i="9" s="1"/>
  <c r="N102" i="9"/>
  <c r="M102" i="9"/>
  <c r="AI101" i="9"/>
  <c r="AH101" i="9"/>
  <c r="W101" i="9"/>
  <c r="AI100" i="9"/>
  <c r="AT100" i="9" s="1"/>
  <c r="AH100" i="9"/>
  <c r="AF100" i="9"/>
  <c r="AE100" i="9"/>
  <c r="AD100" i="9"/>
  <c r="AA100" i="9"/>
  <c r="Z100" i="9"/>
  <c r="Y100" i="9"/>
  <c r="X100" i="9"/>
  <c r="W100" i="9"/>
  <c r="P100" i="9"/>
  <c r="O100" i="9"/>
  <c r="N100" i="9"/>
  <c r="M100" i="9"/>
  <c r="AI99" i="9"/>
  <c r="AH99" i="9"/>
  <c r="AF99" i="9"/>
  <c r="AE99" i="9"/>
  <c r="AA99" i="9"/>
  <c r="Z99" i="9"/>
  <c r="Y99" i="9"/>
  <c r="X99" i="9"/>
  <c r="W99" i="9"/>
  <c r="P99" i="9"/>
  <c r="O99" i="9"/>
  <c r="N99" i="9"/>
  <c r="AC99" i="9" s="1"/>
  <c r="M99" i="9"/>
  <c r="AI98" i="9"/>
  <c r="AT98" i="9" s="1"/>
  <c r="AH98" i="9"/>
  <c r="AF98" i="9"/>
  <c r="AE98" i="9"/>
  <c r="AB98" i="9"/>
  <c r="AA98" i="9"/>
  <c r="Z98" i="9"/>
  <c r="Y98" i="9"/>
  <c r="X98" i="9"/>
  <c r="W98" i="9"/>
  <c r="P98" i="9"/>
  <c r="O98" i="9"/>
  <c r="N98" i="9"/>
  <c r="M98" i="9"/>
  <c r="AT97" i="9"/>
  <c r="AP97" i="9"/>
  <c r="AO97" i="9"/>
  <c r="AV97" i="9" s="1"/>
  <c r="AI97" i="9"/>
  <c r="AH97" i="9"/>
  <c r="AF97" i="9"/>
  <c r="AE97" i="9"/>
  <c r="AC97" i="9"/>
  <c r="AB97" i="9"/>
  <c r="AA97" i="9"/>
  <c r="Z97" i="9"/>
  <c r="Y97" i="9"/>
  <c r="X97" i="9"/>
  <c r="W97" i="9"/>
  <c r="P97" i="9"/>
  <c r="O97" i="9"/>
  <c r="AD97" i="9" s="1"/>
  <c r="N97" i="9"/>
  <c r="M97" i="9"/>
  <c r="AI96" i="9"/>
  <c r="AH96" i="9"/>
  <c r="W96" i="9"/>
  <c r="AP95" i="9"/>
  <c r="AO95" i="9"/>
  <c r="AV95" i="9" s="1"/>
  <c r="AI95" i="9"/>
  <c r="AH95" i="9"/>
  <c r="AF95" i="9"/>
  <c r="AE95" i="9"/>
  <c r="AA95" i="9"/>
  <c r="Z95" i="9"/>
  <c r="Y95" i="9"/>
  <c r="X95" i="9"/>
  <c r="W95" i="9"/>
  <c r="P95" i="9"/>
  <c r="O95" i="9"/>
  <c r="N95" i="9"/>
  <c r="AC95" i="9" s="1"/>
  <c r="M95" i="9"/>
  <c r="AP94" i="9"/>
  <c r="AI94" i="9"/>
  <c r="AT94" i="9" s="1"/>
  <c r="AH94" i="9"/>
  <c r="AF94" i="9"/>
  <c r="AE94" i="9"/>
  <c r="AB94" i="9"/>
  <c r="AA94" i="9"/>
  <c r="Z94" i="9"/>
  <c r="Y94" i="9"/>
  <c r="X94" i="9"/>
  <c r="W94" i="9"/>
  <c r="P94" i="9"/>
  <c r="O94" i="9"/>
  <c r="AQ94" i="9" s="1"/>
  <c r="N94" i="9"/>
  <c r="M94" i="9"/>
  <c r="AT93" i="9"/>
  <c r="AP93" i="9"/>
  <c r="AO93" i="9"/>
  <c r="AV93" i="9" s="1"/>
  <c r="AI93" i="9"/>
  <c r="AH93" i="9"/>
  <c r="AF93" i="9"/>
  <c r="AE93" i="9"/>
  <c r="AC93" i="9"/>
  <c r="AB93" i="9"/>
  <c r="AA93" i="9"/>
  <c r="Z93" i="9"/>
  <c r="Y93" i="9"/>
  <c r="X93" i="9"/>
  <c r="W93" i="9"/>
  <c r="P93" i="9"/>
  <c r="O93" i="9"/>
  <c r="AD93" i="9" s="1"/>
  <c r="N93" i="9"/>
  <c r="M93" i="9"/>
  <c r="AP92" i="9"/>
  <c r="AO92" i="9"/>
  <c r="AV92" i="9" s="1"/>
  <c r="AI92" i="9"/>
  <c r="AH92" i="9"/>
  <c r="AF92" i="9"/>
  <c r="AE92" i="9"/>
  <c r="AD92" i="9"/>
  <c r="AC92" i="9"/>
  <c r="AB92" i="9"/>
  <c r="AA92" i="9"/>
  <c r="Z92" i="9"/>
  <c r="Y92" i="9"/>
  <c r="X92" i="9"/>
  <c r="W92" i="9"/>
  <c r="P92" i="9"/>
  <c r="O92" i="9"/>
  <c r="N92" i="9"/>
  <c r="M92" i="9"/>
  <c r="AI91" i="9"/>
  <c r="AH91" i="9"/>
  <c r="W91" i="9"/>
  <c r="AP90" i="9"/>
  <c r="AI90" i="9"/>
  <c r="AT90" i="9" s="1"/>
  <c r="AH90" i="9"/>
  <c r="AF90" i="9"/>
  <c r="AE90" i="9"/>
  <c r="AB90" i="9"/>
  <c r="AA90" i="9"/>
  <c r="Z90" i="9"/>
  <c r="Y90" i="9"/>
  <c r="X90" i="9"/>
  <c r="W90" i="9"/>
  <c r="P90" i="9"/>
  <c r="O90" i="9"/>
  <c r="N90" i="9"/>
  <c r="M90" i="9"/>
  <c r="AT89" i="9"/>
  <c r="AI89" i="9"/>
  <c r="AH89" i="9"/>
  <c r="AF89" i="9"/>
  <c r="AE89" i="9"/>
  <c r="AC89" i="9"/>
  <c r="AB89" i="9"/>
  <c r="AA89" i="9"/>
  <c r="Z89" i="9"/>
  <c r="Y89" i="9"/>
  <c r="X89" i="9"/>
  <c r="W89" i="9"/>
  <c r="P89" i="9"/>
  <c r="O89" i="9"/>
  <c r="AD89" i="9" s="1"/>
  <c r="N89" i="9"/>
  <c r="M89" i="9"/>
  <c r="AP88" i="9"/>
  <c r="AO88" i="9"/>
  <c r="AV88" i="9" s="1"/>
  <c r="AI88" i="9"/>
  <c r="AH88" i="9"/>
  <c r="AF88" i="9"/>
  <c r="AE88" i="9"/>
  <c r="AD88" i="9"/>
  <c r="AC88" i="9"/>
  <c r="AB88" i="9"/>
  <c r="AA88" i="9"/>
  <c r="Z88" i="9"/>
  <c r="Y88" i="9"/>
  <c r="X88" i="9"/>
  <c r="W88" i="9"/>
  <c r="P88" i="9"/>
  <c r="O88" i="9"/>
  <c r="N88" i="9"/>
  <c r="M88" i="9"/>
  <c r="AI87" i="9"/>
  <c r="AH87" i="9"/>
  <c r="W87" i="9"/>
  <c r="AP86" i="9"/>
  <c r="AI86" i="9"/>
  <c r="AT86" i="9" s="1"/>
  <c r="AH86" i="9"/>
  <c r="AF86" i="9"/>
  <c r="AE86" i="9"/>
  <c r="AA86" i="9"/>
  <c r="Z86" i="9"/>
  <c r="Y86" i="9"/>
  <c r="X86" i="9"/>
  <c r="W86" i="9"/>
  <c r="P86" i="9"/>
  <c r="O86" i="9"/>
  <c r="N86" i="9"/>
  <c r="M86" i="9"/>
  <c r="AT85" i="9"/>
  <c r="AP85" i="9"/>
  <c r="AI85" i="9"/>
  <c r="AH85" i="9"/>
  <c r="AF85" i="9"/>
  <c r="AE85" i="9"/>
  <c r="AB85" i="9"/>
  <c r="AA85" i="9"/>
  <c r="Z85" i="9"/>
  <c r="Y85" i="9"/>
  <c r="X85" i="9"/>
  <c r="W85" i="9"/>
  <c r="P85" i="9"/>
  <c r="O85" i="9"/>
  <c r="N85" i="9"/>
  <c r="M85" i="9"/>
  <c r="AI84" i="9"/>
  <c r="AH84" i="9"/>
  <c r="AF84" i="9"/>
  <c r="AE84" i="9"/>
  <c r="AC84" i="9"/>
  <c r="AB84" i="9"/>
  <c r="AA84" i="9"/>
  <c r="Z84" i="9"/>
  <c r="Y84" i="9"/>
  <c r="X84" i="9"/>
  <c r="W84" i="9"/>
  <c r="P84" i="9"/>
  <c r="O84" i="9"/>
  <c r="AD84" i="9" s="1"/>
  <c r="N84" i="9"/>
  <c r="M84" i="9"/>
  <c r="AT83" i="9"/>
  <c r="AP83" i="9"/>
  <c r="AO83" i="9"/>
  <c r="AV83" i="9" s="1"/>
  <c r="AJ83" i="9"/>
  <c r="AI83" i="9"/>
  <c r="AH83" i="9"/>
  <c r="AF83" i="9"/>
  <c r="AE83" i="9"/>
  <c r="AD83" i="9"/>
  <c r="AC83" i="9"/>
  <c r="AB83" i="9"/>
  <c r="AA83" i="9"/>
  <c r="Z83" i="9"/>
  <c r="Y83" i="9"/>
  <c r="X83" i="9"/>
  <c r="W83" i="9"/>
  <c r="P83" i="9"/>
  <c r="O83" i="9"/>
  <c r="AQ83" i="9" s="1"/>
  <c r="N83" i="9"/>
  <c r="M83" i="9"/>
  <c r="AI82" i="9"/>
  <c r="AH82" i="9"/>
  <c r="W82" i="9"/>
  <c r="AT81" i="9"/>
  <c r="AP81" i="9"/>
  <c r="AI81" i="9"/>
  <c r="AH81" i="9"/>
  <c r="AF81" i="9"/>
  <c r="AE81" i="9"/>
  <c r="AB81" i="9"/>
  <c r="AA81" i="9"/>
  <c r="Z81" i="9"/>
  <c r="Y81" i="9"/>
  <c r="X81" i="9"/>
  <c r="W81" i="9"/>
  <c r="P81" i="9"/>
  <c r="O81" i="9"/>
  <c r="AD81" i="9" s="1"/>
  <c r="N81" i="9"/>
  <c r="M81" i="9"/>
  <c r="AI80" i="9"/>
  <c r="AH80" i="9"/>
  <c r="AF80" i="9"/>
  <c r="AE80" i="9"/>
  <c r="AC80" i="9"/>
  <c r="AB80" i="9"/>
  <c r="AA80" i="9"/>
  <c r="Z80" i="9"/>
  <c r="Y80" i="9"/>
  <c r="X80" i="9"/>
  <c r="W80" i="9"/>
  <c r="P80" i="9"/>
  <c r="O80" i="9"/>
  <c r="AD80" i="9" s="1"/>
  <c r="N80" i="9"/>
  <c r="M80" i="9"/>
  <c r="AI79" i="9"/>
  <c r="AH79" i="9"/>
  <c r="W79" i="9"/>
  <c r="AP78" i="9"/>
  <c r="AI78" i="9"/>
  <c r="AT78" i="9" s="1"/>
  <c r="AH78" i="9"/>
  <c r="AF78" i="9"/>
  <c r="AE78" i="9"/>
  <c r="AA78" i="9"/>
  <c r="Z78" i="9"/>
  <c r="Y78" i="9"/>
  <c r="X78" i="9"/>
  <c r="W78" i="9"/>
  <c r="P78" i="9"/>
  <c r="O78" i="9"/>
  <c r="N78" i="9"/>
  <c r="AC78" i="9" s="1"/>
  <c r="M78" i="9"/>
  <c r="AT77" i="9"/>
  <c r="AP77" i="9"/>
  <c r="AI77" i="9"/>
  <c r="AH77" i="9"/>
  <c r="AF77" i="9"/>
  <c r="AE77" i="9"/>
  <c r="AB77" i="9"/>
  <c r="AA77" i="9"/>
  <c r="Z77" i="9"/>
  <c r="Y77" i="9"/>
  <c r="X77" i="9"/>
  <c r="W77" i="9"/>
  <c r="P77" i="9"/>
  <c r="O77" i="9"/>
  <c r="AD77" i="9" s="1"/>
  <c r="N77" i="9"/>
  <c r="M77" i="9"/>
  <c r="AI76" i="9"/>
  <c r="AH76" i="9"/>
  <c r="AF76" i="9"/>
  <c r="AE76" i="9"/>
  <c r="AC76" i="9"/>
  <c r="AB76" i="9"/>
  <c r="AA76" i="9"/>
  <c r="Z76" i="9"/>
  <c r="Y76" i="9"/>
  <c r="X76" i="9"/>
  <c r="W76" i="9"/>
  <c r="P76" i="9"/>
  <c r="O76" i="9"/>
  <c r="N76" i="9"/>
  <c r="M76" i="9"/>
  <c r="AI75" i="9"/>
  <c r="AH75" i="9"/>
  <c r="AF75" i="9"/>
  <c r="AE75" i="9"/>
  <c r="AD75" i="9"/>
  <c r="AC75" i="9"/>
  <c r="AB75" i="9"/>
  <c r="AA75" i="9"/>
  <c r="Z75" i="9"/>
  <c r="Y75" i="9"/>
  <c r="X75" i="9"/>
  <c r="W75" i="9"/>
  <c r="P75" i="9"/>
  <c r="O75" i="9"/>
  <c r="N75" i="9"/>
  <c r="M75" i="9"/>
  <c r="AI74" i="9"/>
  <c r="AH74" i="9"/>
  <c r="W74" i="9"/>
  <c r="AT73" i="9"/>
  <c r="AP73" i="9"/>
  <c r="AI73" i="9"/>
  <c r="AH73" i="9"/>
  <c r="AF73" i="9"/>
  <c r="AE73" i="9"/>
  <c r="AB73" i="9"/>
  <c r="AA73" i="9"/>
  <c r="Z73" i="9"/>
  <c r="Y73" i="9"/>
  <c r="X73" i="9"/>
  <c r="W73" i="9"/>
  <c r="P73" i="9"/>
  <c r="O73" i="9"/>
  <c r="AD73" i="9" s="1"/>
  <c r="N73" i="9"/>
  <c r="M73" i="9"/>
  <c r="AP72" i="9"/>
  <c r="AO72" i="9"/>
  <c r="AV72" i="9" s="1"/>
  <c r="AI72" i="9"/>
  <c r="AH72" i="9"/>
  <c r="AF72" i="9"/>
  <c r="AE72" i="9"/>
  <c r="AC72" i="9"/>
  <c r="AB72" i="9"/>
  <c r="AA72" i="9"/>
  <c r="Z72" i="9"/>
  <c r="Y72" i="9"/>
  <c r="X72" i="9"/>
  <c r="W72" i="9"/>
  <c r="P72" i="9"/>
  <c r="O72" i="9"/>
  <c r="N72" i="9"/>
  <c r="M72" i="9"/>
  <c r="AI71" i="9"/>
  <c r="AH71" i="9"/>
  <c r="W71" i="9"/>
  <c r="AP70" i="9"/>
  <c r="AI70" i="9"/>
  <c r="AT70" i="9" s="1"/>
  <c r="AH70" i="9"/>
  <c r="AF70" i="9"/>
  <c r="AE70" i="9"/>
  <c r="AA70" i="9"/>
  <c r="Z70" i="9"/>
  <c r="Y70" i="9"/>
  <c r="X70" i="9"/>
  <c r="W70" i="9"/>
  <c r="P70" i="9"/>
  <c r="O70" i="9"/>
  <c r="N70" i="9"/>
  <c r="AC70" i="9" s="1"/>
  <c r="M70" i="9"/>
  <c r="AT69" i="9"/>
  <c r="AP69" i="9"/>
  <c r="AI69" i="9"/>
  <c r="AH69" i="9"/>
  <c r="AF69" i="9"/>
  <c r="AE69" i="9"/>
  <c r="AB69" i="9"/>
  <c r="AA69" i="9"/>
  <c r="Z69" i="9"/>
  <c r="Y69" i="9"/>
  <c r="X69" i="9"/>
  <c r="W69" i="9"/>
  <c r="P69" i="9"/>
  <c r="O69" i="9"/>
  <c r="N69" i="9"/>
  <c r="M69" i="9"/>
  <c r="AI68" i="9"/>
  <c r="AH68" i="9"/>
  <c r="W68" i="9"/>
  <c r="AI67" i="9"/>
  <c r="AT67" i="9" s="1"/>
  <c r="AH67" i="9"/>
  <c r="AF67" i="9"/>
  <c r="AE67" i="9"/>
  <c r="AD67" i="9"/>
  <c r="AA67" i="9"/>
  <c r="Z67" i="9"/>
  <c r="Y67" i="9"/>
  <c r="X67" i="9"/>
  <c r="W67" i="9"/>
  <c r="P67" i="9"/>
  <c r="O67" i="9"/>
  <c r="N67" i="9"/>
  <c r="AC67" i="9" s="1"/>
  <c r="M67" i="9"/>
  <c r="AP66" i="9"/>
  <c r="AI66" i="9"/>
  <c r="AT66" i="9" s="1"/>
  <c r="AH66" i="9"/>
  <c r="AF66" i="9"/>
  <c r="AE66" i="9"/>
  <c r="AA66" i="9"/>
  <c r="Z66" i="9"/>
  <c r="Y66" i="9"/>
  <c r="X66" i="9"/>
  <c r="W66" i="9"/>
  <c r="P66" i="9"/>
  <c r="O66" i="9"/>
  <c r="N66" i="9"/>
  <c r="AC66" i="9" s="1"/>
  <c r="M66" i="9"/>
  <c r="AT65" i="9"/>
  <c r="AP65" i="9"/>
  <c r="AI65" i="9"/>
  <c r="AH65" i="9"/>
  <c r="AF65" i="9"/>
  <c r="AE65" i="9"/>
  <c r="AB65" i="9"/>
  <c r="AA65" i="9"/>
  <c r="Z65" i="9"/>
  <c r="Y65" i="9"/>
  <c r="X65" i="9"/>
  <c r="W65" i="9"/>
  <c r="P65" i="9"/>
  <c r="O65" i="9"/>
  <c r="N65" i="9"/>
  <c r="M65" i="9"/>
  <c r="AP64" i="9"/>
  <c r="AO64" i="9"/>
  <c r="AV64" i="9" s="1"/>
  <c r="AI64" i="9"/>
  <c r="AH64" i="9"/>
  <c r="AF64" i="9"/>
  <c r="AE64" i="9"/>
  <c r="AC64" i="9"/>
  <c r="AB64" i="9"/>
  <c r="AA64" i="9"/>
  <c r="Z64" i="9"/>
  <c r="Y64" i="9"/>
  <c r="X64" i="9"/>
  <c r="W64" i="9"/>
  <c r="P64" i="9"/>
  <c r="O64" i="9"/>
  <c r="N64" i="9"/>
  <c r="M64" i="9"/>
  <c r="AT63" i="9"/>
  <c r="AO63" i="9"/>
  <c r="AI63" i="9"/>
  <c r="AH63" i="9"/>
  <c r="AF63" i="9"/>
  <c r="AE63" i="9"/>
  <c r="AD63" i="9"/>
  <c r="AC63" i="9"/>
  <c r="AB63" i="9"/>
  <c r="AA63" i="9"/>
  <c r="Z63" i="9"/>
  <c r="Y63" i="9"/>
  <c r="X63" i="9"/>
  <c r="W63" i="9"/>
  <c r="P63" i="9"/>
  <c r="O63" i="9"/>
  <c r="N63" i="9"/>
  <c r="M63" i="9"/>
  <c r="AI62" i="9"/>
  <c r="AH62" i="9"/>
  <c r="W62" i="9"/>
  <c r="AT61" i="9"/>
  <c r="AJ61" i="9"/>
  <c r="AI61" i="9"/>
  <c r="AH61" i="9"/>
  <c r="AF61" i="9"/>
  <c r="AE61" i="9"/>
  <c r="AB61" i="9"/>
  <c r="AA61" i="9"/>
  <c r="Z61" i="9"/>
  <c r="Y61" i="9"/>
  <c r="X61" i="9"/>
  <c r="W61" i="9"/>
  <c r="P61" i="9"/>
  <c r="O61" i="9"/>
  <c r="AD61" i="9" s="1"/>
  <c r="N61" i="9"/>
  <c r="M61" i="9"/>
  <c r="AI60" i="9"/>
  <c r="AH60" i="9"/>
  <c r="AF60" i="9"/>
  <c r="AE60" i="9"/>
  <c r="AD60" i="9"/>
  <c r="AC60" i="9"/>
  <c r="AB60" i="9"/>
  <c r="AA60" i="9"/>
  <c r="Z60" i="9"/>
  <c r="Y60" i="9"/>
  <c r="X60" i="9"/>
  <c r="W60" i="9"/>
  <c r="P60" i="9"/>
  <c r="O60" i="9"/>
  <c r="N60" i="9"/>
  <c r="M60" i="9"/>
  <c r="AP59" i="9"/>
  <c r="AO59" i="9"/>
  <c r="AV59" i="9" s="1"/>
  <c r="AI59" i="9"/>
  <c r="AH59" i="9"/>
  <c r="AF59" i="9"/>
  <c r="AE59" i="9"/>
  <c r="AD59" i="9"/>
  <c r="AC59" i="9"/>
  <c r="AB59" i="9"/>
  <c r="AA59" i="9"/>
  <c r="Z59" i="9"/>
  <c r="Y59" i="9"/>
  <c r="X59" i="9"/>
  <c r="W59" i="9"/>
  <c r="P59" i="9"/>
  <c r="O59" i="9"/>
  <c r="N59" i="9"/>
  <c r="M59" i="9"/>
  <c r="AT58" i="9"/>
  <c r="AP58" i="9"/>
  <c r="AO58" i="9"/>
  <c r="AV58" i="9" s="1"/>
  <c r="AI58" i="9"/>
  <c r="AH58" i="9"/>
  <c r="AF58" i="9"/>
  <c r="AE58" i="9"/>
  <c r="AD58" i="9"/>
  <c r="AA58" i="9"/>
  <c r="Z58" i="9"/>
  <c r="Y58" i="9"/>
  <c r="X58" i="9"/>
  <c r="W58" i="9"/>
  <c r="P58" i="9"/>
  <c r="O58" i="9"/>
  <c r="N58" i="9"/>
  <c r="AC58" i="9" s="1"/>
  <c r="M58" i="9"/>
  <c r="AP57" i="9"/>
  <c r="AI57" i="9"/>
  <c r="AT57" i="9" s="1"/>
  <c r="AH57" i="9"/>
  <c r="AF57" i="9"/>
  <c r="AE57" i="9"/>
  <c r="AA57" i="9"/>
  <c r="Z57" i="9"/>
  <c r="Y57" i="9"/>
  <c r="X57" i="9"/>
  <c r="W57" i="9"/>
  <c r="P57" i="9"/>
  <c r="O57" i="9"/>
  <c r="N57" i="9"/>
  <c r="AC57" i="9" s="1"/>
  <c r="M57" i="9"/>
  <c r="AP56" i="9"/>
  <c r="AI56" i="9"/>
  <c r="AH56" i="9"/>
  <c r="AF56" i="9"/>
  <c r="AE56" i="9"/>
  <c r="AB56" i="9"/>
  <c r="AA56" i="9"/>
  <c r="Z56" i="9"/>
  <c r="Y56" i="9"/>
  <c r="X56" i="9"/>
  <c r="W56" i="9"/>
  <c r="P56" i="9"/>
  <c r="O56" i="9"/>
  <c r="AD56" i="9" s="1"/>
  <c r="N56" i="9"/>
  <c r="AC56" i="9" s="1"/>
  <c r="M56" i="9"/>
  <c r="AT55" i="9"/>
  <c r="AQ55" i="9"/>
  <c r="AP55" i="9"/>
  <c r="AI55" i="9"/>
  <c r="AH55" i="9"/>
  <c r="AF55" i="9"/>
  <c r="AE55" i="9"/>
  <c r="AB55" i="9"/>
  <c r="AA55" i="9"/>
  <c r="Z55" i="9"/>
  <c r="Y55" i="9"/>
  <c r="X55" i="9"/>
  <c r="W55" i="9"/>
  <c r="P55" i="9"/>
  <c r="O55" i="9"/>
  <c r="AD55" i="9" s="1"/>
  <c r="N55" i="9"/>
  <c r="M55" i="9"/>
  <c r="AI54" i="9"/>
  <c r="AH54" i="9"/>
  <c r="AF54" i="9"/>
  <c r="AE54" i="9"/>
  <c r="AD54" i="9"/>
  <c r="AC54" i="9"/>
  <c r="AB54" i="9"/>
  <c r="AA54" i="9"/>
  <c r="Z54" i="9"/>
  <c r="Y54" i="9"/>
  <c r="X54" i="9"/>
  <c r="W54" i="9"/>
  <c r="P54" i="9"/>
  <c r="O54" i="9"/>
  <c r="AQ54" i="9" s="1"/>
  <c r="N54" i="9"/>
  <c r="M54" i="9"/>
  <c r="AT53" i="9"/>
  <c r="AJ53" i="9"/>
  <c r="AI53" i="9"/>
  <c r="AH53" i="9"/>
  <c r="AF53" i="9"/>
  <c r="AE53" i="9"/>
  <c r="AD53" i="9"/>
  <c r="AC53" i="9"/>
  <c r="AA53" i="9"/>
  <c r="Z53" i="9"/>
  <c r="Y53" i="9"/>
  <c r="X53" i="9"/>
  <c r="W53" i="9"/>
  <c r="P53" i="9"/>
  <c r="O53" i="9"/>
  <c r="N53" i="9"/>
  <c r="M53" i="9"/>
  <c r="AB53" i="9" s="1"/>
  <c r="AT52" i="9"/>
  <c r="AP52" i="9"/>
  <c r="AO52" i="9"/>
  <c r="AV52" i="9" s="1"/>
  <c r="AI52" i="9"/>
  <c r="AH52" i="9"/>
  <c r="AF52" i="9"/>
  <c r="AE52" i="9"/>
  <c r="AD52" i="9"/>
  <c r="AA52" i="9"/>
  <c r="Z52" i="9"/>
  <c r="Y52" i="9"/>
  <c r="X52" i="9"/>
  <c r="W52" i="9"/>
  <c r="P52" i="9"/>
  <c r="O52" i="9"/>
  <c r="N52" i="9"/>
  <c r="AC52" i="9" s="1"/>
  <c r="M52" i="9"/>
  <c r="AI51" i="9"/>
  <c r="AH51" i="9"/>
  <c r="W51" i="9"/>
  <c r="AI50" i="9"/>
  <c r="AH50" i="9"/>
  <c r="AF50" i="9"/>
  <c r="AE50" i="9"/>
  <c r="AD50" i="9"/>
  <c r="AC50" i="9"/>
  <c r="AB50" i="9"/>
  <c r="AA50" i="9"/>
  <c r="Z50" i="9"/>
  <c r="Y50" i="9"/>
  <c r="X50" i="9"/>
  <c r="W50" i="9"/>
  <c r="P50" i="9"/>
  <c r="O50" i="9"/>
  <c r="N50" i="9"/>
  <c r="M50" i="9"/>
  <c r="AT49" i="9"/>
  <c r="AO49" i="9"/>
  <c r="AI49" i="9"/>
  <c r="AH49" i="9"/>
  <c r="AF49" i="9"/>
  <c r="AE49" i="9"/>
  <c r="AD49" i="9"/>
  <c r="AC49" i="9"/>
  <c r="AA49" i="9"/>
  <c r="Z49" i="9"/>
  <c r="Y49" i="9"/>
  <c r="X49" i="9"/>
  <c r="W49" i="9"/>
  <c r="P49" i="9"/>
  <c r="O49" i="9"/>
  <c r="N49" i="9"/>
  <c r="M49" i="9"/>
  <c r="AI48" i="9"/>
  <c r="AH48" i="9"/>
  <c r="W48" i="9"/>
  <c r="AT47" i="9"/>
  <c r="AQ47" i="9"/>
  <c r="AI47" i="9"/>
  <c r="AH47" i="9"/>
  <c r="AF47" i="9"/>
  <c r="AE47" i="9"/>
  <c r="AB47" i="9"/>
  <c r="AA47" i="9"/>
  <c r="Z47" i="9"/>
  <c r="Y47" i="9"/>
  <c r="X47" i="9"/>
  <c r="W47" i="9"/>
  <c r="P47" i="9"/>
  <c r="O47" i="9"/>
  <c r="AD47" i="9" s="1"/>
  <c r="N47" i="9"/>
  <c r="M47" i="9"/>
  <c r="AN46" i="9"/>
  <c r="AI46" i="9"/>
  <c r="AH46" i="9"/>
  <c r="AF46" i="9"/>
  <c r="AE46" i="9"/>
  <c r="AD46" i="9"/>
  <c r="AC46" i="9"/>
  <c r="AB46" i="9"/>
  <c r="AA46" i="9"/>
  <c r="Z46" i="9"/>
  <c r="Y46" i="9"/>
  <c r="X46" i="9"/>
  <c r="W46" i="9"/>
  <c r="P46" i="9"/>
  <c r="O46" i="9"/>
  <c r="N46" i="9"/>
  <c r="M46" i="9"/>
  <c r="AI45" i="9"/>
  <c r="AH45" i="9"/>
  <c r="W45" i="9"/>
  <c r="AP44" i="9"/>
  <c r="AI44" i="9"/>
  <c r="AH44" i="9"/>
  <c r="AF44" i="9"/>
  <c r="AE44" i="9"/>
  <c r="AB44" i="9"/>
  <c r="AA44" i="9"/>
  <c r="Z44" i="9"/>
  <c r="Y44" i="9"/>
  <c r="X44" i="9"/>
  <c r="W44" i="9"/>
  <c r="P44" i="9"/>
  <c r="O44" i="9"/>
  <c r="AD44" i="9" s="1"/>
  <c r="N44" i="9"/>
  <c r="M44" i="9"/>
  <c r="AT43" i="9"/>
  <c r="AP43" i="9"/>
  <c r="AJ43" i="9"/>
  <c r="AI43" i="9"/>
  <c r="AH43" i="9"/>
  <c r="AF43" i="9"/>
  <c r="AE43" i="9"/>
  <c r="AB43" i="9"/>
  <c r="AA43" i="9"/>
  <c r="Z43" i="9"/>
  <c r="Y43" i="9"/>
  <c r="X43" i="9"/>
  <c r="W43" i="9"/>
  <c r="P43" i="9"/>
  <c r="O43" i="9"/>
  <c r="AD43" i="9" s="1"/>
  <c r="N43" i="9"/>
  <c r="AO43" i="9" s="1"/>
  <c r="AV43" i="9" s="1"/>
  <c r="M43" i="9"/>
  <c r="AI42" i="9"/>
  <c r="AH42" i="9"/>
  <c r="W42" i="9"/>
  <c r="AP41" i="9"/>
  <c r="AI41" i="9"/>
  <c r="AT41" i="9" s="1"/>
  <c r="AH41" i="9"/>
  <c r="AF41" i="9"/>
  <c r="AE41" i="9"/>
  <c r="AA41" i="9"/>
  <c r="Z41" i="9"/>
  <c r="Y41" i="9"/>
  <c r="X41" i="9"/>
  <c r="W41" i="9"/>
  <c r="P41" i="9"/>
  <c r="O41" i="9"/>
  <c r="N41" i="9"/>
  <c r="AC41" i="9" s="1"/>
  <c r="M41" i="9"/>
  <c r="AP40" i="9"/>
  <c r="AI40" i="9"/>
  <c r="AH40" i="9"/>
  <c r="AF40" i="9"/>
  <c r="AE40" i="9"/>
  <c r="AB40" i="9"/>
  <c r="AA40" i="9"/>
  <c r="Z40" i="9"/>
  <c r="Y40" i="9"/>
  <c r="X40" i="9"/>
  <c r="W40" i="9"/>
  <c r="P40" i="9"/>
  <c r="O40" i="9"/>
  <c r="AD40" i="9" s="1"/>
  <c r="N40" i="9"/>
  <c r="AC40" i="9" s="1"/>
  <c r="M40" i="9"/>
  <c r="AT39" i="9"/>
  <c r="AQ39" i="9"/>
  <c r="AI39" i="9"/>
  <c r="AH39" i="9"/>
  <c r="AF39" i="9"/>
  <c r="AE39" i="9"/>
  <c r="AB39" i="9"/>
  <c r="AA39" i="9"/>
  <c r="Z39" i="9"/>
  <c r="Y39" i="9"/>
  <c r="X39" i="9"/>
  <c r="W39" i="9"/>
  <c r="P39" i="9"/>
  <c r="O39" i="9"/>
  <c r="AD39" i="9" s="1"/>
  <c r="N39" i="9"/>
  <c r="M39" i="9"/>
  <c r="AI38" i="9"/>
  <c r="AH38" i="9"/>
  <c r="W38" i="9"/>
  <c r="AP37" i="9"/>
  <c r="AI37" i="9"/>
  <c r="AH37" i="9"/>
  <c r="AF37" i="9"/>
  <c r="AE37" i="9"/>
  <c r="AD37" i="9"/>
  <c r="AB37" i="9"/>
  <c r="AA37" i="9"/>
  <c r="Z37" i="9"/>
  <c r="Y37" i="9"/>
  <c r="X37" i="9"/>
  <c r="W37" i="9"/>
  <c r="P37" i="9"/>
  <c r="O37" i="9"/>
  <c r="N37" i="9"/>
  <c r="M37" i="9"/>
  <c r="AV36" i="9"/>
  <c r="AT36" i="9"/>
  <c r="AQ36" i="9"/>
  <c r="AP36" i="9"/>
  <c r="AO36" i="9"/>
  <c r="AI36" i="9"/>
  <c r="AH36" i="9"/>
  <c r="AF36" i="9"/>
  <c r="AE36" i="9"/>
  <c r="AC36" i="9"/>
  <c r="AA36" i="9"/>
  <c r="Z36" i="9"/>
  <c r="Y36" i="9"/>
  <c r="X36" i="9"/>
  <c r="W36" i="9"/>
  <c r="P36" i="9"/>
  <c r="O36" i="9"/>
  <c r="AD36" i="9" s="1"/>
  <c r="N36" i="9"/>
  <c r="M36" i="9"/>
  <c r="AP35" i="9"/>
  <c r="AI35" i="9"/>
  <c r="AH35" i="9"/>
  <c r="AF35" i="9"/>
  <c r="AE35" i="9"/>
  <c r="AD35" i="9"/>
  <c r="AB35" i="9"/>
  <c r="AA35" i="9"/>
  <c r="Z35" i="9"/>
  <c r="Y35" i="9"/>
  <c r="X35" i="9"/>
  <c r="W35" i="9"/>
  <c r="P35" i="9"/>
  <c r="O35" i="9"/>
  <c r="AQ35" i="9" s="1"/>
  <c r="N35" i="9"/>
  <c r="M35" i="9"/>
  <c r="AI34" i="9"/>
  <c r="AH34" i="9"/>
  <c r="W34" i="9"/>
  <c r="AU33" i="9"/>
  <c r="AP33" i="9"/>
  <c r="AI33" i="9"/>
  <c r="AT33" i="9" s="1"/>
  <c r="AH33" i="9"/>
  <c r="AF33" i="9"/>
  <c r="AE33" i="9"/>
  <c r="AD33" i="9"/>
  <c r="AB33" i="9"/>
  <c r="AA33" i="9"/>
  <c r="Z33" i="9"/>
  <c r="Y33" i="9"/>
  <c r="X33" i="9"/>
  <c r="W33" i="9"/>
  <c r="P33" i="9"/>
  <c r="O33" i="9"/>
  <c r="N33" i="9"/>
  <c r="M33" i="9"/>
  <c r="AI32" i="9"/>
  <c r="AH32" i="9"/>
  <c r="W32" i="9"/>
  <c r="AU31" i="9"/>
  <c r="AP31" i="9"/>
  <c r="AN31" i="9"/>
  <c r="AI31" i="9"/>
  <c r="AH31" i="9"/>
  <c r="AF31" i="9"/>
  <c r="AE31" i="9"/>
  <c r="AD31" i="9"/>
  <c r="AB31" i="9"/>
  <c r="AA31" i="9"/>
  <c r="Z31" i="9"/>
  <c r="Y31" i="9"/>
  <c r="X31" i="9"/>
  <c r="W31" i="9"/>
  <c r="P31" i="9"/>
  <c r="O31" i="9"/>
  <c r="AQ31" i="9" s="1"/>
  <c r="N31" i="9"/>
  <c r="AC31" i="9" s="1"/>
  <c r="M31" i="9"/>
  <c r="AI30" i="9"/>
  <c r="AH30" i="9"/>
  <c r="W30" i="9"/>
  <c r="AP29" i="9"/>
  <c r="AI29" i="9"/>
  <c r="AH29" i="9"/>
  <c r="AF29" i="9"/>
  <c r="AE29" i="9"/>
  <c r="AD29" i="9"/>
  <c r="AB29" i="9"/>
  <c r="AA29" i="9"/>
  <c r="Z29" i="9"/>
  <c r="Y29" i="9"/>
  <c r="X29" i="9"/>
  <c r="W29" i="9"/>
  <c r="P29" i="9"/>
  <c r="O29" i="9"/>
  <c r="N29" i="9"/>
  <c r="M29" i="9"/>
  <c r="AT28" i="9"/>
  <c r="AP28" i="9"/>
  <c r="AO28" i="9"/>
  <c r="AV28" i="9" s="1"/>
  <c r="AJ28" i="9"/>
  <c r="AI28" i="9"/>
  <c r="AH28" i="9"/>
  <c r="AF28" i="9"/>
  <c r="AE28" i="9"/>
  <c r="AC28" i="9"/>
  <c r="AA28" i="9"/>
  <c r="Z28" i="9"/>
  <c r="Y28" i="9"/>
  <c r="X28" i="9"/>
  <c r="W28" i="9"/>
  <c r="P28" i="9"/>
  <c r="O28" i="9"/>
  <c r="AD28" i="9" s="1"/>
  <c r="N28" i="9"/>
  <c r="M28" i="9"/>
  <c r="AP27" i="9"/>
  <c r="AI27" i="9"/>
  <c r="AH27" i="9"/>
  <c r="AF27" i="9"/>
  <c r="AE27" i="9"/>
  <c r="AD27" i="9"/>
  <c r="AB27" i="9"/>
  <c r="AA27" i="9"/>
  <c r="Z27" i="9"/>
  <c r="Y27" i="9"/>
  <c r="X27" i="9"/>
  <c r="W27" i="9"/>
  <c r="P27" i="9"/>
  <c r="O27" i="9"/>
  <c r="N27" i="9"/>
  <c r="AC27" i="9" s="1"/>
  <c r="M27" i="9"/>
  <c r="AI26" i="9"/>
  <c r="AH26" i="9"/>
  <c r="W26" i="9"/>
  <c r="AP25" i="9"/>
  <c r="AI25" i="9"/>
  <c r="AH25" i="9"/>
  <c r="AF25" i="9"/>
  <c r="AE25" i="9"/>
  <c r="AD25" i="9"/>
  <c r="AB25" i="9"/>
  <c r="AA25" i="9"/>
  <c r="Z25" i="9"/>
  <c r="Y25" i="9"/>
  <c r="X25" i="9"/>
  <c r="W25" i="9"/>
  <c r="P25" i="9"/>
  <c r="O25" i="9"/>
  <c r="N25" i="9"/>
  <c r="M25" i="9"/>
  <c r="AT24" i="9"/>
  <c r="AJ24" i="9"/>
  <c r="AI24" i="9"/>
  <c r="AH24" i="9"/>
  <c r="AF24" i="9"/>
  <c r="AE24" i="9"/>
  <c r="AC24" i="9"/>
  <c r="AA24" i="9"/>
  <c r="Z24" i="9"/>
  <c r="Y24" i="9"/>
  <c r="X24" i="9"/>
  <c r="W24" i="9"/>
  <c r="P24" i="9"/>
  <c r="O24" i="9"/>
  <c r="AD24" i="9" s="1"/>
  <c r="N24" i="9"/>
  <c r="M24" i="9"/>
  <c r="AU23" i="9"/>
  <c r="AP23" i="9"/>
  <c r="AN23" i="9"/>
  <c r="AI23" i="9"/>
  <c r="AH23" i="9"/>
  <c r="AF23" i="9"/>
  <c r="AE23" i="9"/>
  <c r="AD23" i="9"/>
  <c r="AB23" i="9"/>
  <c r="AA23" i="9"/>
  <c r="Z23" i="9"/>
  <c r="Y23" i="9"/>
  <c r="X23" i="9"/>
  <c r="W23" i="9"/>
  <c r="P23" i="9"/>
  <c r="O23" i="9"/>
  <c r="N23" i="9"/>
  <c r="AC23" i="9" s="1"/>
  <c r="M23" i="9"/>
  <c r="AT22" i="9"/>
  <c r="AO22" i="9"/>
  <c r="AJ22" i="9"/>
  <c r="AI22" i="9"/>
  <c r="AH22" i="9"/>
  <c r="AF22" i="9"/>
  <c r="AE22" i="9"/>
  <c r="AC22" i="9"/>
  <c r="AA22" i="9"/>
  <c r="Z22" i="9"/>
  <c r="Y22" i="9"/>
  <c r="X22" i="9"/>
  <c r="W22" i="9"/>
  <c r="P22" i="9"/>
  <c r="O22" i="9"/>
  <c r="AD22" i="9" s="1"/>
  <c r="N22" i="9"/>
  <c r="M22" i="9"/>
  <c r="AI21" i="9"/>
  <c r="AH21" i="9"/>
  <c r="W21" i="9"/>
  <c r="AT20" i="9"/>
  <c r="AP20" i="9"/>
  <c r="AO20" i="9"/>
  <c r="AV20" i="9" s="1"/>
  <c r="AJ20" i="9"/>
  <c r="AI20" i="9"/>
  <c r="AH20" i="9"/>
  <c r="AF20" i="9"/>
  <c r="AE20" i="9"/>
  <c r="AC20" i="9"/>
  <c r="AA20" i="9"/>
  <c r="Z20" i="9"/>
  <c r="Y20" i="9"/>
  <c r="X20" i="9"/>
  <c r="W20" i="9"/>
  <c r="P20" i="9"/>
  <c r="O20" i="9"/>
  <c r="AD20" i="9" s="1"/>
  <c r="N20" i="9"/>
  <c r="M20" i="9"/>
  <c r="AP19" i="9"/>
  <c r="AI19" i="9"/>
  <c r="AH19" i="9"/>
  <c r="AF19" i="9"/>
  <c r="AE19" i="9"/>
  <c r="AD19" i="9"/>
  <c r="AB19" i="9"/>
  <c r="AA19" i="9"/>
  <c r="Z19" i="9"/>
  <c r="Y19" i="9"/>
  <c r="X19" i="9"/>
  <c r="W19" i="9"/>
  <c r="P19" i="9"/>
  <c r="O19" i="9"/>
  <c r="N19" i="9"/>
  <c r="AC19" i="9" s="1"/>
  <c r="M19" i="9"/>
  <c r="AT18" i="9"/>
  <c r="AJ18" i="9"/>
  <c r="AI18" i="9"/>
  <c r="AH18" i="9"/>
  <c r="AF18" i="9"/>
  <c r="AE18" i="9"/>
  <c r="AC18" i="9"/>
  <c r="AA18" i="9"/>
  <c r="Z18" i="9"/>
  <c r="Y18" i="9"/>
  <c r="X18" i="9"/>
  <c r="W18" i="9"/>
  <c r="P18" i="9"/>
  <c r="O18" i="9"/>
  <c r="AD18" i="9" s="1"/>
  <c r="N18" i="9"/>
  <c r="M18" i="9"/>
  <c r="AI17" i="9"/>
  <c r="AH17" i="9"/>
  <c r="W17" i="9"/>
  <c r="AT16" i="9"/>
  <c r="AJ16" i="9"/>
  <c r="AI16" i="9"/>
  <c r="AH16" i="9"/>
  <c r="AF16" i="9"/>
  <c r="AE16" i="9"/>
  <c r="AC16" i="9"/>
  <c r="AA16" i="9"/>
  <c r="Z16" i="9"/>
  <c r="Y16" i="9"/>
  <c r="X16" i="9"/>
  <c r="W16" i="9"/>
  <c r="P16" i="9"/>
  <c r="O16" i="9"/>
  <c r="AD16" i="9" s="1"/>
  <c r="N16" i="9"/>
  <c r="M16" i="9"/>
  <c r="AI15" i="9"/>
  <c r="AH15" i="9"/>
  <c r="W15" i="9"/>
  <c r="AT14" i="9"/>
  <c r="AI14" i="9"/>
  <c r="AH14" i="9"/>
  <c r="AF14" i="9"/>
  <c r="AE14" i="9"/>
  <c r="AC14" i="9"/>
  <c r="AA14" i="9"/>
  <c r="Z14" i="9"/>
  <c r="Y14" i="9"/>
  <c r="X14" i="9"/>
  <c r="W14" i="9"/>
  <c r="P14" i="9"/>
  <c r="O14" i="9"/>
  <c r="AD14" i="9" s="1"/>
  <c r="N14" i="9"/>
  <c r="M14" i="9"/>
  <c r="AP13" i="9"/>
  <c r="AI13" i="9"/>
  <c r="AH13" i="9"/>
  <c r="AF13" i="9"/>
  <c r="AE13" i="9"/>
  <c r="AD13" i="9"/>
  <c r="AB13" i="9"/>
  <c r="AA13" i="9"/>
  <c r="Z13" i="9"/>
  <c r="Y13" i="9"/>
  <c r="X13" i="9"/>
  <c r="W13" i="9"/>
  <c r="P13" i="9"/>
  <c r="O13" i="9"/>
  <c r="N13" i="9"/>
  <c r="M13" i="9"/>
  <c r="AI12" i="9"/>
  <c r="AH12" i="9"/>
  <c r="W12" i="9"/>
  <c r="AU11" i="9"/>
  <c r="AP11" i="9"/>
  <c r="AI11" i="9"/>
  <c r="AT11" i="9" s="1"/>
  <c r="AH11" i="9"/>
  <c r="AF11" i="9"/>
  <c r="AE11" i="9"/>
  <c r="AD11" i="9"/>
  <c r="AB11" i="9"/>
  <c r="AA11" i="9"/>
  <c r="Z11" i="9"/>
  <c r="Y11" i="9"/>
  <c r="X11" i="9"/>
  <c r="W11" i="9"/>
  <c r="P11" i="9"/>
  <c r="O11" i="9"/>
  <c r="AQ11" i="9" s="1"/>
  <c r="N11" i="9"/>
  <c r="M11" i="9"/>
  <c r="AT10" i="9"/>
  <c r="AP10" i="9"/>
  <c r="AO10" i="9"/>
  <c r="AV10" i="9" s="1"/>
  <c r="AI10" i="9"/>
  <c r="AH10" i="9"/>
  <c r="AF10" i="9"/>
  <c r="AE10" i="9"/>
  <c r="AC10" i="9"/>
  <c r="AA10" i="9"/>
  <c r="Z10" i="9"/>
  <c r="Y10" i="9"/>
  <c r="X10" i="9"/>
  <c r="W10" i="9"/>
  <c r="P10" i="9"/>
  <c r="O10" i="9"/>
  <c r="AD10" i="9" s="1"/>
  <c r="N10" i="9"/>
  <c r="M10" i="9"/>
  <c r="AP9" i="9"/>
  <c r="AI9" i="9"/>
  <c r="AH9" i="9"/>
  <c r="AF9" i="9"/>
  <c r="AE9" i="9"/>
  <c r="AD9" i="9"/>
  <c r="AB9" i="9"/>
  <c r="AA9" i="9"/>
  <c r="Z9" i="9"/>
  <c r="Y9" i="9"/>
  <c r="X9" i="9"/>
  <c r="W9" i="9"/>
  <c r="P9" i="9"/>
  <c r="O9" i="9"/>
  <c r="N9" i="9"/>
  <c r="M9" i="9"/>
  <c r="AT8" i="9"/>
  <c r="AP8" i="9"/>
  <c r="AO8" i="9"/>
  <c r="AV8" i="9" s="1"/>
  <c r="AJ8" i="9"/>
  <c r="AI8" i="9"/>
  <c r="AH8" i="9"/>
  <c r="AF8" i="9"/>
  <c r="AE8" i="9"/>
  <c r="AC8" i="9"/>
  <c r="AA8" i="9"/>
  <c r="Z8" i="9"/>
  <c r="Y8" i="9"/>
  <c r="X8" i="9"/>
  <c r="W8" i="9"/>
  <c r="P8" i="9"/>
  <c r="O8" i="9"/>
  <c r="AD8" i="9" s="1"/>
  <c r="N8" i="9"/>
  <c r="M8" i="9"/>
  <c r="AU7" i="9"/>
  <c r="AP7" i="9"/>
  <c r="AI7" i="9"/>
  <c r="AH7" i="9"/>
  <c r="AF7" i="9"/>
  <c r="AE7" i="9"/>
  <c r="AD7" i="9"/>
  <c r="AB7" i="9"/>
  <c r="AA7" i="9"/>
  <c r="Z7" i="9"/>
  <c r="Y7" i="9"/>
  <c r="X7" i="9"/>
  <c r="W7" i="9"/>
  <c r="P7" i="9"/>
  <c r="O7" i="9"/>
  <c r="AQ7" i="9" s="1"/>
  <c r="N7" i="9"/>
  <c r="AC7" i="9" s="1"/>
  <c r="M7" i="9"/>
  <c r="AT6" i="9"/>
  <c r="AP6" i="9"/>
  <c r="AO6" i="9"/>
  <c r="AV6" i="9" s="1"/>
  <c r="AJ6" i="9"/>
  <c r="AI6" i="9"/>
  <c r="AN6" i="9" s="1"/>
  <c r="AH6" i="9"/>
  <c r="AF6" i="9"/>
  <c r="AE6" i="9"/>
  <c r="AC6" i="9"/>
  <c r="AA6" i="9"/>
  <c r="Z6" i="9"/>
  <c r="Y6" i="9"/>
  <c r="X6" i="9"/>
  <c r="W6" i="9"/>
  <c r="P6" i="9"/>
  <c r="O6" i="9"/>
  <c r="AD6" i="9" s="1"/>
  <c r="N6" i="9"/>
  <c r="M6" i="9"/>
  <c r="AI5" i="9"/>
  <c r="AH5" i="9"/>
  <c r="W5" i="9"/>
  <c r="AI4" i="9"/>
  <c r="AP3" i="9"/>
  <c r="AI3" i="9"/>
  <c r="AH3" i="9"/>
  <c r="AN2" i="9"/>
  <c r="AM2" i="9"/>
  <c r="AL2" i="9"/>
  <c r="AK2" i="9"/>
  <c r="AJ2" i="9"/>
  <c r="AJ58" i="9" s="1"/>
  <c r="AA2" i="9"/>
  <c r="A2" i="9"/>
  <c r="AU1" i="9"/>
  <c r="AR1" i="9"/>
  <c r="AR92" i="9" s="1"/>
  <c r="AQ1" i="9"/>
  <c r="AQ60" i="9" s="1"/>
  <c r="AP1" i="9"/>
  <c r="AO1" i="9"/>
  <c r="AO18" i="9" s="1"/>
  <c r="AA1" i="9"/>
  <c r="A1" i="9"/>
  <c r="AJ1" i="9" s="1"/>
  <c r="AU9" i="8"/>
  <c r="AP9" i="8"/>
  <c r="AN9" i="8"/>
  <c r="AI9" i="8"/>
  <c r="AH9" i="8"/>
  <c r="AF9" i="8"/>
  <c r="AE9" i="8"/>
  <c r="AD9" i="8"/>
  <c r="AB9" i="8"/>
  <c r="AA9" i="8"/>
  <c r="Z9" i="8"/>
  <c r="Y9" i="8"/>
  <c r="X9" i="8"/>
  <c r="W9" i="8"/>
  <c r="P9" i="8"/>
  <c r="O9" i="8"/>
  <c r="N9" i="8"/>
  <c r="AC9" i="8" s="1"/>
  <c r="M9" i="8"/>
  <c r="AV8" i="8"/>
  <c r="AT8" i="8"/>
  <c r="AP8" i="8"/>
  <c r="AO8" i="8"/>
  <c r="AJ8" i="8"/>
  <c r="AI8" i="8"/>
  <c r="AH8" i="8"/>
  <c r="AF8" i="8"/>
  <c r="AE8" i="8"/>
  <c r="AC8" i="8"/>
  <c r="AA8" i="8"/>
  <c r="Z8" i="8"/>
  <c r="Y8" i="8"/>
  <c r="X8" i="8"/>
  <c r="W8" i="8"/>
  <c r="P8" i="8"/>
  <c r="O8" i="8"/>
  <c r="AD8" i="8" s="1"/>
  <c r="N8" i="8"/>
  <c r="M8" i="8"/>
  <c r="AU7" i="8"/>
  <c r="AP7" i="8"/>
  <c r="AN7" i="8"/>
  <c r="AI7" i="8"/>
  <c r="AT7" i="8" s="1"/>
  <c r="AH7" i="8"/>
  <c r="AF7" i="8"/>
  <c r="AE7" i="8"/>
  <c r="AD7" i="8"/>
  <c r="AB7" i="8"/>
  <c r="AA7" i="8"/>
  <c r="Z7" i="8"/>
  <c r="Y7" i="8"/>
  <c r="X7" i="8"/>
  <c r="W7" i="8"/>
  <c r="P7" i="8"/>
  <c r="O7" i="8"/>
  <c r="N7" i="8"/>
  <c r="M7" i="8"/>
  <c r="AV6" i="8"/>
  <c r="AT6" i="8"/>
  <c r="AQ6" i="8"/>
  <c r="AP6" i="8"/>
  <c r="AO6" i="8"/>
  <c r="AI6" i="8"/>
  <c r="AH6" i="8"/>
  <c r="AF6" i="8"/>
  <c r="AE6" i="8"/>
  <c r="AC6" i="8"/>
  <c r="AA6" i="8"/>
  <c r="Z6" i="8"/>
  <c r="Y6" i="8"/>
  <c r="X6" i="8"/>
  <c r="W6" i="8"/>
  <c r="P6" i="8"/>
  <c r="O6" i="8"/>
  <c r="AD6" i="8" s="1"/>
  <c r="N6" i="8"/>
  <c r="M6" i="8"/>
  <c r="AI5" i="8"/>
  <c r="AH5" i="8"/>
  <c r="W5" i="8"/>
  <c r="AI4" i="8"/>
  <c r="AP3" i="8"/>
  <c r="AI3" i="8"/>
  <c r="AH3" i="8"/>
  <c r="AN2" i="8"/>
  <c r="AN6" i="8" s="1"/>
  <c r="AM2" i="8"/>
  <c r="AL2" i="8"/>
  <c r="AK2" i="8"/>
  <c r="AJ2" i="8"/>
  <c r="AJ6" i="8" s="1"/>
  <c r="AA2" i="8"/>
  <c r="A2" i="8"/>
  <c r="AU1" i="8"/>
  <c r="AU8" i="8" s="1"/>
  <c r="AR1" i="8"/>
  <c r="AR9" i="8" s="1"/>
  <c r="AQ1" i="8"/>
  <c r="AQ3" i="8" s="1"/>
  <c r="AP1" i="8"/>
  <c r="AO1" i="8"/>
  <c r="AO3" i="8" s="1"/>
  <c r="AA1" i="8"/>
  <c r="A1" i="8"/>
  <c r="AU14" i="7"/>
  <c r="AP14" i="7"/>
  <c r="AN14" i="7"/>
  <c r="AI14" i="7"/>
  <c r="AT14" i="7" s="1"/>
  <c r="AH14" i="7"/>
  <c r="AF14" i="7"/>
  <c r="AE14" i="7"/>
  <c r="AD14" i="7"/>
  <c r="AB14" i="7"/>
  <c r="AA14" i="7"/>
  <c r="Z14" i="7"/>
  <c r="Y14" i="7"/>
  <c r="X14" i="7"/>
  <c r="W14" i="7"/>
  <c r="P14" i="7"/>
  <c r="O14" i="7"/>
  <c r="N14" i="7"/>
  <c r="M14" i="7"/>
  <c r="AU13" i="7"/>
  <c r="AT13" i="7"/>
  <c r="AO13" i="7"/>
  <c r="AJ13" i="7"/>
  <c r="AI13" i="7"/>
  <c r="AH13" i="7"/>
  <c r="AF13" i="7"/>
  <c r="AE13" i="7"/>
  <c r="AC13" i="7"/>
  <c r="AA13" i="7"/>
  <c r="Z13" i="7"/>
  <c r="Y13" i="7"/>
  <c r="X13" i="7"/>
  <c r="W13" i="7"/>
  <c r="P13" i="7"/>
  <c r="O13" i="7"/>
  <c r="AD13" i="7" s="1"/>
  <c r="N13" i="7"/>
  <c r="M13" i="7"/>
  <c r="AU12" i="7"/>
  <c r="AP12" i="7"/>
  <c r="AI12" i="7"/>
  <c r="AH12" i="7"/>
  <c r="AF12" i="7"/>
  <c r="AE12" i="7"/>
  <c r="AD12" i="7"/>
  <c r="AB12" i="7"/>
  <c r="AA12" i="7"/>
  <c r="Z12" i="7"/>
  <c r="Y12" i="7"/>
  <c r="X12" i="7"/>
  <c r="W12" i="7"/>
  <c r="P12" i="7"/>
  <c r="O12" i="7"/>
  <c r="N12" i="7"/>
  <c r="M12" i="7"/>
  <c r="AT11" i="7"/>
  <c r="AP11" i="7"/>
  <c r="AO11" i="7"/>
  <c r="AV11" i="7" s="1"/>
  <c r="AJ11" i="7"/>
  <c r="AI11" i="7"/>
  <c r="AH11" i="7"/>
  <c r="AF11" i="7"/>
  <c r="AE11" i="7"/>
  <c r="AC11" i="7"/>
  <c r="AA11" i="7"/>
  <c r="Z11" i="7"/>
  <c r="Y11" i="7"/>
  <c r="X11" i="7"/>
  <c r="W11" i="7"/>
  <c r="P11" i="7"/>
  <c r="O11" i="7"/>
  <c r="AD11" i="7" s="1"/>
  <c r="N11" i="7"/>
  <c r="M11" i="7"/>
  <c r="AU10" i="7"/>
  <c r="AP10" i="7"/>
  <c r="AI10" i="7"/>
  <c r="AH10" i="7"/>
  <c r="AF10" i="7"/>
  <c r="AE10" i="7"/>
  <c r="AD10" i="7"/>
  <c r="AB10" i="7"/>
  <c r="AA10" i="7"/>
  <c r="Z10" i="7"/>
  <c r="Y10" i="7"/>
  <c r="X10" i="7"/>
  <c r="W10" i="7"/>
  <c r="P10" i="7"/>
  <c r="O10" i="7"/>
  <c r="N10" i="7"/>
  <c r="AC10" i="7" s="1"/>
  <c r="M10" i="7"/>
  <c r="AI9" i="7"/>
  <c r="AH9" i="7"/>
  <c r="W9" i="7"/>
  <c r="AU8" i="7"/>
  <c r="AP8" i="7"/>
  <c r="AI8" i="7"/>
  <c r="AH8" i="7"/>
  <c r="AF8" i="7"/>
  <c r="AE8" i="7"/>
  <c r="AD8" i="7"/>
  <c r="AB8" i="7"/>
  <c r="AA8" i="7"/>
  <c r="Z8" i="7"/>
  <c r="Y8" i="7"/>
  <c r="X8" i="7"/>
  <c r="W8" i="7"/>
  <c r="P8" i="7"/>
  <c r="O8" i="7"/>
  <c r="N8" i="7"/>
  <c r="M8" i="7"/>
  <c r="AU7" i="7"/>
  <c r="AT7" i="7"/>
  <c r="AO7" i="7"/>
  <c r="AJ7" i="7"/>
  <c r="AI7" i="7"/>
  <c r="AH7" i="7"/>
  <c r="AF7" i="7"/>
  <c r="AE7" i="7"/>
  <c r="AC7" i="7"/>
  <c r="AA7" i="7"/>
  <c r="Z7" i="7"/>
  <c r="Y7" i="7"/>
  <c r="X7" i="7"/>
  <c r="W7" i="7"/>
  <c r="P7" i="7"/>
  <c r="O7" i="7"/>
  <c r="AD7" i="7" s="1"/>
  <c r="N7" i="7"/>
  <c r="M7" i="7"/>
  <c r="AU6" i="7"/>
  <c r="AI6" i="7"/>
  <c r="AH6" i="7"/>
  <c r="AF6" i="7"/>
  <c r="AE6" i="7"/>
  <c r="AD6" i="7"/>
  <c r="AB6" i="7"/>
  <c r="AA6" i="7"/>
  <c r="Z6" i="7"/>
  <c r="Y6" i="7"/>
  <c r="X6" i="7"/>
  <c r="W6" i="7"/>
  <c r="P6" i="7"/>
  <c r="O6" i="7"/>
  <c r="N6" i="7"/>
  <c r="AC6" i="7" s="1"/>
  <c r="M6" i="7"/>
  <c r="AI5" i="7"/>
  <c r="AH5" i="7"/>
  <c r="W5" i="7"/>
  <c r="AI4" i="7"/>
  <c r="AU3" i="7"/>
  <c r="AO3" i="7"/>
  <c r="AI3" i="7"/>
  <c r="AH3" i="7"/>
  <c r="AN2" i="7"/>
  <c r="AN13" i="7" s="1"/>
  <c r="AM2" i="7"/>
  <c r="AL2" i="7"/>
  <c r="AK2" i="7"/>
  <c r="AJ2" i="7"/>
  <c r="AA2" i="7"/>
  <c r="A2" i="7"/>
  <c r="AU1" i="7"/>
  <c r="AU11" i="7" s="1"/>
  <c r="AR1" i="7"/>
  <c r="AR8" i="7" s="1"/>
  <c r="AQ1" i="7"/>
  <c r="AQ13" i="7" s="1"/>
  <c r="AP1" i="7"/>
  <c r="AP13" i="7" s="1"/>
  <c r="AO1" i="7"/>
  <c r="AJ1" i="7"/>
  <c r="AA1" i="7"/>
  <c r="A1" i="7"/>
  <c r="AH1" i="7" s="1"/>
  <c r="AH2" i="7" s="1"/>
  <c r="AT15" i="6"/>
  <c r="AO15" i="6"/>
  <c r="AJ15" i="6"/>
  <c r="AI15" i="6"/>
  <c r="AH15" i="6"/>
  <c r="AF15" i="6"/>
  <c r="AE15" i="6"/>
  <c r="AC15" i="6"/>
  <c r="AA15" i="6"/>
  <c r="Z15" i="6"/>
  <c r="Y15" i="6"/>
  <c r="X15" i="6"/>
  <c r="W15" i="6"/>
  <c r="P15" i="6"/>
  <c r="O15" i="6"/>
  <c r="AD15" i="6" s="1"/>
  <c r="N15" i="6"/>
  <c r="M15" i="6"/>
  <c r="AI14" i="6"/>
  <c r="AH14" i="6"/>
  <c r="W14" i="6"/>
  <c r="AU13" i="6"/>
  <c r="AT13" i="6"/>
  <c r="AO13" i="6"/>
  <c r="AN13" i="6"/>
  <c r="AJ13" i="6"/>
  <c r="AI13" i="6"/>
  <c r="AH13" i="6"/>
  <c r="AF13" i="6"/>
  <c r="AE13" i="6"/>
  <c r="AC13" i="6"/>
  <c r="AA13" i="6"/>
  <c r="Z13" i="6"/>
  <c r="Y13" i="6"/>
  <c r="X13" i="6"/>
  <c r="W13" i="6"/>
  <c r="P13" i="6"/>
  <c r="O13" i="6"/>
  <c r="AD13" i="6" s="1"/>
  <c r="N13" i="6"/>
  <c r="M13" i="6"/>
  <c r="AU12" i="6"/>
  <c r="AP12" i="6"/>
  <c r="AI12" i="6"/>
  <c r="AH12" i="6"/>
  <c r="AF12" i="6"/>
  <c r="AE12" i="6"/>
  <c r="AD12" i="6"/>
  <c r="AB12" i="6"/>
  <c r="AA12" i="6"/>
  <c r="Z12" i="6"/>
  <c r="Y12" i="6"/>
  <c r="X12" i="6"/>
  <c r="W12" i="6"/>
  <c r="P12" i="6"/>
  <c r="O12" i="6"/>
  <c r="N12" i="6"/>
  <c r="M12" i="6"/>
  <c r="AT11" i="6"/>
  <c r="AO11" i="6"/>
  <c r="AJ11" i="6"/>
  <c r="AI11" i="6"/>
  <c r="AH11" i="6"/>
  <c r="AF11" i="6"/>
  <c r="AE11" i="6"/>
  <c r="AC11" i="6"/>
  <c r="AA11" i="6"/>
  <c r="Z11" i="6"/>
  <c r="Y11" i="6"/>
  <c r="X11" i="6"/>
  <c r="W11" i="6"/>
  <c r="P11" i="6"/>
  <c r="O11" i="6"/>
  <c r="AD11" i="6" s="1"/>
  <c r="N11" i="6"/>
  <c r="M11" i="6"/>
  <c r="AU10" i="6"/>
  <c r="AI10" i="6"/>
  <c r="AH10" i="6"/>
  <c r="AF10" i="6"/>
  <c r="AE10" i="6"/>
  <c r="AD10" i="6"/>
  <c r="AB10" i="6"/>
  <c r="AA10" i="6"/>
  <c r="Z10" i="6"/>
  <c r="Y10" i="6"/>
  <c r="X10" i="6"/>
  <c r="W10" i="6"/>
  <c r="P10" i="6"/>
  <c r="O10" i="6"/>
  <c r="N10" i="6"/>
  <c r="AC10" i="6" s="1"/>
  <c r="M10" i="6"/>
  <c r="AI9" i="6"/>
  <c r="AH9" i="6"/>
  <c r="W9" i="6"/>
  <c r="AU8" i="6"/>
  <c r="AP8" i="6"/>
  <c r="AI8" i="6"/>
  <c r="AH8" i="6"/>
  <c r="AF8" i="6"/>
  <c r="AE8" i="6"/>
  <c r="AD8" i="6"/>
  <c r="AB8" i="6"/>
  <c r="AA8" i="6"/>
  <c r="Z8" i="6"/>
  <c r="Y8" i="6"/>
  <c r="X8" i="6"/>
  <c r="W8" i="6"/>
  <c r="P8" i="6"/>
  <c r="O8" i="6"/>
  <c r="N8" i="6"/>
  <c r="M8" i="6"/>
  <c r="AT7" i="6"/>
  <c r="AP7" i="6"/>
  <c r="AO7" i="6"/>
  <c r="AV7" i="6" s="1"/>
  <c r="AJ7" i="6"/>
  <c r="AI7" i="6"/>
  <c r="AH7" i="6"/>
  <c r="AF7" i="6"/>
  <c r="AE7" i="6"/>
  <c r="AC7" i="6"/>
  <c r="AA7" i="6"/>
  <c r="Z7" i="6"/>
  <c r="Y7" i="6"/>
  <c r="X7" i="6"/>
  <c r="W7" i="6"/>
  <c r="P7" i="6"/>
  <c r="O7" i="6"/>
  <c r="AD7" i="6" s="1"/>
  <c r="N7" i="6"/>
  <c r="M7" i="6"/>
  <c r="AU6" i="6"/>
  <c r="AP6" i="6"/>
  <c r="AN6" i="6"/>
  <c r="AI6" i="6"/>
  <c r="AH6" i="6"/>
  <c r="AF6" i="6"/>
  <c r="AE6" i="6"/>
  <c r="AD6" i="6"/>
  <c r="AB6" i="6"/>
  <c r="AA6" i="6"/>
  <c r="Z6" i="6"/>
  <c r="Y6" i="6"/>
  <c r="X6" i="6"/>
  <c r="W6" i="6"/>
  <c r="P6" i="6"/>
  <c r="O6" i="6"/>
  <c r="N6" i="6"/>
  <c r="AC6" i="6" s="1"/>
  <c r="M6" i="6"/>
  <c r="AI5" i="6"/>
  <c r="AH5" i="6"/>
  <c r="W5" i="6"/>
  <c r="AI4" i="6"/>
  <c r="AU3" i="6"/>
  <c r="AO3" i="6"/>
  <c r="AI3" i="6"/>
  <c r="AH3" i="6"/>
  <c r="AN2" i="6"/>
  <c r="AN15" i="6" s="1"/>
  <c r="AM2" i="6"/>
  <c r="AL2" i="6"/>
  <c r="AK2" i="6"/>
  <c r="AJ2" i="6"/>
  <c r="AA2" i="6"/>
  <c r="A2" i="6"/>
  <c r="AU1" i="6"/>
  <c r="AU15" i="6" s="1"/>
  <c r="AR1" i="6"/>
  <c r="AR3" i="6" s="1"/>
  <c r="AQ1" i="6"/>
  <c r="AQ15" i="6" s="1"/>
  <c r="AP1" i="6"/>
  <c r="AP13" i="6" s="1"/>
  <c r="AO1" i="6"/>
  <c r="AA1" i="6"/>
  <c r="A1" i="6"/>
  <c r="AH1" i="6" s="1"/>
  <c r="AH2" i="6" s="1"/>
  <c r="B43" i="3"/>
  <c r="B56" i="3" s="1"/>
  <c r="B69" i="3" s="1"/>
  <c r="B41" i="3"/>
  <c r="B54" i="3" s="1"/>
  <c r="B67" i="3" s="1"/>
  <c r="C39" i="3"/>
  <c r="C52" i="3" s="1"/>
  <c r="C65" i="3" s="1"/>
  <c r="B39" i="3"/>
  <c r="B52" i="3" s="1"/>
  <c r="B65" i="3" s="1"/>
  <c r="B38" i="3"/>
  <c r="B51" i="3" s="1"/>
  <c r="B64" i="3" s="1"/>
  <c r="B37" i="3"/>
  <c r="B50" i="3" s="1"/>
  <c r="B63" i="3" s="1"/>
  <c r="B35" i="3"/>
  <c r="B48" i="3" s="1"/>
  <c r="B61" i="3" s="1"/>
  <c r="W33" i="3"/>
  <c r="W46" i="3" s="1"/>
  <c r="W59" i="3" s="1"/>
  <c r="O33" i="3"/>
  <c r="O46" i="3" s="1"/>
  <c r="O59" i="3" s="1"/>
  <c r="C30" i="3"/>
  <c r="C43" i="3" s="1"/>
  <c r="C56" i="3" s="1"/>
  <c r="C69" i="3" s="1"/>
  <c r="B30" i="3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B68" i="3" s="1"/>
  <c r="A29" i="3"/>
  <c r="A42" i="3" s="1"/>
  <c r="A55" i="3" s="1"/>
  <c r="A68" i="3" s="1"/>
  <c r="C28" i="3"/>
  <c r="C41" i="3" s="1"/>
  <c r="C54" i="3" s="1"/>
  <c r="C67" i="3" s="1"/>
  <c r="B28" i="3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B66" i="3" s="1"/>
  <c r="A27" i="3"/>
  <c r="A40" i="3" s="1"/>
  <c r="A53" i="3" s="1"/>
  <c r="A66" i="3" s="1"/>
  <c r="C26" i="3"/>
  <c r="B26" i="3"/>
  <c r="A26" i="3"/>
  <c r="A39" i="3" s="1"/>
  <c r="A52" i="3" s="1"/>
  <c r="A65" i="3" s="1"/>
  <c r="C25" i="3"/>
  <c r="C38" i="3" s="1"/>
  <c r="C51" i="3" s="1"/>
  <c r="C64" i="3" s="1"/>
  <c r="B25" i="3"/>
  <c r="A25" i="3"/>
  <c r="A38" i="3" s="1"/>
  <c r="A51" i="3" s="1"/>
  <c r="A64" i="3" s="1"/>
  <c r="C24" i="3"/>
  <c r="C37" i="3" s="1"/>
  <c r="C50" i="3" s="1"/>
  <c r="C63" i="3" s="1"/>
  <c r="B24" i="3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B62" i="3" s="1"/>
  <c r="A23" i="3"/>
  <c r="A36" i="3" s="1"/>
  <c r="A49" i="3" s="1"/>
  <c r="A62" i="3" s="1"/>
  <c r="C22" i="3"/>
  <c r="C35" i="3" s="1"/>
  <c r="C48" i="3" s="1"/>
  <c r="C61" i="3" s="1"/>
  <c r="B22" i="3"/>
  <c r="A22" i="3"/>
  <c r="A35" i="3" s="1"/>
  <c r="A48" i="3" s="1"/>
  <c r="A61" i="3" s="1"/>
  <c r="C21" i="3"/>
  <c r="C34" i="3" s="1"/>
  <c r="C47" i="3" s="1"/>
  <c r="C60" i="3" s="1"/>
  <c r="B21" i="3"/>
  <c r="B34" i="3" s="1"/>
  <c r="B47" i="3" s="1"/>
  <c r="B60" i="3" s="1"/>
  <c r="A21" i="3"/>
  <c r="A34" i="3" s="1"/>
  <c r="A47" i="3" s="1"/>
  <c r="A60" i="3" s="1"/>
  <c r="W20" i="3"/>
  <c r="U20" i="3"/>
  <c r="U33" i="3" s="1"/>
  <c r="U46" i="3" s="1"/>
  <c r="U59" i="3" s="1"/>
  <c r="S20" i="3"/>
  <c r="S33" i="3" s="1"/>
  <c r="S46" i="3" s="1"/>
  <c r="S59" i="3" s="1"/>
  <c r="R20" i="3"/>
  <c r="R33" i="3" s="1"/>
  <c r="R46" i="3" s="1"/>
  <c r="R59" i="3" s="1"/>
  <c r="O20" i="3"/>
  <c r="M20" i="3"/>
  <c r="M33" i="3" s="1"/>
  <c r="M46" i="3" s="1"/>
  <c r="M59" i="3" s="1"/>
  <c r="L20" i="3"/>
  <c r="L33" i="3" s="1"/>
  <c r="L46" i="3" s="1"/>
  <c r="L59" i="3" s="1"/>
  <c r="K20" i="3"/>
  <c r="K33" i="3" s="1"/>
  <c r="K46" i="3" s="1"/>
  <c r="K59" i="3" s="1"/>
  <c r="E20" i="3"/>
  <c r="E33" i="3" s="1"/>
  <c r="E46" i="3" s="1"/>
  <c r="E59" i="3" s="1"/>
  <c r="W7" i="3"/>
  <c r="V7" i="3"/>
  <c r="V20" i="3" s="1"/>
  <c r="V33" i="3" s="1"/>
  <c r="V46" i="3" s="1"/>
  <c r="V59" i="3" s="1"/>
  <c r="U7" i="3"/>
  <c r="T7" i="3"/>
  <c r="T20" i="3" s="1"/>
  <c r="T33" i="3" s="1"/>
  <c r="T46" i="3" s="1"/>
  <c r="T59" i="3" s="1"/>
  <c r="S7" i="3"/>
  <c r="R7" i="3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N7" i="3"/>
  <c r="N20" i="3" s="1"/>
  <c r="N33" i="3" s="1"/>
  <c r="N46" i="3" s="1"/>
  <c r="N59" i="3" s="1"/>
  <c r="M7" i="3"/>
  <c r="L7" i="3"/>
  <c r="K7" i="3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D7" i="3"/>
  <c r="D20" i="3" s="1"/>
  <c r="D33" i="3" s="1"/>
  <c r="D46" i="3" s="1"/>
  <c r="D59" i="3" s="1"/>
  <c r="A2" i="2"/>
  <c r="A1" i="2"/>
  <c r="AJ1" i="25" l="1"/>
  <c r="AJ1" i="19"/>
  <c r="AH1" i="12"/>
  <c r="AH2" i="12" s="1"/>
  <c r="AH1" i="13"/>
  <c r="AH2" i="13" s="1"/>
  <c r="AH1" i="23"/>
  <c r="AH2" i="23" s="1"/>
  <c r="AJ1" i="26"/>
  <c r="AJ1" i="15"/>
  <c r="AH1" i="27"/>
  <c r="AH2" i="27" s="1"/>
  <c r="AJ1" i="6"/>
  <c r="AH1" i="20"/>
  <c r="AH2" i="20" s="1"/>
  <c r="AH1" i="9"/>
  <c r="AH2" i="9" s="1"/>
  <c r="AH1" i="14"/>
  <c r="AH2" i="14" s="1"/>
  <c r="AR6" i="6"/>
  <c r="AR6" i="7"/>
  <c r="AR28" i="16"/>
  <c r="AR20" i="20"/>
  <c r="AR10" i="6"/>
  <c r="AR56" i="9"/>
  <c r="AR24" i="13"/>
  <c r="AR8" i="25"/>
  <c r="AR13" i="13"/>
  <c r="AR24" i="20"/>
  <c r="AR11" i="9"/>
  <c r="AR29" i="13"/>
  <c r="AR46" i="13"/>
  <c r="AR9" i="15"/>
  <c r="AR8" i="17"/>
  <c r="AR8" i="9"/>
  <c r="AR16" i="9"/>
  <c r="AR28" i="9"/>
  <c r="AR35" i="9"/>
  <c r="AR50" i="9"/>
  <c r="AR3" i="12"/>
  <c r="AR26" i="13"/>
  <c r="AR30" i="13"/>
  <c r="AR36" i="13"/>
  <c r="AR14" i="14"/>
  <c r="AR35" i="14"/>
  <c r="AR7" i="19"/>
  <c r="AR11" i="20"/>
  <c r="AR19" i="20"/>
  <c r="AR29" i="20"/>
  <c r="AR9" i="22"/>
  <c r="AR20" i="26"/>
  <c r="AR12" i="6"/>
  <c r="AR15" i="6"/>
  <c r="AR3" i="9"/>
  <c r="AR24" i="9"/>
  <c r="AR31" i="9"/>
  <c r="AR76" i="9"/>
  <c r="AR18" i="13"/>
  <c r="AR23" i="13"/>
  <c r="AR33" i="13"/>
  <c r="AR9" i="14"/>
  <c r="AR20" i="14"/>
  <c r="AR32" i="14"/>
  <c r="AR13" i="16"/>
  <c r="AR21" i="16"/>
  <c r="AR24" i="16"/>
  <c r="AR26" i="16"/>
  <c r="AR7" i="20"/>
  <c r="AR15" i="20"/>
  <c r="AR23" i="20"/>
  <c r="AR3" i="21"/>
  <c r="AR6" i="24"/>
  <c r="AR8" i="24"/>
  <c r="AR9" i="24"/>
  <c r="AR7" i="25"/>
  <c r="AR12" i="7"/>
  <c r="AR7" i="8"/>
  <c r="AR19" i="9"/>
  <c r="AR25" i="9"/>
  <c r="AR63" i="9"/>
  <c r="AR72" i="9"/>
  <c r="AR75" i="9"/>
  <c r="AR20" i="13"/>
  <c r="AR21" i="13"/>
  <c r="AR22" i="13"/>
  <c r="AR44" i="13"/>
  <c r="AR3" i="14"/>
  <c r="AR6" i="14"/>
  <c r="AR10" i="14"/>
  <c r="AR12" i="14"/>
  <c r="AR42" i="14"/>
  <c r="AR22" i="16"/>
  <c r="AR21" i="20"/>
  <c r="AR26" i="20"/>
  <c r="AR10" i="26"/>
  <c r="AR11" i="6"/>
  <c r="AR3" i="8"/>
  <c r="AR7" i="9"/>
  <c r="AR9" i="9"/>
  <c r="AR20" i="9"/>
  <c r="AR29" i="9"/>
  <c r="AR40" i="9"/>
  <c r="AR3" i="13"/>
  <c r="AR12" i="13"/>
  <c r="AR16" i="13"/>
  <c r="AR19" i="13"/>
  <c r="AR27" i="13"/>
  <c r="AR32" i="13"/>
  <c r="AR7" i="14"/>
  <c r="AR13" i="14"/>
  <c r="AR15" i="14"/>
  <c r="AR16" i="14"/>
  <c r="AR17" i="14"/>
  <c r="AR21" i="14"/>
  <c r="AR48" i="14"/>
  <c r="AR6" i="16"/>
  <c r="AR20" i="16"/>
  <c r="AR27" i="20"/>
  <c r="AR13" i="9"/>
  <c r="AR23" i="9"/>
  <c r="AR27" i="9"/>
  <c r="AR11" i="13"/>
  <c r="AR28" i="13"/>
  <c r="AR45" i="13"/>
  <c r="AR31" i="16"/>
  <c r="AR32" i="16"/>
  <c r="AR8" i="20"/>
  <c r="AR13" i="20"/>
  <c r="AR17" i="20"/>
  <c r="AR6" i="25"/>
  <c r="AR9" i="25"/>
  <c r="AQ8" i="13"/>
  <c r="AQ16" i="13"/>
  <c r="AQ19" i="13"/>
  <c r="AQ21" i="13"/>
  <c r="AQ23" i="13"/>
  <c r="AQ32" i="13"/>
  <c r="AQ39" i="13"/>
  <c r="AQ41" i="13"/>
  <c r="AQ14" i="26"/>
  <c r="AQ41" i="26"/>
  <c r="AQ42" i="26"/>
  <c r="AQ14" i="7"/>
  <c r="AQ9" i="9"/>
  <c r="AQ14" i="9"/>
  <c r="AQ19" i="9"/>
  <c r="AQ46" i="9"/>
  <c r="AQ49" i="9"/>
  <c r="AQ53" i="9"/>
  <c r="AQ80" i="9"/>
  <c r="AQ10" i="10"/>
  <c r="AQ12" i="10"/>
  <c r="AQ8" i="12"/>
  <c r="AQ3" i="13"/>
  <c r="AQ11" i="13"/>
  <c r="AQ28" i="13"/>
  <c r="AQ45" i="13"/>
  <c r="AQ7" i="14"/>
  <c r="AQ13" i="14"/>
  <c r="AQ15" i="14"/>
  <c r="AQ16" i="14"/>
  <c r="AQ6" i="16"/>
  <c r="AQ9" i="19"/>
  <c r="AQ12" i="19"/>
  <c r="AQ13" i="19"/>
  <c r="AQ29" i="19"/>
  <c r="AQ42" i="19"/>
  <c r="AQ20" i="20"/>
  <c r="AQ9" i="22"/>
  <c r="AQ6" i="24"/>
  <c r="AQ12" i="26"/>
  <c r="AQ31" i="26"/>
  <c r="AQ48" i="26"/>
  <c r="AQ3" i="6"/>
  <c r="AQ11" i="7"/>
  <c r="AQ6" i="6"/>
  <c r="AQ6" i="7"/>
  <c r="AQ8" i="7"/>
  <c r="AQ13" i="9"/>
  <c r="AQ25" i="9"/>
  <c r="AQ52" i="9"/>
  <c r="AQ61" i="9"/>
  <c r="AQ89" i="9"/>
  <c r="AQ8" i="10"/>
  <c r="AQ15" i="13"/>
  <c r="AQ30" i="13"/>
  <c r="AQ36" i="13"/>
  <c r="AQ25" i="14"/>
  <c r="AQ29" i="14"/>
  <c r="AQ7" i="15"/>
  <c r="AQ43" i="19"/>
  <c r="AQ12" i="20"/>
  <c r="AQ18" i="20"/>
  <c r="AQ23" i="20"/>
  <c r="AQ10" i="21"/>
  <c r="AQ6" i="25"/>
  <c r="AQ3" i="26"/>
  <c r="AQ8" i="26"/>
  <c r="AQ33" i="26"/>
  <c r="AQ36" i="26"/>
  <c r="AQ37" i="26"/>
  <c r="AQ58" i="26"/>
  <c r="AQ10" i="6"/>
  <c r="AQ3" i="7"/>
  <c r="AQ8" i="6"/>
  <c r="AQ7" i="7"/>
  <c r="AQ8" i="9"/>
  <c r="AQ20" i="9"/>
  <c r="AQ23" i="9"/>
  <c r="AQ29" i="9"/>
  <c r="AQ33" i="9"/>
  <c r="AQ43" i="9"/>
  <c r="AQ58" i="9"/>
  <c r="AQ77" i="9"/>
  <c r="AQ104" i="9"/>
  <c r="AQ6" i="13"/>
  <c r="AQ18" i="13"/>
  <c r="AQ27" i="13"/>
  <c r="AQ33" i="13"/>
  <c r="AQ43" i="13"/>
  <c r="AQ3" i="14"/>
  <c r="AQ14" i="14"/>
  <c r="AQ20" i="14"/>
  <c r="AQ24" i="14"/>
  <c r="AQ37" i="14"/>
  <c r="AQ10" i="15"/>
  <c r="AQ14" i="16"/>
  <c r="AQ3" i="18"/>
  <c r="AQ31" i="19"/>
  <c r="AQ38" i="19"/>
  <c r="AQ14" i="20"/>
  <c r="AQ51" i="20"/>
  <c r="AQ9" i="23"/>
  <c r="AQ6" i="26"/>
  <c r="AQ10" i="26"/>
  <c r="AQ18" i="26"/>
  <c r="AQ11" i="6"/>
  <c r="AQ12" i="6"/>
  <c r="AQ10" i="7"/>
  <c r="AQ12" i="7"/>
  <c r="AQ27" i="9"/>
  <c r="AQ9" i="13"/>
  <c r="AQ10" i="13"/>
  <c r="AQ24" i="13"/>
  <c r="AQ29" i="13"/>
  <c r="AQ46" i="13"/>
  <c r="AQ9" i="14"/>
  <c r="AQ12" i="14"/>
  <c r="AQ22" i="14"/>
  <c r="AQ3" i="19"/>
  <c r="AQ16" i="19"/>
  <c r="AQ35" i="19"/>
  <c r="AQ3" i="20"/>
  <c r="AQ21" i="20"/>
  <c r="AQ8" i="21"/>
  <c r="AQ6" i="23"/>
  <c r="AQ9" i="24"/>
  <c r="AQ7" i="26"/>
  <c r="AQ17" i="26"/>
  <c r="AQ27" i="26"/>
  <c r="AQ44" i="26"/>
  <c r="AT19" i="9"/>
  <c r="AJ19" i="9"/>
  <c r="AN35" i="9"/>
  <c r="AT35" i="9"/>
  <c r="AJ35" i="9"/>
  <c r="AO55" i="9"/>
  <c r="AV55" i="9" s="1"/>
  <c r="AC55" i="9"/>
  <c r="AO66" i="9"/>
  <c r="AV66" i="9" s="1"/>
  <c r="AD69" i="9"/>
  <c r="AQ69" i="9"/>
  <c r="AN8" i="6"/>
  <c r="AT8" i="6"/>
  <c r="AJ8" i="6"/>
  <c r="AQ13" i="6"/>
  <c r="AR11" i="7"/>
  <c r="AQ9" i="8"/>
  <c r="AT9" i="8"/>
  <c r="AJ9" i="8"/>
  <c r="AU132" i="9"/>
  <c r="AU128" i="9"/>
  <c r="AU134" i="9"/>
  <c r="AU130" i="9"/>
  <c r="AU133" i="9"/>
  <c r="AU129" i="9"/>
  <c r="AU117" i="9"/>
  <c r="AU113" i="9"/>
  <c r="AU109" i="9"/>
  <c r="AU97" i="9"/>
  <c r="AU93" i="9"/>
  <c r="AU89" i="9"/>
  <c r="AU85" i="9"/>
  <c r="AU81" i="9"/>
  <c r="AU77" i="9"/>
  <c r="AU73" i="9"/>
  <c r="AU69" i="9"/>
  <c r="AU65" i="9"/>
  <c r="AU61" i="9"/>
  <c r="AU55" i="9"/>
  <c r="AU47" i="9"/>
  <c r="AU43" i="9"/>
  <c r="AU39" i="9"/>
  <c r="AU92" i="9"/>
  <c r="AU88" i="9"/>
  <c r="AU84" i="9"/>
  <c r="AU80" i="9"/>
  <c r="AU76" i="9"/>
  <c r="AU72" i="9"/>
  <c r="AU64" i="9"/>
  <c r="AU125" i="9"/>
  <c r="AU121" i="9"/>
  <c r="AU105" i="9"/>
  <c r="AU83" i="9"/>
  <c r="AU75" i="9"/>
  <c r="AU63" i="9"/>
  <c r="AU59" i="9"/>
  <c r="AU126" i="9"/>
  <c r="AU123" i="9"/>
  <c r="AU119" i="9"/>
  <c r="AU115" i="9"/>
  <c r="AU111" i="9"/>
  <c r="AU107" i="9"/>
  <c r="AU103" i="9"/>
  <c r="AU99" i="9"/>
  <c r="AU95" i="9"/>
  <c r="AU118" i="9"/>
  <c r="AU114" i="9"/>
  <c r="AU110" i="9"/>
  <c r="AU102" i="9"/>
  <c r="AU98" i="9"/>
  <c r="AU94" i="9"/>
  <c r="AU90" i="9"/>
  <c r="AU86" i="9"/>
  <c r="AU78" i="9"/>
  <c r="AU70" i="9"/>
  <c r="AU66" i="9"/>
  <c r="AU56" i="9"/>
  <c r="AU44" i="9"/>
  <c r="AU40" i="9"/>
  <c r="AU67" i="9"/>
  <c r="AU53" i="9"/>
  <c r="AU22" i="9"/>
  <c r="AU18" i="9"/>
  <c r="AU6" i="9"/>
  <c r="AU36" i="9"/>
  <c r="AU14" i="9"/>
  <c r="AU10" i="9"/>
  <c r="AU124" i="9"/>
  <c r="AU120" i="9"/>
  <c r="AU57" i="9"/>
  <c r="AU41" i="9"/>
  <c r="AU35" i="9"/>
  <c r="AU29" i="9"/>
  <c r="AU25" i="9"/>
  <c r="AU13" i="9"/>
  <c r="AU9" i="9"/>
  <c r="AU104" i="9"/>
  <c r="AU49" i="9"/>
  <c r="AU28" i="9"/>
  <c r="AU24" i="9"/>
  <c r="AU20" i="9"/>
  <c r="AU16" i="9"/>
  <c r="AU8" i="9"/>
  <c r="AU3" i="9"/>
  <c r="AR10" i="9"/>
  <c r="AB10" i="9"/>
  <c r="AO13" i="9"/>
  <c r="AC13" i="9"/>
  <c r="AO14" i="9"/>
  <c r="AN19" i="9"/>
  <c r="AQ24" i="9"/>
  <c r="AT27" i="9"/>
  <c r="AJ27" i="9"/>
  <c r="AN28" i="9"/>
  <c r="AO39" i="9"/>
  <c r="AC39" i="9"/>
  <c r="AU46" i="9"/>
  <c r="AU50" i="9"/>
  <c r="AN53" i="9"/>
  <c r="AN75" i="9"/>
  <c r="AJ75" i="9"/>
  <c r="AT75" i="9"/>
  <c r="AU100" i="9"/>
  <c r="AC6" i="12"/>
  <c r="AO6" i="12"/>
  <c r="AV6" i="12" s="1"/>
  <c r="AO16" i="13"/>
  <c r="AO45" i="13"/>
  <c r="AO29" i="13"/>
  <c r="AO3" i="13"/>
  <c r="AO6" i="13"/>
  <c r="AO15" i="13"/>
  <c r="AR13" i="6"/>
  <c r="AV13" i="6" s="1"/>
  <c r="AB13" i="6"/>
  <c r="AT10" i="7"/>
  <c r="AJ10" i="7"/>
  <c r="AR6" i="8"/>
  <c r="AB6" i="8"/>
  <c r="AN134" i="9"/>
  <c r="AN130" i="9"/>
  <c r="AN126" i="9"/>
  <c r="AN125" i="9"/>
  <c r="AN121" i="9"/>
  <c r="AN105" i="9"/>
  <c r="AN100" i="9"/>
  <c r="AN67" i="9"/>
  <c r="AN49" i="9"/>
  <c r="AN36" i="9"/>
  <c r="AN14" i="9"/>
  <c r="AN10" i="9"/>
  <c r="AN58" i="9"/>
  <c r="AN52" i="9"/>
  <c r="AN37" i="9"/>
  <c r="AN124" i="9"/>
  <c r="AN120" i="9"/>
  <c r="AN24" i="9"/>
  <c r="AN20" i="9"/>
  <c r="AN16" i="9"/>
  <c r="AN8" i="9"/>
  <c r="AT7" i="9"/>
  <c r="AJ7" i="9"/>
  <c r="AN13" i="9"/>
  <c r="AT13" i="9"/>
  <c r="AJ13" i="9"/>
  <c r="AN27" i="9"/>
  <c r="AO29" i="9"/>
  <c r="AV29" i="9" s="1"/>
  <c r="AC29" i="9"/>
  <c r="AO33" i="9"/>
  <c r="AC33" i="9"/>
  <c r="AU37" i="9"/>
  <c r="AJ54" i="9"/>
  <c r="AT54" i="9"/>
  <c r="AN59" i="9"/>
  <c r="AJ59" i="9"/>
  <c r="AT59" i="9"/>
  <c r="AC118" i="9"/>
  <c r="AO118" i="9"/>
  <c r="AV118" i="9" s="1"/>
  <c r="AR14" i="7"/>
  <c r="AR3" i="7"/>
  <c r="AR13" i="7"/>
  <c r="AV13" i="7" s="1"/>
  <c r="AB13" i="7"/>
  <c r="AQ7" i="6"/>
  <c r="AN10" i="7"/>
  <c r="AO84" i="9"/>
  <c r="AO80" i="9"/>
  <c r="AO76" i="9"/>
  <c r="AV76" i="9" s="1"/>
  <c r="AO60" i="9"/>
  <c r="AO54" i="9"/>
  <c r="AO50" i="9"/>
  <c r="AO46" i="9"/>
  <c r="AO105" i="9"/>
  <c r="AO75" i="9"/>
  <c r="AO117" i="9"/>
  <c r="AO109" i="9"/>
  <c r="AO89" i="9"/>
  <c r="AO119" i="9"/>
  <c r="AO3" i="9"/>
  <c r="AO103" i="9"/>
  <c r="AO53" i="9"/>
  <c r="AO24" i="9"/>
  <c r="AO16" i="9"/>
  <c r="AO115" i="9"/>
  <c r="AO99" i="9"/>
  <c r="AN7" i="9"/>
  <c r="AO9" i="9"/>
  <c r="AV9" i="9" s="1"/>
  <c r="AC9" i="9"/>
  <c r="AO11" i="9"/>
  <c r="AV11" i="9" s="1"/>
  <c r="AC11" i="9"/>
  <c r="AR22" i="9"/>
  <c r="AB22" i="9"/>
  <c r="AN29" i="9"/>
  <c r="AT29" i="9"/>
  <c r="AJ29" i="9"/>
  <c r="AR36" i="9"/>
  <c r="AB36" i="9"/>
  <c r="AN41" i="9"/>
  <c r="AC44" i="9"/>
  <c r="AO44" i="9"/>
  <c r="AT44" i="9"/>
  <c r="AJ44" i="9"/>
  <c r="AN44" i="9"/>
  <c r="AO47" i="9"/>
  <c r="AC47" i="9"/>
  <c r="AR49" i="9"/>
  <c r="AB49" i="9"/>
  <c r="AN54" i="9"/>
  <c r="AN57" i="9"/>
  <c r="AD65" i="9"/>
  <c r="AQ65" i="9"/>
  <c r="AO70" i="9"/>
  <c r="AV70" i="9" s="1"/>
  <c r="AO124" i="9"/>
  <c r="AR78" i="9"/>
  <c r="AB78" i="9"/>
  <c r="AR7" i="7"/>
  <c r="AV7" i="7" s="1"/>
  <c r="AR8" i="6"/>
  <c r="AO12" i="6"/>
  <c r="AC12" i="6"/>
  <c r="AT10" i="6"/>
  <c r="AJ10" i="6"/>
  <c r="AT6" i="7"/>
  <c r="AJ6" i="7"/>
  <c r="AO8" i="7"/>
  <c r="AV8" i="7" s="1"/>
  <c r="AC8" i="7"/>
  <c r="AO7" i="8"/>
  <c r="AV7" i="8" s="1"/>
  <c r="AC7" i="8"/>
  <c r="AR8" i="8"/>
  <c r="AB8" i="8"/>
  <c r="AN9" i="9"/>
  <c r="AT9" i="9"/>
  <c r="AJ9" i="9"/>
  <c r="AR18" i="9"/>
  <c r="AB18" i="9"/>
  <c r="AU19" i="9"/>
  <c r="AN22" i="9"/>
  <c r="AO25" i="9"/>
  <c r="AV25" i="9" s="1"/>
  <c r="AC25" i="9"/>
  <c r="AN33" i="9"/>
  <c r="AD41" i="9"/>
  <c r="AQ41" i="9"/>
  <c r="AU52" i="9"/>
  <c r="AU54" i="9"/>
  <c r="AD57" i="9"/>
  <c r="AQ57" i="9"/>
  <c r="AU58" i="9"/>
  <c r="AQ64" i="9"/>
  <c r="AD64" i="9"/>
  <c r="AC73" i="9"/>
  <c r="AO73" i="9"/>
  <c r="AV73" i="9" s="1"/>
  <c r="AN73" i="9"/>
  <c r="AR99" i="9"/>
  <c r="AB99" i="9"/>
  <c r="AN99" i="9"/>
  <c r="AO8" i="6"/>
  <c r="AC8" i="6"/>
  <c r="AO12" i="7"/>
  <c r="AC12" i="7"/>
  <c r="AR7" i="6"/>
  <c r="AN12" i="6"/>
  <c r="AT12" i="6"/>
  <c r="AJ12" i="6"/>
  <c r="AN12" i="7"/>
  <c r="AT12" i="7"/>
  <c r="AJ12" i="7"/>
  <c r="AJ1" i="8"/>
  <c r="AH1" i="8"/>
  <c r="AH2" i="8" s="1"/>
  <c r="AT6" i="6"/>
  <c r="AJ6" i="6"/>
  <c r="AN10" i="6"/>
  <c r="AV11" i="6"/>
  <c r="AN6" i="7"/>
  <c r="AN8" i="7"/>
  <c r="AT8" i="7"/>
  <c r="AJ8" i="7"/>
  <c r="AR10" i="7"/>
  <c r="AO14" i="7"/>
  <c r="AV14" i="7" s="1"/>
  <c r="AC14" i="7"/>
  <c r="AQ7" i="8"/>
  <c r="AN8" i="8"/>
  <c r="AR6" i="9"/>
  <c r="AB6" i="9"/>
  <c r="AQ10" i="9"/>
  <c r="AN11" i="9"/>
  <c r="AR14" i="9"/>
  <c r="AB14" i="9"/>
  <c r="AQ16" i="9"/>
  <c r="AN18" i="9"/>
  <c r="AT23" i="9"/>
  <c r="AJ23" i="9"/>
  <c r="AN25" i="9"/>
  <c r="AT25" i="9"/>
  <c r="AJ25" i="9"/>
  <c r="AU27" i="9"/>
  <c r="AQ28" i="9"/>
  <c r="AT31" i="9"/>
  <c r="AJ31" i="9"/>
  <c r="AO35" i="9"/>
  <c r="AV35" i="9" s="1"/>
  <c r="AC35" i="9"/>
  <c r="AC37" i="9"/>
  <c r="AO37" i="9"/>
  <c r="AV37" i="9" s="1"/>
  <c r="AJ46" i="9"/>
  <c r="AT46" i="9"/>
  <c r="AT50" i="9"/>
  <c r="AN50" i="9"/>
  <c r="AJ50" i="9"/>
  <c r="AR52" i="9"/>
  <c r="AB52" i="9"/>
  <c r="AR58" i="9"/>
  <c r="AB58" i="9"/>
  <c r="AU60" i="9"/>
  <c r="AO67" i="9"/>
  <c r="AD72" i="9"/>
  <c r="AQ72" i="9"/>
  <c r="AN72" i="9"/>
  <c r="AT72" i="9"/>
  <c r="AJ72" i="9"/>
  <c r="AD76" i="9"/>
  <c r="AQ76" i="9"/>
  <c r="AN76" i="9"/>
  <c r="AT76" i="9"/>
  <c r="AJ76" i="9"/>
  <c r="AD85" i="9"/>
  <c r="AQ85" i="9"/>
  <c r="AN104" i="9"/>
  <c r="AR115" i="9"/>
  <c r="AB115" i="9"/>
  <c r="AN115" i="9"/>
  <c r="AO6" i="6"/>
  <c r="AV6" i="6" s="1"/>
  <c r="AN7" i="6"/>
  <c r="AU7" i="6"/>
  <c r="AO10" i="6"/>
  <c r="AV10" i="6" s="1"/>
  <c r="AN11" i="6"/>
  <c r="AU11" i="6"/>
  <c r="AO6" i="7"/>
  <c r="AV6" i="7" s="1"/>
  <c r="AN7" i="7"/>
  <c r="AO10" i="7"/>
  <c r="AV10" i="7" s="1"/>
  <c r="AN11" i="7"/>
  <c r="AO9" i="8"/>
  <c r="AV9" i="8" s="1"/>
  <c r="AP105" i="9"/>
  <c r="AP75" i="9"/>
  <c r="AP63" i="9"/>
  <c r="AP53" i="9"/>
  <c r="AP49" i="9"/>
  <c r="AP129" i="9"/>
  <c r="AP124" i="9"/>
  <c r="AP120" i="9"/>
  <c r="AP104" i="9"/>
  <c r="AP100" i="9"/>
  <c r="AP130" i="9"/>
  <c r="AP119" i="9"/>
  <c r="AP115" i="9"/>
  <c r="AP103" i="9"/>
  <c r="AP99" i="9"/>
  <c r="AP67" i="9"/>
  <c r="AP117" i="9"/>
  <c r="AP109" i="9"/>
  <c r="AP89" i="9"/>
  <c r="AP84" i="9"/>
  <c r="AP80" i="9"/>
  <c r="AP76" i="9"/>
  <c r="AP60" i="9"/>
  <c r="AP54" i="9"/>
  <c r="AP50" i="9"/>
  <c r="AP46" i="9"/>
  <c r="AO7" i="9"/>
  <c r="AV7" i="9" s="1"/>
  <c r="AP18" i="9"/>
  <c r="AO19" i="9"/>
  <c r="AP22" i="9"/>
  <c r="AO23" i="9"/>
  <c r="AV23" i="9" s="1"/>
  <c r="AO27" i="9"/>
  <c r="AV27" i="9" s="1"/>
  <c r="AO31" i="9"/>
  <c r="AV31" i="9" s="1"/>
  <c r="AT37" i="9"/>
  <c r="AJ37" i="9"/>
  <c r="AN39" i="9"/>
  <c r="AR43" i="9"/>
  <c r="AQ44" i="9"/>
  <c r="AN47" i="9"/>
  <c r="AJ52" i="9"/>
  <c r="AN55" i="9"/>
  <c r="AQ63" i="9"/>
  <c r="AR67" i="9"/>
  <c r="AB67" i="9"/>
  <c r="AO78" i="9"/>
  <c r="AV78" i="9" s="1"/>
  <c r="AC81" i="9"/>
  <c r="AO81" i="9"/>
  <c r="AV81" i="9" s="1"/>
  <c r="AN81" i="9"/>
  <c r="AN84" i="9"/>
  <c r="AT84" i="9"/>
  <c r="AJ84" i="9"/>
  <c r="AR95" i="9"/>
  <c r="AB95" i="9"/>
  <c r="AN95" i="9"/>
  <c r="AQ97" i="9"/>
  <c r="AR103" i="9"/>
  <c r="AB103" i="9"/>
  <c r="AN103" i="9"/>
  <c r="AN109" i="9"/>
  <c r="AR111" i="9"/>
  <c r="AB111" i="9"/>
  <c r="AN111" i="9"/>
  <c r="AQ113" i="9"/>
  <c r="AQ118" i="9"/>
  <c r="AQ120" i="9"/>
  <c r="AR123" i="9"/>
  <c r="AB123" i="9"/>
  <c r="AN123" i="9"/>
  <c r="AQ124" i="9"/>
  <c r="AR3" i="10"/>
  <c r="AR10" i="10"/>
  <c r="AR6" i="10"/>
  <c r="AN6" i="11"/>
  <c r="AN8" i="11"/>
  <c r="AN7" i="11"/>
  <c r="AP10" i="6"/>
  <c r="AP6" i="7"/>
  <c r="AQ8" i="8"/>
  <c r="AQ130" i="9"/>
  <c r="AQ126" i="9"/>
  <c r="AJ117" i="9"/>
  <c r="AJ113" i="9"/>
  <c r="AJ109" i="9"/>
  <c r="AJ97" i="9"/>
  <c r="AJ93" i="9"/>
  <c r="AJ89" i="9"/>
  <c r="AJ85" i="9"/>
  <c r="AJ81" i="9"/>
  <c r="AJ77" i="9"/>
  <c r="AJ73" i="9"/>
  <c r="AJ69" i="9"/>
  <c r="AJ65" i="9"/>
  <c r="AQ6" i="9"/>
  <c r="AJ10" i="9"/>
  <c r="AJ14" i="9"/>
  <c r="AQ18" i="9"/>
  <c r="AQ22" i="9"/>
  <c r="AR33" i="9"/>
  <c r="AJ36" i="9"/>
  <c r="AJ39" i="9"/>
  <c r="AT40" i="9"/>
  <c r="AJ40" i="9"/>
  <c r="AN40" i="9"/>
  <c r="AR41" i="9"/>
  <c r="AB41" i="9"/>
  <c r="AR44" i="9"/>
  <c r="AR46" i="9"/>
  <c r="AJ47" i="9"/>
  <c r="AJ49" i="9"/>
  <c r="AR54" i="9"/>
  <c r="AJ55" i="9"/>
  <c r="AT56" i="9"/>
  <c r="AJ56" i="9"/>
  <c r="AN56" i="9"/>
  <c r="AR57" i="9"/>
  <c r="AB57" i="9"/>
  <c r="AR59" i="9"/>
  <c r="AT60" i="9"/>
  <c r="AJ60" i="9"/>
  <c r="AO61" i="9"/>
  <c r="AN63" i="9"/>
  <c r="AQ73" i="9"/>
  <c r="AC77" i="9"/>
  <c r="AO77" i="9"/>
  <c r="AV77" i="9" s="1"/>
  <c r="AN77" i="9"/>
  <c r="AQ78" i="9"/>
  <c r="AQ84" i="9"/>
  <c r="AR88" i="9"/>
  <c r="AQ93" i="9"/>
  <c r="AQ99" i="9"/>
  <c r="AR105" i="9"/>
  <c r="AQ109" i="9"/>
  <c r="AQ115" i="9"/>
  <c r="AN117" i="9"/>
  <c r="AR119" i="9"/>
  <c r="AB119" i="9"/>
  <c r="AN119" i="9"/>
  <c r="AO21" i="13"/>
  <c r="AV21" i="13" s="1"/>
  <c r="AO41" i="13"/>
  <c r="AP11" i="6"/>
  <c r="AP15" i="6"/>
  <c r="AV15" i="6" s="1"/>
  <c r="AP7" i="7"/>
  <c r="AJ14" i="7"/>
  <c r="AU6" i="8"/>
  <c r="AJ7" i="8"/>
  <c r="AR118" i="9"/>
  <c r="AR114" i="9"/>
  <c r="AR110" i="9"/>
  <c r="AR102" i="9"/>
  <c r="AR98" i="9"/>
  <c r="AR94" i="9"/>
  <c r="AR90" i="9"/>
  <c r="AR133" i="9"/>
  <c r="AR132" i="9"/>
  <c r="AR117" i="9"/>
  <c r="AR113" i="9"/>
  <c r="AR109" i="9"/>
  <c r="AR97" i="9"/>
  <c r="AR93" i="9"/>
  <c r="AR89" i="9"/>
  <c r="AR85" i="9"/>
  <c r="AR81" i="9"/>
  <c r="AR77" i="9"/>
  <c r="AR73" i="9"/>
  <c r="AR69" i="9"/>
  <c r="AR65" i="9"/>
  <c r="AR61" i="9"/>
  <c r="AR129" i="9"/>
  <c r="AR128" i="9"/>
  <c r="AJ11" i="9"/>
  <c r="AP16" i="9"/>
  <c r="AP24" i="9"/>
  <c r="AJ33" i="9"/>
  <c r="AP39" i="9"/>
  <c r="AO40" i="9"/>
  <c r="AN43" i="9"/>
  <c r="AP47" i="9"/>
  <c r="AQ50" i="9"/>
  <c r="AR53" i="9"/>
  <c r="AO56" i="9"/>
  <c r="AV56" i="9" s="1"/>
  <c r="AQ59" i="9"/>
  <c r="AN60" i="9"/>
  <c r="AN61" i="9"/>
  <c r="AJ63" i="9"/>
  <c r="AR64" i="9"/>
  <c r="AR66" i="9"/>
  <c r="AB66" i="9"/>
  <c r="AQ67" i="9"/>
  <c r="AR70" i="9"/>
  <c r="AB70" i="9"/>
  <c r="AQ75" i="9"/>
  <c r="AN80" i="9"/>
  <c r="AT80" i="9"/>
  <c r="AJ80" i="9"/>
  <c r="AQ81" i="9"/>
  <c r="AR83" i="9"/>
  <c r="AR84" i="9"/>
  <c r="AR86" i="9"/>
  <c r="AC90" i="9"/>
  <c r="AO90" i="9"/>
  <c r="AV90" i="9" s="1"/>
  <c r="AQ95" i="9"/>
  <c r="AR100" i="9"/>
  <c r="AQ103" i="9"/>
  <c r="AQ111" i="9"/>
  <c r="AQ117" i="9"/>
  <c r="AR121" i="9"/>
  <c r="AQ123" i="9"/>
  <c r="AR125" i="9"/>
  <c r="AO130" i="9"/>
  <c r="AJ132" i="9"/>
  <c r="AQ88" i="9"/>
  <c r="AQ90" i="9"/>
  <c r="AQ92" i="9"/>
  <c r="AN97" i="9"/>
  <c r="AC98" i="9"/>
  <c r="AO98" i="9"/>
  <c r="AV98" i="9" s="1"/>
  <c r="AO100" i="9"/>
  <c r="AR104" i="9"/>
  <c r="AQ105" i="9"/>
  <c r="AR107" i="9"/>
  <c r="AB107" i="9"/>
  <c r="AN107" i="9"/>
  <c r="AN113" i="9"/>
  <c r="AC114" i="9"/>
  <c r="AO114" i="9"/>
  <c r="AV114" i="9" s="1"/>
  <c r="AQ119" i="9"/>
  <c r="AD128" i="9"/>
  <c r="AQ128" i="9"/>
  <c r="AN128" i="9"/>
  <c r="AJ128" i="9"/>
  <c r="AT128" i="9"/>
  <c r="AQ133" i="9"/>
  <c r="AO7" i="10"/>
  <c r="AV7" i="10" s="1"/>
  <c r="AO7" i="11"/>
  <c r="AC86" i="9"/>
  <c r="AO86" i="9"/>
  <c r="AV86" i="9" s="1"/>
  <c r="AP3" i="6"/>
  <c r="AB7" i="6"/>
  <c r="AB11" i="6"/>
  <c r="AB15" i="6"/>
  <c r="AP3" i="7"/>
  <c r="AB7" i="7"/>
  <c r="AB11" i="7"/>
  <c r="AU3" i="8"/>
  <c r="AQ3" i="9"/>
  <c r="AB8" i="9"/>
  <c r="AP14" i="9"/>
  <c r="AB16" i="9"/>
  <c r="AB20" i="9"/>
  <c r="AB24" i="9"/>
  <c r="AB28" i="9"/>
  <c r="AR37" i="9"/>
  <c r="AQ37" i="9"/>
  <c r="AR39" i="9"/>
  <c r="AQ40" i="9"/>
  <c r="AO41" i="9"/>
  <c r="AV41" i="9" s="1"/>
  <c r="AC43" i="9"/>
  <c r="AR47" i="9"/>
  <c r="AR55" i="9"/>
  <c r="AQ56" i="9"/>
  <c r="AO57" i="9"/>
  <c r="AV57" i="9" s="1"/>
  <c r="AR60" i="9"/>
  <c r="AC61" i="9"/>
  <c r="AP61" i="9"/>
  <c r="AN64" i="9"/>
  <c r="AT64" i="9"/>
  <c r="AJ64" i="9"/>
  <c r="AC65" i="9"/>
  <c r="AO65" i="9"/>
  <c r="AV65" i="9" s="1"/>
  <c r="AN65" i="9"/>
  <c r="AQ66" i="9"/>
  <c r="AC69" i="9"/>
  <c r="AO69" i="9"/>
  <c r="AN69" i="9"/>
  <c r="AQ70" i="9"/>
  <c r="AR80" i="9"/>
  <c r="AN83" i="9"/>
  <c r="AC85" i="9"/>
  <c r="AO85" i="9"/>
  <c r="AN85" i="9"/>
  <c r="AQ86" i="9"/>
  <c r="AN88" i="9"/>
  <c r="AT88" i="9"/>
  <c r="AJ88" i="9"/>
  <c r="AN89" i="9"/>
  <c r="AN92" i="9"/>
  <c r="AT92" i="9"/>
  <c r="AJ92" i="9"/>
  <c r="AN93" i="9"/>
  <c r="AC94" i="9"/>
  <c r="AO94" i="9"/>
  <c r="AV94" i="9" s="1"/>
  <c r="AQ98" i="9"/>
  <c r="AP98" i="9"/>
  <c r="AQ100" i="9"/>
  <c r="AC102" i="9"/>
  <c r="AO102" i="9"/>
  <c r="AO104" i="9"/>
  <c r="AJ105" i="9"/>
  <c r="AC110" i="9"/>
  <c r="AO110" i="9"/>
  <c r="AV110" i="9" s="1"/>
  <c r="AQ114" i="9"/>
  <c r="AP114" i="9"/>
  <c r="AR120" i="9"/>
  <c r="AQ121" i="9"/>
  <c r="AR124" i="9"/>
  <c r="AQ125" i="9"/>
  <c r="AQ132" i="9"/>
  <c r="AJ41" i="9"/>
  <c r="AJ57" i="9"/>
  <c r="AD66" i="9"/>
  <c r="AN66" i="9"/>
  <c r="AJ67" i="9"/>
  <c r="AD70" i="9"/>
  <c r="AN70" i="9"/>
  <c r="AD78" i="9"/>
  <c r="AN78" i="9"/>
  <c r="AD86" i="9"/>
  <c r="AN86" i="9"/>
  <c r="AD90" i="9"/>
  <c r="AN90" i="9"/>
  <c r="AD94" i="9"/>
  <c r="AN94" i="9"/>
  <c r="AJ95" i="9"/>
  <c r="AT95" i="9"/>
  <c r="AD98" i="9"/>
  <c r="AN98" i="9"/>
  <c r="AJ99" i="9"/>
  <c r="AT99" i="9"/>
  <c r="AB100" i="9"/>
  <c r="AD102" i="9"/>
  <c r="AN102" i="9"/>
  <c r="AJ103" i="9"/>
  <c r="AT103" i="9"/>
  <c r="AB104" i="9"/>
  <c r="AJ107" i="9"/>
  <c r="AT107" i="9"/>
  <c r="AD110" i="9"/>
  <c r="AN110" i="9"/>
  <c r="AJ111" i="9"/>
  <c r="AT111" i="9"/>
  <c r="AD114" i="9"/>
  <c r="AN114" i="9"/>
  <c r="AJ115" i="9"/>
  <c r="AT115" i="9"/>
  <c r="AD118" i="9"/>
  <c r="AN118" i="9"/>
  <c r="AJ119" i="9"/>
  <c r="AT119" i="9"/>
  <c r="AB120" i="9"/>
  <c r="AJ123" i="9"/>
  <c r="AT123" i="9"/>
  <c r="AB124" i="9"/>
  <c r="AC133" i="9"/>
  <c r="AO133" i="9"/>
  <c r="AV133" i="9" s="1"/>
  <c r="AT133" i="9"/>
  <c r="AJ133" i="9"/>
  <c r="AN133" i="9"/>
  <c r="AR8" i="10"/>
  <c r="AB8" i="10"/>
  <c r="AC10" i="10"/>
  <c r="AO10" i="10"/>
  <c r="AV10" i="10" s="1"/>
  <c r="AT10" i="10"/>
  <c r="AJ10" i="10"/>
  <c r="AN10" i="10"/>
  <c r="AJ1" i="11"/>
  <c r="AH1" i="11"/>
  <c r="AH2" i="11" s="1"/>
  <c r="AO6" i="11"/>
  <c r="AV6" i="11" s="1"/>
  <c r="AN8" i="12"/>
  <c r="AU42" i="13"/>
  <c r="AU38" i="13"/>
  <c r="AU26" i="13"/>
  <c r="AU22" i="13"/>
  <c r="AU12" i="13"/>
  <c r="AU3" i="13"/>
  <c r="AU41" i="13"/>
  <c r="AU21" i="13"/>
  <c r="AU11" i="13"/>
  <c r="AU46" i="13"/>
  <c r="AU30" i="13"/>
  <c r="AU20" i="13"/>
  <c r="AU45" i="13"/>
  <c r="AU33" i="13"/>
  <c r="AU29" i="13"/>
  <c r="AU19" i="13"/>
  <c r="AU15" i="13"/>
  <c r="AU44" i="13"/>
  <c r="AU36" i="13"/>
  <c r="AU32" i="13"/>
  <c r="AU28" i="13"/>
  <c r="AU24" i="13"/>
  <c r="AU18" i="13"/>
  <c r="AU14" i="13"/>
  <c r="AU8" i="13"/>
  <c r="AU43" i="13"/>
  <c r="AU39" i="13"/>
  <c r="AU35" i="13"/>
  <c r="AU27" i="13"/>
  <c r="AU23" i="13"/>
  <c r="AU13" i="13"/>
  <c r="AU6" i="13"/>
  <c r="AO8" i="13"/>
  <c r="AV8" i="13" s="1"/>
  <c r="AO12" i="13"/>
  <c r="AV12" i="13" s="1"/>
  <c r="AR15" i="13"/>
  <c r="AB15" i="13"/>
  <c r="AU16" i="13"/>
  <c r="AV20" i="14"/>
  <c r="AD95" i="9"/>
  <c r="AD99" i="9"/>
  <c r="AC100" i="9"/>
  <c r="AJ100" i="9"/>
  <c r="AD103" i="9"/>
  <c r="AC104" i="9"/>
  <c r="AJ104" i="9"/>
  <c r="AB105" i="9"/>
  <c r="AD107" i="9"/>
  <c r="AD111" i="9"/>
  <c r="AD115" i="9"/>
  <c r="AD119" i="9"/>
  <c r="AC120" i="9"/>
  <c r="AJ120" i="9"/>
  <c r="AB121" i="9"/>
  <c r="AD123" i="9"/>
  <c r="AC124" i="9"/>
  <c r="AJ124" i="9"/>
  <c r="AB125" i="9"/>
  <c r="AR130" i="9"/>
  <c r="AB130" i="9"/>
  <c r="AQ134" i="9"/>
  <c r="AJ12" i="10"/>
  <c r="AJ8" i="10"/>
  <c r="AJ11" i="10"/>
  <c r="AR7" i="10"/>
  <c r="AB7" i="10"/>
  <c r="AQ11" i="10"/>
  <c r="AO12" i="10"/>
  <c r="AV12" i="10" s="1"/>
  <c r="AQ7" i="11"/>
  <c r="AR8" i="11"/>
  <c r="AB8" i="11"/>
  <c r="AR6" i="12"/>
  <c r="AB6" i="12"/>
  <c r="AN46" i="13"/>
  <c r="AN30" i="13"/>
  <c r="AN20" i="13"/>
  <c r="AN45" i="13"/>
  <c r="AN33" i="13"/>
  <c r="AN29" i="13"/>
  <c r="AN19" i="13"/>
  <c r="AN15" i="13"/>
  <c r="AN44" i="13"/>
  <c r="AN36" i="13"/>
  <c r="AN32" i="13"/>
  <c r="AN28" i="13"/>
  <c r="AN24" i="13"/>
  <c r="AN18" i="13"/>
  <c r="AN14" i="13"/>
  <c r="AN8" i="13"/>
  <c r="AN9" i="13"/>
  <c r="AR10" i="13"/>
  <c r="AB10" i="13"/>
  <c r="AN11" i="13"/>
  <c r="AN12" i="13"/>
  <c r="AT12" i="13"/>
  <c r="AJ12" i="13"/>
  <c r="AQ13" i="13"/>
  <c r="AN26" i="13"/>
  <c r="AO44" i="13"/>
  <c r="AC129" i="9"/>
  <c r="AO129" i="9"/>
  <c r="AT129" i="9"/>
  <c r="AJ129" i="9"/>
  <c r="AN129" i="9"/>
  <c r="AH1" i="10"/>
  <c r="AH2" i="10" s="1"/>
  <c r="AJ1" i="10"/>
  <c r="AC6" i="10"/>
  <c r="AO6" i="10"/>
  <c r="AV6" i="10" s="1"/>
  <c r="AT6" i="10"/>
  <c r="AJ6" i="10"/>
  <c r="AN6" i="10"/>
  <c r="AP7" i="11"/>
  <c r="AQ8" i="11"/>
  <c r="AO7" i="12"/>
  <c r="AR14" i="13"/>
  <c r="AB14" i="13"/>
  <c r="AO28" i="13"/>
  <c r="AB86" i="9"/>
  <c r="AR134" i="9"/>
  <c r="AB134" i="9"/>
  <c r="AR11" i="10"/>
  <c r="AB11" i="10"/>
  <c r="AR12" i="10"/>
  <c r="AB12" i="10"/>
  <c r="AJ7" i="11"/>
  <c r="AJ6" i="11"/>
  <c r="AJ8" i="11"/>
  <c r="AP7" i="12"/>
  <c r="AP3" i="12"/>
  <c r="AP8" i="12"/>
  <c r="AV8" i="12" s="1"/>
  <c r="AR7" i="12"/>
  <c r="AB7" i="12"/>
  <c r="AO14" i="13"/>
  <c r="AC14" i="13"/>
  <c r="AO36" i="13"/>
  <c r="AV36" i="13" s="1"/>
  <c r="AJ66" i="9"/>
  <c r="AJ70" i="9"/>
  <c r="AJ78" i="9"/>
  <c r="AJ86" i="9"/>
  <c r="AJ90" i="9"/>
  <c r="AJ94" i="9"/>
  <c r="AJ98" i="9"/>
  <c r="AJ102" i="9"/>
  <c r="AJ110" i="9"/>
  <c r="AJ114" i="9"/>
  <c r="AJ118" i="9"/>
  <c r="AR126" i="9"/>
  <c r="AQ129" i="9"/>
  <c r="AN132" i="9"/>
  <c r="AO134" i="9"/>
  <c r="AV134" i="9" s="1"/>
  <c r="AQ6" i="10"/>
  <c r="AO11" i="10"/>
  <c r="AV11" i="10" s="1"/>
  <c r="AR6" i="11"/>
  <c r="AB6" i="11"/>
  <c r="AR7" i="11"/>
  <c r="AB7" i="11"/>
  <c r="AR6" i="13"/>
  <c r="AB6" i="13"/>
  <c r="AR8" i="13"/>
  <c r="AB8" i="13"/>
  <c r="AR9" i="13"/>
  <c r="AB9" i="13"/>
  <c r="AO11" i="13"/>
  <c r="AC13" i="13"/>
  <c r="AO13" i="13"/>
  <c r="AO18" i="13"/>
  <c r="AV18" i="13" s="1"/>
  <c r="AC18" i="13"/>
  <c r="AJ126" i="9"/>
  <c r="AJ130" i="9"/>
  <c r="AJ134" i="9"/>
  <c r="AU6" i="10"/>
  <c r="AJ7" i="10"/>
  <c r="AU10" i="10"/>
  <c r="AJ8" i="13"/>
  <c r="AP11" i="13"/>
  <c r="AN13" i="13"/>
  <c r="AJ14" i="13"/>
  <c r="AJ18" i="13"/>
  <c r="AB19" i="13"/>
  <c r="AP21" i="13"/>
  <c r="AD23" i="13"/>
  <c r="AN23" i="13"/>
  <c r="AC24" i="13"/>
  <c r="AJ24" i="13"/>
  <c r="AD27" i="13"/>
  <c r="AN27" i="13"/>
  <c r="AC28" i="13"/>
  <c r="AJ28" i="13"/>
  <c r="AB29" i="13"/>
  <c r="AC32" i="13"/>
  <c r="AJ32" i="13"/>
  <c r="AB33" i="13"/>
  <c r="AD35" i="13"/>
  <c r="AN35" i="13"/>
  <c r="AC36" i="13"/>
  <c r="AJ36" i="13"/>
  <c r="AD39" i="13"/>
  <c r="AN39" i="13"/>
  <c r="AP41" i="13"/>
  <c r="AD43" i="13"/>
  <c r="AN43" i="13"/>
  <c r="AC44" i="13"/>
  <c r="AJ44" i="13"/>
  <c r="AB45" i="13"/>
  <c r="AO3" i="14"/>
  <c r="AB6" i="14"/>
  <c r="AC9" i="14"/>
  <c r="AJ9" i="14"/>
  <c r="AB10" i="14"/>
  <c r="AD12" i="14"/>
  <c r="AN12" i="14"/>
  <c r="AU12" i="14"/>
  <c r="AC13" i="14"/>
  <c r="AJ13" i="14"/>
  <c r="AB14" i="14"/>
  <c r="AR19" i="14"/>
  <c r="AB20" i="14"/>
  <c r="AJ20" i="14"/>
  <c r="AP21" i="14"/>
  <c r="AQ23" i="14"/>
  <c r="AR23" i="14"/>
  <c r="AR24" i="14"/>
  <c r="AR25" i="14"/>
  <c r="AR27" i="14"/>
  <c r="AO29" i="14"/>
  <c r="AR29" i="14"/>
  <c r="AR31" i="14"/>
  <c r="AB31" i="14"/>
  <c r="AP31" i="14"/>
  <c r="AQ32" i="14"/>
  <c r="AU33" i="14"/>
  <c r="AQ34" i="14"/>
  <c r="AB35" i="14"/>
  <c r="AP35" i="14"/>
  <c r="AN36" i="14"/>
  <c r="AO37" i="14"/>
  <c r="AV37" i="14" s="1"/>
  <c r="AQ39" i="14"/>
  <c r="AO40" i="14"/>
  <c r="AR41" i="14"/>
  <c r="AB41" i="14"/>
  <c r="AP41" i="14"/>
  <c r="AQ42" i="14"/>
  <c r="AT43" i="14"/>
  <c r="AP44" i="14"/>
  <c r="AO45" i="14"/>
  <c r="AN47" i="14"/>
  <c r="AO48" i="14"/>
  <c r="AO6" i="15"/>
  <c r="AV6" i="15" s="1"/>
  <c r="AT7" i="15"/>
  <c r="AJ7" i="15"/>
  <c r="AP19" i="16"/>
  <c r="AP3" i="16"/>
  <c r="AP21" i="16"/>
  <c r="AP16" i="16"/>
  <c r="AP29" i="16"/>
  <c r="AP22" i="16"/>
  <c r="AP32" i="16"/>
  <c r="AD6" i="16"/>
  <c r="AN13" i="16"/>
  <c r="AJ13" i="16"/>
  <c r="AN16" i="16"/>
  <c r="AT16" i="16"/>
  <c r="AN7" i="10"/>
  <c r="AU7" i="10"/>
  <c r="AJ9" i="13"/>
  <c r="AP12" i="13"/>
  <c r="AD14" i="13"/>
  <c r="AJ15" i="13"/>
  <c r="AB16" i="13"/>
  <c r="AD18" i="13"/>
  <c r="AJ19" i="13"/>
  <c r="AB20" i="13"/>
  <c r="AO23" i="13"/>
  <c r="AV23" i="13" s="1"/>
  <c r="AD24" i="13"/>
  <c r="AO27" i="13"/>
  <c r="AV27" i="13" s="1"/>
  <c r="AD28" i="13"/>
  <c r="AJ29" i="13"/>
  <c r="AB30" i="13"/>
  <c r="AD32" i="13"/>
  <c r="AJ33" i="13"/>
  <c r="AO35" i="13"/>
  <c r="AV35" i="13" s="1"/>
  <c r="AD36" i="13"/>
  <c r="AO39" i="13"/>
  <c r="AV39" i="13" s="1"/>
  <c r="AO43" i="13"/>
  <c r="AD44" i="13"/>
  <c r="AJ45" i="13"/>
  <c r="AB46" i="13"/>
  <c r="AU44" i="14"/>
  <c r="AU34" i="14"/>
  <c r="AU20" i="14"/>
  <c r="AU45" i="14"/>
  <c r="AU39" i="14"/>
  <c r="AU35" i="14"/>
  <c r="AP3" i="14"/>
  <c r="AB7" i="14"/>
  <c r="AD9" i="14"/>
  <c r="AN9" i="14"/>
  <c r="AU9" i="14"/>
  <c r="AO12" i="14"/>
  <c r="AV12" i="14" s="1"/>
  <c r="AD13" i="14"/>
  <c r="AN13" i="14"/>
  <c r="AU13" i="14"/>
  <c r="AJ14" i="14"/>
  <c r="AB15" i="14"/>
  <c r="AP17" i="14"/>
  <c r="AV17" i="14" s="1"/>
  <c r="AC20" i="14"/>
  <c r="AQ21" i="14"/>
  <c r="AP27" i="14"/>
  <c r="AV27" i="14" s="1"/>
  <c r="AQ28" i="14"/>
  <c r="AR28" i="14"/>
  <c r="AT29" i="14"/>
  <c r="AB32" i="14"/>
  <c r="AU32" i="14"/>
  <c r="AJ33" i="14"/>
  <c r="AR34" i="14"/>
  <c r="AQ35" i="14"/>
  <c r="AO36" i="14"/>
  <c r="AR37" i="14"/>
  <c r="AB37" i="14"/>
  <c r="AR39" i="14"/>
  <c r="AP40" i="14"/>
  <c r="AB42" i="14"/>
  <c r="AU42" i="14"/>
  <c r="AU43" i="14"/>
  <c r="AQ44" i="14"/>
  <c r="AP45" i="14"/>
  <c r="AN46" i="14"/>
  <c r="AO47" i="14"/>
  <c r="AU10" i="15"/>
  <c r="AU6" i="15"/>
  <c r="AN7" i="15"/>
  <c r="AQ31" i="16"/>
  <c r="AQ29" i="16"/>
  <c r="AQ19" i="16"/>
  <c r="AQ28" i="16"/>
  <c r="AQ22" i="16"/>
  <c r="AQ3" i="16"/>
  <c r="AJ11" i="16"/>
  <c r="AJ31" i="16"/>
  <c r="AJ29" i="16"/>
  <c r="AJ19" i="16"/>
  <c r="AJ24" i="16"/>
  <c r="AJ20" i="16"/>
  <c r="AJ17" i="16"/>
  <c r="AR8" i="16"/>
  <c r="AJ16" i="16"/>
  <c r="AQ17" i="16"/>
  <c r="AO20" i="16"/>
  <c r="AV20" i="16" s="1"/>
  <c r="AC20" i="16"/>
  <c r="AQ32" i="16"/>
  <c r="AQ22" i="13"/>
  <c r="AQ26" i="13"/>
  <c r="AQ38" i="13"/>
  <c r="AR41" i="13"/>
  <c r="AQ42" i="13"/>
  <c r="AP43" i="13"/>
  <c r="AJ46" i="13"/>
  <c r="AN6" i="14"/>
  <c r="AN10" i="14"/>
  <c r="AP12" i="14"/>
  <c r="AN14" i="14"/>
  <c r="AQ17" i="14"/>
  <c r="AP20" i="14"/>
  <c r="AT27" i="14"/>
  <c r="AT28" i="14"/>
  <c r="AN33" i="14"/>
  <c r="AO34" i="14"/>
  <c r="AP36" i="14"/>
  <c r="AQ40" i="14"/>
  <c r="AQ41" i="14"/>
  <c r="AU41" i="14"/>
  <c r="AJ42" i="14"/>
  <c r="AN43" i="14"/>
  <c r="AR44" i="14"/>
  <c r="AQ45" i="14"/>
  <c r="AO46" i="14"/>
  <c r="AR47" i="14"/>
  <c r="AB47" i="14"/>
  <c r="AP47" i="14"/>
  <c r="AQ48" i="14"/>
  <c r="AT48" i="14"/>
  <c r="AR6" i="15"/>
  <c r="AB6" i="15"/>
  <c r="AT14" i="16"/>
  <c r="AJ14" i="16"/>
  <c r="AR38" i="13"/>
  <c r="AR42" i="13"/>
  <c r="AP44" i="13"/>
  <c r="AN7" i="14"/>
  <c r="AP9" i="14"/>
  <c r="AV9" i="14" s="1"/>
  <c r="AP13" i="14"/>
  <c r="AV13" i="14" s="1"/>
  <c r="AO14" i="14"/>
  <c r="AN15" i="14"/>
  <c r="AN19" i="14"/>
  <c r="AT21" i="14"/>
  <c r="AJ21" i="14"/>
  <c r="AN22" i="14"/>
  <c r="AN23" i="14"/>
  <c r="AN24" i="14"/>
  <c r="AN25" i="14"/>
  <c r="AN32" i="14"/>
  <c r="AN34" i="14"/>
  <c r="AU37" i="14"/>
  <c r="AT39" i="14"/>
  <c r="AJ39" i="14"/>
  <c r="AN39" i="14"/>
  <c r="AR40" i="14"/>
  <c r="AB40" i="14"/>
  <c r="AN42" i="14"/>
  <c r="AO44" i="14"/>
  <c r="AR45" i="14"/>
  <c r="AU48" i="14"/>
  <c r="AR10" i="15"/>
  <c r="AB10" i="15"/>
  <c r="AR7" i="16"/>
  <c r="AB7" i="16"/>
  <c r="AR11" i="16"/>
  <c r="AB11" i="16"/>
  <c r="AR17" i="16"/>
  <c r="AB17" i="16"/>
  <c r="AJ22" i="13"/>
  <c r="AT22" i="13"/>
  <c r="AJ26" i="13"/>
  <c r="AT26" i="13"/>
  <c r="AR35" i="13"/>
  <c r="AJ38" i="13"/>
  <c r="AT38" i="13"/>
  <c r="AR39" i="13"/>
  <c r="AJ42" i="13"/>
  <c r="AT42" i="13"/>
  <c r="AP45" i="13"/>
  <c r="AP48" i="14"/>
  <c r="AP42" i="14"/>
  <c r="AV42" i="14" s="1"/>
  <c r="AP32" i="14"/>
  <c r="AP24" i="14"/>
  <c r="AP33" i="14"/>
  <c r="AP29" i="14"/>
  <c r="AO7" i="14"/>
  <c r="AP14" i="14"/>
  <c r="AO15" i="14"/>
  <c r="AJ17" i="14"/>
  <c r="AT17" i="14"/>
  <c r="AP19" i="14"/>
  <c r="AN21" i="14"/>
  <c r="AO22" i="14"/>
  <c r="AO23" i="14"/>
  <c r="AO24" i="14"/>
  <c r="AV24" i="14" s="1"/>
  <c r="AJ27" i="14"/>
  <c r="AN31" i="14"/>
  <c r="AO32" i="14"/>
  <c r="AO33" i="14"/>
  <c r="AR33" i="14"/>
  <c r="AJ34" i="14"/>
  <c r="AT35" i="14"/>
  <c r="AJ35" i="14"/>
  <c r="AN35" i="14"/>
  <c r="AR36" i="14"/>
  <c r="AB36" i="14"/>
  <c r="AO39" i="14"/>
  <c r="AU40" i="14"/>
  <c r="AN41" i="14"/>
  <c r="AQ43" i="14"/>
  <c r="AN44" i="14"/>
  <c r="AQ47" i="14"/>
  <c r="AU47" i="14"/>
  <c r="AJ48" i="14"/>
  <c r="AC9" i="15"/>
  <c r="AO9" i="15"/>
  <c r="AV9" i="15" s="1"/>
  <c r="AT9" i="15"/>
  <c r="AJ9" i="15"/>
  <c r="AO10" i="15"/>
  <c r="AV10" i="15" s="1"/>
  <c r="AC10" i="15"/>
  <c r="AT6" i="16"/>
  <c r="AJ6" i="16"/>
  <c r="AO7" i="16"/>
  <c r="AV7" i="16" s="1"/>
  <c r="AC7" i="16"/>
  <c r="AO11" i="16"/>
  <c r="AV11" i="16" s="1"/>
  <c r="AC11" i="16"/>
  <c r="AD14" i="16"/>
  <c r="AD21" i="16"/>
  <c r="AQ21" i="16"/>
  <c r="AN21" i="16"/>
  <c r="AT21" i="16"/>
  <c r="AP6" i="13"/>
  <c r="AJ13" i="13"/>
  <c r="AB18" i="13"/>
  <c r="AJ23" i="13"/>
  <c r="AB24" i="13"/>
  <c r="AJ27" i="13"/>
  <c r="AB28" i="13"/>
  <c r="AB32" i="13"/>
  <c r="AJ35" i="13"/>
  <c r="AB36" i="13"/>
  <c r="AJ39" i="13"/>
  <c r="AJ43" i="13"/>
  <c r="AB44" i="13"/>
  <c r="AJ46" i="14"/>
  <c r="AJ40" i="14"/>
  <c r="AJ36" i="14"/>
  <c r="AP7" i="14"/>
  <c r="AB9" i="14"/>
  <c r="AJ12" i="14"/>
  <c r="AB13" i="14"/>
  <c r="AP15" i="14"/>
  <c r="AU17" i="14"/>
  <c r="AO19" i="14"/>
  <c r="AV19" i="14" s="1"/>
  <c r="AN20" i="14"/>
  <c r="AT20" i="14"/>
  <c r="AO21" i="14"/>
  <c r="AV21" i="14" s="1"/>
  <c r="AR22" i="14"/>
  <c r="AB22" i="14"/>
  <c r="AP22" i="14"/>
  <c r="AP23" i="14"/>
  <c r="AC34" i="14"/>
  <c r="AP34" i="14"/>
  <c r="AO35" i="14"/>
  <c r="AU36" i="14"/>
  <c r="AN37" i="14"/>
  <c r="AP39" i="14"/>
  <c r="AJ44" i="14"/>
  <c r="AT45" i="14"/>
  <c r="AJ45" i="14"/>
  <c r="AN45" i="14"/>
  <c r="AR46" i="14"/>
  <c r="AB46" i="14"/>
  <c r="AJ47" i="14"/>
  <c r="AN6" i="15"/>
  <c r="AC7" i="15"/>
  <c r="AO7" i="15"/>
  <c r="AV7" i="15" s="1"/>
  <c r="AD9" i="15"/>
  <c r="AQ9" i="15"/>
  <c r="AN9" i="15"/>
  <c r="AN6" i="16"/>
  <c r="AD7" i="16"/>
  <c r="AQ7" i="16"/>
  <c r="AJ9" i="16"/>
  <c r="AQ11" i="16"/>
  <c r="AT13" i="16"/>
  <c r="AJ21" i="16"/>
  <c r="AQ8" i="16"/>
  <c r="AT8" i="16"/>
  <c r="AJ8" i="16"/>
  <c r="AR14" i="16"/>
  <c r="AR16" i="16"/>
  <c r="AC24" i="16"/>
  <c r="AB26" i="16"/>
  <c r="AT31" i="16"/>
  <c r="AD32" i="16"/>
  <c r="AH1" i="17"/>
  <c r="AH2" i="17" s="1"/>
  <c r="AN6" i="17"/>
  <c r="AR7" i="17"/>
  <c r="AQ8" i="17"/>
  <c r="AJ15" i="18"/>
  <c r="AJ9" i="18"/>
  <c r="AD6" i="18"/>
  <c r="AJ7" i="18"/>
  <c r="AQ8" i="18"/>
  <c r="AN8" i="18"/>
  <c r="AT8" i="18"/>
  <c r="AJ8" i="18"/>
  <c r="AR9" i="18"/>
  <c r="AB9" i="18"/>
  <c r="AQ9" i="18"/>
  <c r="AQ10" i="18"/>
  <c r="AN6" i="19"/>
  <c r="AT6" i="19"/>
  <c r="AJ6" i="19"/>
  <c r="AR9" i="19"/>
  <c r="AR15" i="19"/>
  <c r="AB19" i="19"/>
  <c r="AR19" i="19"/>
  <c r="AB23" i="19"/>
  <c r="AR23" i="19"/>
  <c r="AU58" i="20"/>
  <c r="AU54" i="20"/>
  <c r="AU57" i="20"/>
  <c r="AU53" i="20"/>
  <c r="AU49" i="20"/>
  <c r="AU56" i="20"/>
  <c r="AU52" i="20"/>
  <c r="AU48" i="20"/>
  <c r="AU44" i="20"/>
  <c r="AU40" i="20"/>
  <c r="AU36" i="20"/>
  <c r="AU32" i="20"/>
  <c r="AU51" i="20"/>
  <c r="AU47" i="20"/>
  <c r="AU43" i="20"/>
  <c r="AU39" i="20"/>
  <c r="AU46" i="20"/>
  <c r="AU42" i="20"/>
  <c r="AU38" i="20"/>
  <c r="AU34" i="20"/>
  <c r="AU30" i="20"/>
  <c r="AU26" i="20"/>
  <c r="AU12" i="20"/>
  <c r="AU8" i="20"/>
  <c r="AU3" i="20"/>
  <c r="AU19" i="20"/>
  <c r="AU18" i="20"/>
  <c r="AU15" i="20"/>
  <c r="AU14" i="20"/>
  <c r="AU11" i="20"/>
  <c r="AU10" i="20"/>
  <c r="AU29" i="20"/>
  <c r="AU27" i="20"/>
  <c r="AU7" i="20"/>
  <c r="AU6" i="20"/>
  <c r="AU35" i="20"/>
  <c r="AU25" i="20"/>
  <c r="AU24" i="20"/>
  <c r="AU23" i="20"/>
  <c r="AU59" i="20"/>
  <c r="AU31" i="20"/>
  <c r="AT13" i="20"/>
  <c r="AJ13" i="20"/>
  <c r="AN13" i="20"/>
  <c r="AC6" i="16"/>
  <c r="AO6" i="16"/>
  <c r="AV6" i="16" s="1"/>
  <c r="AR9" i="16"/>
  <c r="AB9" i="16"/>
  <c r="AC14" i="16"/>
  <c r="AO14" i="16"/>
  <c r="AV14" i="16" s="1"/>
  <c r="AQ16" i="16"/>
  <c r="AO26" i="16"/>
  <c r="AV26" i="16" s="1"/>
  <c r="AB31" i="16"/>
  <c r="AJ6" i="17"/>
  <c r="AR11" i="18"/>
  <c r="AQ15" i="18"/>
  <c r="AR6" i="19"/>
  <c r="AR13" i="19"/>
  <c r="AO16" i="19"/>
  <c r="AV16" i="19" s="1"/>
  <c r="AC16" i="19"/>
  <c r="AN21" i="19"/>
  <c r="AJ21" i="19"/>
  <c r="AR26" i="19"/>
  <c r="AB32" i="19"/>
  <c r="AR32" i="19"/>
  <c r="AO43" i="19"/>
  <c r="AV43" i="19" s="1"/>
  <c r="AC43" i="19"/>
  <c r="AB12" i="20"/>
  <c r="AR12" i="20"/>
  <c r="AT7" i="17"/>
  <c r="AJ7" i="17"/>
  <c r="AR12" i="18"/>
  <c r="AR10" i="18"/>
  <c r="AR3" i="18"/>
  <c r="AR6" i="18"/>
  <c r="AR15" i="18"/>
  <c r="AR11" i="19"/>
  <c r="AB11" i="19"/>
  <c r="AN14" i="19"/>
  <c r="AT14" i="19"/>
  <c r="AJ14" i="19"/>
  <c r="AQ20" i="19"/>
  <c r="AD20" i="19"/>
  <c r="AQ24" i="19"/>
  <c r="AD24" i="19"/>
  <c r="AR25" i="19"/>
  <c r="AO8" i="20"/>
  <c r="AC8" i="20"/>
  <c r="AR10" i="20"/>
  <c r="AB10" i="20"/>
  <c r="AQ13" i="20"/>
  <c r="AD13" i="20"/>
  <c r="AT17" i="20"/>
  <c r="AJ17" i="20"/>
  <c r="AN17" i="20"/>
  <c r="AC32" i="16"/>
  <c r="AO32" i="16"/>
  <c r="AN7" i="17"/>
  <c r="AR8" i="18"/>
  <c r="AR13" i="18"/>
  <c r="AQ15" i="19"/>
  <c r="AN27" i="19"/>
  <c r="AJ27" i="19"/>
  <c r="AR19" i="16"/>
  <c r="AB19" i="16"/>
  <c r="AQ20" i="16"/>
  <c r="AC22" i="16"/>
  <c r="AO22" i="16"/>
  <c r="AQ24" i="16"/>
  <c r="AC28" i="16"/>
  <c r="AO28" i="16"/>
  <c r="AV28" i="16" s="1"/>
  <c r="AT32" i="16"/>
  <c r="AJ32" i="16"/>
  <c r="AD7" i="17"/>
  <c r="AJ1" i="18"/>
  <c r="AT6" i="18"/>
  <c r="AJ6" i="18"/>
  <c r="AR7" i="18"/>
  <c r="AQ14" i="18"/>
  <c r="AN14" i="18"/>
  <c r="AT14" i="18"/>
  <c r="AJ14" i="18"/>
  <c r="AR27" i="19"/>
  <c r="AR39" i="19"/>
  <c r="AR38" i="19"/>
  <c r="AR35" i="19"/>
  <c r="AR34" i="19"/>
  <c r="AR12" i="19"/>
  <c r="AR31" i="19"/>
  <c r="AR28" i="19"/>
  <c r="AR18" i="19"/>
  <c r="AR3" i="19"/>
  <c r="AR36" i="19"/>
  <c r="AR43" i="19"/>
  <c r="AR14" i="19"/>
  <c r="AN25" i="19"/>
  <c r="AJ25" i="19"/>
  <c r="AN26" i="19"/>
  <c r="AJ26" i="19"/>
  <c r="AB29" i="19"/>
  <c r="AR29" i="19"/>
  <c r="AQ17" i="20"/>
  <c r="AD17" i="20"/>
  <c r="AO25" i="20"/>
  <c r="AC25" i="20"/>
  <c r="AN26" i="20"/>
  <c r="AJ26" i="20"/>
  <c r="AT17" i="16"/>
  <c r="AT22" i="16"/>
  <c r="AJ22" i="16"/>
  <c r="AQ26" i="16"/>
  <c r="AT26" i="16"/>
  <c r="AJ26" i="16"/>
  <c r="AT28" i="16"/>
  <c r="AJ28" i="16"/>
  <c r="AR29" i="16"/>
  <c r="AV29" i="16" s="1"/>
  <c r="AB29" i="16"/>
  <c r="AN32" i="16"/>
  <c r="AU6" i="17"/>
  <c r="AV6" i="17" s="1"/>
  <c r="AU8" i="17"/>
  <c r="AU3" i="17"/>
  <c r="AC8" i="17"/>
  <c r="AN6" i="18"/>
  <c r="AQ12" i="18"/>
  <c r="AQ13" i="18"/>
  <c r="AJ13" i="18"/>
  <c r="AR21" i="19"/>
  <c r="AR42" i="19"/>
  <c r="AB6" i="20"/>
  <c r="AR6" i="20"/>
  <c r="AU17" i="20"/>
  <c r="AD26" i="20"/>
  <c r="AQ26" i="20"/>
  <c r="AO39" i="20"/>
  <c r="AC39" i="20"/>
  <c r="AN47" i="20"/>
  <c r="AT47" i="20"/>
  <c r="AJ47" i="20"/>
  <c r="AN51" i="20"/>
  <c r="AT51" i="20"/>
  <c r="AJ51" i="20"/>
  <c r="AO57" i="20"/>
  <c r="AC57" i="20"/>
  <c r="AJ1" i="22"/>
  <c r="AH1" i="22"/>
  <c r="AH2" i="22" s="1"/>
  <c r="AN8" i="23"/>
  <c r="AT8" i="23"/>
  <c r="AV8" i="23" s="1"/>
  <c r="AJ8" i="23"/>
  <c r="AC8" i="24"/>
  <c r="AO8" i="24"/>
  <c r="AV8" i="24" s="1"/>
  <c r="AN7" i="16"/>
  <c r="AU7" i="16"/>
  <c r="AN11" i="16"/>
  <c r="AU11" i="16"/>
  <c r="AU29" i="16"/>
  <c r="AO7" i="17"/>
  <c r="AV7" i="17" s="1"/>
  <c r="AO6" i="18"/>
  <c r="AV6" i="18" s="1"/>
  <c r="AU7" i="18"/>
  <c r="AO12" i="18"/>
  <c r="AV12" i="18" s="1"/>
  <c r="AD13" i="18"/>
  <c r="AU13" i="18"/>
  <c r="AC14" i="18"/>
  <c r="AB15" i="18"/>
  <c r="AU36" i="19"/>
  <c r="AU32" i="19"/>
  <c r="AU28" i="19"/>
  <c r="AU18" i="19"/>
  <c r="AP3" i="19"/>
  <c r="AC6" i="19"/>
  <c r="AB7" i="19"/>
  <c r="AD9" i="19"/>
  <c r="AN9" i="19"/>
  <c r="AU9" i="19"/>
  <c r="AO12" i="19"/>
  <c r="AV12" i="19" s="1"/>
  <c r="AD13" i="19"/>
  <c r="AU13" i="19"/>
  <c r="AC14" i="19"/>
  <c r="AB15" i="19"/>
  <c r="AP18" i="19"/>
  <c r="AJ20" i="19"/>
  <c r="AU20" i="19"/>
  <c r="AC21" i="19"/>
  <c r="AU21" i="19"/>
  <c r="AJ24" i="19"/>
  <c r="AU24" i="19"/>
  <c r="AC25" i="19"/>
  <c r="AU25" i="19"/>
  <c r="AU26" i="19"/>
  <c r="AC27" i="19"/>
  <c r="AU27" i="19"/>
  <c r="AP28" i="19"/>
  <c r="AN35" i="19"/>
  <c r="AQ36" i="19"/>
  <c r="AN38" i="19"/>
  <c r="AN39" i="19"/>
  <c r="AB42" i="19"/>
  <c r="AN57" i="20"/>
  <c r="AN53" i="20"/>
  <c r="AN49" i="20"/>
  <c r="AN56" i="20"/>
  <c r="AN52" i="20"/>
  <c r="AN48" i="20"/>
  <c r="AN44" i="20"/>
  <c r="AN40" i="20"/>
  <c r="AN36" i="20"/>
  <c r="AN32" i="20"/>
  <c r="AR3" i="20"/>
  <c r="AQ6" i="20"/>
  <c r="AO7" i="20"/>
  <c r="AQ7" i="20"/>
  <c r="AN8" i="20"/>
  <c r="AT8" i="20"/>
  <c r="AB13" i="20"/>
  <c r="AO14" i="20"/>
  <c r="AO15" i="20"/>
  <c r="AV15" i="20" s="1"/>
  <c r="AB17" i="20"/>
  <c r="AO18" i="20"/>
  <c r="AO19" i="20"/>
  <c r="AV19" i="20" s="1"/>
  <c r="AD21" i="20"/>
  <c r="AN21" i="20"/>
  <c r="AB24" i="20"/>
  <c r="AR25" i="20"/>
  <c r="AB26" i="20"/>
  <c r="AJ30" i="20"/>
  <c r="AQ32" i="20"/>
  <c r="AR34" i="20"/>
  <c r="AB34" i="20"/>
  <c r="AQ39" i="20"/>
  <c r="AN39" i="20"/>
  <c r="AT39" i="20"/>
  <c r="AJ39" i="20"/>
  <c r="AR44" i="20"/>
  <c r="AB44" i="20"/>
  <c r="AQ48" i="20"/>
  <c r="AR56" i="20"/>
  <c r="AQ57" i="20"/>
  <c r="AR6" i="21"/>
  <c r="AB6" i="21"/>
  <c r="AD8" i="23"/>
  <c r="AQ8" i="23"/>
  <c r="AQ6" i="17"/>
  <c r="AQ11" i="18"/>
  <c r="AQ11" i="19"/>
  <c r="AQ18" i="19"/>
  <c r="AT19" i="19"/>
  <c r="AJ19" i="19"/>
  <c r="AN20" i="19"/>
  <c r="AT23" i="19"/>
  <c r="AJ23" i="19"/>
  <c r="AN24" i="19"/>
  <c r="AQ28" i="19"/>
  <c r="AT29" i="19"/>
  <c r="AJ29" i="19"/>
  <c r="AN32" i="19"/>
  <c r="AT32" i="19"/>
  <c r="AO38" i="19"/>
  <c r="AJ41" i="19"/>
  <c r="AU41" i="19"/>
  <c r="AJ42" i="19"/>
  <c r="AO56" i="20"/>
  <c r="AO52" i="20"/>
  <c r="AO42" i="20"/>
  <c r="AJ8" i="20"/>
  <c r="AQ10" i="20"/>
  <c r="AO11" i="20"/>
  <c r="AT12" i="20"/>
  <c r="AR14" i="20"/>
  <c r="AB14" i="20"/>
  <c r="AR18" i="20"/>
  <c r="AB18" i="20"/>
  <c r="AJ23" i="20"/>
  <c r="AO26" i="20"/>
  <c r="AQ29" i="20"/>
  <c r="AC30" i="20"/>
  <c r="AO31" i="20"/>
  <c r="AV31" i="20" s="1"/>
  <c r="AC31" i="20"/>
  <c r="AR32" i="20"/>
  <c r="AB32" i="20"/>
  <c r="AN34" i="20"/>
  <c r="AR35" i="20"/>
  <c r="AQ38" i="20"/>
  <c r="AQ40" i="20"/>
  <c r="AR42" i="20"/>
  <c r="AR47" i="20"/>
  <c r="AR51" i="20"/>
  <c r="AO53" i="20"/>
  <c r="AC53" i="20"/>
  <c r="AN6" i="21"/>
  <c r="AO8" i="22"/>
  <c r="AC8" i="22"/>
  <c r="AR23" i="26"/>
  <c r="AB23" i="26"/>
  <c r="AN7" i="19"/>
  <c r="AN15" i="19"/>
  <c r="AN19" i="19"/>
  <c r="AN23" i="19"/>
  <c r="AO24" i="19"/>
  <c r="AO26" i="19"/>
  <c r="AN29" i="19"/>
  <c r="AO35" i="19"/>
  <c r="AN36" i="19"/>
  <c r="AT36" i="19"/>
  <c r="AN41" i="19"/>
  <c r="AN42" i="19"/>
  <c r="AU43" i="19"/>
  <c r="AJ58" i="20"/>
  <c r="AJ54" i="20"/>
  <c r="AJ56" i="20"/>
  <c r="AJ52" i="20"/>
  <c r="AJ48" i="20"/>
  <c r="AJ44" i="20"/>
  <c r="AJ40" i="20"/>
  <c r="AT6" i="20"/>
  <c r="AT7" i="20"/>
  <c r="AJ12" i="20"/>
  <c r="AQ15" i="20"/>
  <c r="AQ19" i="20"/>
  <c r="AO21" i="20"/>
  <c r="AV21" i="20" s="1"/>
  <c r="AJ25" i="20"/>
  <c r="AQ31" i="20"/>
  <c r="AT31" i="20"/>
  <c r="AJ31" i="20"/>
  <c r="AJ34" i="20"/>
  <c r="AQ36" i="20"/>
  <c r="AR38" i="20"/>
  <c r="AB38" i="20"/>
  <c r="AN42" i="20"/>
  <c r="AO43" i="20"/>
  <c r="AC43" i="20"/>
  <c r="AR48" i="20"/>
  <c r="AR52" i="20"/>
  <c r="AQ53" i="20"/>
  <c r="AQ56" i="20"/>
  <c r="AR58" i="20"/>
  <c r="AB58" i="20"/>
  <c r="AQ11" i="26"/>
  <c r="AD11" i="26"/>
  <c r="AP38" i="19"/>
  <c r="AP26" i="19"/>
  <c r="AP6" i="19"/>
  <c r="AO7" i="19"/>
  <c r="AJ11" i="19"/>
  <c r="AT11" i="19"/>
  <c r="AN16" i="19"/>
  <c r="AN18" i="19"/>
  <c r="AT18" i="19"/>
  <c r="AR20" i="19"/>
  <c r="AB20" i="19"/>
  <c r="AP21" i="19"/>
  <c r="AV21" i="19" s="1"/>
  <c r="AR24" i="19"/>
  <c r="AB24" i="19"/>
  <c r="AP24" i="19"/>
  <c r="AN28" i="19"/>
  <c r="AT28" i="19"/>
  <c r="AT31" i="19"/>
  <c r="AJ36" i="19"/>
  <c r="AJ6" i="20"/>
  <c r="AJ7" i="20"/>
  <c r="AJ10" i="20"/>
  <c r="AT10" i="20"/>
  <c r="AT11" i="20"/>
  <c r="AT15" i="20"/>
  <c r="AT19" i="20"/>
  <c r="AO23" i="20"/>
  <c r="AT27" i="20"/>
  <c r="AJ27" i="20"/>
  <c r="AC29" i="20"/>
  <c r="AO29" i="20"/>
  <c r="AV29" i="20" s="1"/>
  <c r="AQ30" i="20"/>
  <c r="AN31" i="20"/>
  <c r="AJ32" i="20"/>
  <c r="AO34" i="20"/>
  <c r="AV34" i="20" s="1"/>
  <c r="AO35" i="20"/>
  <c r="AC35" i="20"/>
  <c r="AR36" i="20"/>
  <c r="AB36" i="20"/>
  <c r="AN38" i="20"/>
  <c r="AR40" i="20"/>
  <c r="AV40" i="20" s="1"/>
  <c r="AB40" i="20"/>
  <c r="AJ42" i="20"/>
  <c r="AQ43" i="20"/>
  <c r="AN43" i="20"/>
  <c r="AT43" i="20"/>
  <c r="AJ43" i="20"/>
  <c r="AR46" i="20"/>
  <c r="AO49" i="20"/>
  <c r="AV49" i="20" s="1"/>
  <c r="AC49" i="20"/>
  <c r="AN58" i="20"/>
  <c r="AB10" i="21"/>
  <c r="AR10" i="21"/>
  <c r="AT11" i="21"/>
  <c r="AJ11" i="21"/>
  <c r="AN11" i="21"/>
  <c r="AU13" i="16"/>
  <c r="AU17" i="16"/>
  <c r="AU21" i="16"/>
  <c r="AB8" i="17"/>
  <c r="AB7" i="18"/>
  <c r="AJ12" i="18"/>
  <c r="AB13" i="18"/>
  <c r="AP7" i="19"/>
  <c r="AB9" i="19"/>
  <c r="AU11" i="19"/>
  <c r="AJ12" i="19"/>
  <c r="AB13" i="19"/>
  <c r="AP15" i="19"/>
  <c r="AR16" i="19"/>
  <c r="AJ18" i="19"/>
  <c r="AQ21" i="19"/>
  <c r="AQ25" i="19"/>
  <c r="AJ28" i="19"/>
  <c r="AC31" i="19"/>
  <c r="AU31" i="19"/>
  <c r="AJ34" i="19"/>
  <c r="AC36" i="19"/>
  <c r="AR59" i="20"/>
  <c r="AR57" i="20"/>
  <c r="AR53" i="20"/>
  <c r="AR49" i="20"/>
  <c r="AC11" i="20"/>
  <c r="AJ14" i="20"/>
  <c r="AJ18" i="20"/>
  <c r="AJ20" i="20"/>
  <c r="AN27" i="20"/>
  <c r="AT29" i="20"/>
  <c r="AJ29" i="20"/>
  <c r="AR30" i="20"/>
  <c r="AV30" i="20" s="1"/>
  <c r="AB30" i="20"/>
  <c r="AO32" i="20"/>
  <c r="AQ35" i="20"/>
  <c r="AT35" i="20"/>
  <c r="AJ35" i="20"/>
  <c r="AJ38" i="20"/>
  <c r="AQ44" i="20"/>
  <c r="AN46" i="20"/>
  <c r="AQ49" i="20"/>
  <c r="AO51" i="20"/>
  <c r="AQ52" i="20"/>
  <c r="AR54" i="20"/>
  <c r="AB54" i="20"/>
  <c r="AQ59" i="20"/>
  <c r="AQ11" i="21"/>
  <c r="AD11" i="21"/>
  <c r="AR7" i="22"/>
  <c r="AR3" i="22"/>
  <c r="AV6" i="22"/>
  <c r="AO6" i="23"/>
  <c r="AC6" i="23"/>
  <c r="AN10" i="26"/>
  <c r="AT10" i="26"/>
  <c r="AJ10" i="26"/>
  <c r="AP6" i="20"/>
  <c r="AD46" i="20"/>
  <c r="AC47" i="20"/>
  <c r="AB48" i="20"/>
  <c r="AC51" i="20"/>
  <c r="AB52" i="20"/>
  <c r="AP54" i="20"/>
  <c r="AB56" i="20"/>
  <c r="AO59" i="20"/>
  <c r="AU3" i="21"/>
  <c r="AO7" i="21"/>
  <c r="AV7" i="21" s="1"/>
  <c r="AU6" i="22"/>
  <c r="AU8" i="22"/>
  <c r="AU3" i="22"/>
  <c r="AN10" i="23"/>
  <c r="AN6" i="23"/>
  <c r="AJ6" i="23"/>
  <c r="AB8" i="23"/>
  <c r="AJ1" i="24"/>
  <c r="AC6" i="24"/>
  <c r="AO6" i="24"/>
  <c r="AV6" i="24" s="1"/>
  <c r="AQ7" i="24"/>
  <c r="AQ8" i="24"/>
  <c r="AT8" i="24"/>
  <c r="AJ8" i="24"/>
  <c r="AQ7" i="25"/>
  <c r="AN8" i="25"/>
  <c r="AU3" i="26"/>
  <c r="AT6" i="26"/>
  <c r="AR7" i="26"/>
  <c r="AC9" i="26"/>
  <c r="AB10" i="26"/>
  <c r="AR13" i="26"/>
  <c r="AD14" i="26"/>
  <c r="AC20" i="26"/>
  <c r="AO20" i="26"/>
  <c r="AV20" i="26" s="1"/>
  <c r="AT32" i="26"/>
  <c r="AJ32" i="26"/>
  <c r="AN32" i="26"/>
  <c r="AQ54" i="20"/>
  <c r="AQ58" i="20"/>
  <c r="AP59" i="20"/>
  <c r="AQ6" i="21"/>
  <c r="AN10" i="21"/>
  <c r="AT10" i="21"/>
  <c r="AN6" i="22"/>
  <c r="AC9" i="23"/>
  <c r="AO9" i="23"/>
  <c r="AQ10" i="23"/>
  <c r="AT6" i="24"/>
  <c r="AJ6" i="24"/>
  <c r="AR7" i="24"/>
  <c r="AB7" i="24"/>
  <c r="AP55" i="26"/>
  <c r="AP51" i="26"/>
  <c r="AP47" i="26"/>
  <c r="AP29" i="26"/>
  <c r="AP17" i="26"/>
  <c r="AP50" i="26"/>
  <c r="AP53" i="26"/>
  <c r="AP33" i="26"/>
  <c r="AP31" i="26"/>
  <c r="AP48" i="26"/>
  <c r="AP30" i="26"/>
  <c r="AP11" i="26"/>
  <c r="AP20" i="26"/>
  <c r="AP10" i="26"/>
  <c r="AP22" i="26"/>
  <c r="AP18" i="26"/>
  <c r="AP14" i="26"/>
  <c r="AP32" i="26"/>
  <c r="AP7" i="26"/>
  <c r="AP9" i="26"/>
  <c r="AU14" i="26"/>
  <c r="AU17" i="26"/>
  <c r="AU18" i="26"/>
  <c r="AJ49" i="20"/>
  <c r="AJ53" i="20"/>
  <c r="AJ57" i="20"/>
  <c r="AQ7" i="21"/>
  <c r="AR7" i="21"/>
  <c r="AR9" i="21"/>
  <c r="AJ10" i="21"/>
  <c r="AJ6" i="22"/>
  <c r="AT9" i="22"/>
  <c r="AJ9" i="22"/>
  <c r="AP6" i="23"/>
  <c r="AT9" i="23"/>
  <c r="AJ9" i="23"/>
  <c r="AR10" i="23"/>
  <c r="AB10" i="23"/>
  <c r="AN6" i="24"/>
  <c r="AN9" i="25"/>
  <c r="AT9" i="25"/>
  <c r="AJ9" i="25"/>
  <c r="AU8" i="26"/>
  <c r="AO22" i="26"/>
  <c r="AC22" i="26"/>
  <c r="AP24" i="26"/>
  <c r="AR45" i="26"/>
  <c r="AT7" i="21"/>
  <c r="AR8" i="21"/>
  <c r="AQ9" i="21"/>
  <c r="AC7" i="22"/>
  <c r="AO7" i="22"/>
  <c r="AV7" i="22" s="1"/>
  <c r="AN9" i="22"/>
  <c r="AP3" i="23"/>
  <c r="AD6" i="24"/>
  <c r="AJ7" i="24"/>
  <c r="AR62" i="26"/>
  <c r="AR40" i="26"/>
  <c r="AR61" i="26"/>
  <c r="AR42" i="26"/>
  <c r="AR34" i="26"/>
  <c r="AR44" i="26"/>
  <c r="AR3" i="26"/>
  <c r="AR48" i="26"/>
  <c r="AV48" i="26" s="1"/>
  <c r="AR36" i="26"/>
  <c r="AR22" i="26"/>
  <c r="AR18" i="26"/>
  <c r="AV18" i="26" s="1"/>
  <c r="AR14" i="26"/>
  <c r="AR8" i="26"/>
  <c r="AR30" i="26"/>
  <c r="AR32" i="26"/>
  <c r="AR19" i="26"/>
  <c r="AV19" i="26" s="1"/>
  <c r="AR15" i="26"/>
  <c r="AR12" i="26"/>
  <c r="AV12" i="26" s="1"/>
  <c r="AR60" i="26"/>
  <c r="AR24" i="26"/>
  <c r="AN7" i="26"/>
  <c r="AT7" i="26"/>
  <c r="AJ7" i="26"/>
  <c r="AC8" i="26"/>
  <c r="AO8" i="26"/>
  <c r="AV8" i="26" s="1"/>
  <c r="AR9" i="26"/>
  <c r="AV9" i="26" s="1"/>
  <c r="AR11" i="26"/>
  <c r="AN13" i="26"/>
  <c r="AT13" i="26"/>
  <c r="AJ13" i="26"/>
  <c r="AU20" i="26"/>
  <c r="AR51" i="26"/>
  <c r="AB42" i="20"/>
  <c r="AB46" i="20"/>
  <c r="AP52" i="20"/>
  <c r="AJ59" i="20"/>
  <c r="AU6" i="21"/>
  <c r="AU7" i="21"/>
  <c r="AJ8" i="21"/>
  <c r="AU9" i="21"/>
  <c r="AC11" i="21"/>
  <c r="AO11" i="21"/>
  <c r="AV11" i="21" s="1"/>
  <c r="AU11" i="21"/>
  <c r="AQ6" i="22"/>
  <c r="AT7" i="22"/>
  <c r="AJ7" i="22"/>
  <c r="AR8" i="22"/>
  <c r="AB8" i="22"/>
  <c r="AO9" i="22"/>
  <c r="AU8" i="23"/>
  <c r="AU10" i="23"/>
  <c r="AU6" i="23"/>
  <c r="AR6" i="23"/>
  <c r="AB6" i="23"/>
  <c r="AP9" i="23"/>
  <c r="AC7" i="24"/>
  <c r="AT6" i="25"/>
  <c r="AJ6" i="25"/>
  <c r="AU65" i="26"/>
  <c r="AU61" i="26"/>
  <c r="AU45" i="26"/>
  <c r="AU39" i="26"/>
  <c r="AU31" i="26"/>
  <c r="AU27" i="26"/>
  <c r="AU23" i="26"/>
  <c r="AU19" i="26"/>
  <c r="AU15" i="26"/>
  <c r="AU60" i="26"/>
  <c r="AU48" i="26"/>
  <c r="AU44" i="26"/>
  <c r="AU59" i="26"/>
  <c r="AU55" i="26"/>
  <c r="AU51" i="26"/>
  <c r="AU47" i="26"/>
  <c r="AU43" i="26"/>
  <c r="AU29" i="26"/>
  <c r="AU63" i="26"/>
  <c r="AU57" i="26"/>
  <c r="AU53" i="26"/>
  <c r="AU41" i="26"/>
  <c r="AU37" i="26"/>
  <c r="AU33" i="26"/>
  <c r="AU25" i="26"/>
  <c r="AU62" i="26"/>
  <c r="AU40" i="26"/>
  <c r="AU36" i="26"/>
  <c r="AU32" i="26"/>
  <c r="AU50" i="26"/>
  <c r="AU22" i="26"/>
  <c r="AU13" i="26"/>
  <c r="AU7" i="26"/>
  <c r="AU30" i="26"/>
  <c r="AU12" i="26"/>
  <c r="AU6" i="26"/>
  <c r="AU54" i="26"/>
  <c r="AU58" i="26"/>
  <c r="AU34" i="26"/>
  <c r="AU24" i="26"/>
  <c r="AU10" i="26"/>
  <c r="AU9" i="26"/>
  <c r="AP3" i="26"/>
  <c r="AP6" i="26"/>
  <c r="AV6" i="26" s="1"/>
  <c r="AC12" i="26"/>
  <c r="AD15" i="26"/>
  <c r="AQ15" i="26"/>
  <c r="AP15" i="26"/>
  <c r="AV15" i="26" s="1"/>
  <c r="AP19" i="26"/>
  <c r="AB9" i="24"/>
  <c r="AB7" i="25"/>
  <c r="AJ65" i="26"/>
  <c r="AJ61" i="26"/>
  <c r="AJ45" i="26"/>
  <c r="AJ39" i="26"/>
  <c r="AJ63" i="26"/>
  <c r="AJ57" i="26"/>
  <c r="AJ53" i="26"/>
  <c r="AJ41" i="26"/>
  <c r="AJ37" i="26"/>
  <c r="AJ33" i="26"/>
  <c r="AJ25" i="26"/>
  <c r="AD9" i="26"/>
  <c r="AB11" i="26"/>
  <c r="AO14" i="26"/>
  <c r="AN17" i="26"/>
  <c r="AN18" i="26"/>
  <c r="AQ19" i="26"/>
  <c r="AQ20" i="26"/>
  <c r="AT20" i="26"/>
  <c r="AJ20" i="26"/>
  <c r="AQ22" i="26"/>
  <c r="AT22" i="26"/>
  <c r="AJ22" i="26"/>
  <c r="AN23" i="26"/>
  <c r="AQ25" i="26"/>
  <c r="AR27" i="26"/>
  <c r="AJ29" i="26"/>
  <c r="AQ30" i="26"/>
  <c r="AT30" i="26"/>
  <c r="AJ30" i="26"/>
  <c r="AJ31" i="26"/>
  <c r="AC36" i="26"/>
  <c r="AO36" i="26"/>
  <c r="AV36" i="26" s="1"/>
  <c r="AR41" i="26"/>
  <c r="AB41" i="26"/>
  <c r="AR43" i="26"/>
  <c r="AN45" i="26"/>
  <c r="AR53" i="26"/>
  <c r="AV53" i="26" s="1"/>
  <c r="AB53" i="26"/>
  <c r="AQ54" i="26"/>
  <c r="AN54" i="26"/>
  <c r="AQ57" i="26"/>
  <c r="AQ63" i="26"/>
  <c r="AR65" i="26"/>
  <c r="AQ13" i="26"/>
  <c r="AT36" i="26"/>
  <c r="AJ36" i="26"/>
  <c r="AN36" i="26"/>
  <c r="AR50" i="26"/>
  <c r="AJ51" i="26"/>
  <c r="AN65" i="26"/>
  <c r="AN6" i="27"/>
  <c r="AT6" i="27"/>
  <c r="AJ6" i="27"/>
  <c r="AT15" i="26"/>
  <c r="AT19" i="26"/>
  <c r="AC24" i="26"/>
  <c r="AO24" i="26"/>
  <c r="AR25" i="26"/>
  <c r="AB25" i="26"/>
  <c r="AR33" i="26"/>
  <c r="AB33" i="26"/>
  <c r="AR39" i="26"/>
  <c r="AN44" i="26"/>
  <c r="AT44" i="26"/>
  <c r="AJ44" i="26"/>
  <c r="AR47" i="26"/>
  <c r="AN48" i="26"/>
  <c r="AT48" i="26"/>
  <c r="AJ48" i="26"/>
  <c r="AQ53" i="26"/>
  <c r="AR59" i="26"/>
  <c r="AC62" i="26"/>
  <c r="AO62" i="26"/>
  <c r="AV62" i="26" s="1"/>
  <c r="AJ15" i="26"/>
  <c r="AR17" i="26"/>
  <c r="AJ19" i="26"/>
  <c r="AQ24" i="26"/>
  <c r="AT24" i="26"/>
  <c r="AJ24" i="26"/>
  <c r="AO34" i="26"/>
  <c r="AV34" i="26" s="1"/>
  <c r="AC34" i="26"/>
  <c r="AC40" i="26"/>
  <c r="AO40" i="26"/>
  <c r="AV40" i="26" s="1"/>
  <c r="AN42" i="26"/>
  <c r="AQ45" i="26"/>
  <c r="AQ50" i="26"/>
  <c r="AR55" i="26"/>
  <c r="AR58" i="26"/>
  <c r="AN61" i="26"/>
  <c r="AQ62" i="26"/>
  <c r="AQ65" i="26"/>
  <c r="AO55" i="26"/>
  <c r="AO51" i="26"/>
  <c r="AO47" i="26"/>
  <c r="AO31" i="26"/>
  <c r="AN59" i="26"/>
  <c r="AN55" i="26"/>
  <c r="AN51" i="26"/>
  <c r="AN47" i="26"/>
  <c r="AN29" i="26"/>
  <c r="AN63" i="26"/>
  <c r="AN57" i="26"/>
  <c r="AN53" i="26"/>
  <c r="AN37" i="26"/>
  <c r="AN33" i="26"/>
  <c r="AN25" i="26"/>
  <c r="AJ8" i="26"/>
  <c r="AB9" i="26"/>
  <c r="AJ14" i="26"/>
  <c r="AC15" i="26"/>
  <c r="AC19" i="26"/>
  <c r="AQ23" i="26"/>
  <c r="AN24" i="26"/>
  <c r="AR29" i="26"/>
  <c r="AB29" i="26"/>
  <c r="AR31" i="26"/>
  <c r="AC32" i="26"/>
  <c r="AO32" i="26"/>
  <c r="AO33" i="26"/>
  <c r="AQ34" i="26"/>
  <c r="AR37" i="26"/>
  <c r="AB37" i="26"/>
  <c r="AQ40" i="26"/>
  <c r="AJ47" i="26"/>
  <c r="AR54" i="26"/>
  <c r="AR57" i="26"/>
  <c r="AB57" i="26"/>
  <c r="AJ59" i="26"/>
  <c r="AQ60" i="26"/>
  <c r="AN60" i="26"/>
  <c r="AT60" i="26"/>
  <c r="AJ60" i="26"/>
  <c r="AR63" i="26"/>
  <c r="AB63" i="26"/>
  <c r="AQ29" i="26"/>
  <c r="AN40" i="26"/>
  <c r="AQ43" i="26"/>
  <c r="AQ47" i="26"/>
  <c r="AB50" i="26"/>
  <c r="AQ51" i="26"/>
  <c r="AB54" i="26"/>
  <c r="AQ55" i="26"/>
  <c r="AB58" i="26"/>
  <c r="AQ59" i="26"/>
  <c r="AD62" i="26"/>
  <c r="AN62" i="26"/>
  <c r="AJ34" i="26"/>
  <c r="AD41" i="26"/>
  <c r="AC42" i="26"/>
  <c r="AJ42" i="26"/>
  <c r="AB43" i="26"/>
  <c r="AB47" i="26"/>
  <c r="AC50" i="26"/>
  <c r="AJ50" i="26"/>
  <c r="AB51" i="26"/>
  <c r="AD53" i="26"/>
  <c r="AC54" i="26"/>
  <c r="AJ54" i="26"/>
  <c r="AB55" i="26"/>
  <c r="AD57" i="26"/>
  <c r="AC58" i="26"/>
  <c r="AJ58" i="26"/>
  <c r="AB59" i="26"/>
  <c r="AD63" i="26"/>
  <c r="AB27" i="26"/>
  <c r="AC30" i="26"/>
  <c r="AB31" i="26"/>
  <c r="AB39" i="26"/>
  <c r="AC44" i="26"/>
  <c r="AB45" i="26"/>
  <c r="AC48" i="26"/>
  <c r="AC60" i="26"/>
  <c r="AB65" i="26"/>
  <c r="AC6" i="27"/>
  <c r="AJ40" i="26"/>
  <c r="AJ62" i="26"/>
  <c r="AV22" i="16" l="1"/>
  <c r="AV18" i="9"/>
  <c r="AV53" i="9"/>
  <c r="AV117" i="9"/>
  <c r="AV16" i="16"/>
  <c r="AV104" i="9"/>
  <c r="AV85" i="9"/>
  <c r="AV63" i="9"/>
  <c r="AV36" i="14"/>
  <c r="AV19" i="16"/>
  <c r="AV45" i="14"/>
  <c r="AV22" i="9"/>
  <c r="AV54" i="20"/>
  <c r="AV6" i="20"/>
  <c r="AV26" i="20"/>
  <c r="AV56" i="20"/>
  <c r="AV25" i="20"/>
  <c r="AV40" i="14"/>
  <c r="AV130" i="9"/>
  <c r="AV49" i="9"/>
  <c r="AV50" i="26"/>
  <c r="AV23" i="14"/>
  <c r="AV15" i="14"/>
  <c r="AV16" i="13"/>
  <c r="AV14" i="26"/>
  <c r="AV17" i="26"/>
  <c r="AV28" i="19"/>
  <c r="AV18" i="19"/>
  <c r="AV41" i="14"/>
  <c r="AV31" i="14"/>
  <c r="AV120" i="9"/>
  <c r="AV11" i="26"/>
  <c r="AV30" i="26"/>
  <c r="AV51" i="20"/>
  <c r="AV32" i="26"/>
  <c r="AV47" i="26"/>
  <c r="AV29" i="26"/>
  <c r="AV15" i="19"/>
  <c r="AV6" i="19"/>
  <c r="AV14" i="20"/>
  <c r="AV41" i="13"/>
  <c r="AV60" i="9"/>
  <c r="AV51" i="26"/>
  <c r="AV35" i="20"/>
  <c r="AV8" i="22"/>
  <c r="AV11" i="20"/>
  <c r="AV18" i="20"/>
  <c r="AV39" i="20"/>
  <c r="AV33" i="14"/>
  <c r="AV22" i="14"/>
  <c r="AV46" i="14"/>
  <c r="AV47" i="14"/>
  <c r="AV47" i="9"/>
  <c r="AV103" i="9"/>
  <c r="AV75" i="9"/>
  <c r="AV33" i="9"/>
  <c r="AV15" i="13"/>
  <c r="AV13" i="9"/>
  <c r="AV44" i="13"/>
  <c r="AV7" i="11"/>
  <c r="AV55" i="26"/>
  <c r="AV24" i="26"/>
  <c r="AV22" i="26"/>
  <c r="AV35" i="19"/>
  <c r="AV8" i="20"/>
  <c r="AV35" i="14"/>
  <c r="AV32" i="14"/>
  <c r="AV7" i="14"/>
  <c r="AV44" i="14"/>
  <c r="AV14" i="14"/>
  <c r="AV29" i="14"/>
  <c r="AV13" i="13"/>
  <c r="AV7" i="12"/>
  <c r="AV61" i="9"/>
  <c r="AV12" i="7"/>
  <c r="AV99" i="9"/>
  <c r="AV105" i="9"/>
  <c r="AV80" i="9"/>
  <c r="AV6" i="13"/>
  <c r="AV7" i="19"/>
  <c r="AV129" i="9"/>
  <c r="AV69" i="9"/>
  <c r="AV19" i="9"/>
  <c r="AV115" i="9"/>
  <c r="AV119" i="9"/>
  <c r="AV46" i="9"/>
  <c r="AV84" i="9"/>
  <c r="AV7" i="20"/>
  <c r="AV9" i="22"/>
  <c r="AV10" i="26"/>
  <c r="AV59" i="20"/>
  <c r="AV23" i="20"/>
  <c r="AV43" i="20"/>
  <c r="AV26" i="19"/>
  <c r="AV53" i="20"/>
  <c r="AV42" i="20"/>
  <c r="AV38" i="19"/>
  <c r="AV32" i="16"/>
  <c r="AV34" i="14"/>
  <c r="AV21" i="16"/>
  <c r="AV48" i="14"/>
  <c r="AV11" i="13"/>
  <c r="AV102" i="9"/>
  <c r="AV8" i="6"/>
  <c r="AV124" i="9"/>
  <c r="AV16" i="9"/>
  <c r="AV89" i="9"/>
  <c r="AV50" i="9"/>
  <c r="AV29" i="13"/>
  <c r="AV43" i="13"/>
  <c r="AV33" i="26"/>
  <c r="AV31" i="26"/>
  <c r="AV7" i="26"/>
  <c r="AV9" i="23"/>
  <c r="AV6" i="23"/>
  <c r="AV32" i="20"/>
  <c r="AV24" i="19"/>
  <c r="AV52" i="20"/>
  <c r="AV57" i="20"/>
  <c r="AV39" i="14"/>
  <c r="AV14" i="13"/>
  <c r="AV28" i="13"/>
  <c r="AV100" i="9"/>
  <c r="AV40" i="9"/>
  <c r="AV67" i="9"/>
  <c r="AV12" i="6"/>
  <c r="AV44" i="9"/>
  <c r="AV24" i="9"/>
  <c r="AV109" i="9"/>
  <c r="AV54" i="9"/>
  <c r="AV45" i="13"/>
  <c r="AV39" i="9"/>
  <c r="AV14" i="9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<sst xmlns="http://schemas.openxmlformats.org/spreadsheetml/2006/main" count="12747" uniqueCount="1775">
  <si>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</si>
  <si>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</si>
  <si>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</si>
  <si>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</si>
  <si>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</si>
  <si>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</si>
  <si>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</si>
  <si>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</si>
  <si>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</si>
  <si>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</si>
  <si>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</si>
  <si>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</si>
  <si>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</si>
  <si>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</si>
  <si>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</si>
  <si>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</si>
  <si>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</si>
  <si>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</si>
  <si>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</si>
  <si>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</si>
  <si>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</si>
  <si>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</si>
  <si>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</si>
  <si>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</si>
  <si>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</si>
  <si>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</si>
  <si>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</si>
  <si>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</si>
  <si>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</si>
  <si>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</si>
  <si>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</si>
  <si>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</si>
  <si>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</si>
  <si>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</si>
  <si>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</si>
  <si>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</si>
  <si>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</si>
  <si>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</si>
  <si>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</si>
  <si>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</si>
  <si>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</si>
  <si>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</si>
  <si>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</si>
  <si>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</si>
  <si>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</si>
  <si>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</si>
  <si>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</si>
  <si>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</si>
  <si>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</si>
  <si>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</si>
  <si>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</si>
  <si>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</si>
  <si>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</si>
  <si>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</si>
  <si>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</si>
  <si>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</si>
  <si>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</si>
  <si>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</si>
  <si>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</si>
  <si>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20평대</t>
  </si>
  <si>
    <t>30평대</t>
  </si>
  <si>
    <t>40평대↑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</si>
  <si>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</si>
  <si>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</si>
  <si>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</si>
  <si>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</si>
  <si>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</si>
  <si>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</si>
  <si>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</si>
  <si>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</si>
  <si>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</si>
  <si>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</si>
  <si>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</si>
  <si>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</si>
  <si>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</si>
  <si>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</si>
  <si>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</si>
  <si>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</si>
  <si>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[경암동]</t>
  </si>
  <si>
    <t>새한</t>
  </si>
  <si>
    <t>1995.06.</t>
  </si>
  <si>
    <t>복도식</t>
  </si>
  <si>
    <t>https://new.land.naver.com/complexes/4952?tab=detail&amp;rf=Y</t>
  </si>
  <si>
    <t>전라북도 군산시 경암동 539-9</t>
  </si>
  <si>
    <t>전라북도</t>
  </si>
  <si>
    <t>군산시</t>
  </si>
  <si>
    <t>경암동</t>
  </si>
  <si>
    <t>전라북도 군산시 경촌3길 23</t>
  </si>
  <si>
    <t>계단식</t>
  </si>
  <si>
    <t>명성타운</t>
  </si>
  <si>
    <t>1992.07.</t>
  </si>
  <si>
    <t>https://new.land.naver.com/complexes/16980?tab=detail&amp;rf=Y</t>
  </si>
  <si>
    <t>전라북도 군산시 경암동 540-13</t>
  </si>
  <si>
    <t>전라북도 군산시 경촌1길 52</t>
  </si>
  <si>
    <t>경암제일오투그란데</t>
  </si>
  <si>
    <t>2015.11.</t>
  </si>
  <si>
    <t>108C</t>
  </si>
  <si>
    <t>https://new.land.naver.com/complexes/107110?tab=detail&amp;rf=Y</t>
  </si>
  <si>
    <t>전라북도 군산시 경암동 709</t>
  </si>
  <si>
    <t>전라북도 군산시 조촌로 214</t>
  </si>
  <si>
    <t>109D</t>
  </si>
  <si>
    <t>110B</t>
  </si>
  <si>
    <t>110A</t>
  </si>
  <si>
    <t>신흥</t>
  </si>
  <si>
    <t>1994.01.</t>
  </si>
  <si>
    <t>https://new.land.naver.com/complexes/14952?tab=detail&amp;rf=Y</t>
  </si>
  <si>
    <t>전라북도 군산시 경암동 544-8</t>
  </si>
  <si>
    <t>전라북도 군산시 경촌안1길 38</t>
  </si>
  <si>
    <t>경암부향하나로</t>
  </si>
  <si>
    <t>1998.09.</t>
  </si>
  <si>
    <t>https://new.land.naver.com/complexes/117452?tab=detail&amp;rf=Y</t>
  </si>
  <si>
    <t>전라북도 군산시 경암동 540-8</t>
  </si>
  <si>
    <t>전라북도 군산시 경촌1길 56</t>
  </si>
  <si>
    <t>[경장동]</t>
  </si>
  <si>
    <t>오르빌</t>
  </si>
  <si>
    <t>2004.05.</t>
  </si>
  <si>
    <t>https://new.land.naver.com/complexes/100924?tab=detail&amp;rf=Y</t>
  </si>
  <si>
    <t>전라북도 군산시 경장동 511-6</t>
  </si>
  <si>
    <t>경장동</t>
  </si>
  <si>
    <t>전라북도 군산시 번영로 86</t>
  </si>
  <si>
    <t>[구암동]</t>
  </si>
  <si>
    <t>현대</t>
  </si>
  <si>
    <t>1994.03.</t>
  </si>
  <si>
    <t>https://new.land.naver.com/complexes/4953?tab=detail&amp;rf=Y</t>
  </si>
  <si>
    <t>전라북도 군산시 구암동 65</t>
  </si>
  <si>
    <t>구암동</t>
  </si>
  <si>
    <t>전라북도 군산시 서당길 11</t>
  </si>
  <si>
    <t>세풍</t>
  </si>
  <si>
    <t>1997.01.</t>
  </si>
  <si>
    <t>74B</t>
  </si>
  <si>
    <t>https://new.land.naver.com/complexes/14954?tab=detail&amp;rf=Y</t>
  </si>
  <si>
    <t>전라북도 군산시 구암동 333-1</t>
  </si>
  <si>
    <t>전라북도 군산시 영명길 6</t>
  </si>
  <si>
    <t>74A</t>
  </si>
  <si>
    <t>106B</t>
  </si>
  <si>
    <t>106A</t>
  </si>
  <si>
    <t>리버힐스</t>
  </si>
  <si>
    <t>2019.05.</t>
  </si>
  <si>
    <t>66A</t>
  </si>
  <si>
    <t>https://new.land.naver.com/complexes/140320?tab=detail&amp;rf=Y</t>
  </si>
  <si>
    <t>전라북도 군산시 구암동 358-9</t>
  </si>
  <si>
    <t>전라북도 군산시 외산3길 11</t>
  </si>
  <si>
    <t>67B</t>
  </si>
  <si>
    <t>97A</t>
  </si>
  <si>
    <t>98B</t>
  </si>
  <si>
    <t>141A</t>
  </si>
  <si>
    <t>142B</t>
  </si>
  <si>
    <t>[금광동]</t>
  </si>
  <si>
    <t>삼성</t>
  </si>
  <si>
    <t>1990.11.</t>
  </si>
  <si>
    <t>https://new.land.naver.com/complexes/4960?tab=detail&amp;rf=Y</t>
  </si>
  <si>
    <t>전라북도 군산시 금광동 172</t>
  </si>
  <si>
    <t>금광동</t>
  </si>
  <si>
    <t>전라북도 군산시 대학로 114-1</t>
  </si>
  <si>
    <t>[금동]</t>
  </si>
  <si>
    <t>동신</t>
  </si>
  <si>
    <t>1992.08.</t>
  </si>
  <si>
    <t>https://new.land.naver.com/complexes/14955?tab=detail&amp;rf=Y</t>
  </si>
  <si>
    <t>전라북도 군산시 금동 10</t>
  </si>
  <si>
    <t>금동</t>
  </si>
  <si>
    <t>전라북도 군산시 구영신창길 77</t>
  </si>
  <si>
    <t>81B</t>
  </si>
  <si>
    <t>81A</t>
  </si>
  <si>
    <t>한신88맨션</t>
  </si>
  <si>
    <t>1989.04.</t>
  </si>
  <si>
    <t>https://new.land.naver.com/complexes/14958?tab=detail&amp;rf=Y</t>
  </si>
  <si>
    <t>전라북도 군산시 금동 26-2</t>
  </si>
  <si>
    <t>전라북도 군산시 구영1길 113</t>
  </si>
  <si>
    <t>[나운동]</t>
  </si>
  <si>
    <t>나운금호어울림센트럴</t>
  </si>
  <si>
    <t>2022.09.</t>
  </si>
  <si>
    <t>80A</t>
  </si>
  <si>
    <t>https://new.land.naver.com/complexes/132110?tab=detail&amp;rf=Y</t>
  </si>
  <si>
    <t>전라북도 군산시 나운동 831번지 일원</t>
  </si>
  <si>
    <t>나운동</t>
  </si>
  <si>
    <t>전라북도 군산시</t>
  </si>
  <si>
    <t>80B</t>
  </si>
  <si>
    <t>112A</t>
  </si>
  <si>
    <t>113B</t>
  </si>
  <si>
    <t>115C</t>
  </si>
  <si>
    <t>금호2차</t>
  </si>
  <si>
    <t>1987.09.</t>
  </si>
  <si>
    <t>71B</t>
  </si>
  <si>
    <t>https://new.land.naver.com/complexes/14959?tab=detail&amp;rf=Y</t>
  </si>
  <si>
    <t>전라북도 군산시 나운동 1187-2</t>
  </si>
  <si>
    <t>전라북도 군산시 한밭2길 10</t>
  </si>
  <si>
    <t>71A</t>
  </si>
  <si>
    <t>동북</t>
  </si>
  <si>
    <t>1988.07.</t>
  </si>
  <si>
    <t>https://new.land.naver.com/complexes/117992?tab=detail&amp;rf=Y</t>
  </si>
  <si>
    <t>전라북도 군산시 나운동 785-1</t>
  </si>
  <si>
    <t>전라북도 군산시 신설1길 27</t>
  </si>
  <si>
    <t>하이스타운3차</t>
  </si>
  <si>
    <t>2011.04.</t>
  </si>
  <si>
    <t>https://new.land.naver.com/complexes/140899?tab=detail&amp;rf=Y</t>
  </si>
  <si>
    <t>전라북도 군산시 나운동 763-1</t>
  </si>
  <si>
    <t>전라북도 군산시 상신3길 19-3</t>
  </si>
  <si>
    <t>116A</t>
  </si>
  <si>
    <t>116B</t>
  </si>
  <si>
    <t>1987.03.</t>
  </si>
  <si>
    <t>https://new.land.naver.com/complexes/112786?tab=detail&amp;rf=Y</t>
  </si>
  <si>
    <t>전라북도 군산시 나운동 783-4</t>
  </si>
  <si>
    <t>전라북도 군산시 신설2길 18</t>
  </si>
  <si>
    <t>힐하우스</t>
  </si>
  <si>
    <t>2001.02.</t>
  </si>
  <si>
    <t>https://new.land.naver.com/complexes/132778?tab=detail&amp;rf=Y</t>
  </si>
  <si>
    <t>전라북도 군산시 나운동 754-2</t>
  </si>
  <si>
    <t>전라북도 군산시 상신6길 21-6</t>
  </si>
  <si>
    <t>129A</t>
  </si>
  <si>
    <t>129B</t>
  </si>
  <si>
    <t>세경</t>
  </si>
  <si>
    <t>2002.12.</t>
  </si>
  <si>
    <t>https://new.land.naver.com/complexes/110310?tab=detail&amp;rf=Y</t>
  </si>
  <si>
    <t>전라북도 군산시 나운동 155</t>
  </si>
  <si>
    <t>전라북도 군산시 하나운로 28</t>
  </si>
  <si>
    <t>1991.10.</t>
  </si>
  <si>
    <t>https://new.land.naver.com/complexes/105136?tab=detail&amp;rf=Y</t>
  </si>
  <si>
    <t>전라북도 군산시 나운동 786-1</t>
  </si>
  <si>
    <t>전라북도 군산시 상나운로 59</t>
  </si>
  <si>
    <t>상지파크뷰(도시형)</t>
  </si>
  <si>
    <t>2014.06.</t>
  </si>
  <si>
    <t>55A</t>
  </si>
  <si>
    <t>https://new.land.naver.com/complexes/120933?tab=detail&amp;rf=Y</t>
  </si>
  <si>
    <t>전라북도 군산시 나운동 795-10</t>
  </si>
  <si>
    <t>전라북도 군산시 상나운1길 6-6</t>
  </si>
  <si>
    <t>56B</t>
  </si>
  <si>
    <t>65D</t>
  </si>
  <si>
    <t>65E</t>
  </si>
  <si>
    <t>65B</t>
  </si>
  <si>
    <t>66C</t>
  </si>
  <si>
    <t>수송코아루</t>
  </si>
  <si>
    <t>2009.03.</t>
  </si>
  <si>
    <t>https://new.land.naver.com/complexes/27028?tab=detail&amp;rf=Y</t>
  </si>
  <si>
    <t>전라북도 군산시 나운동 1526</t>
  </si>
  <si>
    <t>전라북도 군산시 축동로 83</t>
  </si>
  <si>
    <t>C&amp;G빌</t>
  </si>
  <si>
    <t>2005.01.</t>
  </si>
  <si>
    <t>94A</t>
  </si>
  <si>
    <t>https://new.land.naver.com/complexes/140531?tab=detail&amp;rf=Y</t>
  </si>
  <si>
    <t>전라북도 군산시 나운동 757-3</t>
  </si>
  <si>
    <t>전라북도 군산시 상신4길 15-6</t>
  </si>
  <si>
    <t>94B</t>
  </si>
  <si>
    <t>금호타운2차</t>
  </si>
  <si>
    <t>1994.09.</t>
  </si>
  <si>
    <t>https://new.land.naver.com/complexes/4969?tab=detail&amp;rf=Y</t>
  </si>
  <si>
    <t>전라북도 군산시 나운동 92</t>
  </si>
  <si>
    <t>전라북도 군산시 수송로 71</t>
  </si>
  <si>
    <t>대명(834-1)</t>
  </si>
  <si>
    <t>1990.07.</t>
  </si>
  <si>
    <t>https://new.land.naver.com/complexes/14960?tab=detail&amp;rf=Y</t>
  </si>
  <si>
    <t>전라북도 군산시 나운동 834-1</t>
  </si>
  <si>
    <t>전라북도 군산시 나운로 70</t>
  </si>
  <si>
    <t>나운현대2차</t>
  </si>
  <si>
    <t>1993.10.</t>
  </si>
  <si>
    <t>https://new.land.naver.com/complexes/102461?tab=detail&amp;rf=Y</t>
  </si>
  <si>
    <t>전라북도 군산시 나운동 527</t>
  </si>
  <si>
    <t>전라북도 군산시 나운로 39</t>
  </si>
  <si>
    <t>현대1차</t>
  </si>
  <si>
    <t>1990.04.</t>
  </si>
  <si>
    <t>https://new.land.naver.com/complexes/5014?tab=detail&amp;rf=Y</t>
  </si>
  <si>
    <t>전라북도 군산시 나운동 1255-8</t>
  </si>
  <si>
    <t>전라북도 군산시 현충로 33</t>
  </si>
  <si>
    <t>세광타운</t>
  </si>
  <si>
    <t>https://new.land.naver.com/complexes/14962?tab=detail&amp;rf=Y</t>
  </si>
  <si>
    <t>전라북도 군산시 나운동 833-1</t>
  </si>
  <si>
    <t>전라북도 군산시 하나운1길 32</t>
  </si>
  <si>
    <t>나운청솔</t>
  </si>
  <si>
    <t>https://new.land.naver.com/complexes/16984?tab=detail&amp;rf=Y</t>
  </si>
  <si>
    <t>전라북도 군산시 나운동 161</t>
  </si>
  <si>
    <t>전라북도 군산시 나운로 133</t>
  </si>
  <si>
    <t>신일</t>
  </si>
  <si>
    <t>1995.12.</t>
  </si>
  <si>
    <t>https://new.land.naver.com/complexes/4995?tab=detail&amp;rf=Y</t>
  </si>
  <si>
    <t>전라북도 군산시 나운동 156-2</t>
  </si>
  <si>
    <t>전라북도 군산시 의료원로 163</t>
  </si>
  <si>
    <t>나운하이스빌</t>
  </si>
  <si>
    <t>2011.07.</t>
  </si>
  <si>
    <t>https://new.land.naver.com/complexes/122926?tab=detail&amp;rf=Y</t>
  </si>
  <si>
    <t>전라북도 군산시 나운동 749-4</t>
  </si>
  <si>
    <t>전라북도 군산시 상신3길 26</t>
  </si>
  <si>
    <t>하이스타운</t>
  </si>
  <si>
    <t>2013.04.</t>
  </si>
  <si>
    <t>79A</t>
  </si>
  <si>
    <t>https://new.land.naver.com/complexes/132202?tab=detail&amp;rf=Y</t>
  </si>
  <si>
    <t>전라북도 군산시 나운동 788-1</t>
  </si>
  <si>
    <t>전라북도 군산시 신설2길 9</t>
  </si>
  <si>
    <t>115A</t>
  </si>
  <si>
    <t>롯데4차</t>
  </si>
  <si>
    <t>1996.04.</t>
  </si>
  <si>
    <t>https://new.land.naver.com/complexes/4987?tab=detail&amp;rf=Y</t>
  </si>
  <si>
    <t>전라북도 군산시 나운동 155-6</t>
  </si>
  <si>
    <t>전라북도 군산시 백토로 242</t>
  </si>
  <si>
    <t>동원</t>
  </si>
  <si>
    <t>1987.06.</t>
  </si>
  <si>
    <t>https://new.land.naver.com/complexes/106426?tab=detail&amp;rf=Y</t>
  </si>
  <si>
    <t>전라북도 군산시 나운동 803-2</t>
  </si>
  <si>
    <t>전라북도 군산시 상나운로 9</t>
  </si>
  <si>
    <t>롯데2차</t>
  </si>
  <si>
    <t>https://new.land.naver.com/complexes/4980?tab=detail&amp;rf=Y</t>
  </si>
  <si>
    <t>전라북도 군산시 나운동 345</t>
  </si>
  <si>
    <t>전라북도 군산시 하나운로 45</t>
  </si>
  <si>
    <t>대명(775-1)</t>
  </si>
  <si>
    <t>1988.10.</t>
  </si>
  <si>
    <t>https://new.land.naver.com/complexes/109105?tab=detail&amp;rf=Y</t>
  </si>
  <si>
    <t>전라북도 군산시 나운동 775-1</t>
  </si>
  <si>
    <t>전라북도 군산시 신설1길 37</t>
  </si>
  <si>
    <t>삼진아트맨션</t>
  </si>
  <si>
    <t>1990.06.</t>
  </si>
  <si>
    <t>https://new.land.naver.com/complexes/135672?tab=detail&amp;rf=Y</t>
  </si>
  <si>
    <t>전라북도 군산시 나운동 768-6</t>
  </si>
  <si>
    <t>전라북도 군산시 신설로 34</t>
  </si>
  <si>
    <t>우성</t>
  </si>
  <si>
    <t>https://new.land.naver.com/complexes/4999?tab=detail&amp;rf=Y</t>
  </si>
  <si>
    <t>전라북도 군산시 나운동 155-7</t>
  </si>
  <si>
    <t>전라북도 군산시 백토로 230</t>
  </si>
  <si>
    <t>금호타운1차</t>
  </si>
  <si>
    <t>1991.09.</t>
  </si>
  <si>
    <t>https://new.land.naver.com/complexes/4966?tab=detail&amp;rf=Y</t>
  </si>
  <si>
    <t>전라북도 군산시 나운동 489</t>
  </si>
  <si>
    <t>전라북도 군산시 수송로 49</t>
  </si>
  <si>
    <t>희산</t>
  </si>
  <si>
    <t>1989.03.</t>
  </si>
  <si>
    <t>https://new.land.naver.com/complexes/117430?tab=detail&amp;rf=Y</t>
  </si>
  <si>
    <t>전라북도 군산시 나운동 802-5</t>
  </si>
  <si>
    <t>전라북도 군산시 상나운3길 30-3</t>
  </si>
  <si>
    <t>서호</t>
  </si>
  <si>
    <t>https://new.land.naver.com/complexes/4994?tab=detail&amp;rf=Y</t>
  </si>
  <si>
    <t>전라북도 군산시 나운동 153-12</t>
  </si>
  <si>
    <t>전라북도 군산시 의료원로 188</t>
  </si>
  <si>
    <t>주공3단지</t>
  </si>
  <si>
    <t>1983.12.</t>
  </si>
  <si>
    <t>https://new.land.naver.com/complexes/5008?tab=detail&amp;rf=Y</t>
  </si>
  <si>
    <t>전라북도 군산시 나운동 835</t>
  </si>
  <si>
    <t>전라북도 군산시 하나운안1길 40</t>
  </si>
  <si>
    <t>53A</t>
  </si>
  <si>
    <t>54B</t>
  </si>
  <si>
    <t>54C</t>
  </si>
  <si>
    <t>61A</t>
  </si>
  <si>
    <t>61B</t>
  </si>
  <si>
    <t>62C</t>
  </si>
  <si>
    <t>65A</t>
  </si>
  <si>
    <t>청남하이츠빌리지</t>
  </si>
  <si>
    <t>147A</t>
  </si>
  <si>
    <t>https://new.land.naver.com/complexes/125648?tab=detail&amp;rf=Y</t>
  </si>
  <si>
    <t>전라북도 군산시 나운동 772-1</t>
  </si>
  <si>
    <t>전라북도 군산시 신설로 57</t>
  </si>
  <si>
    <t>147B</t>
  </si>
  <si>
    <t>148C</t>
  </si>
  <si>
    <t>149D</t>
  </si>
  <si>
    <t>나운보람더하임</t>
  </si>
  <si>
    <t>2010.03.</t>
  </si>
  <si>
    <t>https://new.land.naver.com/complexes/101461?tab=detail&amp;rf=Y</t>
  </si>
  <si>
    <t>전라북도 군산시 나운동 1556</t>
  </si>
  <si>
    <t>전라북도 군산시 하신3길 7</t>
  </si>
  <si>
    <t>110C</t>
  </si>
  <si>
    <t>1997.12.</t>
  </si>
  <si>
    <t>https://new.land.naver.com/complexes/4974?tab=detail&amp;rf=Y</t>
  </si>
  <si>
    <t>전라북도 군산시 나운동 155-10</t>
  </si>
  <si>
    <t>전라북도 군산시 백토로 216</t>
  </si>
  <si>
    <t>대우</t>
  </si>
  <si>
    <t>1997.02.</t>
  </si>
  <si>
    <t>https://new.land.naver.com/complexes/4973?tab=detail&amp;rf=Y</t>
  </si>
  <si>
    <t>전라북도 군산시 나운동 155-5</t>
  </si>
  <si>
    <t>전라북도 군산시 의료원로 136</t>
  </si>
  <si>
    <t>로얄맨션4차</t>
  </si>
  <si>
    <t>1991.12.</t>
  </si>
  <si>
    <t>https://new.land.naver.com/complexes/126610?tab=detail&amp;rf=Y</t>
  </si>
  <si>
    <t>전라북도 군산시 나운동 759-8</t>
  </si>
  <si>
    <t>전라북도 군산시 상신2길 10-6</t>
  </si>
  <si>
    <t>롯데1차</t>
  </si>
  <si>
    <t>1991.03.</t>
  </si>
  <si>
    <t>https://new.land.naver.com/complexes/4977?tab=detail&amp;rf=Y</t>
  </si>
  <si>
    <t>삼성(1187-7)</t>
  </si>
  <si>
    <t>1988.06.</t>
  </si>
  <si>
    <t>https://new.land.naver.com/complexes/144827?tab=detail&amp;rf=Y</t>
  </si>
  <si>
    <t>전라북도 군산시 나운동 1187-7</t>
  </si>
  <si>
    <t>전라북도 군산시 한밭1길 12</t>
  </si>
  <si>
    <t>아리랑</t>
  </si>
  <si>
    <t>1988.11.</t>
  </si>
  <si>
    <t>https://new.land.naver.com/complexes/13526?tab=detail&amp;rf=Y</t>
  </si>
  <si>
    <t>전라북도 군산시 나운동 1189-1</t>
  </si>
  <si>
    <t>전라북도 군산시 한밭3길 9</t>
  </si>
  <si>
    <t>한울</t>
  </si>
  <si>
    <t>1996.07.</t>
  </si>
  <si>
    <t>76A</t>
  </si>
  <si>
    <t>https://new.land.naver.com/complexes/14963?tab=detail&amp;rf=Y</t>
  </si>
  <si>
    <t>전라북도 군산시 나운동 155-1</t>
  </si>
  <si>
    <t>전라북도 군산시 하나운로 20</t>
  </si>
  <si>
    <t>76B</t>
  </si>
  <si>
    <t>동산은파</t>
  </si>
  <si>
    <t>1985.04.</t>
  </si>
  <si>
    <t>64A</t>
  </si>
  <si>
    <t>https://new.land.naver.com/complexes/140966?tab=detail&amp;rf=Y</t>
  </si>
  <si>
    <t>전라북도 군산시 나운동 1188-5</t>
  </si>
  <si>
    <t>전라북도 군산시 한밭1길 32</t>
  </si>
  <si>
    <t>현대3차</t>
  </si>
  <si>
    <t>https://new.land.naver.com/complexes/5022?tab=detail&amp;rf=Y</t>
  </si>
  <si>
    <t>전라북도 군산시 나운동 501</t>
  </si>
  <si>
    <t>전라북도 군산시 나운안2길 8</t>
  </si>
  <si>
    <t>현대백조</t>
  </si>
  <si>
    <t>1992.11.</t>
  </si>
  <si>
    <t>https://new.land.naver.com/complexes/5030?tab=detail&amp;rf=Y</t>
  </si>
  <si>
    <t>전라북도 군산시 나운동 1155-9</t>
  </si>
  <si>
    <t>전라북도 군산시 상나운1길 30</t>
  </si>
  <si>
    <t>95B</t>
  </si>
  <si>
    <t>95A</t>
  </si>
  <si>
    <t>동신진주</t>
  </si>
  <si>
    <t>1993.12.</t>
  </si>
  <si>
    <t>https://new.land.naver.com/complexes/4964?tab=detail&amp;rf=Y</t>
  </si>
  <si>
    <t>전라북도 군산시 나운동 733-1</t>
  </si>
  <si>
    <t>전라북도 군산시 상신7길 15</t>
  </si>
  <si>
    <t>82B</t>
  </si>
  <si>
    <t>한신맨션</t>
  </si>
  <si>
    <t>1987.11.</t>
  </si>
  <si>
    <t>https://new.land.naver.com/complexes/115453?tab=detail&amp;rf=Y</t>
  </si>
  <si>
    <t>전라북도 군산시 나운동 793-1</t>
  </si>
  <si>
    <t>전라북도 군산시 상나운1길 14</t>
  </si>
  <si>
    <t>그린골든맨션</t>
  </si>
  <si>
    <t>1993.06.</t>
  </si>
  <si>
    <t>https://new.land.naver.com/complexes/102445?tab=detail&amp;rf=Y</t>
  </si>
  <si>
    <t>전라북도 군산시 나운동 800-2</t>
  </si>
  <si>
    <t>전라북도 군산시 상나운1길 25</t>
  </si>
  <si>
    <t>수송금호어울림</t>
  </si>
  <si>
    <t>2008.08.</t>
  </si>
  <si>
    <t>https://new.land.naver.com/complexes/26916?tab=detail&amp;rf=Y</t>
  </si>
  <si>
    <t>전라북도 군산시 나운동 1525</t>
  </si>
  <si>
    <t>전라북도 군산시 서수송2길 23</t>
  </si>
  <si>
    <t>111B</t>
  </si>
  <si>
    <t>111C</t>
  </si>
  <si>
    <t>112D</t>
  </si>
  <si>
    <t>성보</t>
  </si>
  <si>
    <t>2016.12.</t>
  </si>
  <si>
    <t>86A</t>
  </si>
  <si>
    <t>https://new.land.naver.com/complexes/131885?tab=detail&amp;rf=Y</t>
  </si>
  <si>
    <t>전라북도 군산시 나운동 798-8</t>
  </si>
  <si>
    <t>전라북도 군산시 상나운안길 7</t>
  </si>
  <si>
    <t>87B</t>
  </si>
  <si>
    <t>영창</t>
  </si>
  <si>
    <t>https://new.land.naver.com/complexes/4998?tab=detail&amp;rf=Y</t>
  </si>
  <si>
    <t>전라북도 군산시 나운동 156-6</t>
  </si>
  <si>
    <t>전라북도 군산시 의료원로 137</t>
  </si>
  <si>
    <t>비사벌</t>
  </si>
  <si>
    <t>https://new.land.naver.com/complexes/27019?tab=detail&amp;rf=Y</t>
  </si>
  <si>
    <t>전라북도 군산시 나운동 153-11</t>
  </si>
  <si>
    <t>전라북도 군산시 하나운로 7</t>
  </si>
  <si>
    <t>나운유원</t>
  </si>
  <si>
    <t>https://new.land.naver.com/complexes/5004?tab=detail&amp;rf=Y</t>
  </si>
  <si>
    <t>전라북도 군산시 나운동 866-1</t>
  </si>
  <si>
    <t>전라북도 군산시 부곡1길 39</t>
  </si>
  <si>
    <t>주공5단지</t>
  </si>
  <si>
    <t>1995.07.</t>
  </si>
  <si>
    <t>https://new.land.naver.com/complexes/5012?tab=detail&amp;rf=Y</t>
  </si>
  <si>
    <t>전라북도 군산시 나운동 45-7</t>
  </si>
  <si>
    <t>전라북도 군산시 백토로 117</t>
  </si>
  <si>
    <t>금호</t>
  </si>
  <si>
    <t>https://new.land.naver.com/complexes/139866?tab=detail&amp;rf=Y</t>
  </si>
  <si>
    <t>전라북도 군산시 나운동 787-4</t>
  </si>
  <si>
    <t>전라북도 군산시 신설3길 14</t>
  </si>
  <si>
    <t>64B</t>
  </si>
  <si>
    <t>로얄맨션7차</t>
  </si>
  <si>
    <t>1992.12.</t>
  </si>
  <si>
    <t>99A</t>
  </si>
  <si>
    <t>https://new.land.naver.com/complexes/136405?tab=detail&amp;rf=Y</t>
  </si>
  <si>
    <t>전라북도 군산시 나운동 774-6</t>
  </si>
  <si>
    <t>전라북도 군산시 신설1길 41</t>
  </si>
  <si>
    <t>99C</t>
  </si>
  <si>
    <t>99B</t>
  </si>
  <si>
    <t>100B</t>
  </si>
  <si>
    <t>101A</t>
  </si>
  <si>
    <t>101C</t>
  </si>
  <si>
    <t>명성(778-9)</t>
  </si>
  <si>
    <t>1989.01.</t>
  </si>
  <si>
    <t>https://new.land.naver.com/complexes/133504?tab=detail&amp;rf=Y</t>
  </si>
  <si>
    <t>전라북도 군산시 나운동 778-9</t>
  </si>
  <si>
    <t>전라북도 군산시 상신안길 16</t>
  </si>
  <si>
    <t>한신</t>
  </si>
  <si>
    <t>1986.04.</t>
  </si>
  <si>
    <t>https://new.land.naver.com/complexes/125674?tab=detail&amp;rf=Y</t>
  </si>
  <si>
    <t>전라북도 군산시 나운동 799-1</t>
  </si>
  <si>
    <t>전라북도 군산시 상나운로 19</t>
  </si>
  <si>
    <t>춘광아티움(도시형)</t>
  </si>
  <si>
    <t>2013.06.</t>
  </si>
  <si>
    <t>https://new.land.naver.com/complexes/136392?tab=detail&amp;rf=Y</t>
  </si>
  <si>
    <t>전라북도 군산시 나운동 132-7</t>
  </si>
  <si>
    <t>전라북도 군산시 나운안1길 32-23</t>
  </si>
  <si>
    <t>현대4차</t>
  </si>
  <si>
    <t>https://new.land.naver.com/complexes/14966?tab=detail&amp;rf=Y</t>
  </si>
  <si>
    <t>전라북도 군산시 나운동 109-6</t>
  </si>
  <si>
    <t>전라북도 군산시 나운안1길 24</t>
  </si>
  <si>
    <t>삼성(401)</t>
  </si>
  <si>
    <t>1998.05.</t>
  </si>
  <si>
    <t>https://new.land.naver.com/complexes/4990?tab=detail&amp;rf=Y</t>
  </si>
  <si>
    <t>전라북도 군산시 나운동 401</t>
  </si>
  <si>
    <t>전라북도 군산시 나운3길 9</t>
  </si>
  <si>
    <t>동신진주3차</t>
  </si>
  <si>
    <t>1995.04.</t>
  </si>
  <si>
    <t>https://new.land.naver.com/complexes/4965?tab=detail&amp;rf=Y</t>
  </si>
  <si>
    <t>전라북도 군산시 나운동 737-1</t>
  </si>
  <si>
    <t>전라북도 군산시 상신6길 2</t>
  </si>
  <si>
    <t>롯데3차</t>
  </si>
  <si>
    <t>1994.06.</t>
  </si>
  <si>
    <t>https://new.land.naver.com/complexes/4984?tab=detail&amp;rf=Y</t>
  </si>
  <si>
    <t>전라북도 군산시 나운동 100-11</t>
  </si>
  <si>
    <t>전라북도 군산시 하나운로 48</t>
  </si>
  <si>
    <t>에코하우스(도시형)</t>
  </si>
  <si>
    <t>2013.05.</t>
  </si>
  <si>
    <t>https://new.land.naver.com/complexes/139522?tab=detail&amp;rf=Y</t>
  </si>
  <si>
    <t>전라북도 군산시 나운동 741-1</t>
  </si>
  <si>
    <t>전라북도 군산시 나운우회로 13</t>
  </si>
  <si>
    <t>75C</t>
  </si>
  <si>
    <t>75D</t>
  </si>
  <si>
    <t>대우하늘채2차</t>
  </si>
  <si>
    <t>2013.07.</t>
  </si>
  <si>
    <t>https://new.land.naver.com/complexes/142718?tab=detail&amp;rf=Y</t>
  </si>
  <si>
    <t>전라북도 군산시 나운동 754-8</t>
  </si>
  <si>
    <t>전라북도 군산시 나운우회로 75</t>
  </si>
  <si>
    <t>54A</t>
  </si>
  <si>
    <t>우진</t>
  </si>
  <si>
    <t>1979.01.</t>
  </si>
  <si>
    <t>https://new.land.naver.com/complexes/14967?tab=detail&amp;rf=Y</t>
  </si>
  <si>
    <t>전라북도 군산시 나운동 555-1</t>
  </si>
  <si>
    <t>전라북도 군산시 하신재길 23</t>
  </si>
  <si>
    <t>군산월드</t>
  </si>
  <si>
    <t>1995.09.</t>
  </si>
  <si>
    <t>https://new.land.naver.com/complexes/130728?tab=detail&amp;rf=Y</t>
  </si>
  <si>
    <t>전라북도 군산시 나운동 854-1</t>
  </si>
  <si>
    <t>전라북도 군산시 부곡1길 69</t>
  </si>
  <si>
    <t>현대2차</t>
  </si>
  <si>
    <t>69A</t>
  </si>
  <si>
    <t>https://new.land.naver.com/complexes/5016?tab=detail&amp;rf=Y</t>
  </si>
  <si>
    <t>전라북도 군산시 나운동 792-1</t>
  </si>
  <si>
    <t>전라북도 군산시 신설4길 14</t>
  </si>
  <si>
    <t>명성(785-4)</t>
  </si>
  <si>
    <t>1989.09.</t>
  </si>
  <si>
    <t>https://new.land.naver.com/complexes/24067?tab=detail&amp;rf=Y</t>
  </si>
  <si>
    <t>전라북도 군산시 나운동 785-4</t>
  </si>
  <si>
    <t>전라북도 군산시 신설2길 30</t>
  </si>
  <si>
    <t>[대명동]</t>
  </si>
  <si>
    <t>현대메트로타워2차</t>
  </si>
  <si>
    <t>2016.04.</t>
  </si>
  <si>
    <t>https://new.land.naver.com/complexes/115362?tab=detail&amp;rf=Y</t>
  </si>
  <si>
    <t>전라북도 군산시 대명동 403</t>
  </si>
  <si>
    <t>대명동</t>
  </si>
  <si>
    <t>전라북도 군산시 구암3.1로 30</t>
  </si>
  <si>
    <t>115B</t>
  </si>
  <si>
    <t>현대메트로타워</t>
  </si>
  <si>
    <t>2011.10.</t>
  </si>
  <si>
    <t>https://new.land.naver.com/complexes/103553?tab=detail&amp;rf=Y</t>
  </si>
  <si>
    <t>전라북도 군산시 대명동 385-60</t>
  </si>
  <si>
    <t>전라북도 군산시 대명길 3</t>
  </si>
  <si>
    <t>아이플러스시티(도시형)</t>
  </si>
  <si>
    <t>2012.09.</t>
  </si>
  <si>
    <t>https://new.land.naver.com/complexes/119697?tab=detail&amp;rf=Y</t>
  </si>
  <si>
    <t>전라북도 군산시 대명동 384-87</t>
  </si>
  <si>
    <t>전라북도 군산시 동팔마길 32</t>
  </si>
  <si>
    <t>61C</t>
  </si>
  <si>
    <t>61I</t>
  </si>
  <si>
    <t>61E</t>
  </si>
  <si>
    <t>61M</t>
  </si>
  <si>
    <t>61J</t>
  </si>
  <si>
    <t>61K</t>
  </si>
  <si>
    <t>62H</t>
  </si>
  <si>
    <t>62L</t>
  </si>
  <si>
    <t>62D</t>
  </si>
  <si>
    <t>63B</t>
  </si>
  <si>
    <t>63F</t>
  </si>
  <si>
    <t>63G</t>
  </si>
  <si>
    <t>63A</t>
  </si>
  <si>
    <t>67C</t>
  </si>
  <si>
    <t>67D</t>
  </si>
  <si>
    <t>[대야면]</t>
  </si>
  <si>
    <t>한신타운</t>
  </si>
  <si>
    <t>https://new.land.naver.com/complexes/128332?tab=detail&amp;rf=Y</t>
  </si>
  <si>
    <t>전라북도 군산시 대야면 지경리 699-147</t>
  </si>
  <si>
    <t>대야면</t>
  </si>
  <si>
    <t>전라북도 군산시 대야관통로 26</t>
  </si>
  <si>
    <t>대야보라무지개</t>
  </si>
  <si>
    <t>2001.09.</t>
  </si>
  <si>
    <t>https://new.land.naver.com/complexes/116583?tab=detail&amp;rf=Y</t>
  </si>
  <si>
    <t>전라북도 군산시 대야면 산월리 536-2</t>
  </si>
  <si>
    <t>전라북도 군산시 수림로 7-10</t>
  </si>
  <si>
    <t>[동흥남동]</t>
  </si>
  <si>
    <t>군산동흥남주공</t>
  </si>
  <si>
    <t>2006.02.</t>
  </si>
  <si>
    <t>https://new.land.naver.com/complexes/105137?tab=detail&amp;rf=Y</t>
  </si>
  <si>
    <t>전라북도 군산시 동흥남동 100</t>
  </si>
  <si>
    <t>동흥남동</t>
  </si>
  <si>
    <t>전라북도 군산시 동흥남길 9</t>
  </si>
  <si>
    <t>107B</t>
  </si>
  <si>
    <t>동영</t>
  </si>
  <si>
    <t>1989.06.</t>
  </si>
  <si>
    <t>https://new.land.naver.com/complexes/125193?tab=detail&amp;rf=Y</t>
  </si>
  <si>
    <t>전라북도 군산시 동흥남동 95-36</t>
  </si>
  <si>
    <t>전라북도 군산시 흥남2길 49-2</t>
  </si>
  <si>
    <t>96C</t>
  </si>
  <si>
    <t>[문화동]</t>
  </si>
  <si>
    <t>문화</t>
  </si>
  <si>
    <t>1981.02.</t>
  </si>
  <si>
    <t>https://new.land.naver.com/complexes/14970?tab=detail&amp;rf=Y</t>
  </si>
  <si>
    <t>전라북도 군산시 문화동 769-2</t>
  </si>
  <si>
    <t>문화동</t>
  </si>
  <si>
    <t>전라북도 군산시 석치안길 7</t>
  </si>
  <si>
    <t>https://new.land.naver.com/complexes/5035?tab=detail&amp;rf=Y</t>
  </si>
  <si>
    <t>전라북도 군산시 문화동 26</t>
  </si>
  <si>
    <t>전라북도 군산시 백토로 93</t>
  </si>
  <si>
    <t>다우미빌</t>
  </si>
  <si>
    <t>https://new.land.naver.com/complexes/24248?tab=detail&amp;rf=Y</t>
  </si>
  <si>
    <t>전라북도 군산시 문화동 904</t>
  </si>
  <si>
    <t>전라북도 군산시 서흥길 24</t>
  </si>
  <si>
    <t>쉘브르타운</t>
  </si>
  <si>
    <t>2014.05.</t>
  </si>
  <si>
    <t>https://new.land.naver.com/complexes/110388?tab=detail&amp;rf=Y</t>
  </si>
  <si>
    <t>전라북도 군산시 문화동 935</t>
  </si>
  <si>
    <t>전라북도 군산시 문화2길 11</t>
  </si>
  <si>
    <t>[미룡동]</t>
  </si>
  <si>
    <t>미룡대명1차</t>
  </si>
  <si>
    <t>1998.06.</t>
  </si>
  <si>
    <t>https://new.land.naver.com/complexes/104842?tab=detail&amp;rf=Y</t>
  </si>
  <si>
    <t>전라북도 군산시 미룡동 858</t>
  </si>
  <si>
    <t>미룡동</t>
  </si>
  <si>
    <t>전라북도 군산시 칠성4길 20</t>
  </si>
  <si>
    <t>금광베네스타</t>
  </si>
  <si>
    <t>2008.12.</t>
  </si>
  <si>
    <t>https://new.land.naver.com/complexes/27505?tab=detail&amp;rf=Y</t>
  </si>
  <si>
    <t>전라북도 군산시 미룡동 71</t>
  </si>
  <si>
    <t>전라북도 군산시 용둔길 12</t>
  </si>
  <si>
    <t>160A</t>
  </si>
  <si>
    <t>160B</t>
  </si>
  <si>
    <t>203B</t>
  </si>
  <si>
    <t>204A</t>
  </si>
  <si>
    <t>미룡대명3차</t>
  </si>
  <si>
    <t>2002.05.</t>
  </si>
  <si>
    <t>https://new.land.naver.com/complexes/109106?tab=detail&amp;rf=Y</t>
  </si>
  <si>
    <t>전라북도 군산시 미룡동 854</t>
  </si>
  <si>
    <t>전라북도 군산시 칠성3길 22</t>
  </si>
  <si>
    <t>은파롯데캐슬</t>
  </si>
  <si>
    <t>2007.09.</t>
  </si>
  <si>
    <t>https://new.land.naver.com/complexes/27504?tab=detail&amp;rf=Y</t>
  </si>
  <si>
    <t>전라북도 군산시 미룡동 59-118</t>
  </si>
  <si>
    <t>전라북도 군산시 미룡로 63</t>
  </si>
  <si>
    <t>131A</t>
  </si>
  <si>
    <t>158B</t>
  </si>
  <si>
    <t>158A</t>
  </si>
  <si>
    <t>위즈홈(도시형)</t>
  </si>
  <si>
    <t>2017.05.</t>
  </si>
  <si>
    <t>https://new.land.naver.com/complexes/128348?tab=detail&amp;rf=Y</t>
  </si>
  <si>
    <t>전라북도 군산시 미룡동 842-5</t>
  </si>
  <si>
    <t>전라북도 군산시 칠성2길 48</t>
  </si>
  <si>
    <t>미룡주공3단지</t>
  </si>
  <si>
    <t>2001.06.</t>
  </si>
  <si>
    <t>https://new.land.naver.com/complexes/27131?tab=detail&amp;rf=Y</t>
  </si>
  <si>
    <t>전라북도 군산시 미룡동 900-1</t>
  </si>
  <si>
    <t>전라북도 군산시 미룡로 42</t>
  </si>
  <si>
    <t>65C</t>
  </si>
  <si>
    <t>77A</t>
  </si>
  <si>
    <t>77B</t>
  </si>
  <si>
    <t>산북부향하나로3차</t>
  </si>
  <si>
    <t>1998.04.</t>
  </si>
  <si>
    <t>https://new.land.naver.com/complexes/114910?tab=detail&amp;rf=Y</t>
  </si>
  <si>
    <t>전라북도 군산시 미룡동 852</t>
  </si>
  <si>
    <t>전라북도 군산시 칠성5길 30</t>
  </si>
  <si>
    <t>은파리젠시빌파크</t>
  </si>
  <si>
    <t>2007.02.</t>
  </si>
  <si>
    <t>https://new.land.naver.com/complexes/27503?tab=detail&amp;rf=Y</t>
  </si>
  <si>
    <t>전라북도 군산시 미룡동 59-59</t>
  </si>
  <si>
    <t>전라북도 군산시 미룡로 64</t>
  </si>
  <si>
    <t>미룡대명2차</t>
  </si>
  <si>
    <t>68B</t>
  </si>
  <si>
    <t>https://new.land.naver.com/complexes/104840?tab=detail&amp;rf=Y</t>
  </si>
  <si>
    <t>전라북도 군산시 미룡동 857</t>
  </si>
  <si>
    <t>전라북도 군산시 칠성3길 8</t>
  </si>
  <si>
    <t>해강솔비앙미룡시티2차(도시형)</t>
  </si>
  <si>
    <t>2018.12.</t>
  </si>
  <si>
    <t>https://new.land.naver.com/complexes/126472?tab=detail&amp;rf=Y</t>
  </si>
  <si>
    <t>전라북도 군산시 미룡동 860-2</t>
  </si>
  <si>
    <t>전라북도 군산시 칠성5길 10</t>
  </si>
  <si>
    <t>미룡주공2단지</t>
  </si>
  <si>
    <t>2001.03.</t>
  </si>
  <si>
    <t>68A</t>
  </si>
  <si>
    <t>https://new.land.naver.com/complexes/16988?tab=detail&amp;rf=Y</t>
  </si>
  <si>
    <t>전라북도 군산시 미룡동 896-1</t>
  </si>
  <si>
    <t>전라북도 군산시 미룡로 41</t>
  </si>
  <si>
    <t>70B</t>
  </si>
  <si>
    <t>80C</t>
  </si>
  <si>
    <t>[미장동]</t>
  </si>
  <si>
    <t>파인빌2차</t>
  </si>
  <si>
    <t>2006.06.</t>
  </si>
  <si>
    <t>https://new.land.naver.com/complexes/27527?tab=detail&amp;rf=Y</t>
  </si>
  <si>
    <t>전라북도 군산시 미장동 51-1</t>
  </si>
  <si>
    <t>미장동</t>
  </si>
  <si>
    <t>전라북도 군산시 미장안길 55</t>
  </si>
  <si>
    <t>파인빌1차</t>
  </si>
  <si>
    <t>2004.11.</t>
  </si>
  <si>
    <t>https://new.land.naver.com/complexes/27526?tab=detail&amp;rf=Y</t>
  </si>
  <si>
    <t>전라북도 군산시 미장동 53-1</t>
  </si>
  <si>
    <t>전라북도 군산시 문화로 208-8</t>
  </si>
  <si>
    <t>군산미장2차아이파크</t>
  </si>
  <si>
    <t>2017.06.</t>
  </si>
  <si>
    <t>https://new.land.naver.com/complexes/110132?tab=detail&amp;rf=Y</t>
  </si>
  <si>
    <t>전라북도 군산시 미장동 484</t>
  </si>
  <si>
    <t>전라북도 군산시 미장안길 45</t>
  </si>
  <si>
    <t>99D</t>
  </si>
  <si>
    <t>100A</t>
  </si>
  <si>
    <t>100E</t>
  </si>
  <si>
    <t>군산미장아이파크</t>
  </si>
  <si>
    <t>2015.01.</t>
  </si>
  <si>
    <t>https://new.land.naver.com/complexes/106162?tab=detail&amp;rf=Y</t>
  </si>
  <si>
    <t>전라북도 군산시 미장동 542</t>
  </si>
  <si>
    <t>전라북도 군산시 미장남로 10</t>
  </si>
  <si>
    <t>111A</t>
  </si>
  <si>
    <t>111E</t>
  </si>
  <si>
    <t>112B</t>
  </si>
  <si>
    <t>112C</t>
  </si>
  <si>
    <t>미장코아루</t>
  </si>
  <si>
    <t>2007.06.</t>
  </si>
  <si>
    <t>https://new.land.naver.com/complexes/27793?tab=detail&amp;rf=Y</t>
  </si>
  <si>
    <t>전라북도 군산시 미장동 55-5</t>
  </si>
  <si>
    <t>전라북도 군산시 미장안길 42</t>
  </si>
  <si>
    <t>예그린</t>
  </si>
  <si>
    <t>1992.06.</t>
  </si>
  <si>
    <t>75B</t>
  </si>
  <si>
    <t>https://new.land.naver.com/complexes/27794?tab=detail&amp;rf=Y</t>
  </si>
  <si>
    <t>전라북도 군산시 미장동 52-1</t>
  </si>
  <si>
    <t>전라북도 군산시 문화로 205</t>
  </si>
  <si>
    <t>78A</t>
  </si>
  <si>
    <t>수송공원삼성쉐르빌</t>
  </si>
  <si>
    <t>2009.12.</t>
  </si>
  <si>
    <t>113A</t>
  </si>
  <si>
    <t>https://new.land.naver.com/complexes/27010?tab=detail&amp;rf=Y</t>
  </si>
  <si>
    <t>전라북도 군산시 미장동 473</t>
  </si>
  <si>
    <t>전라북도 군산시 경포천로 66</t>
  </si>
  <si>
    <t>135A</t>
  </si>
  <si>
    <t>135B</t>
  </si>
  <si>
    <t>미장대원칸타빌</t>
  </si>
  <si>
    <t>2018.06.</t>
  </si>
  <si>
    <t>https://new.land.naver.com/complexes/112656?tab=detail&amp;rf=Y</t>
  </si>
  <si>
    <t>전라북도 군산시 미장동 558</t>
  </si>
  <si>
    <t>전라북도 군산시 미장남로 100</t>
  </si>
  <si>
    <t>88A</t>
  </si>
  <si>
    <t>100C</t>
  </si>
  <si>
    <t>[사정동]</t>
  </si>
  <si>
    <t>금호타운2단지</t>
  </si>
  <si>
    <t>1996.11.</t>
  </si>
  <si>
    <t>https://new.land.naver.com/complexes/5042?tab=detail&amp;rf=Y</t>
  </si>
  <si>
    <t>전라북도 군산시 사정동 100</t>
  </si>
  <si>
    <t>사정동</t>
  </si>
  <si>
    <t>전라북도 군산시 두란뜸2길 8</t>
  </si>
  <si>
    <t>금호타운1단지</t>
  </si>
  <si>
    <t>1993.02.</t>
  </si>
  <si>
    <t>https://new.land.naver.com/complexes/5036?tab=detail&amp;rf=Y</t>
  </si>
  <si>
    <t>전라북도 군산시 사정동 421</t>
  </si>
  <si>
    <t>전라북도 군산시 내사길 43</t>
  </si>
  <si>
    <t>자연애</t>
  </si>
  <si>
    <t>2014.04.</t>
  </si>
  <si>
    <t>https://new.land.naver.com/complexes/125020?tab=detail&amp;rf=Y</t>
  </si>
  <si>
    <t>전라북도 군산시 사정동 488-1</t>
  </si>
  <si>
    <t>전라북도 군산시 경기장로 36-12</t>
  </si>
  <si>
    <t>[산북동]</t>
  </si>
  <si>
    <t>시영1단지</t>
  </si>
  <si>
    <t>1990.12.</t>
  </si>
  <si>
    <t>43A</t>
  </si>
  <si>
    <t>https://new.land.naver.com/complexes/5044?tab=detail&amp;rf=Y</t>
  </si>
  <si>
    <t>전라북도 군산시 산북동 3551-1</t>
  </si>
  <si>
    <t>산북동</t>
  </si>
  <si>
    <t>전라북도 군산시 칠성안1길 16</t>
  </si>
  <si>
    <t>44B</t>
  </si>
  <si>
    <t>하나리움시티2차</t>
  </si>
  <si>
    <t>2014.12.</t>
  </si>
  <si>
    <t>89A</t>
  </si>
  <si>
    <t>https://new.land.naver.com/complexes/144163?tab=detail&amp;rf=Y</t>
  </si>
  <si>
    <t>전라북도 군산시 산북동 3646</t>
  </si>
  <si>
    <t>전라북도 군산시 원산북2길 6</t>
  </si>
  <si>
    <t>89B</t>
  </si>
  <si>
    <t>산북대명1차</t>
  </si>
  <si>
    <t>1997.09.</t>
  </si>
  <si>
    <t>https://new.land.naver.com/complexes/107967?tab=detail&amp;rf=Y</t>
  </si>
  <si>
    <t>전라북도 군산시 산북동 3579-1</t>
  </si>
  <si>
    <t>전라북도 군산시 원산북2길 35</t>
  </si>
  <si>
    <t>시영2단지</t>
  </si>
  <si>
    <t>1991.11.</t>
  </si>
  <si>
    <t>https://new.land.naver.com/complexes/5045?tab=detail&amp;rf=Y</t>
  </si>
  <si>
    <t>전라북도 군산시 산북동 3551</t>
  </si>
  <si>
    <t>전라북도 군산시 산북로 162</t>
  </si>
  <si>
    <t>성일맨션(3537-4)</t>
  </si>
  <si>
    <t>1996.08.</t>
  </si>
  <si>
    <t>122B</t>
  </si>
  <si>
    <t>https://new.land.naver.com/complexes/143519?tab=detail&amp;rf=Y</t>
  </si>
  <si>
    <t>전라북도 군산시 산북동 3537-4</t>
  </si>
  <si>
    <t>전라북도 군산시 칠성안1길 49</t>
  </si>
  <si>
    <t>122A</t>
  </si>
  <si>
    <t>코오롱</t>
  </si>
  <si>
    <t>1994.11.</t>
  </si>
  <si>
    <t>https://new.land.naver.com/complexes/5046?tab=detail&amp;rf=Y</t>
  </si>
  <si>
    <t>전라북도 군산시 산북동 3538</t>
  </si>
  <si>
    <t>전라북도 군산시 소룡안3길 24</t>
  </si>
  <si>
    <t>산북주공</t>
  </si>
  <si>
    <t>49A</t>
  </si>
  <si>
    <t>https://new.land.naver.com/complexes/5043?tab=detail&amp;rf=Y</t>
  </si>
  <si>
    <t>전라북도 군산시 산북동 3542</t>
  </si>
  <si>
    <t>전라북도 군산시 동아로 145-1</t>
  </si>
  <si>
    <t>49B</t>
  </si>
  <si>
    <t>산북하늘가201동</t>
  </si>
  <si>
    <t>https://new.land.naver.com/complexes/118058?tab=detail&amp;rf=Y</t>
  </si>
  <si>
    <t>전라북도 군산시 산북동 3560-1</t>
  </si>
  <si>
    <t>전라북도 군산시 칠성로 126</t>
  </si>
  <si>
    <t>하늘가1차</t>
  </si>
  <si>
    <t>2001.08.</t>
  </si>
  <si>
    <t>https://new.land.naver.com/complexes/106888?tab=detail&amp;rf=Y</t>
  </si>
  <si>
    <t>전라북도 군산시 산북동 3589</t>
  </si>
  <si>
    <t>전라북도 군산시 부원로 116</t>
  </si>
  <si>
    <t>부향하나로2차</t>
  </si>
  <si>
    <t>https://new.land.naver.com/complexes/127042?tab=detail&amp;rf=Y</t>
  </si>
  <si>
    <t>전라북도 군산시 산북동 3602-4</t>
  </si>
  <si>
    <t>전라북도 군산시 동아로 17</t>
  </si>
  <si>
    <t>산북부향하나로4차</t>
  </si>
  <si>
    <t>https://new.land.naver.com/complexes/16993?tab=detail&amp;rf=Y</t>
  </si>
  <si>
    <t>전라북도 군산시 산북동 3637</t>
  </si>
  <si>
    <t>전라북도 군산시 칠성안5길 40</t>
  </si>
  <si>
    <t>금강맨션</t>
  </si>
  <si>
    <t>1989.11.</t>
  </si>
  <si>
    <t>https://new.land.naver.com/complexes/101157?tab=detail&amp;rf=Y</t>
  </si>
  <si>
    <t>전라북도 군산시 산북동 3540</t>
  </si>
  <si>
    <t>전라북도 군산시 소룡길 86-5</t>
  </si>
  <si>
    <t>서해제일</t>
  </si>
  <si>
    <t>1995.05.</t>
  </si>
  <si>
    <t>https://new.land.naver.com/complexes/16991?tab=detail&amp;rf=Y</t>
  </si>
  <si>
    <t>전라북도 군산시 산북동 3536-1</t>
  </si>
  <si>
    <t>전라북도 군산시 칠성안1길 45</t>
  </si>
  <si>
    <t>성일(3546-5)</t>
  </si>
  <si>
    <t>1995.01.</t>
  </si>
  <si>
    <t>https://new.land.naver.com/complexes/16992?tab=detail&amp;rf=Y</t>
  </si>
  <si>
    <t>전라북도 군산시 산북동 3546-5</t>
  </si>
  <si>
    <t>전라북도 군산시 칠성7길 74</t>
  </si>
  <si>
    <t>고천마을</t>
  </si>
  <si>
    <t>2008.06.</t>
  </si>
  <si>
    <t>https://new.land.naver.com/complexes/102909?tab=detail&amp;rf=Y</t>
  </si>
  <si>
    <t>전라북도 군산시 산북동 3592</t>
  </si>
  <si>
    <t>전라북도 군산시 원산북1길 32</t>
  </si>
  <si>
    <t>부향하나로1차</t>
  </si>
  <si>
    <t>1997.03.</t>
  </si>
  <si>
    <t>https://new.land.naver.com/complexes/118059?tab=detail&amp;rf=Y</t>
  </si>
  <si>
    <t>전라북도 군산시 산북동 3616</t>
  </si>
  <si>
    <t>전라북도 군산시 동아로 12</t>
  </si>
  <si>
    <t>[삼학동]</t>
  </si>
  <si>
    <t>군산삼학대우</t>
  </si>
  <si>
    <t>https://new.land.naver.com/complexes/5047?tab=detail&amp;rf=Y</t>
  </si>
  <si>
    <t>전라북도 군산시 삼학동 811-1</t>
  </si>
  <si>
    <t>삼학동</t>
  </si>
  <si>
    <t>전라북도 군산시 축동로 188</t>
  </si>
  <si>
    <t>삼학</t>
  </si>
  <si>
    <t>1973.02.</t>
  </si>
  <si>
    <t>https://new.land.naver.com/complexes/123852?tab=detail&amp;rf=Y</t>
  </si>
  <si>
    <t>전라북도 군산시 삼학동 275-9</t>
  </si>
  <si>
    <t>전라북도 군산시 삼학5길 9</t>
  </si>
  <si>
    <t>50B</t>
  </si>
  <si>
    <t>50A</t>
  </si>
  <si>
    <t>50C</t>
  </si>
  <si>
    <t>https://new.land.naver.com/complexes/124774?tab=detail&amp;rf=Y</t>
  </si>
  <si>
    <t>전라북도 군산시 삼학동 287</t>
  </si>
  <si>
    <t>전라북도 군산시 삼학5길 25</t>
  </si>
  <si>
    <t>수필담(도시형)</t>
  </si>
  <si>
    <t>2017.12.</t>
  </si>
  <si>
    <t>https://new.land.naver.com/complexes/122293?tab=detail&amp;rf=Y</t>
  </si>
  <si>
    <t>전라북도 군산시 삼학동 314-37</t>
  </si>
  <si>
    <t>전라북도 군산시 월명로 371</t>
  </si>
  <si>
    <t>[서흥남동]</t>
  </si>
  <si>
    <t>수송파미유(도시형)</t>
  </si>
  <si>
    <t>https://new.land.naver.com/complexes/125052?tab=detail&amp;rf=Y</t>
  </si>
  <si>
    <t>전라북도 군산시 서흥남동 855</t>
  </si>
  <si>
    <t>서흥남동</t>
  </si>
  <si>
    <t>전라북도 군산시 동메2길 8</t>
  </si>
  <si>
    <t>56C</t>
  </si>
  <si>
    <t>56D</t>
  </si>
  <si>
    <t>58A</t>
  </si>
  <si>
    <t>58E</t>
  </si>
  <si>
    <t>69D</t>
  </si>
  <si>
    <t>70A</t>
  </si>
  <si>
    <t>70C</t>
  </si>
  <si>
    <t>72A</t>
  </si>
  <si>
    <t>72B</t>
  </si>
  <si>
    <t>73C</t>
  </si>
  <si>
    <t>74D</t>
  </si>
  <si>
    <t>고려타운</t>
  </si>
  <si>
    <t>1992.05.</t>
  </si>
  <si>
    <t>https://new.land.naver.com/complexes/16994?tab=detail&amp;rf=Y</t>
  </si>
  <si>
    <t>전라북도 군산시 서흥남동 818-2</t>
  </si>
  <si>
    <t>전라북도 군산시 서흥2길 56</t>
  </si>
  <si>
    <t>76C</t>
  </si>
  <si>
    <t>77D</t>
  </si>
  <si>
    <t>104B</t>
  </si>
  <si>
    <t>105A</t>
  </si>
  <si>
    <t>[소룡동]</t>
  </si>
  <si>
    <t>군산성원</t>
  </si>
  <si>
    <t>2004.07.</t>
  </si>
  <si>
    <t>https://new.land.naver.com/complexes/11526?tab=detail&amp;rf=Y</t>
  </si>
  <si>
    <t>전라북도 군산시 소룡동 1010</t>
  </si>
  <si>
    <t>소룡동</t>
  </si>
  <si>
    <t>전라북도 군산시 해망로 447</t>
  </si>
  <si>
    <t>나우하이츠</t>
  </si>
  <si>
    <t>2001.07.</t>
  </si>
  <si>
    <t>https://new.land.naver.com/complexes/104844?tab=detail&amp;rf=Y</t>
  </si>
  <si>
    <t>전라북도 군산시 소룡동 1347-12</t>
  </si>
  <si>
    <t>전라북도 군산시 설림길 61</t>
  </si>
  <si>
    <t>금강골드빌</t>
  </si>
  <si>
    <t>2003.02.</t>
  </si>
  <si>
    <t>https://new.land.naver.com/complexes/101215?tab=detail&amp;rf=Y</t>
  </si>
  <si>
    <t>전라북도 군산시 소룡동 1349</t>
  </si>
  <si>
    <t>전라북도 군산시 설림2길 33-1</t>
  </si>
  <si>
    <t>그린서해맨션</t>
  </si>
  <si>
    <t>https://new.land.naver.com/complexes/5054?tab=detail&amp;rf=Y</t>
  </si>
  <si>
    <t>전라북도 군산시 소룡동 857</t>
  </si>
  <si>
    <t>전라북도 군산시 풍전3길 30</t>
  </si>
  <si>
    <t>79B</t>
  </si>
  <si>
    <t>103B</t>
  </si>
  <si>
    <t>동아</t>
  </si>
  <si>
    <t>1990.10.</t>
  </si>
  <si>
    <t>https://new.land.naver.com/complexes/5050?tab=detail&amp;rf=Y</t>
  </si>
  <si>
    <t>전라북도 군산시 소룡동 1323-13</t>
  </si>
  <si>
    <t>전라북도 군산시 동아로 160</t>
  </si>
  <si>
    <t>https://new.land.naver.com/complexes/126362?tab=detail&amp;rf=Y</t>
  </si>
  <si>
    <t>전라북도 군산시 소룡동 1548-9</t>
  </si>
  <si>
    <t>전라북도 군산시 칠성7길 116</t>
  </si>
  <si>
    <t>1992.03.</t>
  </si>
  <si>
    <t>https://new.land.naver.com/complexes/5052?tab=detail&amp;rf=Y</t>
  </si>
  <si>
    <t>전라북도 군산시 소룡동 1552-4</t>
  </si>
  <si>
    <t>전라북도 군산시 칠성4길 186</t>
  </si>
  <si>
    <t>소룡진흥</t>
  </si>
  <si>
    <t>1991.05.</t>
  </si>
  <si>
    <t>https://new.land.naver.com/complexes/5057?tab=detail&amp;rf=Y</t>
  </si>
  <si>
    <t>전라북도 군산시 소룡동 1386-10</t>
  </si>
  <si>
    <t>전라북도 군산시 설림안3길 32</t>
  </si>
  <si>
    <t>스카이타운</t>
  </si>
  <si>
    <t>https://new.land.naver.com/complexes/27490?tab=detail&amp;rf=Y</t>
  </si>
  <si>
    <t>전라북도 군산시 소룡동 1574</t>
  </si>
  <si>
    <t>전라북도 군산시 소룡안3길 34</t>
  </si>
  <si>
    <t>https://new.land.naver.com/complexes/125416?tab=detail&amp;rf=Y</t>
  </si>
  <si>
    <t>전라북도 군산시 소룡동 1547-4</t>
  </si>
  <si>
    <t>전라북도 군산시 소룡안2길 19</t>
  </si>
  <si>
    <t>평화</t>
  </si>
  <si>
    <t>https://new.land.naver.com/complexes/122339?tab=detail&amp;rf=Y</t>
  </si>
  <si>
    <t>전라북도 군산시 소룡동 1551-3</t>
  </si>
  <si>
    <t>전라북도 군산시 칠성6길 185</t>
  </si>
  <si>
    <t>그린</t>
  </si>
  <si>
    <t>https://new.land.naver.com/complexes/127515?tab=detail&amp;rf=Y</t>
  </si>
  <si>
    <t>전라북도 군산시 소룡동 1561-1</t>
  </si>
  <si>
    <t>전라북도 군산시 소룡2길 34</t>
  </si>
  <si>
    <t>소룡제이파크</t>
  </si>
  <si>
    <t>https://new.land.naver.com/complexes/105138?tab=detail&amp;rf=Y</t>
  </si>
  <si>
    <t>전라북도 군산시 소룡동 663</t>
  </si>
  <si>
    <t>전라북도 군산시 해망로 606</t>
  </si>
  <si>
    <t>78B</t>
  </si>
  <si>
    <t>신흥무지개타운</t>
  </si>
  <si>
    <t>https://new.land.naver.com/complexes/106428?tab=detail&amp;rf=Y</t>
  </si>
  <si>
    <t>전라북도 군산시 소룡동 1560-2</t>
  </si>
  <si>
    <t>전라북도 군산시 소룡1길 26</t>
  </si>
  <si>
    <t>신도시</t>
  </si>
  <si>
    <t>2001.12.</t>
  </si>
  <si>
    <t>62A</t>
  </si>
  <si>
    <t>https://new.land.naver.com/complexes/27544?tab=detail&amp;rf=Y</t>
  </si>
  <si>
    <t>전라북도 군산시 소룡동 755</t>
  </si>
  <si>
    <t>전라북도 군산시 풍전6길 16</t>
  </si>
  <si>
    <t>이화</t>
  </si>
  <si>
    <t>1992.02.</t>
  </si>
  <si>
    <t>https://new.land.naver.com/complexes/14975?tab=detail&amp;rf=Y</t>
  </si>
  <si>
    <t>전라북도 군산시 소룡동 1349-26</t>
  </si>
  <si>
    <t>전라북도 군산시 설림2길 22-3</t>
  </si>
  <si>
    <t>[수송동]</t>
  </si>
  <si>
    <t>하이스</t>
  </si>
  <si>
    <t>2010.04.</t>
  </si>
  <si>
    <t>https://new.land.naver.com/complexes/132331?tab=detail&amp;rf=Y</t>
  </si>
  <si>
    <t>전라북도 군산시 수송동 404</t>
  </si>
  <si>
    <t>수송동</t>
  </si>
  <si>
    <t>전라북도 군산시 진포2길 15</t>
  </si>
  <si>
    <t>한라비발디2단지</t>
  </si>
  <si>
    <t>2008.11.</t>
  </si>
  <si>
    <t>https://new.land.naver.com/complexes/100426?tab=detail&amp;rf=Y</t>
  </si>
  <si>
    <t>전라북도 군산시 수송동 885-3</t>
  </si>
  <si>
    <t>전라북도 군산시 수송동로 20</t>
  </si>
  <si>
    <t>114A</t>
  </si>
  <si>
    <t>한라비발디1단지</t>
  </si>
  <si>
    <t>132A</t>
  </si>
  <si>
    <t>https://new.land.naver.com/complexes/26635?tab=detail&amp;rf=Y</t>
  </si>
  <si>
    <t>전라북도 군산시 수송동 885-1</t>
  </si>
  <si>
    <t>전라북도 군산시 수송동로 36</t>
  </si>
  <si>
    <t>159A</t>
  </si>
  <si>
    <t>161B</t>
  </si>
  <si>
    <t>https://new.land.naver.com/complexes/27518?tab=detail&amp;rf=Y</t>
  </si>
  <si>
    <t>전라북도 군산시 수송동 904</t>
  </si>
  <si>
    <t>전라북도 군산시 축동로 10</t>
  </si>
  <si>
    <t>수송아이파크(201-2BL)</t>
  </si>
  <si>
    <t>2008.09.</t>
  </si>
  <si>
    <t>https://new.land.naver.com/complexes/26634?tab=detail&amp;rf=Y</t>
  </si>
  <si>
    <t>전라북도 군산시 수송동 829-2</t>
  </si>
  <si>
    <t>전라북도 군산시 수송동로 91</t>
  </si>
  <si>
    <t>군산수송세영리첼</t>
  </si>
  <si>
    <t>2010.06.</t>
  </si>
  <si>
    <t>https://new.land.naver.com/complexes/101738?tab=detail&amp;rf=Y</t>
  </si>
  <si>
    <t>전라북도 군산시 수송동 830-1</t>
  </si>
  <si>
    <t>전라북도 군산시 수송동로 100</t>
  </si>
  <si>
    <t>114B</t>
  </si>
  <si>
    <t>수송오투그란데2차</t>
  </si>
  <si>
    <t>2011.03.</t>
  </si>
  <si>
    <t>https://new.land.naver.com/complexes/103002?tab=detail&amp;rf=Y</t>
  </si>
  <si>
    <t>전라북도 군산시 수송동 829-1</t>
  </si>
  <si>
    <t>전라북도 군산시 수송동로 105</t>
  </si>
  <si>
    <t>82A</t>
  </si>
  <si>
    <t>수송프라임</t>
  </si>
  <si>
    <t>2016.10.</t>
  </si>
  <si>
    <t>https://new.land.naver.com/complexes/119546?tab=detail&amp;rf=Y</t>
  </si>
  <si>
    <t>전라북도 군산시 수송동 810-6</t>
  </si>
  <si>
    <t>전라북도 군산시 수송로 171</t>
  </si>
  <si>
    <t>1997.06.</t>
  </si>
  <si>
    <t>https://new.land.naver.com/complexes/5059?tab=detail&amp;rf=Y</t>
  </si>
  <si>
    <t>전라북도 군산시 수송동 69-2</t>
  </si>
  <si>
    <t>전라북도 군산시 진포1길 10</t>
  </si>
  <si>
    <t>수송제일</t>
  </si>
  <si>
    <t>2002.03.</t>
  </si>
  <si>
    <t>https://new.land.naver.com/complexes/16996?tab=detail&amp;rf=Y</t>
  </si>
  <si>
    <t>전라북도 군산시 수송동 33-1</t>
  </si>
  <si>
    <t>전라북도 군산시 축동안길 37</t>
  </si>
  <si>
    <t>스타팰리스(도시형)</t>
  </si>
  <si>
    <t>37B-4</t>
  </si>
  <si>
    <t>https://new.land.naver.com/complexes/109957?tab=detail&amp;rf=Y</t>
  </si>
  <si>
    <t>전라북도 군산시 수송동 416-6</t>
  </si>
  <si>
    <t>전라북도 군산시 진포2길 8</t>
  </si>
  <si>
    <t>41B</t>
  </si>
  <si>
    <t>48A-4</t>
  </si>
  <si>
    <t>50B-1</t>
  </si>
  <si>
    <t>53B-2</t>
  </si>
  <si>
    <t>54A-2</t>
  </si>
  <si>
    <t>59B-3</t>
  </si>
  <si>
    <t>67A-3</t>
  </si>
  <si>
    <t>69A-6</t>
  </si>
  <si>
    <t>70A-1</t>
  </si>
  <si>
    <t>70A-2</t>
  </si>
  <si>
    <t>70A-5</t>
  </si>
  <si>
    <t>https://new.land.naver.com/complexes/123068?tab=detail&amp;rf=Y</t>
  </si>
  <si>
    <t>전라북도 군산시 수송동 656</t>
  </si>
  <si>
    <t>전라북도 군산시 신평길 12</t>
  </si>
  <si>
    <t>75A</t>
  </si>
  <si>
    <t>군산수송제일오투그란데2단지</t>
  </si>
  <si>
    <t>2008.10.</t>
  </si>
  <si>
    <t>117A</t>
  </si>
  <si>
    <t>https://new.land.naver.com/complexes/100415?tab=detail&amp;rf=Y</t>
  </si>
  <si>
    <t>전라북도 군산시 수송동 812-1</t>
  </si>
  <si>
    <t>전라북도 군산시 축동로 32</t>
  </si>
  <si>
    <t>118B</t>
  </si>
  <si>
    <t>군산수송제일오투그란데1단지</t>
  </si>
  <si>
    <t>https://new.land.naver.com/complexes/26633?tab=detail&amp;rf=Y</t>
  </si>
  <si>
    <t>전라북도 군산시 수송동 812</t>
  </si>
  <si>
    <t>전라북도 군산시 축동로 42</t>
  </si>
  <si>
    <t>[신풍동]</t>
  </si>
  <si>
    <t>월명</t>
  </si>
  <si>
    <t>1979.05.</t>
  </si>
  <si>
    <t>https://new.land.naver.com/complexes/14976?tab=detail&amp;rf=Y</t>
  </si>
  <si>
    <t>전라북도 군산시 신풍동 892-8</t>
  </si>
  <si>
    <t>신풍동</t>
  </si>
  <si>
    <t>전라북도 군산시 신풍길 22</t>
  </si>
  <si>
    <t>[오식도동]</t>
  </si>
  <si>
    <t>한성필하우스</t>
  </si>
  <si>
    <t>2012.08.</t>
  </si>
  <si>
    <t>https://new.land.naver.com/complexes/140671?tab=detail&amp;rf=Y</t>
  </si>
  <si>
    <t>전라북도 군산시 오식도동 806-3</t>
  </si>
  <si>
    <t>오식도동</t>
  </si>
  <si>
    <t>전라북도 군산시 요죽길 76</t>
  </si>
  <si>
    <t>83C</t>
  </si>
  <si>
    <t>84A</t>
  </si>
  <si>
    <t>[옥산면]</t>
  </si>
  <si>
    <t>힐스테이트은파</t>
  </si>
  <si>
    <t>2015.09.</t>
  </si>
  <si>
    <t>https://new.land.naver.com/complexes/111365?tab=detail&amp;rf=Y</t>
  </si>
  <si>
    <t>전라북도 군산시 옥산면 당북리 1046</t>
  </si>
  <si>
    <t>옥산면</t>
  </si>
  <si>
    <t>전라북도 군산시 월명로 45</t>
  </si>
  <si>
    <t>군산대광로제비앙</t>
  </si>
  <si>
    <t>109A</t>
  </si>
  <si>
    <t>https://new.land.naver.com/complexes/110515?tab=detail&amp;rf=Y</t>
  </si>
  <si>
    <t>전라북도 군산시 옥산면 당북리 1048</t>
  </si>
  <si>
    <t>전라북도 군산시 월명로 55</t>
  </si>
  <si>
    <t>[옥서면]</t>
  </si>
  <si>
    <t>드림빌</t>
  </si>
  <si>
    <t>https://new.land.naver.com/complexes/137450?tab=detail&amp;rf=Y</t>
  </si>
  <si>
    <t>전라북도 군산시 옥서면 선연리 1562-1</t>
  </si>
  <si>
    <t>옥서면</t>
  </si>
  <si>
    <t>전라북도 군산시 옥구저수지로 307</t>
  </si>
  <si>
    <t>[월명동]</t>
  </si>
  <si>
    <t>현대오솔</t>
  </si>
  <si>
    <t>2003.09.</t>
  </si>
  <si>
    <t>https://new.land.naver.com/complexes/104593?tab=detail&amp;rf=Y</t>
  </si>
  <si>
    <t>전라북도 군산시 월명동 15-1</t>
  </si>
  <si>
    <t>월명동</t>
  </si>
  <si>
    <t>전라북도 군산시 구영5길 21-3</t>
  </si>
  <si>
    <t>클래시움</t>
  </si>
  <si>
    <t>https://new.land.naver.com/complexes/22980?tab=detail&amp;rf=Y</t>
  </si>
  <si>
    <t>전라북도 군산시 월명동 23-1</t>
  </si>
  <si>
    <t>전라북도 군산시 월명1길 3</t>
  </si>
  <si>
    <t>다원파크빌</t>
  </si>
  <si>
    <t>2002.08.</t>
  </si>
  <si>
    <t>https://new.land.naver.com/complexes/23010?tab=detail&amp;rf=Y</t>
  </si>
  <si>
    <t>전라북도 군산시 월명동 7-3</t>
  </si>
  <si>
    <t>전라북도 군산시 구영6길 31</t>
  </si>
  <si>
    <t>[임피면]</t>
  </si>
  <si>
    <t>무지개</t>
  </si>
  <si>
    <t>https://new.land.naver.com/complexes/116353?tab=detail&amp;rf=Y</t>
  </si>
  <si>
    <t>전라북도 군산시 임피면 읍내리 323</t>
  </si>
  <si>
    <t>임피면</t>
  </si>
  <si>
    <t>전라북도 군산시 임피1길 52</t>
  </si>
  <si>
    <t>[장재동]</t>
  </si>
  <si>
    <t>그린장미</t>
  </si>
  <si>
    <t>https://new.land.naver.com/complexes/106424?tab=detail&amp;rf=Y</t>
  </si>
  <si>
    <t>전라북도 군산시 장재동 45-4</t>
  </si>
  <si>
    <t>장재동</t>
  </si>
  <si>
    <t>전라북도 군산시 풍문2길 30</t>
  </si>
  <si>
    <t>한일</t>
  </si>
  <si>
    <t>1989.05.</t>
  </si>
  <si>
    <t>https://new.land.naver.com/complexes/14977?tab=detail&amp;rf=Y</t>
  </si>
  <si>
    <t>전라북도 군산시 장재동 380-1</t>
  </si>
  <si>
    <t>전라북도 군산시 동팔마길 39</t>
  </si>
  <si>
    <t>현대세솔</t>
  </si>
  <si>
    <t>https://new.land.naver.com/complexes/27292?tab=detail&amp;rf=Y</t>
  </si>
  <si>
    <t>전라북도 군산시 장재동 212</t>
  </si>
  <si>
    <t>전라북도 군산시 풍문2길 35</t>
  </si>
  <si>
    <t>103A</t>
  </si>
  <si>
    <t>[조촌동]</t>
  </si>
  <si>
    <t>군산디오션시티푸르지오</t>
  </si>
  <si>
    <t>2018.03.</t>
  </si>
  <si>
    <t>https://new.land.naver.com/complexes/113152?tab=detail&amp;rf=Y</t>
  </si>
  <si>
    <t>전라북도 군산시 조촌동 3943</t>
  </si>
  <si>
    <t>조촌동</t>
  </si>
  <si>
    <t>전라북도 군산시 궁포2로 20</t>
  </si>
  <si>
    <t>102C</t>
  </si>
  <si>
    <t>102B</t>
  </si>
  <si>
    <t>타워써미트</t>
  </si>
  <si>
    <t>2012.06.</t>
  </si>
  <si>
    <t>https://new.land.naver.com/complexes/126738?tab=detail&amp;rf=Y</t>
  </si>
  <si>
    <t>전라북도 군산시 조촌동 3931</t>
  </si>
  <si>
    <t>전라북도 군산시 공단대로 54</t>
  </si>
  <si>
    <t>현대한솔</t>
  </si>
  <si>
    <t>https://new.land.naver.com/complexes/106468?tab=detail&amp;rf=Y</t>
  </si>
  <si>
    <t>전라북도 군산시 조촌동 895-16</t>
  </si>
  <si>
    <t>전라북도 군산시 번영로 159</t>
  </si>
  <si>
    <t>1992.10.</t>
  </si>
  <si>
    <t>https://new.land.naver.com/complexes/5067?tab=detail&amp;rf=Y</t>
  </si>
  <si>
    <t>전라북도 군산시 조촌동 491</t>
  </si>
  <si>
    <t>전라북도 군산시 백릉로 162</t>
  </si>
  <si>
    <t>92S</t>
  </si>
  <si>
    <t>104S</t>
  </si>
  <si>
    <t>부향하나로</t>
  </si>
  <si>
    <t>1996.09.</t>
  </si>
  <si>
    <t>https://new.land.naver.com/complexes/128224?tab=detail&amp;rf=Y</t>
  </si>
  <si>
    <t>전라북도 군산시 조촌동 771</t>
  </si>
  <si>
    <t>전라북도 군산시 번영로 188-22</t>
  </si>
  <si>
    <t>e편한세상군산디오션시티</t>
  </si>
  <si>
    <t>2018.11.</t>
  </si>
  <si>
    <t>https://new.land.naver.com/complexes/112707?tab=detail&amp;rf=Y</t>
  </si>
  <si>
    <t>전라북도 군산시 조촌동 3963</t>
  </si>
  <si>
    <t>전라북도 군산시 궁포2로 25</t>
  </si>
  <si>
    <t>시영</t>
  </si>
  <si>
    <t>https://new.land.naver.com/complexes/5069?tab=detail&amp;rf=Y</t>
  </si>
  <si>
    <t>전라북도 군산시 조촌동 903-1</t>
  </si>
  <si>
    <t>전라북도 군산시 양안로 130</t>
  </si>
  <si>
    <t>더샵디오션시티2차</t>
  </si>
  <si>
    <t>2023.07.</t>
  </si>
  <si>
    <t>https://new.land.naver.com/complexes/139928?tab=detail&amp;rf=Y</t>
  </si>
  <si>
    <t>전라북도 군산시 조촌동 2-28번지 일원 (군산디오션시티 A5BL)</t>
  </si>
  <si>
    <t>109B</t>
  </si>
  <si>
    <t>109C</t>
  </si>
  <si>
    <t>동신개나리</t>
  </si>
  <si>
    <t>https://new.land.naver.com/complexes/5065?tab=detail&amp;rf=Y</t>
  </si>
  <si>
    <t>전라북도 군산시 조촌동 907-2</t>
  </si>
  <si>
    <t>전라북도 군산시 양안로 119</t>
  </si>
  <si>
    <t>센트럴파크</t>
  </si>
  <si>
    <t>2017.10.</t>
  </si>
  <si>
    <t>https://new.land.naver.com/complexes/111158?tab=detail&amp;rf=Y</t>
  </si>
  <si>
    <t>전라북도 군산시 조촌동 769-4</t>
  </si>
  <si>
    <t>전라북도 군산시 번영로 190</t>
  </si>
  <si>
    <t>https://new.land.naver.com/complexes/5073?tab=detail&amp;rf=Y</t>
  </si>
  <si>
    <t>전라북도 군산시 조촌동 903-2</t>
  </si>
  <si>
    <t>전라북도 군산시 양안로 120</t>
  </si>
  <si>
    <t>미르에코리버</t>
  </si>
  <si>
    <t>2015.02.</t>
  </si>
  <si>
    <t>https://new.land.naver.com/complexes/126017?tab=detail&amp;rf=Y</t>
  </si>
  <si>
    <t>전라북도 군산시 조촌동 952-1</t>
  </si>
  <si>
    <t>전라북도 군산시 부골3길 20-5</t>
  </si>
  <si>
    <t>대명3차</t>
  </si>
  <si>
    <t>https://new.land.naver.com/complexes/127340?tab=detail&amp;rf=Y</t>
  </si>
  <si>
    <t>전라북도 군산시 조촌동 759-1</t>
  </si>
  <si>
    <t>전라북도 군산시 신촌1길 36</t>
  </si>
  <si>
    <t>더샵디오션시티</t>
  </si>
  <si>
    <t>2021.10.</t>
  </si>
  <si>
    <t>https://new.land.naver.com/complexes/125752?tab=detail&amp;rf=Y</t>
  </si>
  <si>
    <t>전라북도 군산시 조촌동 2-31</t>
  </si>
  <si>
    <t>전라북도 군산시 궁포1로 79</t>
  </si>
  <si>
    <t>https://new.land.naver.com/complexes/135799?tab=detail&amp;rf=Y</t>
  </si>
  <si>
    <t>전라북도 군산시 조촌동 907-1</t>
  </si>
  <si>
    <t>전라북도 군산시 양안로 123</t>
  </si>
  <si>
    <t>e편한세상디오션시티2차</t>
  </si>
  <si>
    <t>2020.05.</t>
  </si>
  <si>
    <t>https://new.land.naver.com/complexes/120089?tab=detail&amp;rf=Y</t>
  </si>
  <si>
    <t>전라북도 군산시 조촌동 3967</t>
  </si>
  <si>
    <t>전라북도 군산시 궁포1로 82</t>
  </si>
  <si>
    <t>188P</t>
  </si>
  <si>
    <t>[지곡동]</t>
  </si>
  <si>
    <t>군산호수공원아이파크</t>
  </si>
  <si>
    <t>2024.01.</t>
  </si>
  <si>
    <t>https://new.land.naver.com/complexes/141761?tab=detail&amp;rf=Y</t>
  </si>
  <si>
    <t>전라북도 군산시 지곡동 산 66번지 일원</t>
  </si>
  <si>
    <t>지곡동</t>
  </si>
  <si>
    <t>234P</t>
  </si>
  <si>
    <t>304P</t>
  </si>
  <si>
    <t>은파코아루</t>
  </si>
  <si>
    <t>2006.12.</t>
  </si>
  <si>
    <t>https://new.land.naver.com/complexes/26913?tab=detail&amp;rf=Y</t>
  </si>
  <si>
    <t>전라북도 군산시 지곡동 158-1</t>
  </si>
  <si>
    <t>전라북도 군산시 동지곡길 53</t>
  </si>
  <si>
    <t>지곡쌍용예가</t>
  </si>
  <si>
    <t>2014.08.</t>
  </si>
  <si>
    <t>https://new.land.naver.com/complexes/104620?tab=detail&amp;rf=Y</t>
  </si>
  <si>
    <t>전라북도 군산시 지곡동 607</t>
  </si>
  <si>
    <t>전라북도 군산시 계산로 71</t>
  </si>
  <si>
    <t>84B</t>
  </si>
  <si>
    <t>지곡엠코타운</t>
  </si>
  <si>
    <t>https://new.land.naver.com/complexes/109796?tab=detail&amp;rf=Y</t>
  </si>
  <si>
    <t>전라북도 군산시 지곡동 609</t>
  </si>
  <si>
    <t>전라북도 군산시 계산로 90</t>
  </si>
  <si>
    <t>108A</t>
  </si>
  <si>
    <t>108B</t>
  </si>
  <si>
    <t>서희스타힐스</t>
  </si>
  <si>
    <t>2015.12.</t>
  </si>
  <si>
    <t>https://new.land.naver.com/complexes/112195?tab=detail&amp;rf=Y</t>
  </si>
  <si>
    <t>전라북도 군산시 지곡동 612</t>
  </si>
  <si>
    <t>전라북도 군산시 지곡로 52</t>
  </si>
  <si>
    <t>107A</t>
  </si>
  <si>
    <t>도현해나지오</t>
  </si>
  <si>
    <t>2004.03.</t>
  </si>
  <si>
    <t>https://new.land.naver.com/complexes/26767?tab=detail&amp;rf=Y</t>
  </si>
  <si>
    <t>전라북도 군산시 지곡동 42-5</t>
  </si>
  <si>
    <t>전라북도 군산시 계산로 78</t>
  </si>
  <si>
    <t>추출대상</t>
  </si>
  <si>
    <t>매전갭</t>
  </si>
  <si>
    <t>'95.06.</t>
  </si>
  <si>
    <t>복</t>
  </si>
  <si>
    <t>A+</t>
  </si>
  <si>
    <t>B+</t>
  </si>
  <si>
    <t>계</t>
  </si>
  <si>
    <t>8</t>
  </si>
  <si>
    <t>'15.11.</t>
  </si>
  <si>
    <t>17</t>
  </si>
  <si>
    <t>14</t>
  </si>
  <si>
    <t>24</t>
  </si>
  <si>
    <t>9</t>
  </si>
  <si>
    <t>6</t>
  </si>
  <si>
    <t>'98.09.</t>
  </si>
  <si>
    <t>13</t>
  </si>
  <si>
    <t>'94.03.</t>
  </si>
  <si>
    <t>15</t>
  </si>
  <si>
    <t>10</t>
  </si>
  <si>
    <t>'97.01.</t>
  </si>
  <si>
    <t>'90.11.</t>
  </si>
  <si>
    <t>'22.09.</t>
  </si>
  <si>
    <t>'02.12.</t>
  </si>
  <si>
    <t>'09.03.</t>
  </si>
  <si>
    <t>19</t>
  </si>
  <si>
    <t>'94.09.</t>
  </si>
  <si>
    <t>'93.10.</t>
  </si>
  <si>
    <t>고</t>
  </si>
  <si>
    <t>'90.04.</t>
  </si>
  <si>
    <t>'95.12.</t>
  </si>
  <si>
    <t>5</t>
  </si>
  <si>
    <t>'96.04.</t>
  </si>
  <si>
    <t>'92.08.</t>
  </si>
  <si>
    <t>중</t>
  </si>
  <si>
    <t>7</t>
  </si>
  <si>
    <t>'91.09.</t>
  </si>
  <si>
    <t>'83.12.</t>
  </si>
  <si>
    <t>'10.03.</t>
  </si>
  <si>
    <t>'97.12.</t>
  </si>
  <si>
    <t>'97.02.</t>
  </si>
  <si>
    <t>'91.03.</t>
  </si>
  <si>
    <t>'96.07.</t>
  </si>
  <si>
    <t>12</t>
  </si>
  <si>
    <t>20</t>
  </si>
  <si>
    <t>'92.11.</t>
  </si>
  <si>
    <t>'93.12.</t>
  </si>
  <si>
    <t>'08.08.</t>
  </si>
  <si>
    <t>'95.07.</t>
  </si>
  <si>
    <t>'98.05.</t>
  </si>
  <si>
    <t>11</t>
  </si>
  <si>
    <t>'94.06.</t>
  </si>
  <si>
    <t>'79.01.</t>
  </si>
  <si>
    <t>'16.04.</t>
  </si>
  <si>
    <t>'11.10.</t>
  </si>
  <si>
    <t>'06.02.</t>
  </si>
  <si>
    <t>'98.06.</t>
  </si>
  <si>
    <t>18</t>
  </si>
  <si>
    <t>'08.12.</t>
  </si>
  <si>
    <t>'07.09.</t>
  </si>
  <si>
    <t>'01.06.</t>
  </si>
  <si>
    <t>'98.04.</t>
  </si>
  <si>
    <t>'07.02.</t>
  </si>
  <si>
    <t>'02.05.</t>
  </si>
  <si>
    <t>'01.03.</t>
  </si>
  <si>
    <t>'06.06.</t>
  </si>
  <si>
    <t>'04.11.</t>
  </si>
  <si>
    <t>'17.06.</t>
  </si>
  <si>
    <t>16</t>
  </si>
  <si>
    <t>'15.01.</t>
  </si>
  <si>
    <t>'07.06.</t>
  </si>
  <si>
    <t>'09.12.</t>
  </si>
  <si>
    <t>'18.06.</t>
  </si>
  <si>
    <t>21</t>
  </si>
  <si>
    <t>23</t>
  </si>
  <si>
    <t>25</t>
  </si>
  <si>
    <t>'96.11.</t>
  </si>
  <si>
    <t>'93.02.</t>
  </si>
  <si>
    <t>'90.12.</t>
  </si>
  <si>
    <t>'97.09.</t>
  </si>
  <si>
    <t>'91.11.</t>
  </si>
  <si>
    <t>'94.11.</t>
  </si>
  <si>
    <t>'89.04.</t>
  </si>
  <si>
    <t>'01.08.</t>
  </si>
  <si>
    <t>'97.03.</t>
  </si>
  <si>
    <t>'92.05.</t>
  </si>
  <si>
    <t>'04.07.</t>
  </si>
  <si>
    <t>'03.02.</t>
  </si>
  <si>
    <t>'90.10.</t>
  </si>
  <si>
    <t>'91.05.</t>
  </si>
  <si>
    <t>'01.12.</t>
  </si>
  <si>
    <t>'92.02.</t>
  </si>
  <si>
    <t>'08.11.</t>
  </si>
  <si>
    <t>'08.09.</t>
  </si>
  <si>
    <t>'10.06.</t>
  </si>
  <si>
    <t>'11.03.</t>
  </si>
  <si>
    <t>'97.06.</t>
  </si>
  <si>
    <t>'02.03.</t>
  </si>
  <si>
    <t>'08.10.</t>
  </si>
  <si>
    <t>'79.05.</t>
  </si>
  <si>
    <t>'12.08.</t>
  </si>
  <si>
    <t>'15.09.</t>
  </si>
  <si>
    <t>'17.12.</t>
  </si>
  <si>
    <t>'04.05.</t>
  </si>
  <si>
    <t>'18.03.</t>
  </si>
  <si>
    <t>26</t>
  </si>
  <si>
    <t>28</t>
  </si>
  <si>
    <t>'12.06.</t>
  </si>
  <si>
    <t>'92.10.</t>
  </si>
  <si>
    <t>'96.09.</t>
  </si>
  <si>
    <t>'18.11.</t>
  </si>
  <si>
    <t>'23.07.</t>
  </si>
  <si>
    <t>'17.10.</t>
  </si>
  <si>
    <t>30</t>
  </si>
  <si>
    <t>'95.09.</t>
  </si>
  <si>
    <t>'21.10.</t>
  </si>
  <si>
    <t>동명</t>
  </si>
  <si>
    <t>'19.04</t>
  </si>
  <si>
    <t>전북 군산시</t>
    <phoneticPr fontId="2" type="noConversion"/>
  </si>
  <si>
    <t>경암동 새한</t>
    <phoneticPr fontId="2" type="noConversion"/>
  </si>
  <si>
    <t>95.06.</t>
    <phoneticPr fontId="2" type="noConversion"/>
  </si>
  <si>
    <t>경암동 새한</t>
    <phoneticPr fontId="2" type="noConversion"/>
  </si>
  <si>
    <t>95.06.</t>
    <phoneticPr fontId="2" type="noConversion"/>
  </si>
  <si>
    <t>경암동 경암제일오투그란데</t>
    <phoneticPr fontId="2" type="noConversion"/>
  </si>
  <si>
    <t>15.11.</t>
    <phoneticPr fontId="2" type="noConversion"/>
  </si>
  <si>
    <t>경암동 경암부향하나로</t>
    <phoneticPr fontId="2" type="noConversion"/>
  </si>
  <si>
    <t>98.09.</t>
    <phoneticPr fontId="2" type="noConversion"/>
  </si>
  <si>
    <t>구암동 현대</t>
    <phoneticPr fontId="2" type="noConversion"/>
  </si>
  <si>
    <t>94.03.</t>
    <phoneticPr fontId="2" type="noConversion"/>
  </si>
  <si>
    <t>구암동 현대</t>
    <phoneticPr fontId="2" type="noConversion"/>
  </si>
  <si>
    <t>94.03.</t>
    <phoneticPr fontId="2" type="noConversion"/>
  </si>
  <si>
    <t>구암동 세풍</t>
    <phoneticPr fontId="2" type="noConversion"/>
  </si>
  <si>
    <t>97.01.</t>
    <phoneticPr fontId="2" type="noConversion"/>
  </si>
  <si>
    <t>구암동 세풍</t>
    <phoneticPr fontId="2" type="noConversion"/>
  </si>
  <si>
    <t>금광동 삼성</t>
    <phoneticPr fontId="2" type="noConversion"/>
  </si>
  <si>
    <t>90.11.</t>
    <phoneticPr fontId="2" type="noConversion"/>
  </si>
  <si>
    <t>나운동 나운금호어울림센트럴</t>
    <phoneticPr fontId="2" type="noConversion"/>
  </si>
  <si>
    <t>22.09.</t>
    <phoneticPr fontId="2" type="noConversion"/>
  </si>
  <si>
    <t>나운동 세경</t>
    <phoneticPr fontId="2" type="noConversion"/>
  </si>
  <si>
    <t>02.12.</t>
    <phoneticPr fontId="2" type="noConversion"/>
  </si>
  <si>
    <t>나운동 수송코아루</t>
    <phoneticPr fontId="2" type="noConversion"/>
  </si>
  <si>
    <t>09.03.</t>
    <phoneticPr fontId="2" type="noConversion"/>
  </si>
  <si>
    <t>나운동 금호타운2차</t>
    <phoneticPr fontId="2" type="noConversion"/>
  </si>
  <si>
    <t>94.09.</t>
    <phoneticPr fontId="2" type="noConversion"/>
  </si>
  <si>
    <t>나운동 나운현대2차</t>
    <phoneticPr fontId="2" type="noConversion"/>
  </si>
  <si>
    <t>93.10.</t>
    <phoneticPr fontId="2" type="noConversion"/>
  </si>
  <si>
    <t>나운동 나운현대2차</t>
    <phoneticPr fontId="2" type="noConversion"/>
  </si>
  <si>
    <t>나운동 현대1차</t>
    <phoneticPr fontId="2" type="noConversion"/>
  </si>
  <si>
    <t>90.04.</t>
    <phoneticPr fontId="2" type="noConversion"/>
  </si>
  <si>
    <t>나운동 현대1차</t>
    <phoneticPr fontId="2" type="noConversion"/>
  </si>
  <si>
    <t>90.04.</t>
    <phoneticPr fontId="2" type="noConversion"/>
  </si>
  <si>
    <t>나운동 현대1차</t>
    <phoneticPr fontId="2" type="noConversion"/>
  </si>
  <si>
    <t>90.04.</t>
    <phoneticPr fontId="2" type="noConversion"/>
  </si>
  <si>
    <t>나운동 나운청솔</t>
    <phoneticPr fontId="2" type="noConversion"/>
  </si>
  <si>
    <t>02.12.</t>
    <phoneticPr fontId="2" type="noConversion"/>
  </si>
  <si>
    <t>나운동 신일</t>
    <phoneticPr fontId="2" type="noConversion"/>
  </si>
  <si>
    <t>95.12.</t>
    <phoneticPr fontId="2" type="noConversion"/>
  </si>
  <si>
    <t>나운동 롯데4차</t>
    <phoneticPr fontId="2" type="noConversion"/>
  </si>
  <si>
    <t>96.04.</t>
    <phoneticPr fontId="2" type="noConversion"/>
  </si>
  <si>
    <t>나운동 롯데4차</t>
    <phoneticPr fontId="2" type="noConversion"/>
  </si>
  <si>
    <t>96.04.</t>
    <phoneticPr fontId="2" type="noConversion"/>
  </si>
  <si>
    <t>나운동 롯데4차</t>
    <phoneticPr fontId="2" type="noConversion"/>
  </si>
  <si>
    <t>96.04.</t>
    <phoneticPr fontId="2" type="noConversion"/>
  </si>
  <si>
    <t>나운동 롯데2차</t>
    <phoneticPr fontId="2" type="noConversion"/>
  </si>
  <si>
    <t>92.08.</t>
    <phoneticPr fontId="2" type="noConversion"/>
  </si>
  <si>
    <t>나운동 롯데2차</t>
    <phoneticPr fontId="2" type="noConversion"/>
  </si>
  <si>
    <t>92.08.</t>
    <phoneticPr fontId="2" type="noConversion"/>
  </si>
  <si>
    <t>나운동 롯데2차</t>
    <phoneticPr fontId="2" type="noConversion"/>
  </si>
  <si>
    <t>92.08.</t>
    <phoneticPr fontId="2" type="noConversion"/>
  </si>
  <si>
    <t>나운동 우성</t>
    <phoneticPr fontId="2" type="noConversion"/>
  </si>
  <si>
    <t>나운동 우성</t>
    <phoneticPr fontId="2" type="noConversion"/>
  </si>
  <si>
    <t>나운동 금호타운1차</t>
    <phoneticPr fontId="2" type="noConversion"/>
  </si>
  <si>
    <t>91.09.</t>
    <phoneticPr fontId="2" type="noConversion"/>
  </si>
  <si>
    <t>나운동 서호</t>
    <phoneticPr fontId="2" type="noConversion"/>
  </si>
  <si>
    <t>나운동 주공3단지</t>
    <phoneticPr fontId="2" type="noConversion"/>
  </si>
  <si>
    <t>83.12.</t>
    <phoneticPr fontId="2" type="noConversion"/>
  </si>
  <si>
    <t>나운동 주공3단지</t>
    <phoneticPr fontId="2" type="noConversion"/>
  </si>
  <si>
    <t>83.12.</t>
    <phoneticPr fontId="2" type="noConversion"/>
  </si>
  <si>
    <t>나운동 주공3단지</t>
    <phoneticPr fontId="2" type="noConversion"/>
  </si>
  <si>
    <t>나운동 나운보람더하임</t>
    <phoneticPr fontId="2" type="noConversion"/>
  </si>
  <si>
    <t>10.03.</t>
    <phoneticPr fontId="2" type="noConversion"/>
  </si>
  <si>
    <t>나운동 나운보람더하임</t>
    <phoneticPr fontId="2" type="noConversion"/>
  </si>
  <si>
    <t>10.03.</t>
    <phoneticPr fontId="2" type="noConversion"/>
  </si>
  <si>
    <t>나운동 나운보람더하임</t>
    <phoneticPr fontId="2" type="noConversion"/>
  </si>
  <si>
    <t>10.03.</t>
    <phoneticPr fontId="2" type="noConversion"/>
  </si>
  <si>
    <t>나운동 동신</t>
    <phoneticPr fontId="2" type="noConversion"/>
  </si>
  <si>
    <t>97.12.</t>
    <phoneticPr fontId="2" type="noConversion"/>
  </si>
  <si>
    <t>나운동 동신</t>
    <phoneticPr fontId="2" type="noConversion"/>
  </si>
  <si>
    <t>97.12.</t>
    <phoneticPr fontId="2" type="noConversion"/>
  </si>
  <si>
    <t>나운동 대우</t>
    <phoneticPr fontId="2" type="noConversion"/>
  </si>
  <si>
    <t>97.02.</t>
    <phoneticPr fontId="2" type="noConversion"/>
  </si>
  <si>
    <t>97.02.</t>
    <phoneticPr fontId="2" type="noConversion"/>
  </si>
  <si>
    <t>나운동 롯데1차</t>
    <phoneticPr fontId="2" type="noConversion"/>
  </si>
  <si>
    <t>91.03.</t>
    <phoneticPr fontId="2" type="noConversion"/>
  </si>
  <si>
    <t>나운동 롯데1차</t>
    <phoneticPr fontId="2" type="noConversion"/>
  </si>
  <si>
    <t>91.03.</t>
    <phoneticPr fontId="2" type="noConversion"/>
  </si>
  <si>
    <t>나운동 롯데1차</t>
    <phoneticPr fontId="2" type="noConversion"/>
  </si>
  <si>
    <t>91.03.</t>
    <phoneticPr fontId="2" type="noConversion"/>
  </si>
  <si>
    <t>나운동 롯데1차</t>
    <phoneticPr fontId="2" type="noConversion"/>
  </si>
  <si>
    <t>91.03.</t>
    <phoneticPr fontId="2" type="noConversion"/>
  </si>
  <si>
    <t>나운동 한울</t>
    <phoneticPr fontId="2" type="noConversion"/>
  </si>
  <si>
    <t>96.07.</t>
    <phoneticPr fontId="2" type="noConversion"/>
  </si>
  <si>
    <t>나운동 현대3차</t>
    <phoneticPr fontId="2" type="noConversion"/>
  </si>
  <si>
    <t>95.06.</t>
    <phoneticPr fontId="2" type="noConversion"/>
  </si>
  <si>
    <t>나운동 현대3차</t>
    <phoneticPr fontId="2" type="noConversion"/>
  </si>
  <si>
    <t>95.06.</t>
    <phoneticPr fontId="2" type="noConversion"/>
  </si>
  <si>
    <t>나운동 현대3차</t>
    <phoneticPr fontId="2" type="noConversion"/>
  </si>
  <si>
    <t>나운동 현대백조</t>
    <phoneticPr fontId="2" type="noConversion"/>
  </si>
  <si>
    <t>92.11.</t>
    <phoneticPr fontId="2" type="noConversion"/>
  </si>
  <si>
    <t>92.11.</t>
    <phoneticPr fontId="2" type="noConversion"/>
  </si>
  <si>
    <t>나운동 동신진주</t>
    <phoneticPr fontId="2" type="noConversion"/>
  </si>
  <si>
    <t>93.12.</t>
    <phoneticPr fontId="2" type="noConversion"/>
  </si>
  <si>
    <t>나운동 수송금호어울림</t>
    <phoneticPr fontId="2" type="noConversion"/>
  </si>
  <si>
    <t>08.08.</t>
    <phoneticPr fontId="2" type="noConversion"/>
  </si>
  <si>
    <t>나운동 영창</t>
    <phoneticPr fontId="2" type="noConversion"/>
  </si>
  <si>
    <t>95.06.</t>
    <phoneticPr fontId="2" type="noConversion"/>
  </si>
  <si>
    <t>나운동 비사벌</t>
    <phoneticPr fontId="2" type="noConversion"/>
  </si>
  <si>
    <t>97.02.</t>
    <phoneticPr fontId="2" type="noConversion"/>
  </si>
  <si>
    <t>나운동 나운유원</t>
    <phoneticPr fontId="2" type="noConversion"/>
  </si>
  <si>
    <t>90.11.</t>
    <phoneticPr fontId="2" type="noConversion"/>
  </si>
  <si>
    <t>나운동 나운유원</t>
    <phoneticPr fontId="2" type="noConversion"/>
  </si>
  <si>
    <t>90.11.</t>
    <phoneticPr fontId="2" type="noConversion"/>
  </si>
  <si>
    <t>나운동 나운유원</t>
    <phoneticPr fontId="2" type="noConversion"/>
  </si>
  <si>
    <t>나운동 주공5단지</t>
    <phoneticPr fontId="2" type="noConversion"/>
  </si>
  <si>
    <t>95.07.</t>
    <phoneticPr fontId="2" type="noConversion"/>
  </si>
  <si>
    <t>95.07.</t>
    <phoneticPr fontId="2" type="noConversion"/>
  </si>
  <si>
    <t>95.07.</t>
    <phoneticPr fontId="2" type="noConversion"/>
  </si>
  <si>
    <t>나운동 현대4차</t>
    <phoneticPr fontId="2" type="noConversion"/>
  </si>
  <si>
    <t>98.09.</t>
    <phoneticPr fontId="2" type="noConversion"/>
  </si>
  <si>
    <t>나운동 현대4차</t>
    <phoneticPr fontId="2" type="noConversion"/>
  </si>
  <si>
    <t>나운동 삼성(401)</t>
    <phoneticPr fontId="2" type="noConversion"/>
  </si>
  <si>
    <t>98.05.</t>
    <phoneticPr fontId="2" type="noConversion"/>
  </si>
  <si>
    <t>나운동 삼성(401)</t>
    <phoneticPr fontId="2" type="noConversion"/>
  </si>
  <si>
    <t>98.05.</t>
    <phoneticPr fontId="2" type="noConversion"/>
  </si>
  <si>
    <t>98.05.</t>
    <phoneticPr fontId="2" type="noConversion"/>
  </si>
  <si>
    <t>나운동 롯데3차</t>
    <phoneticPr fontId="2" type="noConversion"/>
  </si>
  <si>
    <t>94.06.</t>
    <phoneticPr fontId="2" type="noConversion"/>
  </si>
  <si>
    <t>나운동 우진</t>
    <phoneticPr fontId="2" type="noConversion"/>
  </si>
  <si>
    <t>79.01.</t>
    <phoneticPr fontId="2" type="noConversion"/>
  </si>
  <si>
    <t>대명동 현대메트로타워2차</t>
    <phoneticPr fontId="2" type="noConversion"/>
  </si>
  <si>
    <t>16.04.</t>
    <phoneticPr fontId="2" type="noConversion"/>
  </si>
  <si>
    <t>대명동 현대메트로타워</t>
    <phoneticPr fontId="2" type="noConversion"/>
  </si>
  <si>
    <t>11.10.</t>
    <phoneticPr fontId="2" type="noConversion"/>
  </si>
  <si>
    <t>대명동 현대메트로타워</t>
    <phoneticPr fontId="2" type="noConversion"/>
  </si>
  <si>
    <t>동흥남동 군산동흥남주공</t>
    <phoneticPr fontId="2" type="noConversion"/>
  </si>
  <si>
    <t>06.02.</t>
    <phoneticPr fontId="2" type="noConversion"/>
  </si>
  <si>
    <t>06.02.</t>
    <phoneticPr fontId="2" type="noConversion"/>
  </si>
  <si>
    <t>문화동 삼성</t>
    <phoneticPr fontId="2" type="noConversion"/>
  </si>
  <si>
    <t>92.08.</t>
    <phoneticPr fontId="2" type="noConversion"/>
  </si>
  <si>
    <t>미룡동 미룡대명1차</t>
    <phoneticPr fontId="2" type="noConversion"/>
  </si>
  <si>
    <t>98.06.</t>
    <phoneticPr fontId="2" type="noConversion"/>
  </si>
  <si>
    <t>미룡동 금광베네스타</t>
    <phoneticPr fontId="2" type="noConversion"/>
  </si>
  <si>
    <t>08.12.</t>
    <phoneticPr fontId="2" type="noConversion"/>
  </si>
  <si>
    <t>08.12.</t>
    <phoneticPr fontId="2" type="noConversion"/>
  </si>
  <si>
    <t>미룡동 은파롯데캐슬</t>
    <phoneticPr fontId="2" type="noConversion"/>
  </si>
  <si>
    <t>07.09.</t>
    <phoneticPr fontId="2" type="noConversion"/>
  </si>
  <si>
    <t>07.09.</t>
    <phoneticPr fontId="2" type="noConversion"/>
  </si>
  <si>
    <t>미룡동 미룡주공3단지</t>
    <phoneticPr fontId="2" type="noConversion"/>
  </si>
  <si>
    <t>01.06.</t>
    <phoneticPr fontId="2" type="noConversion"/>
  </si>
  <si>
    <t>미룡동 산북부향하나로3차</t>
    <phoneticPr fontId="2" type="noConversion"/>
  </si>
  <si>
    <t>98.04.</t>
    <phoneticPr fontId="2" type="noConversion"/>
  </si>
  <si>
    <t>미룡동 은파리젠시빌파크</t>
    <phoneticPr fontId="2" type="noConversion"/>
  </si>
  <si>
    <t>07.02.</t>
    <phoneticPr fontId="2" type="noConversion"/>
  </si>
  <si>
    <t>미룡동 미룡대명2차</t>
    <phoneticPr fontId="2" type="noConversion"/>
  </si>
  <si>
    <t>02.05.</t>
    <phoneticPr fontId="2" type="noConversion"/>
  </si>
  <si>
    <t>미룡동 미룡주공2단지</t>
    <phoneticPr fontId="2" type="noConversion"/>
  </si>
  <si>
    <t>01.03.</t>
    <phoneticPr fontId="2" type="noConversion"/>
  </si>
  <si>
    <t>미장동 파인빌2차</t>
    <phoneticPr fontId="2" type="noConversion"/>
  </si>
  <si>
    <t>06.06.</t>
    <phoneticPr fontId="2" type="noConversion"/>
  </si>
  <si>
    <t>06.06.</t>
    <phoneticPr fontId="2" type="noConversion"/>
  </si>
  <si>
    <t>미장동 파인빌1차</t>
    <phoneticPr fontId="2" type="noConversion"/>
  </si>
  <si>
    <t>04.11.</t>
    <phoneticPr fontId="2" type="noConversion"/>
  </si>
  <si>
    <t>미장동 파인빌1차</t>
    <phoneticPr fontId="2" type="noConversion"/>
  </si>
  <si>
    <t>미장동 군산미장2차아이파크</t>
    <phoneticPr fontId="2" type="noConversion"/>
  </si>
  <si>
    <t>17.06.</t>
    <phoneticPr fontId="2" type="noConversion"/>
  </si>
  <si>
    <t>미장동 군산미장아이파크</t>
    <phoneticPr fontId="2" type="noConversion"/>
  </si>
  <si>
    <t>15.01.</t>
    <phoneticPr fontId="2" type="noConversion"/>
  </si>
  <si>
    <t>미장동 미장코아루</t>
    <phoneticPr fontId="2" type="noConversion"/>
  </si>
  <si>
    <t>07.06.</t>
    <phoneticPr fontId="2" type="noConversion"/>
  </si>
  <si>
    <t>미장동 수송공원삼성쉐르빌</t>
    <phoneticPr fontId="2" type="noConversion"/>
  </si>
  <si>
    <t>09.12.</t>
    <phoneticPr fontId="2" type="noConversion"/>
  </si>
  <si>
    <t>미장동 미장대원칸타빌</t>
    <phoneticPr fontId="2" type="noConversion"/>
  </si>
  <si>
    <t>18.06.</t>
    <phoneticPr fontId="2" type="noConversion"/>
  </si>
  <si>
    <t>미장동 미장대원칸타빌</t>
    <phoneticPr fontId="2" type="noConversion"/>
  </si>
  <si>
    <t>18.06.</t>
    <phoneticPr fontId="2" type="noConversion"/>
  </si>
  <si>
    <t>미장동 미장대원칸타빌</t>
    <phoneticPr fontId="2" type="noConversion"/>
  </si>
  <si>
    <t>미장동 미장대원칸타빌</t>
    <phoneticPr fontId="2" type="noConversion"/>
  </si>
  <si>
    <t>18.06.</t>
    <phoneticPr fontId="2" type="noConversion"/>
  </si>
  <si>
    <t>사정동 금호타운2단지</t>
    <phoneticPr fontId="2" type="noConversion"/>
  </si>
  <si>
    <t>96.11.</t>
    <phoneticPr fontId="2" type="noConversion"/>
  </si>
  <si>
    <t>사정동 금호타운2단지</t>
    <phoneticPr fontId="2" type="noConversion"/>
  </si>
  <si>
    <t>96.11.</t>
    <phoneticPr fontId="2" type="noConversion"/>
  </si>
  <si>
    <t>사정동 금호타운1단지</t>
    <phoneticPr fontId="2" type="noConversion"/>
  </si>
  <si>
    <t>93.02.</t>
    <phoneticPr fontId="2" type="noConversion"/>
  </si>
  <si>
    <t>사정동 금호타운1단지</t>
    <phoneticPr fontId="2" type="noConversion"/>
  </si>
  <si>
    <t>93.02.</t>
    <phoneticPr fontId="2" type="noConversion"/>
  </si>
  <si>
    <t>90.12.</t>
    <phoneticPr fontId="2" type="noConversion"/>
  </si>
  <si>
    <t>산북동 시영1단지</t>
    <phoneticPr fontId="2" type="noConversion"/>
  </si>
  <si>
    <t>90.12.</t>
    <phoneticPr fontId="2" type="noConversion"/>
  </si>
  <si>
    <t>산북동 시영1단지</t>
    <phoneticPr fontId="2" type="noConversion"/>
  </si>
  <si>
    <t>산북동 산북대명1차</t>
    <phoneticPr fontId="2" type="noConversion"/>
  </si>
  <si>
    <t>97.09.</t>
    <phoneticPr fontId="2" type="noConversion"/>
  </si>
  <si>
    <t>산북동 시영2단지</t>
    <phoneticPr fontId="2" type="noConversion"/>
  </si>
  <si>
    <t>91.11.</t>
    <phoneticPr fontId="2" type="noConversion"/>
  </si>
  <si>
    <t>산북동 시영2단지</t>
    <phoneticPr fontId="2" type="noConversion"/>
  </si>
  <si>
    <t>91.11.</t>
    <phoneticPr fontId="2" type="noConversion"/>
  </si>
  <si>
    <t>산북동 코오롱</t>
    <phoneticPr fontId="2" type="noConversion"/>
  </si>
  <si>
    <t>94.11.</t>
    <phoneticPr fontId="2" type="noConversion"/>
  </si>
  <si>
    <t>산북동 산북주공</t>
    <phoneticPr fontId="2" type="noConversion"/>
  </si>
  <si>
    <t>89.04.</t>
    <phoneticPr fontId="2" type="noConversion"/>
  </si>
  <si>
    <t>산북동 산북하늘가201동</t>
    <phoneticPr fontId="2" type="noConversion"/>
  </si>
  <si>
    <t>07.02.</t>
    <phoneticPr fontId="2" type="noConversion"/>
  </si>
  <si>
    <t>산북동 하늘가1차</t>
    <phoneticPr fontId="2" type="noConversion"/>
  </si>
  <si>
    <t>01.08.</t>
    <phoneticPr fontId="2" type="noConversion"/>
  </si>
  <si>
    <t>산북동 산북부향하나로4차</t>
    <phoneticPr fontId="2" type="noConversion"/>
  </si>
  <si>
    <t>97.12.</t>
    <phoneticPr fontId="2" type="noConversion"/>
  </si>
  <si>
    <t>산북동 부향하나로1차</t>
    <phoneticPr fontId="2" type="noConversion"/>
  </si>
  <si>
    <t>97.03.</t>
    <phoneticPr fontId="2" type="noConversion"/>
  </si>
  <si>
    <t>삼학동 군산삼학대우</t>
    <phoneticPr fontId="2" type="noConversion"/>
  </si>
  <si>
    <t>96.07.</t>
    <phoneticPr fontId="2" type="noConversion"/>
  </si>
  <si>
    <t>삼학동 군산삼학대우</t>
    <phoneticPr fontId="2" type="noConversion"/>
  </si>
  <si>
    <t>서흥남동 고려타운</t>
    <phoneticPr fontId="2" type="noConversion"/>
  </si>
  <si>
    <t>92.05.</t>
    <phoneticPr fontId="2" type="noConversion"/>
  </si>
  <si>
    <t>소룡동 군산성원</t>
    <phoneticPr fontId="2" type="noConversion"/>
  </si>
  <si>
    <t>04.07.</t>
    <phoneticPr fontId="2" type="noConversion"/>
  </si>
  <si>
    <t>소룡동 금강골드빌</t>
    <phoneticPr fontId="2" type="noConversion"/>
  </si>
  <si>
    <t>03.02.</t>
    <phoneticPr fontId="2" type="noConversion"/>
  </si>
  <si>
    <t>소룡동 그린서해맨션</t>
    <phoneticPr fontId="2" type="noConversion"/>
  </si>
  <si>
    <t>93.12.</t>
    <phoneticPr fontId="2" type="noConversion"/>
  </si>
  <si>
    <t>소룡동 동아</t>
    <phoneticPr fontId="2" type="noConversion"/>
  </si>
  <si>
    <t>90.10.</t>
    <phoneticPr fontId="2" type="noConversion"/>
  </si>
  <si>
    <t>소룡동 소룡진흥</t>
    <phoneticPr fontId="2" type="noConversion"/>
  </si>
  <si>
    <t>91.05.</t>
    <phoneticPr fontId="2" type="noConversion"/>
  </si>
  <si>
    <t>소룡동 소룡진흥</t>
    <phoneticPr fontId="2" type="noConversion"/>
  </si>
  <si>
    <t>소룡동 소룡진흥</t>
    <phoneticPr fontId="2" type="noConversion"/>
  </si>
  <si>
    <t>91.05.</t>
    <phoneticPr fontId="2" type="noConversion"/>
  </si>
  <si>
    <t>소룡동 소룡진흥</t>
    <phoneticPr fontId="2" type="noConversion"/>
  </si>
  <si>
    <t>소룡동 스카이타운</t>
    <phoneticPr fontId="2" type="noConversion"/>
  </si>
  <si>
    <t>08.08.</t>
    <phoneticPr fontId="2" type="noConversion"/>
  </si>
  <si>
    <t>소룡동 소룡제이파크</t>
    <phoneticPr fontId="2" type="noConversion"/>
  </si>
  <si>
    <t>소룡동 신도시</t>
    <phoneticPr fontId="2" type="noConversion"/>
  </si>
  <si>
    <t>01.12.</t>
    <phoneticPr fontId="2" type="noConversion"/>
  </si>
  <si>
    <t>소룡동 이화</t>
    <phoneticPr fontId="2" type="noConversion"/>
  </si>
  <si>
    <t>92.02.</t>
    <phoneticPr fontId="2" type="noConversion"/>
  </si>
  <si>
    <t>92.02.</t>
    <phoneticPr fontId="2" type="noConversion"/>
  </si>
  <si>
    <t>수송동 한라비발디2단지</t>
    <phoneticPr fontId="2" type="noConversion"/>
  </si>
  <si>
    <t>08.11.</t>
    <phoneticPr fontId="2" type="noConversion"/>
  </si>
  <si>
    <t>수송동 한라비발디1단지</t>
    <phoneticPr fontId="2" type="noConversion"/>
  </si>
  <si>
    <t>수송동 동신</t>
    <phoneticPr fontId="2" type="noConversion"/>
  </si>
  <si>
    <t>수송동 수송아이파크(201-2BL)</t>
    <phoneticPr fontId="2" type="noConversion"/>
  </si>
  <si>
    <t>08.09.</t>
    <phoneticPr fontId="2" type="noConversion"/>
  </si>
  <si>
    <t>수송동 군산수송세영리첼</t>
    <phoneticPr fontId="2" type="noConversion"/>
  </si>
  <si>
    <t>10.06.</t>
    <phoneticPr fontId="2" type="noConversion"/>
  </si>
  <si>
    <t>수송동 수송오투그란데2차</t>
    <phoneticPr fontId="2" type="noConversion"/>
  </si>
  <si>
    <t>11.03.</t>
    <phoneticPr fontId="2" type="noConversion"/>
  </si>
  <si>
    <t>수송동 현대</t>
    <phoneticPr fontId="2" type="noConversion"/>
  </si>
  <si>
    <t>97.06.</t>
    <phoneticPr fontId="2" type="noConversion"/>
  </si>
  <si>
    <t>수송동 현대</t>
    <phoneticPr fontId="2" type="noConversion"/>
  </si>
  <si>
    <t>97.06.</t>
    <phoneticPr fontId="2" type="noConversion"/>
  </si>
  <si>
    <t>수송동 수송제일</t>
    <phoneticPr fontId="2" type="noConversion"/>
  </si>
  <si>
    <t>02.03.</t>
    <phoneticPr fontId="2" type="noConversion"/>
  </si>
  <si>
    <t>수송동 동영</t>
    <phoneticPr fontId="2" type="noConversion"/>
  </si>
  <si>
    <t>98.09.</t>
    <phoneticPr fontId="2" type="noConversion"/>
  </si>
  <si>
    <t>수송동 동영</t>
    <phoneticPr fontId="2" type="noConversion"/>
  </si>
  <si>
    <t>수송동 군산수송제일오투그란데2단지</t>
    <phoneticPr fontId="2" type="noConversion"/>
  </si>
  <si>
    <t>08.10.</t>
    <phoneticPr fontId="2" type="noConversion"/>
  </si>
  <si>
    <t>수송동 군산수송제일오투그란데1단지</t>
    <phoneticPr fontId="2" type="noConversion"/>
  </si>
  <si>
    <t>신풍동 월명</t>
    <phoneticPr fontId="2" type="noConversion"/>
  </si>
  <si>
    <t>79.05.</t>
    <phoneticPr fontId="2" type="noConversion"/>
  </si>
  <si>
    <t>79.05.</t>
    <phoneticPr fontId="2" type="noConversion"/>
  </si>
  <si>
    <t>오식도동 한성필하우스</t>
    <phoneticPr fontId="2" type="noConversion"/>
  </si>
  <si>
    <t>12.08.</t>
    <phoneticPr fontId="2" type="noConversion"/>
  </si>
  <si>
    <t>옥산면 힐스테이트은파</t>
    <phoneticPr fontId="2" type="noConversion"/>
  </si>
  <si>
    <t>15.09.</t>
    <phoneticPr fontId="2" type="noConversion"/>
  </si>
  <si>
    <t>옥산면 군산대광로제비앙</t>
    <phoneticPr fontId="2" type="noConversion"/>
  </si>
  <si>
    <t>17.12.</t>
    <phoneticPr fontId="2" type="noConversion"/>
  </si>
  <si>
    <t>월명동 클래시움</t>
    <phoneticPr fontId="2" type="noConversion"/>
  </si>
  <si>
    <t>04.05.</t>
    <phoneticPr fontId="2" type="noConversion"/>
  </si>
  <si>
    <t>월명동 클래시움</t>
    <phoneticPr fontId="2" type="noConversion"/>
  </si>
  <si>
    <t>04.05.</t>
    <phoneticPr fontId="2" type="noConversion"/>
  </si>
  <si>
    <t>월명동 클래시움</t>
    <phoneticPr fontId="2" type="noConversion"/>
  </si>
  <si>
    <t>04.05.</t>
    <phoneticPr fontId="2" type="noConversion"/>
  </si>
  <si>
    <t>장재동 현대세솔</t>
    <phoneticPr fontId="2" type="noConversion"/>
  </si>
  <si>
    <t>02.03.</t>
    <phoneticPr fontId="2" type="noConversion"/>
  </si>
  <si>
    <t>장재동 현대세솔</t>
    <phoneticPr fontId="2" type="noConversion"/>
  </si>
  <si>
    <t>조촌동 군산디오션시티푸르지오</t>
    <phoneticPr fontId="2" type="noConversion"/>
  </si>
  <si>
    <t>18.03.</t>
    <phoneticPr fontId="2" type="noConversion"/>
  </si>
  <si>
    <t>조촌동 군산디오션시티푸르지오</t>
    <phoneticPr fontId="2" type="noConversion"/>
  </si>
  <si>
    <t>18.03.</t>
    <phoneticPr fontId="2" type="noConversion"/>
  </si>
  <si>
    <t>18.03.</t>
    <phoneticPr fontId="2" type="noConversion"/>
  </si>
  <si>
    <t>조촌동 군산디오션시티푸르지오</t>
    <phoneticPr fontId="2" type="noConversion"/>
  </si>
  <si>
    <t>18.03.</t>
    <phoneticPr fontId="2" type="noConversion"/>
  </si>
  <si>
    <t>조촌동 타워써미트</t>
    <phoneticPr fontId="2" type="noConversion"/>
  </si>
  <si>
    <t>12.06.</t>
    <phoneticPr fontId="2" type="noConversion"/>
  </si>
  <si>
    <t>12.06.</t>
    <phoneticPr fontId="2" type="noConversion"/>
  </si>
  <si>
    <t>조촌동 삼성</t>
    <phoneticPr fontId="2" type="noConversion"/>
  </si>
  <si>
    <t>92.10.</t>
    <phoneticPr fontId="2" type="noConversion"/>
  </si>
  <si>
    <t>조촌동 삼성</t>
    <phoneticPr fontId="2" type="noConversion"/>
  </si>
  <si>
    <t>조촌동 부향하나로</t>
    <phoneticPr fontId="2" type="noConversion"/>
  </si>
  <si>
    <t>96.09.</t>
    <phoneticPr fontId="2" type="noConversion"/>
  </si>
  <si>
    <t>조촌동 e편한세상군산디오션시티</t>
    <phoneticPr fontId="2" type="noConversion"/>
  </si>
  <si>
    <t>18.11.</t>
    <phoneticPr fontId="2" type="noConversion"/>
  </si>
  <si>
    <t>18.11.</t>
    <phoneticPr fontId="2" type="noConversion"/>
  </si>
  <si>
    <t>18.11.</t>
    <phoneticPr fontId="2" type="noConversion"/>
  </si>
  <si>
    <t>조촌동 시영</t>
    <phoneticPr fontId="2" type="noConversion"/>
  </si>
  <si>
    <t>조촌동 시영</t>
    <phoneticPr fontId="2" type="noConversion"/>
  </si>
  <si>
    <t>조촌동 더샵디오션시티2차</t>
    <phoneticPr fontId="2" type="noConversion"/>
  </si>
  <si>
    <t>23.07.</t>
    <phoneticPr fontId="2" type="noConversion"/>
  </si>
  <si>
    <t>조촌동 동신개나리</t>
    <phoneticPr fontId="2" type="noConversion"/>
  </si>
  <si>
    <t>95.12.</t>
    <phoneticPr fontId="2" type="noConversion"/>
  </si>
  <si>
    <t>조촌동 동신개나리</t>
    <phoneticPr fontId="2" type="noConversion"/>
  </si>
  <si>
    <t>95.12.</t>
    <phoneticPr fontId="2" type="noConversion"/>
  </si>
  <si>
    <t>조촌동 센트럴파크</t>
    <phoneticPr fontId="2" type="noConversion"/>
  </si>
  <si>
    <t>17.10.</t>
    <phoneticPr fontId="2" type="noConversion"/>
  </si>
  <si>
    <t>조촌동 현대</t>
    <phoneticPr fontId="2" type="noConversion"/>
  </si>
  <si>
    <t>95.09.</t>
    <phoneticPr fontId="2" type="noConversion"/>
  </si>
  <si>
    <t>조촌동 현대</t>
    <phoneticPr fontId="2" type="noConversion"/>
  </si>
  <si>
    <t>조촌동 더샵디오션시티</t>
    <phoneticPr fontId="2" type="noConversion"/>
  </si>
  <si>
    <t>21.10.</t>
    <phoneticPr fontId="2" type="noConversion"/>
  </si>
  <si>
    <t>21.10.</t>
    <phoneticPr fontId="2" type="noConversion"/>
  </si>
  <si>
    <t>조촌동 세경</t>
    <phoneticPr fontId="2" type="noConversion"/>
  </si>
  <si>
    <t>미장동</t>
    <phoneticPr fontId="2" type="noConversion"/>
  </si>
  <si>
    <t>수송동</t>
    <phoneticPr fontId="2" type="noConversion"/>
  </si>
  <si>
    <t>나운동</t>
    <phoneticPr fontId="2" type="noConversion"/>
  </si>
  <si>
    <t>조촌동</t>
    <phoneticPr fontId="2" type="noConversion"/>
  </si>
  <si>
    <t>e편한세상군산디오션시티(34평/5.0)</t>
  </si>
  <si>
    <t>e편한세상군산디오션시티('18/5.0)</t>
  </si>
  <si>
    <t>군산미장2차아이파크(30평/4.0)</t>
  </si>
  <si>
    <t>군산미장2차아이파크('17/4.0)</t>
  </si>
  <si>
    <t>군산디오션시티푸르지오(35평/5.0)_x000D_
군산디오션시티푸르지오(31평/4.4)_x000D_
e편한세상군산디오션시티(30평/4.0)</t>
    <phoneticPr fontId="2" type="noConversion"/>
  </si>
  <si>
    <t>군산디오션시티푸르지오('18/5.0)_x000D_
군산디오션시티푸르지오('18/4.4)_x000D_
e편한세상군산디오션시티('18/4.0)</t>
    <phoneticPr fontId="2" type="noConversion"/>
  </si>
  <si>
    <t>군산디오션시티푸르지오(25평/3.3)_x000D_
e편한세상군산디오션시티(24평/3.2)</t>
    <phoneticPr fontId="2" type="noConversion"/>
  </si>
  <si>
    <t>군산디오션시티푸르지오('18/3.3)_x000D_
e편한세상군산디오션시티('18/3.2)</t>
    <phoneticPr fontId="2" type="noConversion"/>
  </si>
  <si>
    <t>미장대원칸타빌(34평/3.7)_x000D_
군산미장아이파크(34평/3.6)_x000D_
미장대원칸타빌(30평/3.5)_x000D_
수송공원삼성쉐르빌(34평/3.1)</t>
    <phoneticPr fontId="2" type="noConversion"/>
  </si>
  <si>
    <t>미장대원칸타빌('18/3.7)_x000D_
군산미장아이파크('15/3.6)_x000D_
미장대원칸타빌('18/3.5)_x000D_
수송공원삼성쉐르빌('09/3.1)</t>
    <phoneticPr fontId="2" type="noConversion"/>
  </si>
  <si>
    <t>한라비발디2단지(34평/3.2)_x000D_
군산수송세영리첼(35평/3.2)_x000D_
군산수송제일오투그란데1단지(35평/3.0)</t>
    <phoneticPr fontId="2" type="noConversion"/>
  </si>
  <si>
    <t>한라비발디2단지('08/3.2)_x000D_
군산수송세영리첼('10/3.2)_x000D_
군산수송제일오투그란데1단지('08/3.0)</t>
    <phoneticPr fontId="2" type="noConversion"/>
  </si>
  <si>
    <t>미장대원칸타빌(27평/2.9)_x000D_
미장대원칸타빌(24평/2.9)</t>
    <phoneticPr fontId="2" type="noConversion"/>
  </si>
  <si>
    <t>미장대원칸타빌('18/2.9)_x000D_
미장대원칸타빌('18/2.9)</t>
    <phoneticPr fontId="2" type="noConversion"/>
  </si>
  <si>
    <t>군산수송제일오투그란데1단지(30평/2.7)</t>
  </si>
  <si>
    <t>군산수송제일오투그란데1단지('08/2.7)</t>
  </si>
  <si>
    <t>타워써미트(34평/2.8)_x000D_
센트럴파크(33평/2.7)</t>
    <phoneticPr fontId="2" type="noConversion"/>
  </si>
  <si>
    <t>타워써미트('12/2.8)_x000D_
센트럴파크('17/2.7)</t>
    <phoneticPr fontId="2" type="noConversion"/>
  </si>
  <si>
    <t>군산미장아이파크('15/2.4)</t>
  </si>
  <si>
    <t>주공3단지(20평/2.2)</t>
  </si>
  <si>
    <t>주공3단지('83/2.2)</t>
  </si>
  <si>
    <t>수송오투그란데2차('11/2.2)</t>
  </si>
  <si>
    <t>타워써미트(24평/2.1)</t>
  </si>
  <si>
    <t>타워써미트('12/2.1)</t>
  </si>
  <si>
    <t>군산미장아이파크(24평/2.4)_x000D_
파인빌2차(36평/2.1)</t>
    <phoneticPr fontId="2" type="noConversion"/>
  </si>
  <si>
    <t>파인빌2차('06/2.1)</t>
  </si>
  <si>
    <t>수송오투그란데2차(25평/2.2)_x000D_
현대(32평/2.0)</t>
    <phoneticPr fontId="2" type="noConversion"/>
  </si>
  <si>
    <t>현대('97/2.0)</t>
  </si>
  <si>
    <t>수송코아루('09/2.0)</t>
  </si>
  <si>
    <t>수송제일('02/1.9)</t>
  </si>
  <si>
    <t>수송오투그란데2차('11/1.8)</t>
  </si>
  <si>
    <t>주공3단지('83/1.8)_x000D_
주공3단지('83/1.8)</t>
    <phoneticPr fontId="2" type="noConversion"/>
  </si>
  <si>
    <t>수송제일(34평/1.9)_x000D_
수송오투그란데2차(22평/1.8)_x000D_
현대(29평/1.8)</t>
    <phoneticPr fontId="2" type="noConversion"/>
  </si>
  <si>
    <t>현대('97/1.8)</t>
  </si>
  <si>
    <t>삼성(32평/1.7)_x000D_
현대(31평/1.7)</t>
    <phoneticPr fontId="2" type="noConversion"/>
  </si>
  <si>
    <t>삼성('92/1.7)_x000D_
현대('95/1.7)</t>
    <phoneticPr fontId="2" type="noConversion"/>
  </si>
  <si>
    <t>수송코아루(26평/2.0)_x000D_
현대4차(32평/1.9)_x000D_
주공3단지(16평/1.8)_x000D_
주공3단지(16평/1.8)_x000D_
금호타운2차(31평/1.7)_x000D_
삼성(401)(32평/1.7)_x000D_
서호(31평/1.6)_x000D_
롯데3차(32평/1.6)</t>
    <phoneticPr fontId="2" type="noConversion"/>
  </si>
  <si>
    <t>현대4차('98/1.9)_x000D_
금호타운2차('94/1.7)_x000D_
삼성(401)('98/1.7)_x000D_
서호('95/1.6)_x000D_
롯데3차('94/1.6)</t>
    <phoneticPr fontId="2" type="noConversion"/>
  </si>
  <si>
    <t>파인빌1차(24평/1.6)</t>
  </si>
  <si>
    <t>파인빌1차('04/1.6)</t>
  </si>
  <si>
    <t>동신(32평/1.4)</t>
  </si>
  <si>
    <t>동신('91/1.4)</t>
  </si>
  <si>
    <t>현대3차('95/1.5)_x000D_
나운현대2차('93/1.4)_x000D_
금호타운1차('91/1.4)_x000D_
롯데2차('92/1.4)_x000D_
롯데1차('91/1.4)</t>
    <phoneticPr fontId="2" type="noConversion"/>
  </si>
  <si>
    <t>현대(28평/1.3)</t>
  </si>
  <si>
    <t>현대('95/1.3)</t>
  </si>
  <si>
    <t>현대3차(32평/1.5)_x000D_
나운보람더하임(24평/1.4)_x000D_
현대4차(23평/1.4)_x000D_
나운현대2차(32평/1.4)_x000D_
금호타운1차(31평/1.4)_x000D_
롯데2차(32평/1.4)_x000D_
롯데1차(32평/1.4)_x000D_
금호타운1차(27평/1.3)_x000D_
롯데1차(28평/1.2)_x000D_
신일(23평/1.2)_x000D_
서호(25평/1.2)_x000D_
영창(23평/1.2)_x000D_
롯데2차(28평/1.1)_x000D_
한울(23평/1.0)_x000D_
현대백조(29평/1.0)</t>
    <phoneticPr fontId="2" type="noConversion"/>
  </si>
  <si>
    <t>나운보람더하임('10/1.4)_x000D_
현대4차('98/1.4)_x000D_
금호타운1차('91/1.3)_x000D_
롯데1차('91/1.2)_x000D_
신일('95/1.2)_x000D_
서호('95/1.2)_x000D_
영창('95/1.2)_x000D_
롯데2차('92/1.1)_x000D_
한울('96/1.0)_x000D_
현대백조('92/1.0)</t>
    <phoneticPr fontId="2" type="noConversion"/>
  </si>
  <si>
    <t>나운동 금호타운1차</t>
    <phoneticPr fontId="2" type="noConversion"/>
  </si>
  <si>
    <t>91.09.</t>
    <phoneticPr fontId="2" type="noConversion"/>
  </si>
  <si>
    <t>95.06.</t>
    <phoneticPr fontId="2" type="noConversion"/>
  </si>
  <si>
    <t>나운동 나운보람더하임</t>
    <phoneticPr fontId="2" type="noConversion"/>
  </si>
  <si>
    <t>나운동 한울</t>
    <phoneticPr fontId="2" type="noConversion"/>
  </si>
  <si>
    <t>96.07.</t>
    <phoneticPr fontId="2" type="noConversion"/>
  </si>
  <si>
    <t>나운동 현대3차</t>
    <phoneticPr fontId="2" type="noConversion"/>
  </si>
  <si>
    <t>08.08.</t>
    <phoneticPr fontId="2" type="noConversion"/>
  </si>
  <si>
    <t>나운동 영창</t>
    <phoneticPr fontId="2" type="noConversion"/>
  </si>
  <si>
    <t>미룡동 미룡주공3단지</t>
    <phoneticPr fontId="2" type="noConversion"/>
  </si>
  <si>
    <t>미룡동 미룡주공2단지</t>
    <phoneticPr fontId="2" type="noConversion"/>
  </si>
  <si>
    <t>01.03.</t>
    <phoneticPr fontId="2" type="noConversion"/>
  </si>
  <si>
    <t>01.03.</t>
    <phoneticPr fontId="2" type="noConversion"/>
  </si>
  <si>
    <t>미장동 파인빌2차</t>
    <phoneticPr fontId="2" type="noConversion"/>
  </si>
  <si>
    <t>17.06.</t>
    <phoneticPr fontId="2" type="noConversion"/>
  </si>
  <si>
    <t>소룡동 군산성원</t>
    <phoneticPr fontId="2" type="noConversion"/>
  </si>
  <si>
    <t>04.07.</t>
    <phoneticPr fontId="2" type="noConversion"/>
  </si>
  <si>
    <t>수송동 한라비발디2단지</t>
    <phoneticPr fontId="2" type="noConversion"/>
  </si>
  <si>
    <t>08.11.</t>
    <phoneticPr fontId="2" type="noConversion"/>
  </si>
  <si>
    <t>11.03.</t>
    <phoneticPr fontId="2" type="noConversion"/>
  </si>
  <si>
    <t>97.06.</t>
    <phoneticPr fontId="2" type="noConversion"/>
  </si>
  <si>
    <t>02.03.</t>
    <phoneticPr fontId="2" type="noConversion"/>
  </si>
  <si>
    <t>95.06.</t>
    <phoneticPr fontId="2" type="noConversion"/>
  </si>
  <si>
    <t>90.11.</t>
    <phoneticPr fontId="2" type="noConversion"/>
  </si>
  <si>
    <t>93.10.</t>
    <phoneticPr fontId="2" type="noConversion"/>
  </si>
  <si>
    <t>나운동 나운현대2차</t>
    <phoneticPr fontId="2" type="noConversion"/>
  </si>
  <si>
    <t>95.12.</t>
    <phoneticPr fontId="2" type="noConversion"/>
  </si>
  <si>
    <t>10.03.</t>
    <phoneticPr fontId="2" type="noConversion"/>
  </si>
  <si>
    <t>나운동 나운유원</t>
    <phoneticPr fontId="2" type="noConversion"/>
  </si>
  <si>
    <t>95.07.</t>
    <phoneticPr fontId="2" type="noConversion"/>
  </si>
  <si>
    <t>92.08.</t>
    <phoneticPr fontId="2" type="noConversion"/>
  </si>
  <si>
    <t>98.06.</t>
    <phoneticPr fontId="2" type="noConversion"/>
  </si>
  <si>
    <t>01.06.</t>
    <phoneticPr fontId="2" type="noConversion"/>
  </si>
  <si>
    <t>06.06.</t>
    <phoneticPr fontId="2" type="noConversion"/>
  </si>
  <si>
    <t>04.11.</t>
    <phoneticPr fontId="2" type="noConversion"/>
  </si>
  <si>
    <t>수송동 군산수송세영리첼</t>
    <phoneticPr fontId="2" type="noConversion"/>
  </si>
  <si>
    <t>10.06.</t>
    <phoneticPr fontId="2" type="noConversion"/>
  </si>
  <si>
    <t>08.10.</t>
    <phoneticPr fontId="2" type="noConversion"/>
  </si>
  <si>
    <t>12.06.</t>
    <phoneticPr fontId="2" type="noConversion"/>
  </si>
  <si>
    <t>나운동 수송금호어울림</t>
    <phoneticPr fontId="2" type="noConversion"/>
  </si>
  <si>
    <t>17.10.</t>
    <phoneticPr fontId="2" type="noConversion"/>
  </si>
  <si>
    <t>경암동 경암제일오투그란데</t>
    <phoneticPr fontId="2" type="noConversion"/>
  </si>
  <si>
    <t>15.11.</t>
    <phoneticPr fontId="2" type="noConversion"/>
  </si>
  <si>
    <t>나운동 나운현대2차</t>
    <phoneticPr fontId="2" type="noConversion"/>
  </si>
  <si>
    <t>93.10.</t>
    <phoneticPr fontId="2" type="noConversion"/>
  </si>
  <si>
    <t>나운동 신일</t>
    <phoneticPr fontId="2" type="noConversion"/>
  </si>
  <si>
    <t>나운동 서호</t>
    <phoneticPr fontId="2" type="noConversion"/>
  </si>
  <si>
    <t>나운동 수송금호어울림</t>
    <phoneticPr fontId="2" type="noConversion"/>
  </si>
  <si>
    <t>나운동 주공5단지</t>
    <phoneticPr fontId="2" type="noConversion"/>
  </si>
  <si>
    <t>문화동 삼성</t>
    <phoneticPr fontId="2" type="noConversion"/>
  </si>
  <si>
    <t>미룡동 미룡대명1차</t>
    <phoneticPr fontId="2" type="noConversion"/>
  </si>
  <si>
    <t>미룡동 미룡주공3단지</t>
    <phoneticPr fontId="2" type="noConversion"/>
  </si>
  <si>
    <t>미룡동 미룡주공2단지</t>
    <phoneticPr fontId="2" type="noConversion"/>
  </si>
  <si>
    <t>미장동 파인빌1차</t>
    <phoneticPr fontId="2" type="noConversion"/>
  </si>
  <si>
    <t>미장동 군산미장2차아이파크</t>
    <phoneticPr fontId="2" type="noConversion"/>
  </si>
  <si>
    <t>수송동 수송오투그란데2차</t>
    <phoneticPr fontId="2" type="noConversion"/>
  </si>
  <si>
    <t>11.03.</t>
    <phoneticPr fontId="2" type="noConversion"/>
  </si>
  <si>
    <t>수송동 현대</t>
    <phoneticPr fontId="2" type="noConversion"/>
  </si>
  <si>
    <t>수송동 수송제일</t>
    <phoneticPr fontId="2" type="noConversion"/>
  </si>
  <si>
    <t>수송동 군산수송제일오투그란데1단지</t>
    <phoneticPr fontId="2" type="noConversion"/>
  </si>
  <si>
    <t>08.10.</t>
    <phoneticPr fontId="2" type="noConversion"/>
  </si>
  <si>
    <t>옥산면 힐스테이트은파</t>
    <phoneticPr fontId="2" type="noConversion"/>
  </si>
  <si>
    <t>15.09.</t>
    <phoneticPr fontId="2" type="noConversion"/>
  </si>
  <si>
    <t>조촌동 타워써미트</t>
    <phoneticPr fontId="2" type="noConversion"/>
  </si>
  <si>
    <t>조촌동 센트럴파크</t>
    <phoneticPr fontId="2" type="noConversion"/>
  </si>
  <si>
    <t>17.10.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</si>
</sst>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_ "/>
    <numFmt numFmtId="182" formatCode="0.0%"/>
    <numFmt numFmtId="183" formatCode="0.0"/>
    <numFmt numFmtId="184" formatCode="0_);[Red]\(0\)"/>
    <numFmt numFmtId="185" formatCode="&quot;@&quot;#,##0_ "/>
    <numFmt numFmtId="186" formatCode="#,###&quot;^&quot;"/>
    <numFmt numFmtId="187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6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2" fontId="4" fillId="2" borderId="1" xfId="1" applyNumberFormat="1" applyFont="1" applyFill="1" applyBorder="1" applyAlignment="1">
      <alignment vertical="center"/>
    </xf>
    <xf numFmtId="182" fontId="8" fillId="2" borderId="1" xfId="1" applyNumberFormat="1" applyFont="1" applyFill="1" applyBorder="1" applyAlignment="1">
      <alignment vertical="center"/>
    </xf>
    <xf numFmtId="183" fontId="12" fillId="6" borderId="10" xfId="0" applyNumberFormat="1" applyFont="1" applyFill="1" applyBorder="1" applyAlignment="1">
      <alignment horizontal="center" vertical="center" wrapText="1"/>
    </xf>
    <xf numFmtId="183" fontId="12" fillId="6" borderId="9" xfId="0" applyNumberFormat="1" applyFont="1" applyFill="1" applyBorder="1" applyAlignment="1">
      <alignment horizontal="center" vertical="center" wrapText="1"/>
    </xf>
    <xf numFmtId="183" fontId="12" fillId="6" borderId="2" xfId="0" applyNumberFormat="1" applyFont="1" applyFill="1" applyBorder="1" applyAlignment="1">
      <alignment horizontal="center" vertical="center" wrapText="1"/>
    </xf>
    <xf numFmtId="183" fontId="12" fillId="6" borderId="4" xfId="0" applyNumberFormat="1" applyFont="1" applyFill="1" applyBorder="1" applyAlignment="1">
      <alignment horizontal="center" vertical="center" wrapText="1"/>
    </xf>
    <xf numFmtId="183" fontId="12" fillId="5" borderId="2" xfId="0" applyNumberFormat="1" applyFont="1" applyFill="1" applyBorder="1" applyAlignment="1">
      <alignment horizontal="center" vertical="center" wrapText="1"/>
    </xf>
    <xf numFmtId="183" fontId="12" fillId="5" borderId="4" xfId="0" applyNumberFormat="1" applyFont="1" applyFill="1" applyBorder="1" applyAlignment="1">
      <alignment horizontal="center" vertical="center" wrapText="1"/>
    </xf>
    <xf numFmtId="183" fontId="12" fillId="7" borderId="2" xfId="0" applyNumberFormat="1" applyFont="1" applyFill="1" applyBorder="1" applyAlignment="1">
      <alignment horizontal="center" vertical="center" wrapText="1"/>
    </xf>
    <xf numFmtId="183" fontId="12" fillId="7" borderId="4" xfId="0" applyNumberFormat="1" applyFont="1" applyFill="1" applyBorder="1" applyAlignment="1">
      <alignment horizontal="center" vertical="center" wrapText="1"/>
    </xf>
    <xf numFmtId="183" fontId="12" fillId="8" borderId="2" xfId="0" applyNumberFormat="1" applyFont="1" applyFill="1" applyBorder="1" applyAlignment="1">
      <alignment horizontal="center" vertical="center" wrapText="1"/>
    </xf>
    <xf numFmtId="183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4" fontId="4" fillId="2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right" vertical="center"/>
    </xf>
    <xf numFmtId="184" fontId="3" fillId="2" borderId="1" xfId="0" applyNumberFormat="1" applyFont="1" applyFill="1" applyBorder="1" applyAlignment="1">
      <alignment horizontal="center" vertical="center" wrapText="1"/>
    </xf>
    <xf numFmtId="183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6" fontId="4" fillId="2" borderId="1" xfId="0" applyNumberFormat="1" applyFont="1" applyFill="1" applyBorder="1" applyAlignment="1">
      <alignment horizontal="right" vertical="center"/>
    </xf>
    <xf numFmtId="187" fontId="4" fillId="0" borderId="1" xfId="0" applyNumberFormat="1" applyFont="1" applyBorder="1" applyAlignment="1">
      <alignment vertical="center"/>
    </xf>
    <xf numFmtId="187" fontId="4" fillId="2" borderId="1" xfId="0" applyNumberFormat="1" applyFon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vertical="center"/>
    </xf>
    <xf numFmtId="0" fontId="15" fillId="2" borderId="1" xfId="0" quotePrefix="1" applyFont="1" applyFill="1" applyBorder="1" applyAlignment="1">
      <alignment horizontal="center" vertical="center"/>
    </xf>
    <xf numFmtId="186" fontId="15" fillId="2" borderId="1" xfId="0" applyNumberFormat="1" applyFont="1" applyFill="1" applyBorder="1" applyAlignment="1">
      <alignment horizontal="right" vertical="center"/>
    </xf>
    <xf numFmtId="0" fontId="4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30588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2" sqref="A42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2.25" style="73" customWidth="1"/>
    <col min="23" max="23" width="5.625" style="73" bestFit="1" customWidth="1"/>
    <col min="24" max="24" width="4.5" style="73" customWidth="1"/>
    <col min="25" max="25" width="6.25" style="73" bestFit="1" customWidth="1"/>
    <col min="26" max="26" width="7.75" style="73" bestFit="1" customWidth="1"/>
    <col min="27" max="27" width="7" style="73" bestFit="1" customWidth="1"/>
    <col min="28" max="28" width="6.875" style="73" bestFit="1" customWidth="1"/>
    <col min="29" max="29" width="4.625" style="73" bestFit="1" customWidth="1"/>
    <col min="30" max="30" width="7.625" style="73" bestFit="1" customWidth="1"/>
    <col min="31" max="31" width="3.25" style="73" bestFit="1" customWidth="1"/>
    <col min="32" max="32" width="4.625" style="73" bestFit="1" customWidth="1"/>
    <col min="33" max="33" width="2.125" style="73" customWidth="1"/>
    <col min="34" max="34" width="22.5" style="73" bestFit="1" customWidth="1"/>
    <col min="35" max="35" width="4.625" style="73" bestFit="1" customWidth="1"/>
    <col min="36" max="40" width="4.625" style="73" customWidth="1"/>
    <col min="41" max="41" width="9.125" style="73" bestFit="1" customWidth="1"/>
    <col min="42" max="43" width="7.625" style="73" bestFit="1" customWidth="1"/>
    <col min="44" max="44" width="9.125" style="73" bestFit="1" customWidth="1"/>
    <col min="45" max="45" width="6.125" style="73" bestFit="1" customWidth="1"/>
    <col min="46" max="46" width="8.625" style="73" bestFit="1" customWidth="1"/>
    <col min="47" max="47" width="9.125" style="73" bestFit="1" customWidth="1"/>
    <col min="48" max="48" width="7.625" style="73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1355</v>
      </c>
      <c r="B1" s="25"/>
      <c r="C1" s="26"/>
      <c r="D1" s="25"/>
      <c r="E1" s="25"/>
      <c r="F1" s="25"/>
      <c r="G1" s="25"/>
      <c r="H1" s="26"/>
      <c r="I1" s="25"/>
      <c r="J1" s="117" t="s">
        <v>1</v>
      </c>
      <c r="K1" s="116"/>
      <c r="L1" s="43" t="s">
        <v>2</v>
      </c>
      <c r="M1" s="78"/>
      <c r="N1" s="117" t="s">
        <v>3</v>
      </c>
      <c r="O1" s="116"/>
      <c r="P1" s="79">
        <v>0</v>
      </c>
      <c r="Q1" s="118" t="s">
        <v>4</v>
      </c>
      <c r="R1" s="119"/>
      <c r="S1" s="116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20" t="s">
        <v>6</v>
      </c>
      <c r="AK1" s="119"/>
      <c r="AL1" s="119"/>
      <c r="AM1" s="119"/>
      <c r="AN1" s="116"/>
      <c r="AO1" s="22">
        <v>80</v>
      </c>
      <c r="AP1" s="22">
        <v>45000</v>
      </c>
      <c r="AQ1" s="23">
        <v>1200</v>
      </c>
      <c r="AR1" s="22">
        <v>5000</v>
      </c>
      <c r="AS1" s="2"/>
      <c r="AT1" s="2"/>
      <c r="AU1" s="22">
        <v>300</v>
      </c>
      <c r="AV1" s="25"/>
      <c r="AX1" s="75" t="s">
        <v>7</v>
      </c>
      <c r="AY1" s="75" t="s">
        <v>8</v>
      </c>
      <c r="AZ1" s="45"/>
      <c r="BH1" s="25" t="s">
        <v>9</v>
      </c>
    </row>
    <row r="2" spans="1:60" ht="12" customHeight="1" x14ac:dyDescent="0.3">
      <c r="A2" s="80">
        <v>44630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5" t="s">
        <v>15</v>
      </c>
      <c r="AP2" s="119"/>
      <c r="AQ2" s="116"/>
      <c r="AR2" s="115" t="s">
        <v>16</v>
      </c>
      <c r="AS2" s="116"/>
      <c r="AT2" s="115" t="s">
        <v>17</v>
      </c>
      <c r="AU2" s="116"/>
      <c r="AV2" s="74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4" t="s">
        <v>20</v>
      </c>
      <c r="B3" s="74" t="s">
        <v>21</v>
      </c>
      <c r="C3" s="74" t="s">
        <v>22</v>
      </c>
      <c r="D3" s="74" t="s">
        <v>23</v>
      </c>
      <c r="E3" s="74" t="s">
        <v>24</v>
      </c>
      <c r="F3" s="74" t="s">
        <v>25</v>
      </c>
      <c r="G3" s="74" t="s">
        <v>26</v>
      </c>
      <c r="H3" s="75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5" t="s">
        <v>31</v>
      </c>
      <c r="N3" s="74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4" t="s">
        <v>37</v>
      </c>
      <c r="T3" s="35" t="s">
        <v>38</v>
      </c>
      <c r="U3" s="75" t="s">
        <v>39</v>
      </c>
      <c r="V3" s="25"/>
      <c r="W3" s="74" t="s">
        <v>40</v>
      </c>
      <c r="X3" s="74" t="s">
        <v>24</v>
      </c>
      <c r="Y3" s="81" t="s">
        <v>27</v>
      </c>
      <c r="Z3" s="75" t="s">
        <v>41</v>
      </c>
      <c r="AA3" s="75" t="s">
        <v>42</v>
      </c>
      <c r="AB3" s="75" t="s">
        <v>31</v>
      </c>
      <c r="AC3" s="74" t="s">
        <v>32</v>
      </c>
      <c r="AD3" s="75" t="s">
        <v>43</v>
      </c>
      <c r="AE3" s="74" t="s">
        <v>37</v>
      </c>
      <c r="AF3" s="34" t="s">
        <v>44</v>
      </c>
      <c r="AG3" s="25"/>
      <c r="AH3" s="74" t="s">
        <v>20</v>
      </c>
      <c r="AI3" s="74" t="s">
        <v>24</v>
      </c>
      <c r="AJ3" s="74" t="s">
        <v>45</v>
      </c>
      <c r="AK3" s="74" t="s">
        <v>46</v>
      </c>
      <c r="AL3" s="74" t="s">
        <v>47</v>
      </c>
      <c r="AM3" s="74" t="s">
        <v>48</v>
      </c>
      <c r="AN3" s="74" t="s">
        <v>49</v>
      </c>
      <c r="AO3" s="74" t="s">
        <v>50</v>
      </c>
      <c r="AP3" s="74" t="s">
        <v>51</v>
      </c>
      <c r="AQ3" s="74" t="s">
        <v>52</v>
      </c>
      <c r="AR3" s="74" t="s">
        <v>53</v>
      </c>
      <c r="AS3" s="74" t="s">
        <v>54</v>
      </c>
      <c r="AT3" s="36" t="s">
        <v>55</v>
      </c>
      <c r="AU3" s="74" t="s">
        <v>56</v>
      </c>
      <c r="AV3" s="74" t="s">
        <v>18</v>
      </c>
      <c r="AX3" s="12" t="s">
        <v>57</v>
      </c>
      <c r="AY3" s="12" t="s">
        <v>58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x14ac:dyDescent="0.3">
      <c r="A4" s="111" t="s">
        <v>1750</v>
      </c>
      <c r="B4" s="112" t="s">
        <v>1751</v>
      </c>
      <c r="C4" s="113">
        <v>352</v>
      </c>
      <c r="D4" s="104">
        <v>110.1</v>
      </c>
      <c r="E4" s="106">
        <v>33</v>
      </c>
      <c r="F4" s="104">
        <v>84.9</v>
      </c>
      <c r="G4" s="17">
        <v>26</v>
      </c>
      <c r="H4" s="107">
        <v>97</v>
      </c>
      <c r="I4" s="108">
        <v>29000</v>
      </c>
      <c r="J4" s="108" t="s">
        <v>1251</v>
      </c>
      <c r="K4" s="108">
        <v>24000</v>
      </c>
      <c r="L4" s="108" t="s">
        <v>1251</v>
      </c>
      <c r="M4" s="109">
        <f>I4-K4</f>
        <v>5000</v>
      </c>
      <c r="N4" s="4">
        <f>IF(ISERROR(K4/I4),"",K4/I4)</f>
        <v>0.82758620689655171</v>
      </c>
      <c r="O4" s="105">
        <f>I4/E4</f>
        <v>878.78787878787875</v>
      </c>
      <c r="P4" s="105">
        <f>K4/E4</f>
        <v>727.27272727272725</v>
      </c>
      <c r="Q4" s="114">
        <v>3</v>
      </c>
      <c r="R4" s="114">
        <v>2</v>
      </c>
      <c r="S4" s="114" t="s">
        <v>1244</v>
      </c>
      <c r="T4" s="5" t="s">
        <v>102</v>
      </c>
      <c r="U4" s="9"/>
      <c r="W4" s="104">
        <f t="shared" ref="W4:X6" si="0">D4</f>
        <v>110.1</v>
      </c>
      <c r="X4" s="106">
        <f t="shared" si="0"/>
        <v>33</v>
      </c>
      <c r="Y4" s="102">
        <f t="shared" ref="Y4:Z6" si="1">H4</f>
        <v>97</v>
      </c>
      <c r="Z4" s="109">
        <f t="shared" si="1"/>
        <v>29000</v>
      </c>
      <c r="AA4" s="109">
        <f>K4</f>
        <v>24000</v>
      </c>
      <c r="AB4" s="109">
        <f t="shared" ref="AB4:AD6" si="2">M4</f>
        <v>5000</v>
      </c>
      <c r="AC4" s="4">
        <f t="shared" si="2"/>
        <v>0.82758620689655171</v>
      </c>
      <c r="AD4" s="105">
        <f t="shared" si="2"/>
        <v>878.78787878787875</v>
      </c>
      <c r="AE4" s="114" t="str">
        <f>S4</f>
        <v>계</v>
      </c>
      <c r="AF4" s="114" t="str">
        <f>Q4&amp;"/"&amp;R4</f>
        <v>3/2</v>
      </c>
      <c r="AH4" s="20" t="str">
        <f t="shared" ref="AH4:AH17" si="3">IF(A4="","",A4)</f>
        <v>경암동 경암제일오투그란데</v>
      </c>
      <c r="AI4" s="106">
        <f t="shared" ref="AI4:AI42" si="4">IF(E4="","",E4)</f>
        <v>33</v>
      </c>
      <c r="AJ4" s="114" t="str">
        <f>IF(AI4="","",$AJ$2)</f>
        <v>A-</v>
      </c>
      <c r="AK4" s="114" t="s">
        <v>13</v>
      </c>
      <c r="AL4" s="114" t="s">
        <v>1242</v>
      </c>
      <c r="AM4" s="114" t="s">
        <v>1243</v>
      </c>
      <c r="AN4" s="114" t="str">
        <f>IF(AI4="","",$AN$2)</f>
        <v>C</v>
      </c>
      <c r="AO4" s="114" t="str">
        <f>IF(N4="","",IF(N4&gt;=$AO$1/100,"O","X"))</f>
        <v>O</v>
      </c>
      <c r="AP4" s="114" t="str">
        <f>IF(I4="","",IF(I4&lt;=$AP$1,"O","X"))</f>
        <v>O</v>
      </c>
      <c r="AQ4" s="114" t="str">
        <f>IF(O4="","",IF(O4&lt;=$AQ$1,"O","X"))</f>
        <v>O</v>
      </c>
      <c r="AR4" s="114" t="str">
        <f>IF(M4="","",IF(M4&lt;=$AR$1,"O","X"))</f>
        <v>O</v>
      </c>
      <c r="AS4" s="114" t="s">
        <v>2</v>
      </c>
      <c r="AT4" s="114" t="str">
        <f>IF(OR(F4="",AI4=""),"",IF(AND((F4&lt;=85),(AI4&gt;=15)),"O","X"))</f>
        <v>O</v>
      </c>
      <c r="AU4" s="114" t="str">
        <f>IF(C4="","",IF(C4&gt;=$AU$1,"O","X"))</f>
        <v>O</v>
      </c>
      <c r="AV4" s="114" t="str">
        <f>IF(AO4="","",IF(AND(AO4="O",AP4="O",AR4="O",AT4="O",AU4="O"),"후보","X"))</f>
        <v>후보</v>
      </c>
    </row>
    <row r="5" spans="1:60" s="37" customFormat="1" ht="12" x14ac:dyDescent="0.3">
      <c r="A5" s="111" t="s">
        <v>1734</v>
      </c>
      <c r="B5" s="112" t="s">
        <v>1733</v>
      </c>
      <c r="C5" s="113">
        <v>899</v>
      </c>
      <c r="D5" s="104">
        <v>74.2</v>
      </c>
      <c r="E5" s="106">
        <v>22</v>
      </c>
      <c r="F5" s="104">
        <v>59.4</v>
      </c>
      <c r="G5" s="17">
        <v>18</v>
      </c>
      <c r="H5" s="107">
        <v>344</v>
      </c>
      <c r="I5" s="108">
        <v>8700</v>
      </c>
      <c r="J5" s="108" t="s">
        <v>1253</v>
      </c>
      <c r="K5" s="108">
        <v>7900</v>
      </c>
      <c r="L5" s="108" t="s">
        <v>1251</v>
      </c>
      <c r="M5" s="109">
        <f>I5-K5</f>
        <v>800</v>
      </c>
      <c r="N5" s="4">
        <f>IF(ISERROR(K5/I5),"",K5/I5)</f>
        <v>0.90804597701149425</v>
      </c>
      <c r="O5" s="105">
        <f>I5/E5</f>
        <v>395.45454545454544</v>
      </c>
      <c r="P5" s="105">
        <f>K5/E5</f>
        <v>359.09090909090907</v>
      </c>
      <c r="Q5" s="114">
        <v>3</v>
      </c>
      <c r="R5" s="114">
        <v>1</v>
      </c>
      <c r="S5" s="114" t="s">
        <v>1244</v>
      </c>
      <c r="T5" s="5">
        <v>74</v>
      </c>
      <c r="U5" s="9"/>
      <c r="W5" s="104">
        <f t="shared" si="0"/>
        <v>74.2</v>
      </c>
      <c r="X5" s="106">
        <f t="shared" si="0"/>
        <v>22</v>
      </c>
      <c r="Y5" s="102">
        <f t="shared" si="1"/>
        <v>344</v>
      </c>
      <c r="Z5" s="109">
        <f t="shared" si="1"/>
        <v>8700</v>
      </c>
      <c r="AA5" s="109">
        <f>K5</f>
        <v>7900</v>
      </c>
      <c r="AB5" s="109">
        <f t="shared" si="2"/>
        <v>800</v>
      </c>
      <c r="AC5" s="4">
        <f t="shared" si="2"/>
        <v>0.90804597701149425</v>
      </c>
      <c r="AD5" s="105">
        <f t="shared" si="2"/>
        <v>395.45454545454544</v>
      </c>
      <c r="AE5" s="114" t="str">
        <f>S5</f>
        <v>계</v>
      </c>
      <c r="AF5" s="114" t="str">
        <f>Q5&amp;"/"&amp;R5</f>
        <v>3/1</v>
      </c>
      <c r="AH5" s="20" t="str">
        <f t="shared" si="3"/>
        <v>나운동 나운현대2차</v>
      </c>
      <c r="AI5" s="106">
        <f t="shared" si="4"/>
        <v>22</v>
      </c>
      <c r="AJ5" s="114" t="str">
        <f>IF(AI5="","",$AJ$2)</f>
        <v>A-</v>
      </c>
      <c r="AK5" s="114" t="s">
        <v>13</v>
      </c>
      <c r="AL5" s="114" t="s">
        <v>1242</v>
      </c>
      <c r="AM5" s="114" t="s">
        <v>1243</v>
      </c>
      <c r="AN5" s="114" t="str">
        <f>IF(AI5="","",$AN$2)</f>
        <v>C</v>
      </c>
      <c r="AO5" s="114" t="str">
        <f>IF(N5="","",IF(N5&gt;=$AO$1/100,"O","X"))</f>
        <v>O</v>
      </c>
      <c r="AP5" s="114" t="str">
        <f>IF(I5="","",IF(I5&lt;=$AP$1,"O","X"))</f>
        <v>O</v>
      </c>
      <c r="AQ5" s="114" t="str">
        <f>IF(O5="","",IF(O5&lt;=$AQ$1,"O","X"))</f>
        <v>O</v>
      </c>
      <c r="AR5" s="114" t="str">
        <f>IF(M5="","",IF(M5&lt;=$AR$1,"O","X"))</f>
        <v>O</v>
      </c>
      <c r="AS5" s="114" t="s">
        <v>2</v>
      </c>
      <c r="AT5" s="114" t="str">
        <f>IF(OR(F5="",AI5=""),"",IF(AND((F5&lt;=85),(AI5&gt;=15)),"O","X"))</f>
        <v>O</v>
      </c>
      <c r="AU5" s="114" t="str">
        <f>IF(C5="","",IF(C5&gt;=$AU$1,"O","X"))</f>
        <v>O</v>
      </c>
      <c r="AV5" s="114" t="str">
        <f>IF(AO5="","",IF(AND(AO5="O",AP5="O",AR5="O",AT5="O",AU5="O"),"후보","X"))</f>
        <v>후보</v>
      </c>
    </row>
    <row r="6" spans="1:60" s="37" customFormat="1" ht="12" x14ac:dyDescent="0.3">
      <c r="A6" s="111" t="s">
        <v>1752</v>
      </c>
      <c r="B6" s="112" t="s">
        <v>1753</v>
      </c>
      <c r="C6" s="113">
        <v>899</v>
      </c>
      <c r="D6" s="104">
        <v>105.9</v>
      </c>
      <c r="E6" s="106">
        <v>32</v>
      </c>
      <c r="F6" s="104">
        <v>84.7</v>
      </c>
      <c r="G6" s="17">
        <v>26</v>
      </c>
      <c r="H6" s="107">
        <v>377</v>
      </c>
      <c r="I6" s="108">
        <v>14000</v>
      </c>
      <c r="J6" s="108" t="s">
        <v>1251</v>
      </c>
      <c r="K6" s="108">
        <v>12000</v>
      </c>
      <c r="L6" s="108" t="s">
        <v>1265</v>
      </c>
      <c r="M6" s="109">
        <f>I6-K6</f>
        <v>2000</v>
      </c>
      <c r="N6" s="4">
        <f>IF(ISERROR(K6/I6),"",K6/I6)</f>
        <v>0.8571428571428571</v>
      </c>
      <c r="O6" s="105">
        <f>I6/E6</f>
        <v>437.5</v>
      </c>
      <c r="P6" s="105">
        <f>K6/E6</f>
        <v>375</v>
      </c>
      <c r="Q6" s="114">
        <v>3</v>
      </c>
      <c r="R6" s="114">
        <v>2</v>
      </c>
      <c r="S6" s="114" t="s">
        <v>1244</v>
      </c>
      <c r="T6" s="5">
        <v>105</v>
      </c>
      <c r="U6" s="9"/>
      <c r="W6" s="104">
        <f t="shared" si="0"/>
        <v>105.9</v>
      </c>
      <c r="X6" s="106">
        <f t="shared" si="0"/>
        <v>32</v>
      </c>
      <c r="Y6" s="102">
        <f t="shared" si="1"/>
        <v>377</v>
      </c>
      <c r="Z6" s="109">
        <f t="shared" si="1"/>
        <v>14000</v>
      </c>
      <c r="AA6" s="109">
        <f>K6</f>
        <v>12000</v>
      </c>
      <c r="AB6" s="109">
        <f t="shared" si="2"/>
        <v>2000</v>
      </c>
      <c r="AC6" s="4">
        <f t="shared" si="2"/>
        <v>0.8571428571428571</v>
      </c>
      <c r="AD6" s="105">
        <f t="shared" si="2"/>
        <v>437.5</v>
      </c>
      <c r="AE6" s="114" t="str">
        <f>S6</f>
        <v>계</v>
      </c>
      <c r="AF6" s="114" t="str">
        <f>Q6&amp;"/"&amp;R6</f>
        <v>3/2</v>
      </c>
      <c r="AH6" s="20" t="str">
        <f t="shared" si="3"/>
        <v>나운동 나운현대2차</v>
      </c>
      <c r="AI6" s="106">
        <f t="shared" si="4"/>
        <v>32</v>
      </c>
      <c r="AJ6" s="114" t="str">
        <f>IF(AI6="","",$AJ$2)</f>
        <v>A-</v>
      </c>
      <c r="AK6" s="114" t="s">
        <v>13</v>
      </c>
      <c r="AL6" s="114" t="s">
        <v>1242</v>
      </c>
      <c r="AM6" s="114" t="s">
        <v>1243</v>
      </c>
      <c r="AN6" s="114" t="str">
        <f>IF(AI6="","",$AN$2)</f>
        <v>C</v>
      </c>
      <c r="AO6" s="114" t="str">
        <f>IF(N6="","",IF(N6&gt;=$AO$1/100,"O","X"))</f>
        <v>O</v>
      </c>
      <c r="AP6" s="114" t="str">
        <f>IF(I6="","",IF(I6&lt;=$AP$1,"O","X"))</f>
        <v>O</v>
      </c>
      <c r="AQ6" s="114" t="str">
        <f>IF(O6="","",IF(O6&lt;=$AQ$1,"O","X"))</f>
        <v>O</v>
      </c>
      <c r="AR6" s="114" t="str">
        <f>IF(M6="","",IF(M6&lt;=$AR$1,"O","X"))</f>
        <v>O</v>
      </c>
      <c r="AS6" s="114" t="s">
        <v>2</v>
      </c>
      <c r="AT6" s="114" t="str">
        <f>IF(OR(F6="",AI6=""),"",IF(AND((F6&lt;=85),(AI6&gt;=15)),"O","X"))</f>
        <v>O</v>
      </c>
      <c r="AU6" s="114" t="str">
        <f>IF(C6="","",IF(C6&gt;=$AU$1,"O","X"))</f>
        <v>O</v>
      </c>
      <c r="AV6" s="114" t="str">
        <f>IF(AO6="","",IF(AND(AO6="O",AP6="O",AR6="O",AT6="O",AU6="O"),"후보","X"))</f>
        <v>후보</v>
      </c>
    </row>
    <row r="7" spans="1:60" s="37" customFormat="1" ht="12" x14ac:dyDescent="0.3">
      <c r="A7" s="111" t="s">
        <v>1754</v>
      </c>
      <c r="B7" s="112" t="s">
        <v>1735</v>
      </c>
      <c r="C7" s="113">
        <v>600</v>
      </c>
      <c r="D7" s="104">
        <v>75.099999999999994</v>
      </c>
      <c r="E7" s="106">
        <v>23</v>
      </c>
      <c r="F7" s="104">
        <v>59.9</v>
      </c>
      <c r="G7" s="17">
        <v>18</v>
      </c>
      <c r="H7" s="107">
        <v>600</v>
      </c>
      <c r="I7" s="108">
        <v>12000</v>
      </c>
      <c r="J7" s="108" t="s">
        <v>1255</v>
      </c>
      <c r="K7" s="108">
        <v>10500</v>
      </c>
      <c r="L7" s="108" t="s">
        <v>1268</v>
      </c>
      <c r="M7" s="109">
        <f>I7-K7</f>
        <v>1500</v>
      </c>
      <c r="N7" s="4">
        <f>IF(ISERROR(K7/I7),"",K7/I7)</f>
        <v>0.875</v>
      </c>
      <c r="O7" s="105">
        <f>I7/E7</f>
        <v>521.73913043478262</v>
      </c>
      <c r="P7" s="105">
        <f>K7/E7</f>
        <v>456.52173913043481</v>
      </c>
      <c r="Q7" s="114">
        <v>3</v>
      </c>
      <c r="R7" s="114">
        <v>1</v>
      </c>
      <c r="S7" s="114" t="s">
        <v>1244</v>
      </c>
      <c r="T7" s="5">
        <v>75</v>
      </c>
      <c r="U7" s="9"/>
      <c r="W7" s="104">
        <f>D7</f>
        <v>75.099999999999994</v>
      </c>
      <c r="X7" s="106">
        <f>E7</f>
        <v>23</v>
      </c>
      <c r="Y7" s="102">
        <f>H7</f>
        <v>600</v>
      </c>
      <c r="Z7" s="109">
        <f>I7</f>
        <v>12000</v>
      </c>
      <c r="AA7" s="109">
        <f>K7</f>
        <v>10500</v>
      </c>
      <c r="AB7" s="109">
        <f>M7</f>
        <v>1500</v>
      </c>
      <c r="AC7" s="4">
        <f>N7</f>
        <v>0.875</v>
      </c>
      <c r="AD7" s="105">
        <f>O7</f>
        <v>521.73913043478262</v>
      </c>
      <c r="AE7" s="114" t="str">
        <f>S7</f>
        <v>계</v>
      </c>
      <c r="AF7" s="114" t="str">
        <f>Q7&amp;"/"&amp;R7</f>
        <v>3/1</v>
      </c>
      <c r="AH7" s="20" t="str">
        <f t="shared" si="3"/>
        <v>나운동 신일</v>
      </c>
      <c r="AI7" s="106">
        <f t="shared" si="4"/>
        <v>23</v>
      </c>
      <c r="AJ7" s="114" t="str">
        <f>IF(AI7="","",$AJ$2)</f>
        <v>A-</v>
      </c>
      <c r="AK7" s="114" t="s">
        <v>13</v>
      </c>
      <c r="AL7" s="114" t="s">
        <v>1242</v>
      </c>
      <c r="AM7" s="114" t="s">
        <v>1243</v>
      </c>
      <c r="AN7" s="114" t="str">
        <f>IF(AI7="","",$AN$2)</f>
        <v>C</v>
      </c>
      <c r="AO7" s="114" t="str">
        <f>IF(N7="","",IF(N7&gt;=$AO$1/100,"O","X"))</f>
        <v>O</v>
      </c>
      <c r="AP7" s="114" t="str">
        <f>IF(I7="","",IF(I7&lt;=$AP$1,"O","X"))</f>
        <v>O</v>
      </c>
      <c r="AQ7" s="114" t="str">
        <f>IF(O7="","",IF(O7&lt;=$AQ$1,"O","X"))</f>
        <v>O</v>
      </c>
      <c r="AR7" s="114" t="str">
        <f>IF(M7="","",IF(M7&lt;=$AR$1,"O","X"))</f>
        <v>O</v>
      </c>
      <c r="AS7" s="114" t="s">
        <v>2</v>
      </c>
      <c r="AT7" s="114" t="str">
        <f>IF(OR(F7="",AI7=""),"",IF(AND((F7&lt;=85),(AI7&gt;=15)),"O","X"))</f>
        <v>O</v>
      </c>
      <c r="AU7" s="114" t="str">
        <f>IF(C7="","",IF(C7&gt;=$AU$1,"O","X"))</f>
        <v>O</v>
      </c>
      <c r="AV7" s="114" t="str">
        <f>IF(AO7="","",IF(AND(AO7="O",AP7="O",AR7="O",AT7="O",AU7="O"),"후보","X"))</f>
        <v>후보</v>
      </c>
    </row>
    <row r="8" spans="1:60" s="37" customFormat="1" ht="12" x14ac:dyDescent="0.3">
      <c r="A8" s="111" t="s">
        <v>1709</v>
      </c>
      <c r="B8" s="112" t="s">
        <v>1710</v>
      </c>
      <c r="C8" s="113">
        <v>930</v>
      </c>
      <c r="D8" s="104">
        <v>101.7</v>
      </c>
      <c r="E8" s="106">
        <v>31</v>
      </c>
      <c r="F8" s="104">
        <v>84.8</v>
      </c>
      <c r="G8" s="17">
        <v>26</v>
      </c>
      <c r="H8" s="107">
        <v>600</v>
      </c>
      <c r="I8" s="108">
        <v>14000</v>
      </c>
      <c r="J8" s="108" t="s">
        <v>1248</v>
      </c>
      <c r="K8" s="108">
        <v>12000</v>
      </c>
      <c r="L8" s="108" t="s">
        <v>1248</v>
      </c>
      <c r="M8" s="109">
        <f>I8-K8</f>
        <v>2000</v>
      </c>
      <c r="N8" s="4">
        <f>IF(ISERROR(K8/I8),"",K8/I8)</f>
        <v>0.8571428571428571</v>
      </c>
      <c r="O8" s="105">
        <f>I8/E8</f>
        <v>451.61290322580646</v>
      </c>
      <c r="P8" s="105">
        <f>K8/E8</f>
        <v>387.09677419354841</v>
      </c>
      <c r="Q8" s="114">
        <v>3</v>
      </c>
      <c r="R8" s="114">
        <v>2</v>
      </c>
      <c r="S8" s="114" t="s">
        <v>1244</v>
      </c>
      <c r="T8" s="5">
        <v>101</v>
      </c>
      <c r="U8" s="9"/>
      <c r="W8" s="104">
        <f>D8</f>
        <v>101.7</v>
      </c>
      <c r="X8" s="106">
        <f>E8</f>
        <v>31</v>
      </c>
      <c r="Y8" s="102">
        <f>H8</f>
        <v>600</v>
      </c>
      <c r="Z8" s="109">
        <f>I8</f>
        <v>14000</v>
      </c>
      <c r="AA8" s="109">
        <f>K8</f>
        <v>12000</v>
      </c>
      <c r="AB8" s="109">
        <f t="shared" ref="AB8:AD18" si="5">M8</f>
        <v>2000</v>
      </c>
      <c r="AC8" s="4">
        <f t="shared" si="5"/>
        <v>0.8571428571428571</v>
      </c>
      <c r="AD8" s="105">
        <f t="shared" si="5"/>
        <v>451.61290322580646</v>
      </c>
      <c r="AE8" s="114" t="str">
        <f>S8</f>
        <v>계</v>
      </c>
      <c r="AF8" s="114" t="str">
        <f>Q8&amp;"/"&amp;R8</f>
        <v>3/2</v>
      </c>
      <c r="AH8" s="20" t="str">
        <f t="shared" si="3"/>
        <v>나운동 금호타운1차</v>
      </c>
      <c r="AI8" s="106">
        <f t="shared" si="4"/>
        <v>31</v>
      </c>
      <c r="AJ8" s="114" t="str">
        <f>IF(AI8="","",$AJ$2)</f>
        <v>A-</v>
      </c>
      <c r="AK8" s="114" t="s">
        <v>13</v>
      </c>
      <c r="AL8" s="114" t="s">
        <v>1242</v>
      </c>
      <c r="AM8" s="114" t="s">
        <v>1243</v>
      </c>
      <c r="AN8" s="114" t="str">
        <f>IF(AI8="","",$AN$2)</f>
        <v>C</v>
      </c>
      <c r="AO8" s="114" t="str">
        <f>IF(N8="","",IF(N8&gt;=$AO$1/100,"O","X"))</f>
        <v>O</v>
      </c>
      <c r="AP8" s="114" t="str">
        <f>IF(I8="","",IF(I8&lt;=$AP$1,"O","X"))</f>
        <v>O</v>
      </c>
      <c r="AQ8" s="114" t="str">
        <f>IF(O8="","",IF(O8&lt;=$AQ$1,"O","X"))</f>
        <v>O</v>
      </c>
      <c r="AR8" s="114" t="str">
        <f>IF(M8="","",IF(M8&lt;=$AR$1,"O","X"))</f>
        <v>O</v>
      </c>
      <c r="AS8" s="114" t="s">
        <v>2</v>
      </c>
      <c r="AT8" s="114" t="str">
        <f>IF(OR(F8="",AI8=""),"",IF(AND((F8&lt;=85),(AI8&gt;=15)),"O","X"))</f>
        <v>O</v>
      </c>
      <c r="AU8" s="114" t="str">
        <f>IF(C8="","",IF(C8&gt;=$AU$1,"O","X"))</f>
        <v>O</v>
      </c>
      <c r="AV8" s="114" t="str">
        <f>IF(AO8="","",IF(AND(AO8="O",AP8="O",AR8="O",AT8="O",AU8="O"),"후보","X"))</f>
        <v>후보</v>
      </c>
    </row>
    <row r="9" spans="1:60" s="37" customFormat="1" ht="12" x14ac:dyDescent="0.3">
      <c r="A9" s="111" t="s">
        <v>1755</v>
      </c>
      <c r="B9" s="112" t="s">
        <v>1711</v>
      </c>
      <c r="C9" s="113">
        <v>490</v>
      </c>
      <c r="D9" s="104">
        <v>103.8</v>
      </c>
      <c r="E9" s="106">
        <v>31</v>
      </c>
      <c r="F9" s="104">
        <v>85</v>
      </c>
      <c r="G9" s="17">
        <v>26</v>
      </c>
      <c r="H9" s="107">
        <v>228</v>
      </c>
      <c r="I9" s="108">
        <v>15700</v>
      </c>
      <c r="J9" s="108" t="s">
        <v>1245</v>
      </c>
      <c r="K9" s="108">
        <v>14500</v>
      </c>
      <c r="L9" s="108" t="s">
        <v>1272</v>
      </c>
      <c r="M9" s="109">
        <f>I9-K9</f>
        <v>1200</v>
      </c>
      <c r="N9" s="4">
        <f>IF(ISERROR(K9/I9),"",K9/I9)</f>
        <v>0.92356687898089174</v>
      </c>
      <c r="O9" s="105">
        <f>I9/E9</f>
        <v>506.45161290322579</v>
      </c>
      <c r="P9" s="105">
        <f>K9/E9</f>
        <v>467.74193548387098</v>
      </c>
      <c r="Q9" s="114">
        <v>3</v>
      </c>
      <c r="R9" s="114">
        <v>2</v>
      </c>
      <c r="S9" s="114" t="s">
        <v>1244</v>
      </c>
      <c r="T9" s="5">
        <v>103</v>
      </c>
      <c r="U9" s="9"/>
      <c r="W9" s="104">
        <f>D9</f>
        <v>103.8</v>
      </c>
      <c r="X9" s="106">
        <f>E9</f>
        <v>31</v>
      </c>
      <c r="Y9" s="102">
        <f>H9</f>
        <v>228</v>
      </c>
      <c r="Z9" s="109">
        <f>I9</f>
        <v>15700</v>
      </c>
      <c r="AA9" s="109">
        <f>K9</f>
        <v>14500</v>
      </c>
      <c r="AB9" s="109">
        <f t="shared" si="5"/>
        <v>1200</v>
      </c>
      <c r="AC9" s="4">
        <f t="shared" si="5"/>
        <v>0.92356687898089174</v>
      </c>
      <c r="AD9" s="105">
        <f t="shared" si="5"/>
        <v>506.45161290322579</v>
      </c>
      <c r="AE9" s="114" t="str">
        <f>S9</f>
        <v>계</v>
      </c>
      <c r="AF9" s="114" t="str">
        <f>Q9&amp;"/"&amp;R9</f>
        <v>3/2</v>
      </c>
      <c r="AH9" s="20" t="str">
        <f t="shared" si="3"/>
        <v>나운동 서호</v>
      </c>
      <c r="AI9" s="106">
        <f t="shared" si="4"/>
        <v>31</v>
      </c>
      <c r="AJ9" s="114" t="str">
        <f>IF(AI9="","",$AJ$2)</f>
        <v>A-</v>
      </c>
      <c r="AK9" s="114" t="s">
        <v>13</v>
      </c>
      <c r="AL9" s="114" t="s">
        <v>1242</v>
      </c>
      <c r="AM9" s="114" t="s">
        <v>1243</v>
      </c>
      <c r="AN9" s="114" t="str">
        <f>IF(AI9="","",$AN$2)</f>
        <v>C</v>
      </c>
      <c r="AO9" s="114" t="str">
        <f>IF(N9="","",IF(N9&gt;=$AO$1/100,"O","X"))</f>
        <v>O</v>
      </c>
      <c r="AP9" s="114" t="str">
        <f>IF(I9="","",IF(I9&lt;=$AP$1,"O","X"))</f>
        <v>O</v>
      </c>
      <c r="AQ9" s="114" t="str">
        <f>IF(O9="","",IF(O9&lt;=$AQ$1,"O","X"))</f>
        <v>O</v>
      </c>
      <c r="AR9" s="114" t="str">
        <f>IF(M9="","",IF(M9&lt;=$AR$1,"O","X"))</f>
        <v>O</v>
      </c>
      <c r="AS9" s="114" t="s">
        <v>2</v>
      </c>
      <c r="AT9" s="114" t="str">
        <f>IF(OR(F9="",AI9=""),"",IF(AND((F9&lt;=85),(AI9&gt;=15)),"O","X"))</f>
        <v>O</v>
      </c>
      <c r="AU9" s="114" t="str">
        <f>IF(C9="","",IF(C9&gt;=$AU$1,"O","X"))</f>
        <v>O</v>
      </c>
      <c r="AV9" s="114" t="str">
        <f>IF(AO9="","",IF(AND(AO9="O",AP9="O",AR9="O",AT9="O",AU9="O"),"후보","X"))</f>
        <v>후보</v>
      </c>
    </row>
    <row r="10" spans="1:60" s="37" customFormat="1" ht="12" x14ac:dyDescent="0.3">
      <c r="A10" s="111" t="s">
        <v>1712</v>
      </c>
      <c r="B10" s="112" t="s">
        <v>1736</v>
      </c>
      <c r="C10" s="113">
        <v>437</v>
      </c>
      <c r="D10" s="104">
        <v>78</v>
      </c>
      <c r="E10" s="106">
        <v>24</v>
      </c>
      <c r="F10" s="104">
        <v>59.9</v>
      </c>
      <c r="G10" s="17">
        <v>18</v>
      </c>
      <c r="H10" s="107">
        <v>155</v>
      </c>
      <c r="I10" s="108">
        <v>14200</v>
      </c>
      <c r="J10" s="108" t="s">
        <v>1268</v>
      </c>
      <c r="K10" s="108">
        <v>13000</v>
      </c>
      <c r="L10" s="108" t="s">
        <v>1256</v>
      </c>
      <c r="M10" s="109">
        <f>I10-K10</f>
        <v>1200</v>
      </c>
      <c r="N10" s="4">
        <f>IF(ISERROR(K10/I10),"",K10/I10)</f>
        <v>0.91549295774647887</v>
      </c>
      <c r="O10" s="105">
        <f>I10/E10</f>
        <v>591.66666666666663</v>
      </c>
      <c r="P10" s="105">
        <f>K10/E10</f>
        <v>541.66666666666663</v>
      </c>
      <c r="Q10" s="114">
        <v>3</v>
      </c>
      <c r="R10" s="114">
        <v>2</v>
      </c>
      <c r="S10" s="114" t="s">
        <v>1244</v>
      </c>
      <c r="T10" s="5">
        <v>77</v>
      </c>
      <c r="U10" s="9"/>
      <c r="W10" s="104">
        <f t="shared" ref="W10:X10" si="6">D10</f>
        <v>78</v>
      </c>
      <c r="X10" s="106">
        <f t="shared" si="6"/>
        <v>24</v>
      </c>
      <c r="Y10" s="102">
        <f t="shared" ref="Y10:Z10" si="7">H10</f>
        <v>155</v>
      </c>
      <c r="Z10" s="109">
        <f t="shared" si="7"/>
        <v>14200</v>
      </c>
      <c r="AA10" s="109">
        <f>K10</f>
        <v>13000</v>
      </c>
      <c r="AB10" s="109">
        <f t="shared" si="5"/>
        <v>1200</v>
      </c>
      <c r="AC10" s="4">
        <f t="shared" si="5"/>
        <v>0.91549295774647887</v>
      </c>
      <c r="AD10" s="105">
        <f t="shared" si="5"/>
        <v>591.66666666666663</v>
      </c>
      <c r="AE10" s="114" t="str">
        <f>S10</f>
        <v>계</v>
      </c>
      <c r="AF10" s="114" t="str">
        <f>Q10&amp;"/"&amp;R10</f>
        <v>3/2</v>
      </c>
      <c r="AH10" s="20" t="str">
        <f t="shared" si="3"/>
        <v>나운동 나운보람더하임</v>
      </c>
      <c r="AI10" s="106">
        <f t="shared" si="4"/>
        <v>24</v>
      </c>
      <c r="AJ10" s="114" t="str">
        <f>IF(AI10="","",$AJ$2)</f>
        <v>A-</v>
      </c>
      <c r="AK10" s="114" t="s">
        <v>13</v>
      </c>
      <c r="AL10" s="114" t="s">
        <v>1242</v>
      </c>
      <c r="AM10" s="114" t="s">
        <v>1243</v>
      </c>
      <c r="AN10" s="114" t="str">
        <f>IF(AI10="","",$AN$2)</f>
        <v>C</v>
      </c>
      <c r="AO10" s="114" t="str">
        <f>IF(N10="","",IF(N10&gt;=$AO$1/100,"O","X"))</f>
        <v>O</v>
      </c>
      <c r="AP10" s="114" t="str">
        <f>IF(I10="","",IF(I10&lt;=$AP$1,"O","X"))</f>
        <v>O</v>
      </c>
      <c r="AQ10" s="114" t="str">
        <f>IF(O10="","",IF(O10&lt;=$AQ$1,"O","X"))</f>
        <v>O</v>
      </c>
      <c r="AR10" s="114" t="str">
        <f>IF(M10="","",IF(M10&lt;=$AR$1,"O","X"))</f>
        <v>O</v>
      </c>
      <c r="AS10" s="114" t="s">
        <v>2</v>
      </c>
      <c r="AT10" s="114" t="str">
        <f>IF(OR(F10="",AI10=""),"",IF(AND((F10&lt;=85),(AI10&gt;=15)),"O","X"))</f>
        <v>O</v>
      </c>
      <c r="AU10" s="114" t="str">
        <f>IF(C10="","",IF(C10&gt;=$AU$1,"O","X"))</f>
        <v>O</v>
      </c>
      <c r="AV10" s="114" t="str">
        <f>IF(AO10="","",IF(AND(AO10="O",AP10="O",AR10="O",AT10="O",AU10="O"),"후보","X"))</f>
        <v>후보</v>
      </c>
    </row>
    <row r="11" spans="1:60" s="37" customFormat="1" ht="12" x14ac:dyDescent="0.3">
      <c r="A11" s="111" t="s">
        <v>1713</v>
      </c>
      <c r="B11" s="112" t="s">
        <v>1714</v>
      </c>
      <c r="C11" s="113">
        <v>840</v>
      </c>
      <c r="D11" s="104">
        <v>76.099999999999994</v>
      </c>
      <c r="E11" s="106">
        <v>23</v>
      </c>
      <c r="F11" s="104">
        <v>59.7</v>
      </c>
      <c r="G11" s="17">
        <v>18</v>
      </c>
      <c r="H11" s="107">
        <v>477</v>
      </c>
      <c r="I11" s="108">
        <v>10100</v>
      </c>
      <c r="J11" s="108" t="s">
        <v>1272</v>
      </c>
      <c r="K11" s="108">
        <v>10000</v>
      </c>
      <c r="L11" s="108" t="s">
        <v>1248</v>
      </c>
      <c r="M11" s="109">
        <f>I11-K11</f>
        <v>100</v>
      </c>
      <c r="N11" s="4">
        <f>IF(ISERROR(K11/I11),"",K11/I11)</f>
        <v>0.99009900990099009</v>
      </c>
      <c r="O11" s="105">
        <f>I11/E11</f>
        <v>439.13043478260869</v>
      </c>
      <c r="P11" s="105">
        <f>K11/E11</f>
        <v>434.78260869565219</v>
      </c>
      <c r="Q11" s="114">
        <v>3</v>
      </c>
      <c r="R11" s="114">
        <v>1</v>
      </c>
      <c r="S11" s="114" t="s">
        <v>1244</v>
      </c>
      <c r="T11" s="5" t="s">
        <v>384</v>
      </c>
      <c r="U11" s="9"/>
      <c r="W11" s="104">
        <f>D11</f>
        <v>76.099999999999994</v>
      </c>
      <c r="X11" s="106">
        <f>E11</f>
        <v>23</v>
      </c>
      <c r="Y11" s="102">
        <f>H11</f>
        <v>477</v>
      </c>
      <c r="Z11" s="109">
        <f>I11</f>
        <v>10100</v>
      </c>
      <c r="AA11" s="109">
        <f>K11</f>
        <v>10000</v>
      </c>
      <c r="AB11" s="109">
        <f t="shared" si="5"/>
        <v>100</v>
      </c>
      <c r="AC11" s="4">
        <f t="shared" si="5"/>
        <v>0.99009900990099009</v>
      </c>
      <c r="AD11" s="105">
        <f t="shared" si="5"/>
        <v>439.13043478260869</v>
      </c>
      <c r="AE11" s="114" t="str">
        <f>S11</f>
        <v>계</v>
      </c>
      <c r="AF11" s="114" t="str">
        <f>Q11&amp;"/"&amp;R11</f>
        <v>3/1</v>
      </c>
      <c r="AH11" s="20" t="str">
        <f t="shared" si="3"/>
        <v>나운동 한울</v>
      </c>
      <c r="AI11" s="106">
        <f t="shared" si="4"/>
        <v>23</v>
      </c>
      <c r="AJ11" s="114" t="str">
        <f>IF(AI11="","",$AJ$2)</f>
        <v>A-</v>
      </c>
      <c r="AK11" s="114" t="s">
        <v>13</v>
      </c>
      <c r="AL11" s="114" t="s">
        <v>1242</v>
      </c>
      <c r="AM11" s="114" t="s">
        <v>1243</v>
      </c>
      <c r="AN11" s="114" t="str">
        <f>IF(AI11="","",$AN$2)</f>
        <v>C</v>
      </c>
      <c r="AO11" s="114" t="str">
        <f>IF(N11="","",IF(N11&gt;=$AO$1/100,"O","X"))</f>
        <v>O</v>
      </c>
      <c r="AP11" s="114" t="str">
        <f>IF(I11="","",IF(I11&lt;=$AP$1,"O","X"))</f>
        <v>O</v>
      </c>
      <c r="AQ11" s="114" t="str">
        <f>IF(O11="","",IF(O11&lt;=$AQ$1,"O","X"))</f>
        <v>O</v>
      </c>
      <c r="AR11" s="114" t="str">
        <f>IF(M11="","",IF(M11&lt;=$AR$1,"O","X"))</f>
        <v>O</v>
      </c>
      <c r="AS11" s="114" t="s">
        <v>2</v>
      </c>
      <c r="AT11" s="114" t="str">
        <f>IF(OR(F11="",AI11=""),"",IF(AND((F11&lt;=85),(AI11&gt;=15)),"O","X"))</f>
        <v>O</v>
      </c>
      <c r="AU11" s="114" t="str">
        <f>IF(C11="","",IF(C11&gt;=$AU$1,"O","X"))</f>
        <v>O</v>
      </c>
      <c r="AV11" s="114" t="str">
        <f>IF(AO11="","",IF(AND(AO11="O",AP11="O",AR11="O",AT11="O",AU11="O"),"후보","X"))</f>
        <v>후보</v>
      </c>
    </row>
    <row r="12" spans="1:60" s="37" customFormat="1" ht="12" x14ac:dyDescent="0.3">
      <c r="A12" s="111" t="s">
        <v>1715</v>
      </c>
      <c r="B12" s="112" t="s">
        <v>1711</v>
      </c>
      <c r="C12" s="113">
        <v>479</v>
      </c>
      <c r="D12" s="104">
        <v>74.3</v>
      </c>
      <c r="E12" s="106">
        <v>22</v>
      </c>
      <c r="F12" s="104">
        <v>60</v>
      </c>
      <c r="G12" s="17">
        <v>18</v>
      </c>
      <c r="H12" s="107">
        <v>180</v>
      </c>
      <c r="I12" s="108">
        <v>9300</v>
      </c>
      <c r="J12" s="108" t="s">
        <v>1280</v>
      </c>
      <c r="K12" s="108">
        <v>9300</v>
      </c>
      <c r="L12" s="108" t="s">
        <v>1281</v>
      </c>
      <c r="M12" s="109">
        <f>I12-K12</f>
        <v>0</v>
      </c>
      <c r="N12" s="4">
        <f>IF(ISERROR(K12/I12),"",K12/I12)</f>
        <v>1</v>
      </c>
      <c r="O12" s="105">
        <f>I12/E12</f>
        <v>422.72727272727275</v>
      </c>
      <c r="P12" s="105">
        <f>K12/E12</f>
        <v>422.72727272727275</v>
      </c>
      <c r="Q12" s="114">
        <v>3</v>
      </c>
      <c r="R12" s="114">
        <v>1</v>
      </c>
      <c r="S12" s="114" t="s">
        <v>1241</v>
      </c>
      <c r="T12" s="5">
        <v>74</v>
      </c>
      <c r="U12" s="9"/>
      <c r="W12" s="104">
        <f t="shared" ref="W12:X18" si="8">D12</f>
        <v>74.3</v>
      </c>
      <c r="X12" s="106">
        <f t="shared" si="8"/>
        <v>22</v>
      </c>
      <c r="Y12" s="102">
        <f t="shared" ref="Y12:Z18" si="9">H12</f>
        <v>180</v>
      </c>
      <c r="Z12" s="109">
        <f t="shared" si="9"/>
        <v>9300</v>
      </c>
      <c r="AA12" s="109">
        <f>K12</f>
        <v>9300</v>
      </c>
      <c r="AB12" s="109">
        <f t="shared" si="5"/>
        <v>0</v>
      </c>
      <c r="AC12" s="4">
        <f t="shared" si="5"/>
        <v>1</v>
      </c>
      <c r="AD12" s="105">
        <f t="shared" si="5"/>
        <v>422.72727272727275</v>
      </c>
      <c r="AE12" s="114" t="str">
        <f>S12</f>
        <v>복</v>
      </c>
      <c r="AF12" s="114" t="str">
        <f>Q12&amp;"/"&amp;R12</f>
        <v>3/1</v>
      </c>
      <c r="AH12" s="20" t="str">
        <f t="shared" si="3"/>
        <v>나운동 현대3차</v>
      </c>
      <c r="AI12" s="106">
        <f t="shared" si="4"/>
        <v>22</v>
      </c>
      <c r="AJ12" s="114" t="str">
        <f>IF(AI12="","",$AJ$2)</f>
        <v>A-</v>
      </c>
      <c r="AK12" s="114" t="s">
        <v>13</v>
      </c>
      <c r="AL12" s="114" t="s">
        <v>1242</v>
      </c>
      <c r="AM12" s="114" t="s">
        <v>1243</v>
      </c>
      <c r="AN12" s="114" t="str">
        <f>IF(AI12="","",$AN$2)</f>
        <v>C</v>
      </c>
      <c r="AO12" s="114" t="str">
        <f>IF(N12="","",IF(N12&gt;=$AO$1/100,"O","X"))</f>
        <v>O</v>
      </c>
      <c r="AP12" s="114" t="str">
        <f>IF(I12="","",IF(I12&lt;=$AP$1,"O","X"))</f>
        <v>O</v>
      </c>
      <c r="AQ12" s="114" t="str">
        <f>IF(O12="","",IF(O12&lt;=$AQ$1,"O","X"))</f>
        <v>O</v>
      </c>
      <c r="AR12" s="114" t="str">
        <f>IF(M12="","",IF(M12&lt;=$AR$1,"O","X"))</f>
        <v>O</v>
      </c>
      <c r="AS12" s="114" t="s">
        <v>2</v>
      </c>
      <c r="AT12" s="114" t="str">
        <f>IF(OR(F12="",AI12=""),"",IF(AND((F12&lt;=85),(AI12&gt;=15)),"O","X"))</f>
        <v>O</v>
      </c>
      <c r="AU12" s="114" t="str">
        <f>IF(C12="","",IF(C12&gt;=$AU$1,"O","X"))</f>
        <v>O</v>
      </c>
      <c r="AV12" s="114" t="str">
        <f>IF(AO12="","",IF(AND(AO12="O",AP12="O",AR12="O",AT12="O",AU12="O"),"후보","X"))</f>
        <v>후보</v>
      </c>
    </row>
    <row r="13" spans="1:60" s="37" customFormat="1" ht="12" x14ac:dyDescent="0.3">
      <c r="A13" s="111" t="s">
        <v>1756</v>
      </c>
      <c r="B13" s="112" t="s">
        <v>1716</v>
      </c>
      <c r="C13" s="113">
        <v>773</v>
      </c>
      <c r="D13" s="104">
        <v>111.2</v>
      </c>
      <c r="E13" s="106">
        <v>34</v>
      </c>
      <c r="F13" s="104">
        <v>85</v>
      </c>
      <c r="G13" s="17">
        <v>26</v>
      </c>
      <c r="H13" s="107">
        <v>324</v>
      </c>
      <c r="I13" s="108">
        <v>27000</v>
      </c>
      <c r="J13" s="108" t="s">
        <v>1262</v>
      </c>
      <c r="K13" s="108">
        <v>24000</v>
      </c>
      <c r="L13" s="108" t="s">
        <v>1268</v>
      </c>
      <c r="M13" s="109">
        <f>I13-K13</f>
        <v>3000</v>
      </c>
      <c r="N13" s="4">
        <f>IF(ISERROR(K13/I13),"",K13/I13)</f>
        <v>0.88888888888888884</v>
      </c>
      <c r="O13" s="105">
        <f>I13/E13</f>
        <v>794.11764705882354</v>
      </c>
      <c r="P13" s="105">
        <f>K13/E13</f>
        <v>705.88235294117646</v>
      </c>
      <c r="Q13" s="114">
        <v>3</v>
      </c>
      <c r="R13" s="114">
        <v>2</v>
      </c>
      <c r="S13" s="114" t="s">
        <v>1244</v>
      </c>
      <c r="T13" s="5" t="s">
        <v>427</v>
      </c>
      <c r="U13" s="9"/>
      <c r="W13" s="104">
        <f t="shared" si="8"/>
        <v>111.2</v>
      </c>
      <c r="X13" s="106">
        <f t="shared" si="8"/>
        <v>34</v>
      </c>
      <c r="Y13" s="102">
        <f t="shared" si="9"/>
        <v>324</v>
      </c>
      <c r="Z13" s="109">
        <f t="shared" si="9"/>
        <v>27000</v>
      </c>
      <c r="AA13" s="109">
        <f>K13</f>
        <v>24000</v>
      </c>
      <c r="AB13" s="109">
        <f t="shared" si="5"/>
        <v>3000</v>
      </c>
      <c r="AC13" s="4">
        <f t="shared" si="5"/>
        <v>0.88888888888888884</v>
      </c>
      <c r="AD13" s="105">
        <f t="shared" si="5"/>
        <v>794.11764705882354</v>
      </c>
      <c r="AE13" s="114" t="str">
        <f>S13</f>
        <v>계</v>
      </c>
      <c r="AF13" s="114" t="str">
        <f>Q13&amp;"/"&amp;R13</f>
        <v>3/2</v>
      </c>
      <c r="AH13" s="20" t="str">
        <f t="shared" si="3"/>
        <v>나운동 수송금호어울림</v>
      </c>
      <c r="AI13" s="106">
        <f t="shared" si="4"/>
        <v>34</v>
      </c>
      <c r="AJ13" s="114" t="str">
        <f>IF(AI13="","",$AJ$2)</f>
        <v>A-</v>
      </c>
      <c r="AK13" s="114" t="s">
        <v>13</v>
      </c>
      <c r="AL13" s="114" t="s">
        <v>1242</v>
      </c>
      <c r="AM13" s="114" t="s">
        <v>1243</v>
      </c>
      <c r="AN13" s="114" t="str">
        <f>IF(AI13="","",$AN$2)</f>
        <v>C</v>
      </c>
      <c r="AO13" s="114" t="str">
        <f>IF(N13="","",IF(N13&gt;=$AO$1/100,"O","X"))</f>
        <v>O</v>
      </c>
      <c r="AP13" s="114" t="str">
        <f>IF(I13="","",IF(I13&lt;=$AP$1,"O","X"))</f>
        <v>O</v>
      </c>
      <c r="AQ13" s="114" t="str">
        <f>IF(O13="","",IF(O13&lt;=$AQ$1,"O","X"))</f>
        <v>O</v>
      </c>
      <c r="AR13" s="114" t="str">
        <f>IF(M13="","",IF(M13&lt;=$AR$1,"O","X"))</f>
        <v>O</v>
      </c>
      <c r="AS13" s="114" t="s">
        <v>2</v>
      </c>
      <c r="AT13" s="114" t="str">
        <f>IF(OR(F13="",AI13=""),"",IF(AND((F13&lt;=85),(AI13&gt;=15)),"O","X"))</f>
        <v>O</v>
      </c>
      <c r="AU13" s="114" t="str">
        <f>IF(C13="","",IF(C13&gt;=$AU$1,"O","X"))</f>
        <v>O</v>
      </c>
      <c r="AV13" s="114" t="str">
        <f>IF(AO13="","",IF(AND(AO13="O",AP13="O",AR13="O",AT13="O",AU13="O"),"후보","X"))</f>
        <v>후보</v>
      </c>
    </row>
    <row r="14" spans="1:60" s="37" customFormat="1" ht="12" x14ac:dyDescent="0.3">
      <c r="A14" s="111" t="s">
        <v>1748</v>
      </c>
      <c r="B14" s="112" t="s">
        <v>1716</v>
      </c>
      <c r="C14" s="113">
        <v>773</v>
      </c>
      <c r="D14" s="104">
        <v>111.3</v>
      </c>
      <c r="E14" s="106">
        <v>34</v>
      </c>
      <c r="F14" s="104">
        <v>85</v>
      </c>
      <c r="G14" s="17">
        <v>26</v>
      </c>
      <c r="H14" s="107">
        <v>37</v>
      </c>
      <c r="I14" s="108">
        <v>27000</v>
      </c>
      <c r="J14" s="108" t="s">
        <v>1265</v>
      </c>
      <c r="K14" s="108">
        <v>23000</v>
      </c>
      <c r="L14" s="108" t="s">
        <v>1255</v>
      </c>
      <c r="M14" s="109">
        <f>I14-K14</f>
        <v>4000</v>
      </c>
      <c r="N14" s="4">
        <f>IF(ISERROR(K14/I14),"",K14/I14)</f>
        <v>0.85185185185185186</v>
      </c>
      <c r="O14" s="105">
        <f>I14/E14</f>
        <v>794.11764705882354</v>
      </c>
      <c r="P14" s="105">
        <f>K14/E14</f>
        <v>676.47058823529414</v>
      </c>
      <c r="Q14" s="114">
        <v>3</v>
      </c>
      <c r="R14" s="114">
        <v>2</v>
      </c>
      <c r="S14" s="114" t="s">
        <v>1244</v>
      </c>
      <c r="T14" s="5" t="s">
        <v>428</v>
      </c>
      <c r="U14" s="9"/>
      <c r="W14" s="104">
        <f t="shared" si="8"/>
        <v>111.3</v>
      </c>
      <c r="X14" s="106">
        <f t="shared" si="8"/>
        <v>34</v>
      </c>
      <c r="Y14" s="102">
        <f t="shared" si="9"/>
        <v>37</v>
      </c>
      <c r="Z14" s="109">
        <f t="shared" si="9"/>
        <v>27000</v>
      </c>
      <c r="AA14" s="109">
        <f>K14</f>
        <v>23000</v>
      </c>
      <c r="AB14" s="109">
        <f t="shared" si="5"/>
        <v>4000</v>
      </c>
      <c r="AC14" s="4">
        <f t="shared" si="5"/>
        <v>0.85185185185185186</v>
      </c>
      <c r="AD14" s="105">
        <f t="shared" si="5"/>
        <v>794.11764705882354</v>
      </c>
      <c r="AE14" s="114" t="str">
        <f>S14</f>
        <v>계</v>
      </c>
      <c r="AF14" s="114" t="str">
        <f>Q14&amp;"/"&amp;R14</f>
        <v>3/2</v>
      </c>
      <c r="AH14" s="20" t="str">
        <f t="shared" si="3"/>
        <v>나운동 수송금호어울림</v>
      </c>
      <c r="AI14" s="106">
        <f t="shared" si="4"/>
        <v>34</v>
      </c>
      <c r="AJ14" s="114" t="str">
        <f>IF(AI14="","",$AJ$2)</f>
        <v>A-</v>
      </c>
      <c r="AK14" s="114" t="s">
        <v>13</v>
      </c>
      <c r="AL14" s="114" t="s">
        <v>1242</v>
      </c>
      <c r="AM14" s="114" t="s">
        <v>1243</v>
      </c>
      <c r="AN14" s="114" t="str">
        <f>IF(AI14="","",$AN$2)</f>
        <v>C</v>
      </c>
      <c r="AO14" s="114" t="str">
        <f>IF(N14="","",IF(N14&gt;=$AO$1/100,"O","X"))</f>
        <v>O</v>
      </c>
      <c r="AP14" s="114" t="str">
        <f>IF(I14="","",IF(I14&lt;=$AP$1,"O","X"))</f>
        <v>O</v>
      </c>
      <c r="AQ14" s="114" t="str">
        <f>IF(O14="","",IF(O14&lt;=$AQ$1,"O","X"))</f>
        <v>O</v>
      </c>
      <c r="AR14" s="114" t="str">
        <f>IF(M14="","",IF(M14&lt;=$AR$1,"O","X"))</f>
        <v>O</v>
      </c>
      <c r="AS14" s="114" t="s">
        <v>2</v>
      </c>
      <c r="AT14" s="114" t="str">
        <f>IF(OR(F14="",AI14=""),"",IF(AND((F14&lt;=85),(AI14&gt;=15)),"O","X"))</f>
        <v>O</v>
      </c>
      <c r="AU14" s="114" t="str">
        <f>IF(C14="","",IF(C14&gt;=$AU$1,"O","X"))</f>
        <v>O</v>
      </c>
      <c r="AV14" s="114" t="str">
        <f>IF(AO14="","",IF(AND(AO14="O",AP14="O",AR14="O",AT14="O",AU14="O"),"후보","X"))</f>
        <v>후보</v>
      </c>
    </row>
    <row r="15" spans="1:60" s="37" customFormat="1" ht="12" x14ac:dyDescent="0.3">
      <c r="A15" s="111" t="s">
        <v>1717</v>
      </c>
      <c r="B15" s="112" t="s">
        <v>1731</v>
      </c>
      <c r="C15" s="113">
        <v>765</v>
      </c>
      <c r="D15" s="104">
        <v>71.5</v>
      </c>
      <c r="E15" s="106">
        <v>22</v>
      </c>
      <c r="F15" s="104">
        <v>49.8</v>
      </c>
      <c r="G15" s="17">
        <v>15</v>
      </c>
      <c r="H15" s="107">
        <v>120</v>
      </c>
      <c r="I15" s="108">
        <v>7500</v>
      </c>
      <c r="J15" s="108" t="s">
        <v>1253</v>
      </c>
      <c r="K15" s="108">
        <v>6500</v>
      </c>
      <c r="L15" s="108" t="s">
        <v>1256</v>
      </c>
      <c r="M15" s="109">
        <f>I15-K15</f>
        <v>1000</v>
      </c>
      <c r="N15" s="4">
        <f>IF(ISERROR(K15/I15),"",K15/I15)</f>
        <v>0.8666666666666667</v>
      </c>
      <c r="O15" s="105">
        <f>I15/E15</f>
        <v>340.90909090909093</v>
      </c>
      <c r="P15" s="105">
        <f>K15/E15</f>
        <v>295.45454545454544</v>
      </c>
      <c r="Q15" s="114">
        <v>2</v>
      </c>
      <c r="R15" s="114">
        <v>1</v>
      </c>
      <c r="S15" s="114" t="s">
        <v>1241</v>
      </c>
      <c r="T15" s="5">
        <v>71</v>
      </c>
      <c r="U15" s="9"/>
      <c r="W15" s="104">
        <f t="shared" si="8"/>
        <v>71.5</v>
      </c>
      <c r="X15" s="106">
        <f t="shared" si="8"/>
        <v>22</v>
      </c>
      <c r="Y15" s="102">
        <f t="shared" si="9"/>
        <v>120</v>
      </c>
      <c r="Z15" s="109">
        <f t="shared" si="9"/>
        <v>7500</v>
      </c>
      <c r="AA15" s="109">
        <f>K15</f>
        <v>6500</v>
      </c>
      <c r="AB15" s="109">
        <f t="shared" si="5"/>
        <v>1000</v>
      </c>
      <c r="AC15" s="4">
        <f t="shared" si="5"/>
        <v>0.8666666666666667</v>
      </c>
      <c r="AD15" s="105">
        <f t="shared" si="5"/>
        <v>340.90909090909093</v>
      </c>
      <c r="AE15" s="114" t="str">
        <f>S15</f>
        <v>복</v>
      </c>
      <c r="AF15" s="114" t="str">
        <f>Q15&amp;"/"&amp;R15</f>
        <v>2/1</v>
      </c>
      <c r="AH15" s="20" t="str">
        <f t="shared" si="3"/>
        <v>나운동 영창</v>
      </c>
      <c r="AI15" s="106">
        <f t="shared" si="4"/>
        <v>22</v>
      </c>
      <c r="AJ15" s="114" t="str">
        <f>IF(AI15="","",$AJ$2)</f>
        <v>A-</v>
      </c>
      <c r="AK15" s="114" t="s">
        <v>13</v>
      </c>
      <c r="AL15" s="114" t="s">
        <v>1242</v>
      </c>
      <c r="AM15" s="114" t="s">
        <v>1243</v>
      </c>
      <c r="AN15" s="114" t="str">
        <f>IF(AI15="","",$AN$2)</f>
        <v>C</v>
      </c>
      <c r="AO15" s="114" t="str">
        <f>IF(N15="","",IF(N15&gt;=$AO$1/100,"O","X"))</f>
        <v>O</v>
      </c>
      <c r="AP15" s="114" t="str">
        <f>IF(I15="","",IF(I15&lt;=$AP$1,"O","X"))</f>
        <v>O</v>
      </c>
      <c r="AQ15" s="114" t="str">
        <f>IF(O15="","",IF(O15&lt;=$AQ$1,"O","X"))</f>
        <v>O</v>
      </c>
      <c r="AR15" s="114" t="str">
        <f>IF(M15="","",IF(M15&lt;=$AR$1,"O","X"))</f>
        <v>O</v>
      </c>
      <c r="AS15" s="114" t="s">
        <v>2</v>
      </c>
      <c r="AT15" s="114" t="str">
        <f>IF(OR(F15="",AI15=""),"",IF(AND((F15&lt;=85),(AI15&gt;=15)),"O","X"))</f>
        <v>O</v>
      </c>
      <c r="AU15" s="114" t="str">
        <f>IF(C15="","",IF(C15&gt;=$AU$1,"O","X"))</f>
        <v>O</v>
      </c>
      <c r="AV15" s="114" t="str">
        <f>IF(AO15="","",IF(AND(AO15="O",AP15="O",AR15="O",AT15="O",AU15="O"),"후보","X"))</f>
        <v>후보</v>
      </c>
    </row>
    <row r="16" spans="1:60" s="37" customFormat="1" ht="12" x14ac:dyDescent="0.3">
      <c r="A16" s="111" t="s">
        <v>1737</v>
      </c>
      <c r="B16" s="112" t="s">
        <v>1732</v>
      </c>
      <c r="C16" s="113">
        <v>458</v>
      </c>
      <c r="D16" s="104">
        <v>81.3</v>
      </c>
      <c r="E16" s="106">
        <v>25</v>
      </c>
      <c r="F16" s="104">
        <v>65.099999999999994</v>
      </c>
      <c r="G16" s="17">
        <v>20</v>
      </c>
      <c r="H16" s="107">
        <v>144</v>
      </c>
      <c r="I16" s="108">
        <v>8000</v>
      </c>
      <c r="J16" s="108" t="s">
        <v>1280</v>
      </c>
      <c r="K16" s="108">
        <v>7000</v>
      </c>
      <c r="L16" s="108" t="s">
        <v>1265</v>
      </c>
      <c r="M16" s="109">
        <f>I16-K16</f>
        <v>1000</v>
      </c>
      <c r="N16" s="4">
        <f>IF(ISERROR(K16/I16),"",K16/I16)</f>
        <v>0.875</v>
      </c>
      <c r="O16" s="105">
        <f>I16/E16</f>
        <v>320</v>
      </c>
      <c r="P16" s="105">
        <f>K16/E16</f>
        <v>280</v>
      </c>
      <c r="Q16" s="114">
        <v>3</v>
      </c>
      <c r="R16" s="114">
        <v>1</v>
      </c>
      <c r="S16" s="114" t="s">
        <v>1244</v>
      </c>
      <c r="T16" s="5">
        <v>81</v>
      </c>
      <c r="U16" s="9"/>
      <c r="W16" s="104">
        <f t="shared" si="8"/>
        <v>81.3</v>
      </c>
      <c r="X16" s="106">
        <f t="shared" si="8"/>
        <v>25</v>
      </c>
      <c r="Y16" s="102">
        <f t="shared" si="9"/>
        <v>144</v>
      </c>
      <c r="Z16" s="109">
        <f t="shared" si="9"/>
        <v>8000</v>
      </c>
      <c r="AA16" s="109">
        <f>K16</f>
        <v>7000</v>
      </c>
      <c r="AB16" s="109">
        <f t="shared" si="5"/>
        <v>1000</v>
      </c>
      <c r="AC16" s="4">
        <f t="shared" si="5"/>
        <v>0.875</v>
      </c>
      <c r="AD16" s="105">
        <f t="shared" si="5"/>
        <v>320</v>
      </c>
      <c r="AE16" s="114" t="str">
        <f>S16</f>
        <v>계</v>
      </c>
      <c r="AF16" s="114" t="str">
        <f>Q16&amp;"/"&amp;R16</f>
        <v>3/1</v>
      </c>
      <c r="AH16" s="20" t="str">
        <f t="shared" si="3"/>
        <v>나운동 나운유원</v>
      </c>
      <c r="AI16" s="106">
        <f t="shared" si="4"/>
        <v>25</v>
      </c>
      <c r="AJ16" s="114" t="str">
        <f>IF(AI16="","",$AJ$2)</f>
        <v>A-</v>
      </c>
      <c r="AK16" s="114" t="s">
        <v>13</v>
      </c>
      <c r="AL16" s="114" t="s">
        <v>1242</v>
      </c>
      <c r="AM16" s="114" t="s">
        <v>1243</v>
      </c>
      <c r="AN16" s="114" t="str">
        <f>IF(AI16="","",$AN$2)</f>
        <v>C</v>
      </c>
      <c r="AO16" s="114" t="str">
        <f>IF(N16="","",IF(N16&gt;=$AO$1/100,"O","X"))</f>
        <v>O</v>
      </c>
      <c r="AP16" s="114" t="str">
        <f>IF(I16="","",IF(I16&lt;=$AP$1,"O","X"))</f>
        <v>O</v>
      </c>
      <c r="AQ16" s="114" t="str">
        <f>IF(O16="","",IF(O16&lt;=$AQ$1,"O","X"))</f>
        <v>O</v>
      </c>
      <c r="AR16" s="114" t="str">
        <f>IF(M16="","",IF(M16&lt;=$AR$1,"O","X"))</f>
        <v>O</v>
      </c>
      <c r="AS16" s="114" t="s">
        <v>2</v>
      </c>
      <c r="AT16" s="114" t="str">
        <f>IF(OR(F16="",AI16=""),"",IF(AND((F16&lt;=85),(AI16&gt;=15)),"O","X"))</f>
        <v>O</v>
      </c>
      <c r="AU16" s="114" t="str">
        <f>IF(C16="","",IF(C16&gt;=$AU$1,"O","X"))</f>
        <v>O</v>
      </c>
      <c r="AV16" s="114" t="str">
        <f>IF(AO16="","",IF(AND(AO16="O",AP16="O",AR16="O",AT16="O",AU16="O"),"후보","X"))</f>
        <v>후보</v>
      </c>
    </row>
    <row r="17" spans="1:48" s="37" customFormat="1" ht="12" x14ac:dyDescent="0.3">
      <c r="A17" s="111" t="s">
        <v>1757</v>
      </c>
      <c r="B17" s="112" t="s">
        <v>1738</v>
      </c>
      <c r="C17" s="113">
        <v>1541</v>
      </c>
      <c r="D17" s="104">
        <v>79.2</v>
      </c>
      <c r="E17" s="106">
        <v>24</v>
      </c>
      <c r="F17" s="104">
        <v>58.1</v>
      </c>
      <c r="G17" s="17">
        <v>18</v>
      </c>
      <c r="H17" s="107">
        <v>1243</v>
      </c>
      <c r="I17" s="108">
        <v>8300</v>
      </c>
      <c r="J17" s="108" t="s">
        <v>1245</v>
      </c>
      <c r="K17" s="108">
        <v>7500</v>
      </c>
      <c r="L17" s="108" t="s">
        <v>1248</v>
      </c>
      <c r="M17" s="109">
        <f>I17-K17</f>
        <v>800</v>
      </c>
      <c r="N17" s="4">
        <f>IF(ISERROR(K17/I17),"",K17/I17)</f>
        <v>0.90361445783132532</v>
      </c>
      <c r="O17" s="105">
        <f>I17/E17</f>
        <v>345.83333333333331</v>
      </c>
      <c r="P17" s="105">
        <f>K17/E17</f>
        <v>312.5</v>
      </c>
      <c r="Q17" s="114">
        <v>3</v>
      </c>
      <c r="R17" s="114">
        <v>1</v>
      </c>
      <c r="S17" s="114" t="s">
        <v>1241</v>
      </c>
      <c r="T17" s="5">
        <v>79</v>
      </c>
      <c r="U17" s="9"/>
      <c r="W17" s="104">
        <f t="shared" si="8"/>
        <v>79.2</v>
      </c>
      <c r="X17" s="106">
        <f t="shared" si="8"/>
        <v>24</v>
      </c>
      <c r="Y17" s="102">
        <f t="shared" si="9"/>
        <v>1243</v>
      </c>
      <c r="Z17" s="109">
        <f t="shared" si="9"/>
        <v>8300</v>
      </c>
      <c r="AA17" s="109">
        <f>K17</f>
        <v>7500</v>
      </c>
      <c r="AB17" s="109">
        <f t="shared" si="5"/>
        <v>800</v>
      </c>
      <c r="AC17" s="4">
        <f t="shared" si="5"/>
        <v>0.90361445783132532</v>
      </c>
      <c r="AD17" s="105">
        <f t="shared" si="5"/>
        <v>345.83333333333331</v>
      </c>
      <c r="AE17" s="114" t="str">
        <f>S17</f>
        <v>복</v>
      </c>
      <c r="AF17" s="114" t="str">
        <f>Q17&amp;"/"&amp;R17</f>
        <v>3/1</v>
      </c>
      <c r="AH17" s="20" t="str">
        <f t="shared" si="3"/>
        <v>나운동 주공5단지</v>
      </c>
      <c r="AI17" s="106">
        <f t="shared" si="4"/>
        <v>24</v>
      </c>
      <c r="AJ17" s="114" t="str">
        <f>IF(AI17="","",$AJ$2)</f>
        <v>A-</v>
      </c>
      <c r="AK17" s="114" t="s">
        <v>13</v>
      </c>
      <c r="AL17" s="114" t="s">
        <v>1242</v>
      </c>
      <c r="AM17" s="114" t="s">
        <v>1243</v>
      </c>
      <c r="AN17" s="114" t="str">
        <f>IF(AI17="","",$AN$2)</f>
        <v>C</v>
      </c>
      <c r="AO17" s="114" t="str">
        <f>IF(N17="","",IF(N17&gt;=$AO$1/100,"O","X"))</f>
        <v>O</v>
      </c>
      <c r="AP17" s="114" t="str">
        <f>IF(I17="","",IF(I17&lt;=$AP$1,"O","X"))</f>
        <v>O</v>
      </c>
      <c r="AQ17" s="114" t="str">
        <f>IF(O17="","",IF(O17&lt;=$AQ$1,"O","X"))</f>
        <v>O</v>
      </c>
      <c r="AR17" s="114" t="str">
        <f>IF(M17="","",IF(M17&lt;=$AR$1,"O","X"))</f>
        <v>O</v>
      </c>
      <c r="AS17" s="114" t="s">
        <v>2</v>
      </c>
      <c r="AT17" s="114" t="str">
        <f>IF(OR(F17="",AI17=""),"",IF(AND((F17&lt;=85),(AI17&gt;=15)),"O","X"))</f>
        <v>O</v>
      </c>
      <c r="AU17" s="114" t="str">
        <f>IF(C17="","",IF(C17&gt;=$AU$1,"O","X"))</f>
        <v>O</v>
      </c>
      <c r="AV17" s="114" t="str">
        <f>IF(AO17="","",IF(AND(AO17="O",AP17="O",AR17="O",AT17="O",AU17="O"),"후보","X"))</f>
        <v>후보</v>
      </c>
    </row>
    <row r="18" spans="1:48" s="37" customFormat="1" ht="12" x14ac:dyDescent="0.3">
      <c r="A18" s="111" t="s">
        <v>1758</v>
      </c>
      <c r="B18" s="112" t="s">
        <v>1739</v>
      </c>
      <c r="C18" s="113">
        <v>716</v>
      </c>
      <c r="D18" s="104">
        <v>104</v>
      </c>
      <c r="E18" s="106">
        <v>31</v>
      </c>
      <c r="F18" s="104">
        <v>84.9</v>
      </c>
      <c r="G18" s="17">
        <v>26</v>
      </c>
      <c r="H18" s="107">
        <v>462</v>
      </c>
      <c r="I18" s="108">
        <v>13500</v>
      </c>
      <c r="J18" s="108" t="s">
        <v>1251</v>
      </c>
      <c r="K18" s="108">
        <v>14000</v>
      </c>
      <c r="L18" s="108" t="s">
        <v>1280</v>
      </c>
      <c r="M18" s="109">
        <f>I18-K18</f>
        <v>-500</v>
      </c>
      <c r="N18" s="4">
        <f>IF(ISERROR(K18/I18),"",K18/I18)</f>
        <v>1.037037037037037</v>
      </c>
      <c r="O18" s="105">
        <f>I18/E18</f>
        <v>435.48387096774195</v>
      </c>
      <c r="P18" s="105">
        <f>K18/E18</f>
        <v>451.61290322580646</v>
      </c>
      <c r="Q18" s="114">
        <v>3</v>
      </c>
      <c r="R18" s="114">
        <v>2</v>
      </c>
      <c r="S18" s="114" t="s">
        <v>1244</v>
      </c>
      <c r="T18" s="5">
        <v>104</v>
      </c>
      <c r="U18" s="9"/>
      <c r="W18" s="104">
        <f t="shared" si="8"/>
        <v>104</v>
      </c>
      <c r="X18" s="106">
        <f t="shared" si="8"/>
        <v>31</v>
      </c>
      <c r="Y18" s="102">
        <f t="shared" si="9"/>
        <v>462</v>
      </c>
      <c r="Z18" s="109">
        <f t="shared" si="9"/>
        <v>13500</v>
      </c>
      <c r="AA18" s="109">
        <f>K18</f>
        <v>14000</v>
      </c>
      <c r="AB18" s="109">
        <f t="shared" si="5"/>
        <v>-500</v>
      </c>
      <c r="AC18" s="4">
        <f t="shared" si="5"/>
        <v>1.037037037037037</v>
      </c>
      <c r="AD18" s="105">
        <f t="shared" si="5"/>
        <v>435.48387096774195</v>
      </c>
      <c r="AE18" s="114" t="str">
        <f>S18</f>
        <v>계</v>
      </c>
      <c r="AF18" s="114" t="str">
        <f>Q18&amp;"/"&amp;R18</f>
        <v>3/2</v>
      </c>
      <c r="AH18" s="20" t="str">
        <f>IF(A18="","",A18)</f>
        <v>문화동 삼성</v>
      </c>
      <c r="AI18" s="106">
        <f t="shared" si="4"/>
        <v>31</v>
      </c>
      <c r="AJ18" s="114" t="str">
        <f>IF(AI18="","",$AJ$2)</f>
        <v>A-</v>
      </c>
      <c r="AK18" s="114" t="s">
        <v>13</v>
      </c>
      <c r="AL18" s="114" t="s">
        <v>1242</v>
      </c>
      <c r="AM18" s="114" t="s">
        <v>1243</v>
      </c>
      <c r="AN18" s="114" t="str">
        <f>IF(AI18="","",$AN$2)</f>
        <v>C</v>
      </c>
      <c r="AO18" s="114" t="str">
        <f>IF(N18="","",IF(N18&gt;=$AO$1/100,"O","X"))</f>
        <v>O</v>
      </c>
      <c r="AP18" s="114" t="str">
        <f>IF(I18="","",IF(I18&lt;=$AP$1,"O","X"))</f>
        <v>O</v>
      </c>
      <c r="AQ18" s="114" t="str">
        <f>IF(O18="","",IF(O18&lt;=$AQ$1,"O","X"))</f>
        <v>O</v>
      </c>
      <c r="AR18" s="114" t="str">
        <f>IF(M18="","",IF(M18&lt;=$AR$1,"O","X"))</f>
        <v>O</v>
      </c>
      <c r="AS18" s="114" t="s">
        <v>2</v>
      </c>
      <c r="AT18" s="114" t="str">
        <f>IF(OR(F18="",AI18=""),"",IF(AND((F18&lt;=85),(AI18&gt;=15)),"O","X"))</f>
        <v>O</v>
      </c>
      <c r="AU18" s="114" t="str">
        <f>IF(C18="","",IF(C18&gt;=$AU$1,"O","X"))</f>
        <v>O</v>
      </c>
      <c r="AV18" s="114" t="str">
        <f>IF(AO18="","",IF(AND(AO18="O",AP18="O",AR18="O",AT18="O",AU18="O"),"후보","X"))</f>
        <v>후보</v>
      </c>
    </row>
    <row r="19" spans="1:48" s="37" customFormat="1" ht="12" x14ac:dyDescent="0.3">
      <c r="A19" s="111" t="s">
        <v>1759</v>
      </c>
      <c r="B19" s="112" t="s">
        <v>1740</v>
      </c>
      <c r="C19" s="113">
        <v>498</v>
      </c>
      <c r="D19" s="104">
        <v>53.9</v>
      </c>
      <c r="E19" s="106">
        <v>16</v>
      </c>
      <c r="F19" s="104">
        <v>40</v>
      </c>
      <c r="G19" s="17">
        <v>12</v>
      </c>
      <c r="H19" s="107">
        <v>498</v>
      </c>
      <c r="I19" s="108">
        <v>3600</v>
      </c>
      <c r="J19" s="108" t="s">
        <v>1294</v>
      </c>
      <c r="K19" s="108">
        <v>4500</v>
      </c>
      <c r="L19" s="108" t="s">
        <v>1287</v>
      </c>
      <c r="M19" s="109">
        <f>I19-K19</f>
        <v>-900</v>
      </c>
      <c r="N19" s="4">
        <f>IF(ISERROR(K19/I19),"",K19/I19)</f>
        <v>1.25</v>
      </c>
      <c r="O19" s="105">
        <f>I19/E19</f>
        <v>225</v>
      </c>
      <c r="P19" s="105">
        <f>K19/E19</f>
        <v>281.25</v>
      </c>
      <c r="Q19" s="114">
        <v>2</v>
      </c>
      <c r="R19" s="114">
        <v>1</v>
      </c>
      <c r="S19" s="114" t="s">
        <v>1244</v>
      </c>
      <c r="T19" s="5">
        <v>53</v>
      </c>
      <c r="U19" s="9"/>
      <c r="W19" s="104">
        <f>D19</f>
        <v>53.9</v>
      </c>
      <c r="X19" s="106">
        <f>E19</f>
        <v>16</v>
      </c>
      <c r="Y19" s="102">
        <f>H19</f>
        <v>498</v>
      </c>
      <c r="Z19" s="109">
        <f>I19</f>
        <v>3600</v>
      </c>
      <c r="AA19" s="109">
        <f>K19</f>
        <v>4500</v>
      </c>
      <c r="AB19" s="109">
        <f>M19</f>
        <v>-900</v>
      </c>
      <c r="AC19" s="4">
        <f>N19</f>
        <v>1.25</v>
      </c>
      <c r="AD19" s="105">
        <f>O19</f>
        <v>225</v>
      </c>
      <c r="AE19" s="114" t="str">
        <f>S19</f>
        <v>계</v>
      </c>
      <c r="AF19" s="114" t="str">
        <f>Q19&amp;"/"&amp;R19</f>
        <v>2/1</v>
      </c>
      <c r="AH19" s="20" t="str">
        <f t="shared" ref="AH19:AH42" si="10">IF(A19="","",A19)</f>
        <v>미룡동 미룡대명1차</v>
      </c>
      <c r="AI19" s="106">
        <f t="shared" si="4"/>
        <v>16</v>
      </c>
      <c r="AJ19" s="114" t="str">
        <f>IF(AI19="","",$AJ$2)</f>
        <v>A-</v>
      </c>
      <c r="AK19" s="114" t="s">
        <v>13</v>
      </c>
      <c r="AL19" s="114" t="s">
        <v>1242</v>
      </c>
      <c r="AM19" s="114" t="s">
        <v>1243</v>
      </c>
      <c r="AN19" s="114" t="str">
        <f>IF(AI19="","",$AN$2)</f>
        <v>C</v>
      </c>
      <c r="AO19" s="114" t="str">
        <f>IF(N19="","",IF(N19&gt;=$AO$1/100,"O","X"))</f>
        <v>O</v>
      </c>
      <c r="AP19" s="114" t="str">
        <f>IF(I19="","",IF(I19&lt;=$AP$1,"O","X"))</f>
        <v>O</v>
      </c>
      <c r="AQ19" s="114" t="str">
        <f>IF(O19="","",IF(O19&lt;=$AQ$1,"O","X"))</f>
        <v>O</v>
      </c>
      <c r="AR19" s="114" t="str">
        <f>IF(M19="","",IF(M19&lt;=$AR$1,"O","X"))</f>
        <v>O</v>
      </c>
      <c r="AS19" s="114" t="s">
        <v>2</v>
      </c>
      <c r="AT19" s="114" t="str">
        <f>IF(OR(F19="",AI19=""),"",IF(AND((F19&lt;=85),(AI19&gt;=15)),"O","X"))</f>
        <v>O</v>
      </c>
      <c r="AU19" s="114" t="str">
        <f>IF(C19="","",IF(C19&gt;=$AU$1,"O","X"))</f>
        <v>O</v>
      </c>
      <c r="AV19" s="114" t="str">
        <f>IF(AO19="","",IF(AND(AO19="O",AP19="O",AR19="O",AT19="O",AU19="O"),"후보","X"))</f>
        <v>후보</v>
      </c>
    </row>
    <row r="20" spans="1:48" s="37" customFormat="1" ht="12" x14ac:dyDescent="0.3">
      <c r="A20" s="111" t="s">
        <v>1718</v>
      </c>
      <c r="B20" s="112" t="s">
        <v>1741</v>
      </c>
      <c r="C20" s="113">
        <v>1460</v>
      </c>
      <c r="D20" s="104">
        <v>65.400000000000006</v>
      </c>
      <c r="E20" s="106">
        <v>20</v>
      </c>
      <c r="F20" s="104">
        <v>49.9</v>
      </c>
      <c r="G20" s="17">
        <v>15</v>
      </c>
      <c r="H20" s="107">
        <v>529</v>
      </c>
      <c r="I20" s="108">
        <v>8000</v>
      </c>
      <c r="J20" s="108" t="s">
        <v>1255</v>
      </c>
      <c r="K20" s="108">
        <v>7500</v>
      </c>
      <c r="L20" s="108" t="s">
        <v>1294</v>
      </c>
      <c r="M20" s="109">
        <f>I20-K20</f>
        <v>500</v>
      </c>
      <c r="N20" s="4">
        <f>IF(ISERROR(K20/I20),"",K20/I20)</f>
        <v>0.9375</v>
      </c>
      <c r="O20" s="105">
        <f>I20/E20</f>
        <v>400</v>
      </c>
      <c r="P20" s="105">
        <f>K20/E20</f>
        <v>375</v>
      </c>
      <c r="Q20" s="114">
        <v>2</v>
      </c>
      <c r="R20" s="114">
        <v>1</v>
      </c>
      <c r="S20" s="114" t="s">
        <v>1244</v>
      </c>
      <c r="T20" s="5" t="s">
        <v>653</v>
      </c>
      <c r="U20" s="9"/>
      <c r="W20" s="104">
        <f t="shared" ref="W20:X24" si="11">D20</f>
        <v>65.400000000000006</v>
      </c>
      <c r="X20" s="106">
        <f t="shared" si="11"/>
        <v>20</v>
      </c>
      <c r="Y20" s="102">
        <f t="shared" ref="Y20:Z24" si="12">H20</f>
        <v>529</v>
      </c>
      <c r="Z20" s="109">
        <f t="shared" si="12"/>
        <v>8000</v>
      </c>
      <c r="AA20" s="109">
        <f>K20</f>
        <v>7500</v>
      </c>
      <c r="AB20" s="109">
        <f t="shared" ref="AB20:AD35" si="13">M20</f>
        <v>500</v>
      </c>
      <c r="AC20" s="4">
        <f t="shared" si="13"/>
        <v>0.9375</v>
      </c>
      <c r="AD20" s="105">
        <f t="shared" si="13"/>
        <v>400</v>
      </c>
      <c r="AE20" s="114" t="str">
        <f>S20</f>
        <v>계</v>
      </c>
      <c r="AF20" s="114" t="str">
        <f>Q20&amp;"/"&amp;R20</f>
        <v>2/1</v>
      </c>
      <c r="AH20" s="20" t="str">
        <f t="shared" si="10"/>
        <v>미룡동 미룡주공3단지</v>
      </c>
      <c r="AI20" s="106">
        <f t="shared" si="4"/>
        <v>20</v>
      </c>
      <c r="AJ20" s="114" t="str">
        <f>IF(AI20="","",$AJ$2)</f>
        <v>A-</v>
      </c>
      <c r="AK20" s="114" t="s">
        <v>13</v>
      </c>
      <c r="AL20" s="114" t="s">
        <v>1242</v>
      </c>
      <c r="AM20" s="114" t="s">
        <v>1243</v>
      </c>
      <c r="AN20" s="114" t="str">
        <f>IF(AI20="","",$AN$2)</f>
        <v>C</v>
      </c>
      <c r="AO20" s="114" t="str">
        <f>IF(N20="","",IF(N20&gt;=$AO$1/100,"O","X"))</f>
        <v>O</v>
      </c>
      <c r="AP20" s="114" t="str">
        <f>IF(I20="","",IF(I20&lt;=$AP$1,"O","X"))</f>
        <v>O</v>
      </c>
      <c r="AQ20" s="114" t="str">
        <f>IF(O20="","",IF(O20&lt;=$AQ$1,"O","X"))</f>
        <v>O</v>
      </c>
      <c r="AR20" s="114" t="str">
        <f>IF(M20="","",IF(M20&lt;=$AR$1,"O","X"))</f>
        <v>O</v>
      </c>
      <c r="AS20" s="114" t="s">
        <v>2</v>
      </c>
      <c r="AT20" s="114" t="str">
        <f>IF(OR(F20="",AI20=""),"",IF(AND((F20&lt;=85),(AI20&gt;=15)),"O","X"))</f>
        <v>O</v>
      </c>
      <c r="AU20" s="114" t="str">
        <f>IF(C20="","",IF(C20&gt;=$AU$1,"O","X"))</f>
        <v>O</v>
      </c>
      <c r="AV20" s="114" t="str">
        <f>IF(AO20="","",IF(AND(AO20="O",AP20="O",AR20="O",AT20="O",AU20="O"),"후보","X"))</f>
        <v>후보</v>
      </c>
    </row>
    <row r="21" spans="1:48" s="37" customFormat="1" ht="12" x14ac:dyDescent="0.3">
      <c r="A21" s="111" t="s">
        <v>1760</v>
      </c>
      <c r="B21" s="112" t="s">
        <v>1741</v>
      </c>
      <c r="C21" s="113">
        <v>1460</v>
      </c>
      <c r="D21" s="104">
        <v>77.900000000000006</v>
      </c>
      <c r="E21" s="106">
        <v>24</v>
      </c>
      <c r="F21" s="104">
        <v>59.4</v>
      </c>
      <c r="G21" s="17">
        <v>18</v>
      </c>
      <c r="H21" s="107">
        <v>759</v>
      </c>
      <c r="I21" s="108">
        <v>11400</v>
      </c>
      <c r="J21" s="108" t="s">
        <v>1294</v>
      </c>
      <c r="K21" s="108">
        <v>12000</v>
      </c>
      <c r="L21" s="108" t="s">
        <v>1280</v>
      </c>
      <c r="M21" s="109">
        <f>I21-K21</f>
        <v>-600</v>
      </c>
      <c r="N21" s="4">
        <f>IF(ISERROR(K21/I21),"",K21/I21)</f>
        <v>1.0526315789473684</v>
      </c>
      <c r="O21" s="105">
        <f>I21/E21</f>
        <v>475</v>
      </c>
      <c r="P21" s="105">
        <f>K21/E21</f>
        <v>500</v>
      </c>
      <c r="Q21" s="114">
        <v>3</v>
      </c>
      <c r="R21" s="114">
        <v>1</v>
      </c>
      <c r="S21" s="114" t="s">
        <v>1244</v>
      </c>
      <c r="T21" s="5" t="s">
        <v>654</v>
      </c>
      <c r="U21" s="9"/>
      <c r="W21" s="104">
        <f t="shared" si="11"/>
        <v>77.900000000000006</v>
      </c>
      <c r="X21" s="106">
        <f t="shared" si="11"/>
        <v>24</v>
      </c>
      <c r="Y21" s="102">
        <f t="shared" si="12"/>
        <v>759</v>
      </c>
      <c r="Z21" s="109">
        <f t="shared" si="12"/>
        <v>11400</v>
      </c>
      <c r="AA21" s="109">
        <f>K21</f>
        <v>12000</v>
      </c>
      <c r="AB21" s="109">
        <f t="shared" si="13"/>
        <v>-600</v>
      </c>
      <c r="AC21" s="4">
        <f t="shared" si="13"/>
        <v>1.0526315789473684</v>
      </c>
      <c r="AD21" s="105">
        <f t="shared" si="13"/>
        <v>475</v>
      </c>
      <c r="AE21" s="114" t="str">
        <f>S21</f>
        <v>계</v>
      </c>
      <c r="AF21" s="114" t="str">
        <f>Q21&amp;"/"&amp;R21</f>
        <v>3/1</v>
      </c>
      <c r="AH21" s="20" t="str">
        <f t="shared" si="10"/>
        <v>미룡동 미룡주공3단지</v>
      </c>
      <c r="AI21" s="106">
        <f t="shared" si="4"/>
        <v>24</v>
      </c>
      <c r="AJ21" s="114" t="str">
        <f>IF(AI21="","",$AJ$2)</f>
        <v>A-</v>
      </c>
      <c r="AK21" s="114" t="s">
        <v>13</v>
      </c>
      <c r="AL21" s="114" t="s">
        <v>1242</v>
      </c>
      <c r="AM21" s="114" t="s">
        <v>1243</v>
      </c>
      <c r="AN21" s="114" t="str">
        <f>IF(AI21="","",$AN$2)</f>
        <v>C</v>
      </c>
      <c r="AO21" s="114" t="str">
        <f>IF(N21="","",IF(N21&gt;=$AO$1/100,"O","X"))</f>
        <v>O</v>
      </c>
      <c r="AP21" s="114" t="str">
        <f>IF(I21="","",IF(I21&lt;=$AP$1,"O","X"))</f>
        <v>O</v>
      </c>
      <c r="AQ21" s="114" t="str">
        <f>IF(O21="","",IF(O21&lt;=$AQ$1,"O","X"))</f>
        <v>O</v>
      </c>
      <c r="AR21" s="114" t="str">
        <f>IF(M21="","",IF(M21&lt;=$AR$1,"O","X"))</f>
        <v>O</v>
      </c>
      <c r="AS21" s="114" t="s">
        <v>2</v>
      </c>
      <c r="AT21" s="114" t="str">
        <f>IF(OR(F21="",AI21=""),"",IF(AND((F21&lt;=85),(AI21&gt;=15)),"O","X"))</f>
        <v>O</v>
      </c>
      <c r="AU21" s="114" t="str">
        <f>IF(C21="","",IF(C21&gt;=$AU$1,"O","X"))</f>
        <v>O</v>
      </c>
      <c r="AV21" s="114" t="str">
        <f>IF(AO21="","",IF(AND(AO21="O",AP21="O",AR21="O",AT21="O",AU21="O"),"후보","X"))</f>
        <v>후보</v>
      </c>
    </row>
    <row r="22" spans="1:48" s="37" customFormat="1" ht="12" x14ac:dyDescent="0.3">
      <c r="A22" s="111" t="s">
        <v>1719</v>
      </c>
      <c r="B22" s="112" t="s">
        <v>1720</v>
      </c>
      <c r="C22" s="113">
        <v>874</v>
      </c>
      <c r="D22" s="104">
        <v>80.7</v>
      </c>
      <c r="E22" s="106">
        <v>24</v>
      </c>
      <c r="F22" s="104">
        <v>59.4</v>
      </c>
      <c r="G22" s="17">
        <v>18</v>
      </c>
      <c r="H22" s="107">
        <v>267</v>
      </c>
      <c r="I22" s="108">
        <v>11500</v>
      </c>
      <c r="J22" s="108" t="s">
        <v>1250</v>
      </c>
      <c r="K22" s="108">
        <v>12500</v>
      </c>
      <c r="L22" s="108" t="s">
        <v>1245</v>
      </c>
      <c r="M22" s="109">
        <f t="shared" ref="M22:M24" si="14">I22-K22</f>
        <v>-1000</v>
      </c>
      <c r="N22" s="4">
        <f t="shared" ref="N22:N24" si="15">IF(ISERROR(K22/I22),"",K22/I22)</f>
        <v>1.0869565217391304</v>
      </c>
      <c r="O22" s="105">
        <f t="shared" ref="O22:O24" si="16">I22/E22</f>
        <v>479.16666666666669</v>
      </c>
      <c r="P22" s="105">
        <f t="shared" ref="P22:P24" si="17">K22/E22</f>
        <v>520.83333333333337</v>
      </c>
      <c r="Q22" s="114">
        <v>3</v>
      </c>
      <c r="R22" s="114">
        <v>1</v>
      </c>
      <c r="S22" s="114" t="s">
        <v>1244</v>
      </c>
      <c r="T22" s="5" t="s">
        <v>176</v>
      </c>
      <c r="U22" s="9"/>
      <c r="W22" s="104">
        <f t="shared" si="11"/>
        <v>80.7</v>
      </c>
      <c r="X22" s="106">
        <f t="shared" si="11"/>
        <v>24</v>
      </c>
      <c r="Y22" s="102">
        <f t="shared" si="12"/>
        <v>267</v>
      </c>
      <c r="Z22" s="109">
        <f t="shared" si="12"/>
        <v>11500</v>
      </c>
      <c r="AA22" s="109">
        <f t="shared" ref="AA22:AA24" si="18">K22</f>
        <v>12500</v>
      </c>
      <c r="AB22" s="109">
        <f t="shared" si="13"/>
        <v>-1000</v>
      </c>
      <c r="AC22" s="4">
        <f t="shared" si="13"/>
        <v>1.0869565217391304</v>
      </c>
      <c r="AD22" s="105">
        <f t="shared" si="13"/>
        <v>479.16666666666669</v>
      </c>
      <c r="AE22" s="114" t="str">
        <f t="shared" ref="AE22:AE24" si="19">S22</f>
        <v>계</v>
      </c>
      <c r="AF22" s="114" t="str">
        <f t="shared" ref="AF22:AF24" si="20">Q22&amp;"/"&amp;R22</f>
        <v>3/1</v>
      </c>
      <c r="AH22" s="20" t="str">
        <f t="shared" si="10"/>
        <v>미룡동 미룡주공2단지</v>
      </c>
      <c r="AI22" s="106">
        <f t="shared" si="4"/>
        <v>24</v>
      </c>
      <c r="AJ22" s="114" t="str">
        <f t="shared" ref="AJ22:AJ24" si="21">IF(AI22="","",$AJ$2)</f>
        <v>A-</v>
      </c>
      <c r="AK22" s="114" t="s">
        <v>13</v>
      </c>
      <c r="AL22" s="114" t="s">
        <v>1242</v>
      </c>
      <c r="AM22" s="114" t="s">
        <v>1243</v>
      </c>
      <c r="AN22" s="114" t="str">
        <f t="shared" ref="AN22:AN24" si="22">IF(AI22="","",$AN$2)</f>
        <v>C</v>
      </c>
      <c r="AO22" s="114" t="str">
        <f t="shared" ref="AO22:AO24" si="23">IF(N22="","",IF(N22&gt;=$AO$1/100,"O","X"))</f>
        <v>O</v>
      </c>
      <c r="AP22" s="114" t="str">
        <f t="shared" ref="AP22:AP24" si="24">IF(I22="","",IF(I22&lt;=$AP$1,"O","X"))</f>
        <v>O</v>
      </c>
      <c r="AQ22" s="114" t="str">
        <f t="shared" ref="AQ22:AQ24" si="25">IF(O22="","",IF(O22&lt;=$AQ$1,"O","X"))</f>
        <v>O</v>
      </c>
      <c r="AR22" s="114" t="str">
        <f t="shared" ref="AR22:AR24" si="26">IF(M22="","",IF(M22&lt;=$AR$1,"O","X"))</f>
        <v>O</v>
      </c>
      <c r="AS22" s="114" t="s">
        <v>2</v>
      </c>
      <c r="AT22" s="114" t="str">
        <f t="shared" ref="AT22:AT24" si="27">IF(OR(F22="",AI22=""),"",IF(AND((F22&lt;=85),(AI22&gt;=15)),"O","X"))</f>
        <v>O</v>
      </c>
      <c r="AU22" s="114" t="str">
        <f t="shared" ref="AU22:AU24" si="28">IF(C22="","",IF(C22&gt;=$AU$1,"O","X"))</f>
        <v>O</v>
      </c>
      <c r="AV22" s="114" t="str">
        <f t="shared" ref="AV22:AV24" si="29">IF(AO22="","",IF(AND(AO22="O",AP22="O",AR22="O",AT22="O",AU22="O"),"후보","X"))</f>
        <v>후보</v>
      </c>
    </row>
    <row r="23" spans="1:48" s="37" customFormat="1" ht="12" x14ac:dyDescent="0.3">
      <c r="A23" s="111" t="s">
        <v>1761</v>
      </c>
      <c r="B23" s="112" t="s">
        <v>1721</v>
      </c>
      <c r="C23" s="113">
        <v>874</v>
      </c>
      <c r="D23" s="104">
        <v>80.7</v>
      </c>
      <c r="E23" s="106">
        <v>24</v>
      </c>
      <c r="F23" s="104">
        <v>59.4</v>
      </c>
      <c r="G23" s="17">
        <v>18</v>
      </c>
      <c r="H23" s="107">
        <v>76</v>
      </c>
      <c r="I23" s="108">
        <v>11500</v>
      </c>
      <c r="J23" s="108" t="s">
        <v>1250</v>
      </c>
      <c r="K23" s="108">
        <v>12500</v>
      </c>
      <c r="L23" s="108" t="s">
        <v>1245</v>
      </c>
      <c r="M23" s="109">
        <f t="shared" si="14"/>
        <v>-1000</v>
      </c>
      <c r="N23" s="4">
        <f t="shared" si="15"/>
        <v>1.0869565217391304</v>
      </c>
      <c r="O23" s="105">
        <f t="shared" si="16"/>
        <v>479.16666666666669</v>
      </c>
      <c r="P23" s="105">
        <f t="shared" si="17"/>
        <v>520.83333333333337</v>
      </c>
      <c r="Q23" s="114">
        <v>3</v>
      </c>
      <c r="R23" s="114">
        <v>1</v>
      </c>
      <c r="S23" s="114" t="s">
        <v>1244</v>
      </c>
      <c r="T23" s="5" t="s">
        <v>683</v>
      </c>
      <c r="U23" s="9"/>
      <c r="W23" s="104">
        <f t="shared" si="11"/>
        <v>80.7</v>
      </c>
      <c r="X23" s="106">
        <f t="shared" si="11"/>
        <v>24</v>
      </c>
      <c r="Y23" s="102">
        <f t="shared" si="12"/>
        <v>76</v>
      </c>
      <c r="Z23" s="109">
        <f t="shared" si="12"/>
        <v>11500</v>
      </c>
      <c r="AA23" s="109">
        <f t="shared" si="18"/>
        <v>12500</v>
      </c>
      <c r="AB23" s="109">
        <f t="shared" si="13"/>
        <v>-1000</v>
      </c>
      <c r="AC23" s="4">
        <f t="shared" si="13"/>
        <v>1.0869565217391304</v>
      </c>
      <c r="AD23" s="105">
        <f t="shared" si="13"/>
        <v>479.16666666666669</v>
      </c>
      <c r="AE23" s="114" t="str">
        <f t="shared" si="19"/>
        <v>계</v>
      </c>
      <c r="AF23" s="114" t="str">
        <f t="shared" si="20"/>
        <v>3/1</v>
      </c>
      <c r="AH23" s="20" t="str">
        <f t="shared" si="10"/>
        <v>미룡동 미룡주공2단지</v>
      </c>
      <c r="AI23" s="106">
        <f t="shared" si="4"/>
        <v>24</v>
      </c>
      <c r="AJ23" s="114" t="str">
        <f t="shared" si="21"/>
        <v>A-</v>
      </c>
      <c r="AK23" s="114" t="s">
        <v>13</v>
      </c>
      <c r="AL23" s="114" t="s">
        <v>1242</v>
      </c>
      <c r="AM23" s="114" t="s">
        <v>1243</v>
      </c>
      <c r="AN23" s="114" t="str">
        <f t="shared" si="22"/>
        <v>C</v>
      </c>
      <c r="AO23" s="114" t="str">
        <f t="shared" si="23"/>
        <v>O</v>
      </c>
      <c r="AP23" s="114" t="str">
        <f t="shared" si="24"/>
        <v>O</v>
      </c>
      <c r="AQ23" s="114" t="str">
        <f t="shared" si="25"/>
        <v>O</v>
      </c>
      <c r="AR23" s="114" t="str">
        <f t="shared" si="26"/>
        <v>O</v>
      </c>
      <c r="AS23" s="114" t="s">
        <v>2</v>
      </c>
      <c r="AT23" s="114" t="str">
        <f t="shared" si="27"/>
        <v>O</v>
      </c>
      <c r="AU23" s="114" t="str">
        <f t="shared" si="28"/>
        <v>O</v>
      </c>
      <c r="AV23" s="114" t="str">
        <f t="shared" si="29"/>
        <v>후보</v>
      </c>
    </row>
    <row r="24" spans="1:48" s="37" customFormat="1" ht="12" x14ac:dyDescent="0.3">
      <c r="A24" s="111" t="s">
        <v>1719</v>
      </c>
      <c r="B24" s="112" t="s">
        <v>1720</v>
      </c>
      <c r="C24" s="113">
        <v>874</v>
      </c>
      <c r="D24" s="104">
        <v>80.599999999999994</v>
      </c>
      <c r="E24" s="106">
        <v>24</v>
      </c>
      <c r="F24" s="104">
        <v>59.3</v>
      </c>
      <c r="G24" s="17">
        <v>18</v>
      </c>
      <c r="H24" s="107">
        <v>15</v>
      </c>
      <c r="I24" s="108">
        <v>11000</v>
      </c>
      <c r="J24" s="108" t="s">
        <v>1250</v>
      </c>
      <c r="K24" s="108">
        <v>11000</v>
      </c>
      <c r="L24" s="108" t="s">
        <v>1248</v>
      </c>
      <c r="M24" s="109">
        <f t="shared" si="14"/>
        <v>0</v>
      </c>
      <c r="N24" s="4">
        <f t="shared" si="15"/>
        <v>1</v>
      </c>
      <c r="O24" s="105">
        <f t="shared" si="16"/>
        <v>458.33333333333331</v>
      </c>
      <c r="P24" s="105">
        <f t="shared" si="17"/>
        <v>458.33333333333331</v>
      </c>
      <c r="Q24" s="114">
        <v>3</v>
      </c>
      <c r="R24" s="114">
        <v>1</v>
      </c>
      <c r="S24" s="114" t="s">
        <v>1244</v>
      </c>
      <c r="T24" s="5" t="s">
        <v>171</v>
      </c>
      <c r="U24" s="9"/>
      <c r="W24" s="104">
        <f t="shared" si="11"/>
        <v>80.599999999999994</v>
      </c>
      <c r="X24" s="106">
        <f t="shared" si="11"/>
        <v>24</v>
      </c>
      <c r="Y24" s="102">
        <f t="shared" si="12"/>
        <v>15</v>
      </c>
      <c r="Z24" s="109">
        <f t="shared" si="12"/>
        <v>11000</v>
      </c>
      <c r="AA24" s="109">
        <f t="shared" si="18"/>
        <v>11000</v>
      </c>
      <c r="AB24" s="109">
        <f t="shared" si="13"/>
        <v>0</v>
      </c>
      <c r="AC24" s="4">
        <f t="shared" si="13"/>
        <v>1</v>
      </c>
      <c r="AD24" s="105">
        <f t="shared" si="13"/>
        <v>458.33333333333331</v>
      </c>
      <c r="AE24" s="114" t="str">
        <f t="shared" si="19"/>
        <v>계</v>
      </c>
      <c r="AF24" s="114" t="str">
        <f t="shared" si="20"/>
        <v>3/1</v>
      </c>
      <c r="AH24" s="20" t="str">
        <f t="shared" si="10"/>
        <v>미룡동 미룡주공2단지</v>
      </c>
      <c r="AI24" s="106">
        <f t="shared" si="4"/>
        <v>24</v>
      </c>
      <c r="AJ24" s="114" t="str">
        <f t="shared" si="21"/>
        <v>A-</v>
      </c>
      <c r="AK24" s="114" t="s">
        <v>13</v>
      </c>
      <c r="AL24" s="114" t="s">
        <v>1242</v>
      </c>
      <c r="AM24" s="114" t="s">
        <v>1243</v>
      </c>
      <c r="AN24" s="114" t="str">
        <f t="shared" si="22"/>
        <v>C</v>
      </c>
      <c r="AO24" s="114" t="str">
        <f t="shared" si="23"/>
        <v>O</v>
      </c>
      <c r="AP24" s="114" t="str">
        <f t="shared" si="24"/>
        <v>O</v>
      </c>
      <c r="AQ24" s="114" t="str">
        <f t="shared" si="25"/>
        <v>O</v>
      </c>
      <c r="AR24" s="114" t="str">
        <f t="shared" si="26"/>
        <v>O</v>
      </c>
      <c r="AS24" s="114" t="s">
        <v>2</v>
      </c>
      <c r="AT24" s="114" t="str">
        <f t="shared" si="27"/>
        <v>O</v>
      </c>
      <c r="AU24" s="114" t="str">
        <f t="shared" si="28"/>
        <v>O</v>
      </c>
      <c r="AV24" s="114" t="str">
        <f t="shared" si="29"/>
        <v>후보</v>
      </c>
    </row>
    <row r="25" spans="1:48" s="37" customFormat="1" ht="12" x14ac:dyDescent="0.3">
      <c r="A25" s="111" t="s">
        <v>1722</v>
      </c>
      <c r="B25" s="112" t="s">
        <v>1742</v>
      </c>
      <c r="C25" s="113">
        <v>351</v>
      </c>
      <c r="D25" s="104">
        <v>119.9</v>
      </c>
      <c r="E25" s="106">
        <v>36</v>
      </c>
      <c r="F25" s="104">
        <v>85</v>
      </c>
      <c r="G25" s="17">
        <v>26</v>
      </c>
      <c r="H25" s="107">
        <v>202</v>
      </c>
      <c r="I25" s="108">
        <v>20500</v>
      </c>
      <c r="J25" s="108" t="s">
        <v>1248</v>
      </c>
      <c r="K25" s="108">
        <v>19000</v>
      </c>
      <c r="L25" s="108" t="s">
        <v>1250</v>
      </c>
      <c r="M25" s="109">
        <f>I25-K25</f>
        <v>1500</v>
      </c>
      <c r="N25" s="4">
        <f>IF(ISERROR(K25/I25),"",K25/I25)</f>
        <v>0.92682926829268297</v>
      </c>
      <c r="O25" s="105">
        <f>I25/E25</f>
        <v>569.44444444444446</v>
      </c>
      <c r="P25" s="105">
        <f>K25/E25</f>
        <v>527.77777777777783</v>
      </c>
      <c r="Q25" s="114">
        <v>3</v>
      </c>
      <c r="R25" s="114">
        <v>2</v>
      </c>
      <c r="S25" s="114" t="s">
        <v>1241</v>
      </c>
      <c r="T25" s="5">
        <v>119</v>
      </c>
      <c r="U25" s="9"/>
      <c r="W25" s="104">
        <f>D25</f>
        <v>119.9</v>
      </c>
      <c r="X25" s="106">
        <f>E25</f>
        <v>36</v>
      </c>
      <c r="Y25" s="102">
        <f>H25</f>
        <v>202</v>
      </c>
      <c r="Z25" s="109">
        <f>I25</f>
        <v>20500</v>
      </c>
      <c r="AA25" s="109">
        <f>K25</f>
        <v>19000</v>
      </c>
      <c r="AB25" s="109">
        <f t="shared" si="13"/>
        <v>1500</v>
      </c>
      <c r="AC25" s="4">
        <f t="shared" si="13"/>
        <v>0.92682926829268297</v>
      </c>
      <c r="AD25" s="105">
        <f t="shared" si="13"/>
        <v>569.44444444444446</v>
      </c>
      <c r="AE25" s="114" t="str">
        <f>S25</f>
        <v>복</v>
      </c>
      <c r="AF25" s="114" t="str">
        <f>Q25&amp;"/"&amp;R25</f>
        <v>3/2</v>
      </c>
      <c r="AH25" s="20" t="str">
        <f t="shared" si="10"/>
        <v>미장동 파인빌2차</v>
      </c>
      <c r="AI25" s="106">
        <f t="shared" si="4"/>
        <v>36</v>
      </c>
      <c r="AJ25" s="114" t="str">
        <f>IF(AI25="","",$AJ$2)</f>
        <v>A-</v>
      </c>
      <c r="AK25" s="114" t="s">
        <v>13</v>
      </c>
      <c r="AL25" s="114" t="s">
        <v>1242</v>
      </c>
      <c r="AM25" s="114" t="s">
        <v>1243</v>
      </c>
      <c r="AN25" s="114" t="str">
        <f>IF(AI25="","",$AN$2)</f>
        <v>C</v>
      </c>
      <c r="AO25" s="114" t="str">
        <f>IF(N25="","",IF(N25&gt;=$AO$1/100,"O","X"))</f>
        <v>O</v>
      </c>
      <c r="AP25" s="114" t="str">
        <f>IF(I25="","",IF(I25&lt;=$AP$1,"O","X"))</f>
        <v>O</v>
      </c>
      <c r="AQ25" s="114" t="str">
        <f>IF(O25="","",IF(O25&lt;=$AQ$1,"O","X"))</f>
        <v>O</v>
      </c>
      <c r="AR25" s="114" t="str">
        <f>IF(M25="","",IF(M25&lt;=$AR$1,"O","X"))</f>
        <v>O</v>
      </c>
      <c r="AS25" s="114" t="s">
        <v>2</v>
      </c>
      <c r="AT25" s="114" t="str">
        <f>IF(OR(F25="",AI25=""),"",IF(AND((F25&lt;=85),(AI25&gt;=15)),"O","X"))</f>
        <v>O</v>
      </c>
      <c r="AU25" s="114" t="str">
        <f>IF(C25="","",IF(C25&gt;=$AU$1,"O","X"))</f>
        <v>O</v>
      </c>
      <c r="AV25" s="114" t="str">
        <f>IF(AO25="","",IF(AND(AO25="O",AP25="O",AR25="O",AT25="O",AU25="O"),"후보","X"))</f>
        <v>후보</v>
      </c>
    </row>
    <row r="26" spans="1:48" s="37" customFormat="1" ht="12" x14ac:dyDescent="0.3">
      <c r="A26" s="111" t="s">
        <v>1762</v>
      </c>
      <c r="B26" s="112" t="s">
        <v>1743</v>
      </c>
      <c r="C26" s="113">
        <v>499</v>
      </c>
      <c r="D26" s="104">
        <v>80.099999999999994</v>
      </c>
      <c r="E26" s="106">
        <v>24</v>
      </c>
      <c r="F26" s="104">
        <v>60</v>
      </c>
      <c r="G26" s="17">
        <v>18</v>
      </c>
      <c r="H26" s="107">
        <v>139</v>
      </c>
      <c r="I26" s="108">
        <v>15500</v>
      </c>
      <c r="J26" s="108" t="s">
        <v>1272</v>
      </c>
      <c r="K26" s="108">
        <v>14000</v>
      </c>
      <c r="L26" s="108" t="s">
        <v>1253</v>
      </c>
      <c r="M26" s="109">
        <f>I26-K26</f>
        <v>1500</v>
      </c>
      <c r="N26" s="4">
        <f>IF(ISERROR(K26/I26),"",K26/I26)</f>
        <v>0.90322580645161288</v>
      </c>
      <c r="O26" s="105">
        <f>I26/E26</f>
        <v>645.83333333333337</v>
      </c>
      <c r="P26" s="105">
        <f>K26/E26</f>
        <v>583.33333333333337</v>
      </c>
      <c r="Q26" s="114">
        <v>3</v>
      </c>
      <c r="R26" s="114">
        <v>1</v>
      </c>
      <c r="S26" s="114" t="s">
        <v>1244</v>
      </c>
      <c r="T26" s="5">
        <v>80</v>
      </c>
      <c r="U26" s="9"/>
      <c r="W26" s="104">
        <f>D26</f>
        <v>80.099999999999994</v>
      </c>
      <c r="X26" s="106">
        <f>E26</f>
        <v>24</v>
      </c>
      <c r="Y26" s="102">
        <f>H26</f>
        <v>139</v>
      </c>
      <c r="Z26" s="109">
        <f>I26</f>
        <v>15500</v>
      </c>
      <c r="AA26" s="109">
        <f>K26</f>
        <v>14000</v>
      </c>
      <c r="AB26" s="109">
        <f t="shared" si="13"/>
        <v>1500</v>
      </c>
      <c r="AC26" s="4">
        <f t="shared" si="13"/>
        <v>0.90322580645161288</v>
      </c>
      <c r="AD26" s="105">
        <f t="shared" si="13"/>
        <v>645.83333333333337</v>
      </c>
      <c r="AE26" s="114" t="str">
        <f>S26</f>
        <v>계</v>
      </c>
      <c r="AF26" s="114" t="str">
        <f>Q26&amp;"/"&amp;R26</f>
        <v>3/1</v>
      </c>
      <c r="AH26" s="20" t="str">
        <f t="shared" si="10"/>
        <v>미장동 파인빌1차</v>
      </c>
      <c r="AI26" s="106">
        <f t="shared" si="4"/>
        <v>24</v>
      </c>
      <c r="AJ26" s="114" t="str">
        <f>IF(AI26="","",$AJ$2)</f>
        <v>A-</v>
      </c>
      <c r="AK26" s="114" t="s">
        <v>13</v>
      </c>
      <c r="AL26" s="114" t="s">
        <v>1242</v>
      </c>
      <c r="AM26" s="114" t="s">
        <v>1243</v>
      </c>
      <c r="AN26" s="114" t="str">
        <f>IF(AI26="","",$AN$2)</f>
        <v>C</v>
      </c>
      <c r="AO26" s="114" t="str">
        <f>IF(N26="","",IF(N26&gt;=$AO$1/100,"O","X"))</f>
        <v>O</v>
      </c>
      <c r="AP26" s="114" t="str">
        <f>IF(I26="","",IF(I26&lt;=$AP$1,"O","X"))</f>
        <v>O</v>
      </c>
      <c r="AQ26" s="114" t="str">
        <f>IF(O26="","",IF(O26&lt;=$AQ$1,"O","X"))</f>
        <v>O</v>
      </c>
      <c r="AR26" s="114" t="str">
        <f>IF(M26="","",IF(M26&lt;=$AR$1,"O","X"))</f>
        <v>O</v>
      </c>
      <c r="AS26" s="114" t="s">
        <v>2</v>
      </c>
      <c r="AT26" s="114" t="str">
        <f>IF(OR(F26="",AI26=""),"",IF(AND((F26&lt;=85),(AI26&gt;=15)),"O","X"))</f>
        <v>O</v>
      </c>
      <c r="AU26" s="114" t="str">
        <f>IF(C26="","",IF(C26&gt;=$AU$1,"O","X"))</f>
        <v>O</v>
      </c>
      <c r="AV26" s="114" t="str">
        <f>IF(AO26="","",IF(AND(AO26="O",AP26="O",AR26="O",AT26="O",AU26="O"),"후보","X"))</f>
        <v>후보</v>
      </c>
    </row>
    <row r="27" spans="1:48" s="37" customFormat="1" ht="12" x14ac:dyDescent="0.3">
      <c r="A27" s="111" t="s">
        <v>1763</v>
      </c>
      <c r="B27" s="112" t="s">
        <v>1723</v>
      </c>
      <c r="C27" s="113">
        <v>540</v>
      </c>
      <c r="D27" s="104">
        <v>99.8</v>
      </c>
      <c r="E27" s="106">
        <v>30</v>
      </c>
      <c r="F27" s="104">
        <v>75</v>
      </c>
      <c r="G27" s="17">
        <v>23</v>
      </c>
      <c r="H27" s="107">
        <v>72</v>
      </c>
      <c r="I27" s="108">
        <v>37000</v>
      </c>
      <c r="J27" s="108" t="s">
        <v>1287</v>
      </c>
      <c r="K27" s="108">
        <v>34000</v>
      </c>
      <c r="L27" s="108" t="s">
        <v>1305</v>
      </c>
      <c r="M27" s="109">
        <f t="shared" ref="M27" si="30">I27-K27</f>
        <v>3000</v>
      </c>
      <c r="N27" s="4">
        <f t="shared" ref="N27" si="31">IF(ISERROR(K27/I27),"",K27/I27)</f>
        <v>0.91891891891891897</v>
      </c>
      <c r="O27" s="105">
        <f t="shared" ref="O27" si="32">I27/E27</f>
        <v>1233.3333333333333</v>
      </c>
      <c r="P27" s="105">
        <f t="shared" ref="P27" si="33">K27/E27</f>
        <v>1133.3333333333333</v>
      </c>
      <c r="Q27" s="114">
        <v>3</v>
      </c>
      <c r="R27" s="114">
        <v>2</v>
      </c>
      <c r="S27" s="114" t="s">
        <v>1244</v>
      </c>
      <c r="T27" s="5" t="s">
        <v>465</v>
      </c>
      <c r="U27" s="9"/>
      <c r="W27" s="104">
        <f t="shared" ref="W27:X27" si="34">D27</f>
        <v>99.8</v>
      </c>
      <c r="X27" s="106">
        <f t="shared" si="34"/>
        <v>30</v>
      </c>
      <c r="Y27" s="102">
        <f t="shared" ref="Y27:Z27" si="35">H27</f>
        <v>72</v>
      </c>
      <c r="Z27" s="109">
        <f t="shared" si="35"/>
        <v>37000</v>
      </c>
      <c r="AA27" s="109">
        <f t="shared" ref="AA27" si="36">K27</f>
        <v>34000</v>
      </c>
      <c r="AB27" s="109">
        <f t="shared" si="13"/>
        <v>3000</v>
      </c>
      <c r="AC27" s="4">
        <f t="shared" si="13"/>
        <v>0.91891891891891897</v>
      </c>
      <c r="AD27" s="105">
        <f t="shared" si="13"/>
        <v>1233.3333333333333</v>
      </c>
      <c r="AE27" s="114" t="str">
        <f t="shared" ref="AE27" si="37">S27</f>
        <v>계</v>
      </c>
      <c r="AF27" s="114" t="str">
        <f t="shared" ref="AF27" si="38">Q27&amp;"/"&amp;R27</f>
        <v>3/2</v>
      </c>
      <c r="AH27" s="20" t="str">
        <f t="shared" si="10"/>
        <v>미장동 군산미장2차아이파크</v>
      </c>
      <c r="AI27" s="106">
        <f t="shared" si="4"/>
        <v>30</v>
      </c>
      <c r="AJ27" s="114" t="str">
        <f t="shared" ref="AJ27" si="39">IF(AI27="","",$AJ$2)</f>
        <v>A-</v>
      </c>
      <c r="AK27" s="114" t="s">
        <v>13</v>
      </c>
      <c r="AL27" s="114" t="s">
        <v>1242</v>
      </c>
      <c r="AM27" s="114" t="s">
        <v>1243</v>
      </c>
      <c r="AN27" s="114" t="str">
        <f t="shared" ref="AN27" si="40">IF(AI27="","",$AN$2)</f>
        <v>C</v>
      </c>
      <c r="AO27" s="114" t="str">
        <f t="shared" ref="AO27" si="41">IF(N27="","",IF(N27&gt;=$AO$1/100,"O","X"))</f>
        <v>O</v>
      </c>
      <c r="AP27" s="114" t="str">
        <f t="shared" ref="AP27" si="42">IF(I27="","",IF(I27&lt;=$AP$1,"O","X"))</f>
        <v>O</v>
      </c>
      <c r="AQ27" s="114" t="str">
        <f t="shared" ref="AQ27" si="43">IF(O27="","",IF(O27&lt;=$AQ$1,"O","X"))</f>
        <v>X</v>
      </c>
      <c r="AR27" s="114" t="str">
        <f t="shared" ref="AR27" si="44">IF(M27="","",IF(M27&lt;=$AR$1,"O","X"))</f>
        <v>O</v>
      </c>
      <c r="AS27" s="114" t="s">
        <v>2</v>
      </c>
      <c r="AT27" s="114" t="str">
        <f t="shared" ref="AT27" si="45">IF(OR(F27="",AI27=""),"",IF(AND((F27&lt;=85),(AI27&gt;=15)),"O","X"))</f>
        <v>O</v>
      </c>
      <c r="AU27" s="114" t="str">
        <f t="shared" ref="AU27" si="46">IF(C27="","",IF(C27&gt;=$AU$1,"O","X"))</f>
        <v>O</v>
      </c>
      <c r="AV27" s="114" t="str">
        <f t="shared" ref="AV27" si="47">IF(AO27="","",IF(AND(AO27="O",AP27="O",AR27="O",AT27="O",AU27="O"),"후보","X"))</f>
        <v>후보</v>
      </c>
    </row>
    <row r="28" spans="1:48" s="37" customFormat="1" ht="12" x14ac:dyDescent="0.3">
      <c r="A28" s="111" t="s">
        <v>1724</v>
      </c>
      <c r="B28" s="112" t="s">
        <v>1725</v>
      </c>
      <c r="C28" s="113">
        <v>675</v>
      </c>
      <c r="D28" s="104">
        <v>106.8</v>
      </c>
      <c r="E28" s="106">
        <v>32</v>
      </c>
      <c r="F28" s="104">
        <v>85</v>
      </c>
      <c r="G28" s="17">
        <v>26</v>
      </c>
      <c r="H28" s="107">
        <v>405</v>
      </c>
      <c r="I28" s="108">
        <v>10500</v>
      </c>
      <c r="J28" s="108" t="s">
        <v>1251</v>
      </c>
      <c r="K28" s="108">
        <v>9500</v>
      </c>
      <c r="L28" s="108" t="s">
        <v>1272</v>
      </c>
      <c r="M28" s="109">
        <f>I28-K28</f>
        <v>1000</v>
      </c>
      <c r="N28" s="4">
        <f>IF(ISERROR(K28/I28),"",K28/I28)</f>
        <v>0.90476190476190477</v>
      </c>
      <c r="O28" s="105">
        <f>I28/E28</f>
        <v>328.125</v>
      </c>
      <c r="P28" s="105">
        <f>K28/E28</f>
        <v>296.875</v>
      </c>
      <c r="Q28" s="114">
        <v>3</v>
      </c>
      <c r="R28" s="114">
        <v>2</v>
      </c>
      <c r="S28" s="114" t="s">
        <v>1244</v>
      </c>
      <c r="T28" s="5">
        <v>106</v>
      </c>
      <c r="U28" s="9"/>
      <c r="W28" s="104">
        <f>D28</f>
        <v>106.8</v>
      </c>
      <c r="X28" s="106">
        <f>E28</f>
        <v>32</v>
      </c>
      <c r="Y28" s="102">
        <f>H28</f>
        <v>405</v>
      </c>
      <c r="Z28" s="109">
        <f>I28</f>
        <v>10500</v>
      </c>
      <c r="AA28" s="109">
        <f>K28</f>
        <v>9500</v>
      </c>
      <c r="AB28" s="109">
        <f t="shared" si="13"/>
        <v>1000</v>
      </c>
      <c r="AC28" s="4">
        <f t="shared" si="13"/>
        <v>0.90476190476190477</v>
      </c>
      <c r="AD28" s="105">
        <f t="shared" si="13"/>
        <v>328.125</v>
      </c>
      <c r="AE28" s="114" t="str">
        <f>S28</f>
        <v>계</v>
      </c>
      <c r="AF28" s="114" t="str">
        <f>Q28&amp;"/"&amp;R28</f>
        <v>3/2</v>
      </c>
      <c r="AH28" s="20" t="str">
        <f t="shared" si="10"/>
        <v>소룡동 군산성원</v>
      </c>
      <c r="AI28" s="106">
        <f t="shared" si="4"/>
        <v>32</v>
      </c>
      <c r="AJ28" s="114" t="str">
        <f>IF(AI28="","",$AJ$2)</f>
        <v>A-</v>
      </c>
      <c r="AK28" s="114" t="s">
        <v>13</v>
      </c>
      <c r="AL28" s="114" t="s">
        <v>1242</v>
      </c>
      <c r="AM28" s="114" t="s">
        <v>1243</v>
      </c>
      <c r="AN28" s="114" t="str">
        <f>IF(AI28="","",$AN$2)</f>
        <v>C</v>
      </c>
      <c r="AO28" s="114" t="str">
        <f>IF(N28="","",IF(N28&gt;=$AO$1/100,"O","X"))</f>
        <v>O</v>
      </c>
      <c r="AP28" s="114" t="str">
        <f>IF(I28="","",IF(I28&lt;=$AP$1,"O","X"))</f>
        <v>O</v>
      </c>
      <c r="AQ28" s="114" t="str">
        <f>IF(O28="","",IF(O28&lt;=$AQ$1,"O","X"))</f>
        <v>O</v>
      </c>
      <c r="AR28" s="114" t="str">
        <f>IF(M28="","",IF(M28&lt;=$AR$1,"O","X"))</f>
        <v>O</v>
      </c>
      <c r="AS28" s="114" t="s">
        <v>2</v>
      </c>
      <c r="AT28" s="114" t="str">
        <f>IF(OR(F28="",AI28=""),"",IF(AND((F28&lt;=85),(AI28&gt;=15)),"O","X"))</f>
        <v>O</v>
      </c>
      <c r="AU28" s="114" t="str">
        <f>IF(C28="","",IF(C28&gt;=$AU$1,"O","X"))</f>
        <v>O</v>
      </c>
      <c r="AV28" s="114" t="str">
        <f>IF(AO28="","",IF(AND(AO28="O",AP28="O",AR28="O",AT28="O",AU28="O"),"후보","X"))</f>
        <v>후보</v>
      </c>
    </row>
    <row r="29" spans="1:48" s="37" customFormat="1" ht="12" x14ac:dyDescent="0.3">
      <c r="A29" s="111" t="s">
        <v>1726</v>
      </c>
      <c r="B29" s="112" t="s">
        <v>1727</v>
      </c>
      <c r="C29" s="113">
        <v>782</v>
      </c>
      <c r="D29" s="104">
        <v>113.3</v>
      </c>
      <c r="E29" s="106">
        <v>34</v>
      </c>
      <c r="F29" s="104">
        <v>85</v>
      </c>
      <c r="G29" s="17">
        <v>26</v>
      </c>
      <c r="H29" s="107">
        <v>480</v>
      </c>
      <c r="I29" s="108">
        <v>32000</v>
      </c>
      <c r="J29" s="108" t="s">
        <v>1294</v>
      </c>
      <c r="K29" s="108">
        <v>27000</v>
      </c>
      <c r="L29" s="108" t="s">
        <v>1251</v>
      </c>
      <c r="M29" s="109">
        <f>I29-K29</f>
        <v>5000</v>
      </c>
      <c r="N29" s="4">
        <f>IF(ISERROR(K29/I29),"",K29/I29)</f>
        <v>0.84375</v>
      </c>
      <c r="O29" s="105">
        <f>I29/E29</f>
        <v>941.17647058823525</v>
      </c>
      <c r="P29" s="105">
        <f>K29/E29</f>
        <v>794.11764705882354</v>
      </c>
      <c r="Q29" s="114">
        <v>3</v>
      </c>
      <c r="R29" s="114">
        <v>2</v>
      </c>
      <c r="S29" s="114" t="s">
        <v>1244</v>
      </c>
      <c r="T29" s="5">
        <v>113</v>
      </c>
      <c r="U29" s="9"/>
      <c r="W29" s="104">
        <f t="shared" ref="W29:X38" si="48">D29</f>
        <v>113.3</v>
      </c>
      <c r="X29" s="106">
        <f t="shared" si="48"/>
        <v>34</v>
      </c>
      <c r="Y29" s="102">
        <f t="shared" ref="Y29:Z38" si="49">H29</f>
        <v>480</v>
      </c>
      <c r="Z29" s="109">
        <f t="shared" si="49"/>
        <v>32000</v>
      </c>
      <c r="AA29" s="109">
        <f>K29</f>
        <v>27000</v>
      </c>
      <c r="AB29" s="109">
        <f t="shared" si="13"/>
        <v>5000</v>
      </c>
      <c r="AC29" s="4">
        <f t="shared" si="13"/>
        <v>0.84375</v>
      </c>
      <c r="AD29" s="105">
        <f t="shared" si="13"/>
        <v>941.17647058823525</v>
      </c>
      <c r="AE29" s="114" t="str">
        <f>S29</f>
        <v>계</v>
      </c>
      <c r="AF29" s="114" t="str">
        <f>Q29&amp;"/"&amp;R29</f>
        <v>3/2</v>
      </c>
      <c r="AH29" s="20" t="str">
        <f t="shared" si="10"/>
        <v>수송동 한라비발디2단지</v>
      </c>
      <c r="AI29" s="106">
        <f t="shared" si="4"/>
        <v>34</v>
      </c>
      <c r="AJ29" s="114" t="str">
        <f>IF(AI29="","",$AJ$2)</f>
        <v>A-</v>
      </c>
      <c r="AK29" s="114" t="s">
        <v>13</v>
      </c>
      <c r="AL29" s="114" t="s">
        <v>1242</v>
      </c>
      <c r="AM29" s="114" t="s">
        <v>1243</v>
      </c>
      <c r="AN29" s="114" t="str">
        <f>IF(AI29="","",$AN$2)</f>
        <v>C</v>
      </c>
      <c r="AO29" s="114" t="str">
        <f>IF(N29="","",IF(N29&gt;=$AO$1/100,"O","X"))</f>
        <v>O</v>
      </c>
      <c r="AP29" s="114" t="str">
        <f>IF(I29="","",IF(I29&lt;=$AP$1,"O","X"))</f>
        <v>O</v>
      </c>
      <c r="AQ29" s="114" t="str">
        <f>IF(O29="","",IF(O29&lt;=$AQ$1,"O","X"))</f>
        <v>O</v>
      </c>
      <c r="AR29" s="114" t="str">
        <f>IF(M29="","",IF(M29&lt;=$AR$1,"O","X"))</f>
        <v>O</v>
      </c>
      <c r="AS29" s="114" t="s">
        <v>2</v>
      </c>
      <c r="AT29" s="114" t="str">
        <f>IF(OR(F29="",AI29=""),"",IF(AND((F29&lt;=85),(AI29&gt;=15)),"O","X"))</f>
        <v>O</v>
      </c>
      <c r="AU29" s="114" t="str">
        <f>IF(C29="","",IF(C29&gt;=$AU$1,"O","X"))</f>
        <v>O</v>
      </c>
      <c r="AV29" s="114" t="str">
        <f>IF(AO29="","",IF(AND(AO29="O",AP29="O",AR29="O",AT29="O",AU29="O"),"후보","X"))</f>
        <v>후보</v>
      </c>
    </row>
    <row r="30" spans="1:48" s="37" customFormat="1" ht="12" x14ac:dyDescent="0.3">
      <c r="A30" s="111" t="s">
        <v>1744</v>
      </c>
      <c r="B30" s="112" t="s">
        <v>1745</v>
      </c>
      <c r="C30" s="113">
        <v>1041</v>
      </c>
      <c r="D30" s="104">
        <v>108.9</v>
      </c>
      <c r="E30" s="106">
        <v>33</v>
      </c>
      <c r="F30" s="104">
        <v>84.7</v>
      </c>
      <c r="G30" s="17">
        <v>26</v>
      </c>
      <c r="H30" s="107">
        <v>160</v>
      </c>
      <c r="I30" s="108">
        <v>29000</v>
      </c>
      <c r="J30" s="108" t="s">
        <v>1287</v>
      </c>
      <c r="K30" s="108">
        <v>25000</v>
      </c>
      <c r="L30" s="108" t="s">
        <v>1256</v>
      </c>
      <c r="M30" s="109">
        <f>I30-K30</f>
        <v>4000</v>
      </c>
      <c r="N30" s="4">
        <f>IF(ISERROR(K30/I30),"",K30/I30)</f>
        <v>0.86206896551724133</v>
      </c>
      <c r="O30" s="105">
        <f>I30/E30</f>
        <v>878.78787878787875</v>
      </c>
      <c r="P30" s="105">
        <f>K30/E30</f>
        <v>757.57575757575762</v>
      </c>
      <c r="Q30" s="114">
        <v>3</v>
      </c>
      <c r="R30" s="114">
        <v>2</v>
      </c>
      <c r="S30" s="114" t="s">
        <v>1244</v>
      </c>
      <c r="T30" s="5">
        <v>108</v>
      </c>
      <c r="U30" s="9"/>
      <c r="W30" s="104">
        <f t="shared" si="48"/>
        <v>108.9</v>
      </c>
      <c r="X30" s="106">
        <f t="shared" si="48"/>
        <v>33</v>
      </c>
      <c r="Y30" s="102">
        <f t="shared" si="49"/>
        <v>160</v>
      </c>
      <c r="Z30" s="109">
        <f t="shared" si="49"/>
        <v>29000</v>
      </c>
      <c r="AA30" s="109">
        <f>K30</f>
        <v>25000</v>
      </c>
      <c r="AB30" s="109">
        <f t="shared" si="13"/>
        <v>4000</v>
      </c>
      <c r="AC30" s="4">
        <f t="shared" si="13"/>
        <v>0.86206896551724133</v>
      </c>
      <c r="AD30" s="105">
        <f t="shared" si="13"/>
        <v>878.78787878787875</v>
      </c>
      <c r="AE30" s="114" t="str">
        <f>S30</f>
        <v>계</v>
      </c>
      <c r="AF30" s="114" t="str">
        <f>Q30&amp;"/"&amp;R30</f>
        <v>3/2</v>
      </c>
      <c r="AH30" s="20" t="str">
        <f t="shared" si="10"/>
        <v>수송동 군산수송세영리첼</v>
      </c>
      <c r="AI30" s="106">
        <f t="shared" si="4"/>
        <v>33</v>
      </c>
      <c r="AJ30" s="114" t="str">
        <f>IF(AI30="","",$AJ$2)</f>
        <v>A-</v>
      </c>
      <c r="AK30" s="114" t="s">
        <v>13</v>
      </c>
      <c r="AL30" s="114" t="s">
        <v>1242</v>
      </c>
      <c r="AM30" s="114" t="s">
        <v>1243</v>
      </c>
      <c r="AN30" s="114" t="str">
        <f>IF(AI30="","",$AN$2)</f>
        <v>C</v>
      </c>
      <c r="AO30" s="114" t="str">
        <f>IF(N30="","",IF(N30&gt;=$AO$1/100,"O","X"))</f>
        <v>O</v>
      </c>
      <c r="AP30" s="114" t="str">
        <f>IF(I30="","",IF(I30&lt;=$AP$1,"O","X"))</f>
        <v>O</v>
      </c>
      <c r="AQ30" s="114" t="str">
        <f>IF(O30="","",IF(O30&lt;=$AQ$1,"O","X"))</f>
        <v>O</v>
      </c>
      <c r="AR30" s="114" t="str">
        <f>IF(M30="","",IF(M30&lt;=$AR$1,"O","X"))</f>
        <v>O</v>
      </c>
      <c r="AS30" s="114" t="s">
        <v>2</v>
      </c>
      <c r="AT30" s="114" t="str">
        <f>IF(OR(F30="",AI30=""),"",IF(AND((F30&lt;=85),(AI30&gt;=15)),"O","X"))</f>
        <v>O</v>
      </c>
      <c r="AU30" s="114" t="str">
        <f>IF(C30="","",IF(C30&gt;=$AU$1,"O","X"))</f>
        <v>O</v>
      </c>
      <c r="AV30" s="114" t="str">
        <f>IF(AO30="","",IF(AND(AO30="O",AP30="O",AR30="O",AT30="O",AU30="O"),"후보","X"))</f>
        <v>후보</v>
      </c>
    </row>
    <row r="31" spans="1:48" s="37" customFormat="1" ht="12" x14ac:dyDescent="0.3">
      <c r="A31" s="111" t="s">
        <v>1764</v>
      </c>
      <c r="B31" s="112" t="s">
        <v>1765</v>
      </c>
      <c r="C31" s="113">
        <v>570</v>
      </c>
      <c r="D31" s="104">
        <v>71.8</v>
      </c>
      <c r="E31" s="106">
        <v>22</v>
      </c>
      <c r="F31" s="104">
        <v>49.9</v>
      </c>
      <c r="G31" s="17">
        <v>15</v>
      </c>
      <c r="H31" s="107">
        <v>104</v>
      </c>
      <c r="I31" s="108">
        <v>18000</v>
      </c>
      <c r="J31" s="108" t="s">
        <v>1253</v>
      </c>
      <c r="K31" s="108">
        <v>16000</v>
      </c>
      <c r="L31" s="108" t="s">
        <v>1272</v>
      </c>
      <c r="M31" s="109">
        <f>I31-K31</f>
        <v>2000</v>
      </c>
      <c r="N31" s="4">
        <f>IF(ISERROR(K31/I31),"",K31/I31)</f>
        <v>0.88888888888888884</v>
      </c>
      <c r="O31" s="105">
        <f>I31/E31</f>
        <v>818.18181818181813</v>
      </c>
      <c r="P31" s="105">
        <f>K31/E31</f>
        <v>727.27272727272725</v>
      </c>
      <c r="Q31" s="114">
        <v>2</v>
      </c>
      <c r="R31" s="114">
        <v>1</v>
      </c>
      <c r="S31" s="114" t="s">
        <v>1244</v>
      </c>
      <c r="T31" s="5">
        <v>71</v>
      </c>
      <c r="U31" s="9"/>
      <c r="W31" s="104">
        <f t="shared" si="48"/>
        <v>71.8</v>
      </c>
      <c r="X31" s="106">
        <f t="shared" si="48"/>
        <v>22</v>
      </c>
      <c r="Y31" s="102">
        <f t="shared" si="49"/>
        <v>104</v>
      </c>
      <c r="Z31" s="109">
        <f t="shared" si="49"/>
        <v>18000</v>
      </c>
      <c r="AA31" s="109">
        <f>K31</f>
        <v>16000</v>
      </c>
      <c r="AB31" s="109">
        <f t="shared" si="13"/>
        <v>2000</v>
      </c>
      <c r="AC31" s="4">
        <f t="shared" si="13"/>
        <v>0.88888888888888884</v>
      </c>
      <c r="AD31" s="105">
        <f t="shared" si="13"/>
        <v>818.18181818181813</v>
      </c>
      <c r="AE31" s="114" t="str">
        <f>S31</f>
        <v>계</v>
      </c>
      <c r="AF31" s="114" t="str">
        <f>Q31&amp;"/"&amp;R31</f>
        <v>2/1</v>
      </c>
      <c r="AH31" s="20" t="str">
        <f t="shared" si="10"/>
        <v>수송동 수송오투그란데2차</v>
      </c>
      <c r="AI31" s="106">
        <f t="shared" si="4"/>
        <v>22</v>
      </c>
      <c r="AJ31" s="114" t="str">
        <f>IF(AI31="","",$AJ$2)</f>
        <v>A-</v>
      </c>
      <c r="AK31" s="114" t="s">
        <v>13</v>
      </c>
      <c r="AL31" s="114" t="s">
        <v>1242</v>
      </c>
      <c r="AM31" s="114" t="s">
        <v>1243</v>
      </c>
      <c r="AN31" s="114" t="str">
        <f>IF(AI31="","",$AN$2)</f>
        <v>C</v>
      </c>
      <c r="AO31" s="114" t="str">
        <f>IF(N31="","",IF(N31&gt;=$AO$1/100,"O","X"))</f>
        <v>O</v>
      </c>
      <c r="AP31" s="114" t="str">
        <f>IF(I31="","",IF(I31&lt;=$AP$1,"O","X"))</f>
        <v>O</v>
      </c>
      <c r="AQ31" s="114" t="str">
        <f>IF(O31="","",IF(O31&lt;=$AQ$1,"O","X"))</f>
        <v>O</v>
      </c>
      <c r="AR31" s="114" t="str">
        <f>IF(M31="","",IF(M31&lt;=$AR$1,"O","X"))</f>
        <v>O</v>
      </c>
      <c r="AS31" s="114" t="s">
        <v>2</v>
      </c>
      <c r="AT31" s="114" t="str">
        <f>IF(OR(F31="",AI31=""),"",IF(AND((F31&lt;=85),(AI31&gt;=15)),"O","X"))</f>
        <v>O</v>
      </c>
      <c r="AU31" s="114" t="str">
        <f>IF(C31="","",IF(C31&gt;=$AU$1,"O","X"))</f>
        <v>O</v>
      </c>
      <c r="AV31" s="114" t="str">
        <f>IF(AO31="","",IF(AND(AO31="O",AP31="O",AR31="O",AT31="O",AU31="O"),"후보","X"))</f>
        <v>후보</v>
      </c>
    </row>
    <row r="32" spans="1:48" s="37" customFormat="1" ht="12" x14ac:dyDescent="0.3">
      <c r="A32" s="111" t="s">
        <v>1764</v>
      </c>
      <c r="B32" s="112" t="s">
        <v>1728</v>
      </c>
      <c r="C32" s="113">
        <v>570</v>
      </c>
      <c r="D32" s="104">
        <v>83</v>
      </c>
      <c r="E32" s="106">
        <v>25</v>
      </c>
      <c r="F32" s="104">
        <v>60</v>
      </c>
      <c r="G32" s="17">
        <v>18</v>
      </c>
      <c r="H32" s="107">
        <v>235</v>
      </c>
      <c r="I32" s="108">
        <v>21500</v>
      </c>
      <c r="J32" s="108" t="s">
        <v>1268</v>
      </c>
      <c r="K32" s="108">
        <v>18500</v>
      </c>
      <c r="L32" s="108" t="s">
        <v>1255</v>
      </c>
      <c r="M32" s="109">
        <f>I32-K32</f>
        <v>3000</v>
      </c>
      <c r="N32" s="4">
        <f>IF(ISERROR(K32/I32),"",K32/I32)</f>
        <v>0.86046511627906974</v>
      </c>
      <c r="O32" s="105">
        <f>I32/E32</f>
        <v>860</v>
      </c>
      <c r="P32" s="105">
        <f>K32/E32</f>
        <v>740</v>
      </c>
      <c r="Q32" s="114">
        <v>3</v>
      </c>
      <c r="R32" s="114">
        <v>2</v>
      </c>
      <c r="S32" s="114" t="s">
        <v>1244</v>
      </c>
      <c r="T32" s="5" t="s">
        <v>411</v>
      </c>
      <c r="U32" s="9"/>
      <c r="W32" s="104">
        <f t="shared" si="48"/>
        <v>83</v>
      </c>
      <c r="X32" s="106">
        <f t="shared" si="48"/>
        <v>25</v>
      </c>
      <c r="Y32" s="102">
        <f t="shared" si="49"/>
        <v>235</v>
      </c>
      <c r="Z32" s="109">
        <f t="shared" si="49"/>
        <v>21500</v>
      </c>
      <c r="AA32" s="109">
        <f>K32</f>
        <v>18500</v>
      </c>
      <c r="AB32" s="109">
        <f t="shared" si="13"/>
        <v>3000</v>
      </c>
      <c r="AC32" s="4">
        <f t="shared" si="13"/>
        <v>0.86046511627906974</v>
      </c>
      <c r="AD32" s="105">
        <f t="shared" si="13"/>
        <v>860</v>
      </c>
      <c r="AE32" s="114" t="str">
        <f>S32</f>
        <v>계</v>
      </c>
      <c r="AF32" s="114" t="str">
        <f>Q32&amp;"/"&amp;R32</f>
        <v>3/2</v>
      </c>
      <c r="AH32" s="20" t="str">
        <f t="shared" si="10"/>
        <v>수송동 수송오투그란데2차</v>
      </c>
      <c r="AI32" s="106">
        <f t="shared" si="4"/>
        <v>25</v>
      </c>
      <c r="AJ32" s="114" t="str">
        <f>IF(AI32="","",$AJ$2)</f>
        <v>A-</v>
      </c>
      <c r="AK32" s="114" t="s">
        <v>13</v>
      </c>
      <c r="AL32" s="114" t="s">
        <v>1242</v>
      </c>
      <c r="AM32" s="114" t="s">
        <v>1243</v>
      </c>
      <c r="AN32" s="114" t="str">
        <f>IF(AI32="","",$AN$2)</f>
        <v>C</v>
      </c>
      <c r="AO32" s="114" t="str">
        <f>IF(N32="","",IF(N32&gt;=$AO$1/100,"O","X"))</f>
        <v>O</v>
      </c>
      <c r="AP32" s="114" t="str">
        <f>IF(I32="","",IF(I32&lt;=$AP$1,"O","X"))</f>
        <v>O</v>
      </c>
      <c r="AQ32" s="114" t="str">
        <f>IF(O32="","",IF(O32&lt;=$AQ$1,"O","X"))</f>
        <v>O</v>
      </c>
      <c r="AR32" s="114" t="str">
        <f>IF(M32="","",IF(M32&lt;=$AR$1,"O","X"))</f>
        <v>O</v>
      </c>
      <c r="AS32" s="114" t="s">
        <v>2</v>
      </c>
      <c r="AT32" s="114" t="str">
        <f>IF(OR(F32="",AI32=""),"",IF(AND((F32&lt;=85),(AI32&gt;=15)),"O","X"))</f>
        <v>O</v>
      </c>
      <c r="AU32" s="114" t="str">
        <f>IF(C32="","",IF(C32&gt;=$AU$1,"O","X"))</f>
        <v>O</v>
      </c>
      <c r="AV32" s="114" t="str">
        <f>IF(AO32="","",IF(AND(AO32="O",AP32="O",AR32="O",AT32="O",AU32="O"),"후보","X"))</f>
        <v>후보</v>
      </c>
    </row>
    <row r="33" spans="1:48" s="37" customFormat="1" ht="12" x14ac:dyDescent="0.3">
      <c r="A33" s="111" t="s">
        <v>1766</v>
      </c>
      <c r="B33" s="112" t="s">
        <v>1729</v>
      </c>
      <c r="C33" s="113">
        <v>657</v>
      </c>
      <c r="D33" s="104">
        <v>105.2</v>
      </c>
      <c r="E33" s="106">
        <v>32</v>
      </c>
      <c r="F33" s="104">
        <v>85</v>
      </c>
      <c r="G33" s="17">
        <v>26</v>
      </c>
      <c r="H33" s="107">
        <v>249</v>
      </c>
      <c r="I33" s="108">
        <v>20000</v>
      </c>
      <c r="J33" s="108" t="s">
        <v>1248</v>
      </c>
      <c r="K33" s="108">
        <v>18000</v>
      </c>
      <c r="L33" s="108" t="s">
        <v>1280</v>
      </c>
      <c r="M33" s="109">
        <f>I33-K33</f>
        <v>2000</v>
      </c>
      <c r="N33" s="4">
        <f>IF(ISERROR(K33/I33),"",K33/I33)</f>
        <v>0.9</v>
      </c>
      <c r="O33" s="105">
        <f>I33/E33</f>
        <v>625</v>
      </c>
      <c r="P33" s="105">
        <f>K33/E33</f>
        <v>562.5</v>
      </c>
      <c r="Q33" s="114">
        <v>3</v>
      </c>
      <c r="R33" s="114">
        <v>2</v>
      </c>
      <c r="S33" s="114" t="s">
        <v>1244</v>
      </c>
      <c r="T33" s="5">
        <v>105</v>
      </c>
      <c r="U33" s="9"/>
      <c r="W33" s="104">
        <f t="shared" si="48"/>
        <v>105.2</v>
      </c>
      <c r="X33" s="106">
        <f t="shared" si="48"/>
        <v>32</v>
      </c>
      <c r="Y33" s="102">
        <f t="shared" si="49"/>
        <v>249</v>
      </c>
      <c r="Z33" s="109">
        <f t="shared" si="49"/>
        <v>20000</v>
      </c>
      <c r="AA33" s="109">
        <f>K33</f>
        <v>18000</v>
      </c>
      <c r="AB33" s="109">
        <f t="shared" si="13"/>
        <v>2000</v>
      </c>
      <c r="AC33" s="4">
        <f t="shared" si="13"/>
        <v>0.9</v>
      </c>
      <c r="AD33" s="105">
        <f t="shared" si="13"/>
        <v>625</v>
      </c>
      <c r="AE33" s="114" t="str">
        <f>S33</f>
        <v>계</v>
      </c>
      <c r="AF33" s="114" t="str">
        <f>Q33&amp;"/"&amp;R33</f>
        <v>3/2</v>
      </c>
      <c r="AH33" s="20" t="str">
        <f t="shared" si="10"/>
        <v>수송동 현대</v>
      </c>
      <c r="AI33" s="106">
        <f t="shared" si="4"/>
        <v>32</v>
      </c>
      <c r="AJ33" s="114" t="str">
        <f>IF(AI33="","",$AJ$2)</f>
        <v>A-</v>
      </c>
      <c r="AK33" s="114" t="s">
        <v>13</v>
      </c>
      <c r="AL33" s="114" t="s">
        <v>1242</v>
      </c>
      <c r="AM33" s="114" t="s">
        <v>1243</v>
      </c>
      <c r="AN33" s="114" t="str">
        <f>IF(AI33="","",$AN$2)</f>
        <v>C</v>
      </c>
      <c r="AO33" s="114" t="str">
        <f>IF(N33="","",IF(N33&gt;=$AO$1/100,"O","X"))</f>
        <v>O</v>
      </c>
      <c r="AP33" s="114" t="str">
        <f>IF(I33="","",IF(I33&lt;=$AP$1,"O","X"))</f>
        <v>O</v>
      </c>
      <c r="AQ33" s="114" t="str">
        <f>IF(O33="","",IF(O33&lt;=$AQ$1,"O","X"))</f>
        <v>O</v>
      </c>
      <c r="AR33" s="114" t="str">
        <f>IF(M33="","",IF(M33&lt;=$AR$1,"O","X"))</f>
        <v>O</v>
      </c>
      <c r="AS33" s="114" t="s">
        <v>2</v>
      </c>
      <c r="AT33" s="114" t="str">
        <f>IF(OR(F33="",AI33=""),"",IF(AND((F33&lt;=85),(AI33&gt;=15)),"O","X"))</f>
        <v>O</v>
      </c>
      <c r="AU33" s="114" t="str">
        <f>IF(C33="","",IF(C33&gt;=$AU$1,"O","X"))</f>
        <v>O</v>
      </c>
      <c r="AV33" s="114" t="str">
        <f>IF(AO33="","",IF(AND(AO33="O",AP33="O",AR33="O",AT33="O",AU33="O"),"후보","X"))</f>
        <v>후보</v>
      </c>
    </row>
    <row r="34" spans="1:48" s="37" customFormat="1" ht="12" x14ac:dyDescent="0.3">
      <c r="A34" s="111" t="s">
        <v>1767</v>
      </c>
      <c r="B34" s="112" t="s">
        <v>1730</v>
      </c>
      <c r="C34" s="113">
        <v>941</v>
      </c>
      <c r="D34" s="104">
        <v>111.5</v>
      </c>
      <c r="E34" s="106">
        <v>34</v>
      </c>
      <c r="F34" s="104">
        <v>84.7</v>
      </c>
      <c r="G34" s="17">
        <v>26</v>
      </c>
      <c r="H34" s="107">
        <v>729</v>
      </c>
      <c r="I34" s="108">
        <v>19000</v>
      </c>
      <c r="J34" s="108" t="s">
        <v>1247</v>
      </c>
      <c r="K34" s="108">
        <v>17000</v>
      </c>
      <c r="L34" s="108" t="s">
        <v>1287</v>
      </c>
      <c r="M34" s="109">
        <f>I34-K34</f>
        <v>2000</v>
      </c>
      <c r="N34" s="4">
        <f>IF(ISERROR(K34/I34),"",K34/I34)</f>
        <v>0.89473684210526316</v>
      </c>
      <c r="O34" s="105">
        <f>I34/E34</f>
        <v>558.82352941176475</v>
      </c>
      <c r="P34" s="105">
        <f>K34/E34</f>
        <v>500</v>
      </c>
      <c r="Q34" s="114">
        <v>3</v>
      </c>
      <c r="R34" s="114">
        <v>2</v>
      </c>
      <c r="S34" s="114" t="s">
        <v>1244</v>
      </c>
      <c r="T34" s="5" t="s">
        <v>709</v>
      </c>
      <c r="U34" s="9"/>
      <c r="W34" s="104">
        <f t="shared" si="48"/>
        <v>111.5</v>
      </c>
      <c r="X34" s="106">
        <f t="shared" si="48"/>
        <v>34</v>
      </c>
      <c r="Y34" s="102">
        <f t="shared" si="49"/>
        <v>729</v>
      </c>
      <c r="Z34" s="109">
        <f t="shared" si="49"/>
        <v>19000</v>
      </c>
      <c r="AA34" s="109">
        <f>K34</f>
        <v>17000</v>
      </c>
      <c r="AB34" s="109">
        <f t="shared" si="13"/>
        <v>2000</v>
      </c>
      <c r="AC34" s="4">
        <f t="shared" si="13"/>
        <v>0.89473684210526316</v>
      </c>
      <c r="AD34" s="105">
        <f t="shared" si="13"/>
        <v>558.82352941176475</v>
      </c>
      <c r="AE34" s="114" t="str">
        <f>S34</f>
        <v>계</v>
      </c>
      <c r="AF34" s="114" t="str">
        <f>Q34&amp;"/"&amp;R34</f>
        <v>3/2</v>
      </c>
      <c r="AH34" s="20" t="str">
        <f t="shared" si="10"/>
        <v>수송동 수송제일</v>
      </c>
      <c r="AI34" s="106">
        <f t="shared" si="4"/>
        <v>34</v>
      </c>
      <c r="AJ34" s="114" t="str">
        <f>IF(AI34="","",$AJ$2)</f>
        <v>A-</v>
      </c>
      <c r="AK34" s="114" t="s">
        <v>13</v>
      </c>
      <c r="AL34" s="114" t="s">
        <v>1242</v>
      </c>
      <c r="AM34" s="114" t="s">
        <v>1243</v>
      </c>
      <c r="AN34" s="114" t="str">
        <f>IF(AI34="","",$AN$2)</f>
        <v>C</v>
      </c>
      <c r="AO34" s="114" t="str">
        <f>IF(N34="","",IF(N34&gt;=$AO$1/100,"O","X"))</f>
        <v>O</v>
      </c>
      <c r="AP34" s="114" t="str">
        <f>IF(I34="","",IF(I34&lt;=$AP$1,"O","X"))</f>
        <v>O</v>
      </c>
      <c r="AQ34" s="114" t="str">
        <f>IF(O34="","",IF(O34&lt;=$AQ$1,"O","X"))</f>
        <v>O</v>
      </c>
      <c r="AR34" s="114" t="str">
        <f>IF(M34="","",IF(M34&lt;=$AR$1,"O","X"))</f>
        <v>O</v>
      </c>
      <c r="AS34" s="114" t="s">
        <v>2</v>
      </c>
      <c r="AT34" s="114" t="str">
        <f>IF(OR(F34="",AI34=""),"",IF(AND((F34&lt;=85),(AI34&gt;=15)),"O","X"))</f>
        <v>O</v>
      </c>
      <c r="AU34" s="114" t="str">
        <f>IF(C34="","",IF(C34&gt;=$AU$1,"O","X"))</f>
        <v>O</v>
      </c>
      <c r="AV34" s="114" t="str">
        <f>IF(AO34="","",IF(AND(AO34="O",AP34="O",AR34="O",AT34="O",AU34="O"),"후보","X"))</f>
        <v>후보</v>
      </c>
    </row>
    <row r="35" spans="1:48" s="37" customFormat="1" ht="12" x14ac:dyDescent="0.3">
      <c r="A35" s="111" t="s">
        <v>1767</v>
      </c>
      <c r="B35" s="112" t="s">
        <v>1730</v>
      </c>
      <c r="C35" s="113">
        <v>941</v>
      </c>
      <c r="D35" s="104">
        <v>111</v>
      </c>
      <c r="E35" s="106">
        <v>34</v>
      </c>
      <c r="F35" s="104">
        <v>84.8</v>
      </c>
      <c r="G35" s="17">
        <v>26</v>
      </c>
      <c r="H35" s="107">
        <v>178</v>
      </c>
      <c r="I35" s="108">
        <v>18000</v>
      </c>
      <c r="J35" s="108" t="s">
        <v>1250</v>
      </c>
      <c r="K35" s="108">
        <v>16000</v>
      </c>
      <c r="L35" s="108" t="s">
        <v>1272</v>
      </c>
      <c r="M35" s="109">
        <f>I35-K35</f>
        <v>2000</v>
      </c>
      <c r="N35" s="4">
        <f>IF(ISERROR(K35/I35),"",K35/I35)</f>
        <v>0.88888888888888884</v>
      </c>
      <c r="O35" s="105">
        <f>I35/E35</f>
        <v>529.41176470588232</v>
      </c>
      <c r="P35" s="105">
        <f>K35/E35</f>
        <v>470.58823529411762</v>
      </c>
      <c r="Q35" s="114">
        <v>3</v>
      </c>
      <c r="R35" s="114">
        <v>2</v>
      </c>
      <c r="S35" s="114" t="s">
        <v>1244</v>
      </c>
      <c r="T35" s="5" t="s">
        <v>428</v>
      </c>
      <c r="U35" s="9"/>
      <c r="W35" s="104">
        <f t="shared" si="48"/>
        <v>111</v>
      </c>
      <c r="X35" s="106">
        <f t="shared" si="48"/>
        <v>34</v>
      </c>
      <c r="Y35" s="102">
        <f t="shared" si="49"/>
        <v>178</v>
      </c>
      <c r="Z35" s="109">
        <f t="shared" si="49"/>
        <v>18000</v>
      </c>
      <c r="AA35" s="109">
        <f>K35</f>
        <v>16000</v>
      </c>
      <c r="AB35" s="109">
        <f t="shared" si="13"/>
        <v>2000</v>
      </c>
      <c r="AC35" s="4">
        <f t="shared" si="13"/>
        <v>0.88888888888888884</v>
      </c>
      <c r="AD35" s="105">
        <f t="shared" si="13"/>
        <v>529.41176470588232</v>
      </c>
      <c r="AE35" s="114" t="str">
        <f>S35</f>
        <v>계</v>
      </c>
      <c r="AF35" s="114" t="str">
        <f>Q35&amp;"/"&amp;R35</f>
        <v>3/2</v>
      </c>
      <c r="AH35" s="20" t="str">
        <f t="shared" si="10"/>
        <v>수송동 수송제일</v>
      </c>
      <c r="AI35" s="106">
        <f t="shared" si="4"/>
        <v>34</v>
      </c>
      <c r="AJ35" s="114" t="str">
        <f>IF(AI35="","",$AJ$2)</f>
        <v>A-</v>
      </c>
      <c r="AK35" s="114" t="s">
        <v>13</v>
      </c>
      <c r="AL35" s="114" t="s">
        <v>1242</v>
      </c>
      <c r="AM35" s="114" t="s">
        <v>1243</v>
      </c>
      <c r="AN35" s="114" t="str">
        <f>IF(AI35="","",$AN$2)</f>
        <v>C</v>
      </c>
      <c r="AO35" s="114" t="str">
        <f>IF(N35="","",IF(N35&gt;=$AO$1/100,"O","X"))</f>
        <v>O</v>
      </c>
      <c r="AP35" s="114" t="str">
        <f>IF(I35="","",IF(I35&lt;=$AP$1,"O","X"))</f>
        <v>O</v>
      </c>
      <c r="AQ35" s="114" t="str">
        <f>IF(O35="","",IF(O35&lt;=$AQ$1,"O","X"))</f>
        <v>O</v>
      </c>
      <c r="AR35" s="114" t="str">
        <f>IF(M35="","",IF(M35&lt;=$AR$1,"O","X"))</f>
        <v>O</v>
      </c>
      <c r="AS35" s="114" t="s">
        <v>2</v>
      </c>
      <c r="AT35" s="114" t="str">
        <f>IF(OR(F35="",AI35=""),"",IF(AND((F35&lt;=85),(AI35&gt;=15)),"O","X"))</f>
        <v>O</v>
      </c>
      <c r="AU35" s="114" t="str">
        <f>IF(C35="","",IF(C35&gt;=$AU$1,"O","X"))</f>
        <v>O</v>
      </c>
      <c r="AV35" s="114" t="str">
        <f>IF(AO35="","",IF(AND(AO35="O",AP35="O",AR35="O",AT35="O",AU35="O"),"후보","X"))</f>
        <v>후보</v>
      </c>
    </row>
    <row r="36" spans="1:48" s="37" customFormat="1" ht="12" x14ac:dyDescent="0.3">
      <c r="A36" s="111" t="s">
        <v>1768</v>
      </c>
      <c r="B36" s="112" t="s">
        <v>1746</v>
      </c>
      <c r="C36" s="113">
        <v>724</v>
      </c>
      <c r="D36" s="104">
        <v>99</v>
      </c>
      <c r="E36" s="106">
        <v>30</v>
      </c>
      <c r="F36" s="104">
        <v>69</v>
      </c>
      <c r="G36" s="17">
        <v>21</v>
      </c>
      <c r="H36" s="107">
        <v>212</v>
      </c>
      <c r="I36" s="108">
        <v>27000</v>
      </c>
      <c r="J36" s="108" t="s">
        <v>1250</v>
      </c>
      <c r="K36" s="108">
        <v>22500</v>
      </c>
      <c r="L36" s="108" t="s">
        <v>1268</v>
      </c>
      <c r="M36" s="109">
        <f>I36-K36</f>
        <v>4500</v>
      </c>
      <c r="N36" s="4">
        <f>IF(ISERROR(K36/I36),"",K36/I36)</f>
        <v>0.83333333333333337</v>
      </c>
      <c r="O36" s="105">
        <f>I36/E36</f>
        <v>900</v>
      </c>
      <c r="P36" s="105">
        <f>K36/E36</f>
        <v>750</v>
      </c>
      <c r="Q36" s="114">
        <v>3</v>
      </c>
      <c r="R36" s="114">
        <v>2</v>
      </c>
      <c r="S36" s="114" t="s">
        <v>1244</v>
      </c>
      <c r="T36" s="5">
        <v>99</v>
      </c>
      <c r="U36" s="9"/>
      <c r="W36" s="104">
        <f t="shared" si="48"/>
        <v>99</v>
      </c>
      <c r="X36" s="106">
        <f t="shared" si="48"/>
        <v>30</v>
      </c>
      <c r="Y36" s="102">
        <f t="shared" si="49"/>
        <v>212</v>
      </c>
      <c r="Z36" s="109">
        <f t="shared" si="49"/>
        <v>27000</v>
      </c>
      <c r="AA36" s="109">
        <f>K36</f>
        <v>22500</v>
      </c>
      <c r="AB36" s="109">
        <f t="shared" ref="AB36:AD38" si="50">M36</f>
        <v>4500</v>
      </c>
      <c r="AC36" s="4">
        <f t="shared" si="50"/>
        <v>0.83333333333333337</v>
      </c>
      <c r="AD36" s="105">
        <f t="shared" si="50"/>
        <v>900</v>
      </c>
      <c r="AE36" s="114" t="str">
        <f>S36</f>
        <v>계</v>
      </c>
      <c r="AF36" s="114" t="str">
        <f>Q36&amp;"/"&amp;R36</f>
        <v>3/2</v>
      </c>
      <c r="AH36" s="20" t="str">
        <f t="shared" si="10"/>
        <v>수송동 군산수송제일오투그란데1단지</v>
      </c>
      <c r="AI36" s="106">
        <f t="shared" si="4"/>
        <v>30</v>
      </c>
      <c r="AJ36" s="114" t="str">
        <f>IF(AI36="","",$AJ$2)</f>
        <v>A-</v>
      </c>
      <c r="AK36" s="114" t="s">
        <v>13</v>
      </c>
      <c r="AL36" s="114" t="s">
        <v>1242</v>
      </c>
      <c r="AM36" s="114" t="s">
        <v>1243</v>
      </c>
      <c r="AN36" s="114" t="str">
        <f>IF(AI36="","",$AN$2)</f>
        <v>C</v>
      </c>
      <c r="AO36" s="114" t="str">
        <f>IF(N36="","",IF(N36&gt;=$AO$1/100,"O","X"))</f>
        <v>O</v>
      </c>
      <c r="AP36" s="114" t="str">
        <f>IF(I36="","",IF(I36&lt;=$AP$1,"O","X"))</f>
        <v>O</v>
      </c>
      <c r="AQ36" s="114" t="str">
        <f>IF(O36="","",IF(O36&lt;=$AQ$1,"O","X"))</f>
        <v>O</v>
      </c>
      <c r="AR36" s="114" t="str">
        <f>IF(M36="","",IF(M36&lt;=$AR$1,"O","X"))</f>
        <v>O</v>
      </c>
      <c r="AS36" s="114" t="s">
        <v>2</v>
      </c>
      <c r="AT36" s="114" t="str">
        <f>IF(OR(F36="",AI36=""),"",IF(AND((F36&lt;=85),(AI36&gt;=15)),"O","X"))</f>
        <v>O</v>
      </c>
      <c r="AU36" s="114" t="str">
        <f>IF(C36="","",IF(C36&gt;=$AU$1,"O","X"))</f>
        <v>O</v>
      </c>
      <c r="AV36" s="114" t="str">
        <f>IF(AO36="","",IF(AND(AO36="O",AP36="O",AR36="O",AT36="O",AU36="O"),"후보","X"))</f>
        <v>후보</v>
      </c>
    </row>
    <row r="37" spans="1:48" s="37" customFormat="1" ht="12" x14ac:dyDescent="0.3">
      <c r="A37" s="111" t="s">
        <v>1768</v>
      </c>
      <c r="B37" s="112" t="s">
        <v>1769</v>
      </c>
      <c r="C37" s="113">
        <v>724</v>
      </c>
      <c r="D37" s="104">
        <v>115.6</v>
      </c>
      <c r="E37" s="106">
        <v>35</v>
      </c>
      <c r="F37" s="104">
        <v>84.9</v>
      </c>
      <c r="G37" s="17">
        <v>26</v>
      </c>
      <c r="H37" s="107">
        <v>206</v>
      </c>
      <c r="I37" s="108">
        <v>30000</v>
      </c>
      <c r="J37" s="108" t="s">
        <v>1255</v>
      </c>
      <c r="K37" s="108">
        <v>28000</v>
      </c>
      <c r="L37" s="108" t="s">
        <v>1251</v>
      </c>
      <c r="M37" s="109">
        <f>I37-K37</f>
        <v>2000</v>
      </c>
      <c r="N37" s="4">
        <f>IF(ISERROR(K37/I37),"",K37/I37)</f>
        <v>0.93333333333333335</v>
      </c>
      <c r="O37" s="105">
        <f>I37/E37</f>
        <v>857.14285714285711</v>
      </c>
      <c r="P37" s="105">
        <f>K37/E37</f>
        <v>800</v>
      </c>
      <c r="Q37" s="114">
        <v>3</v>
      </c>
      <c r="R37" s="114">
        <v>2</v>
      </c>
      <c r="S37" s="114" t="s">
        <v>1244</v>
      </c>
      <c r="T37" s="5" t="s">
        <v>286</v>
      </c>
      <c r="U37" s="9"/>
      <c r="W37" s="104">
        <f t="shared" si="48"/>
        <v>115.6</v>
      </c>
      <c r="X37" s="106">
        <f t="shared" si="48"/>
        <v>35</v>
      </c>
      <c r="Y37" s="102">
        <f t="shared" si="49"/>
        <v>206</v>
      </c>
      <c r="Z37" s="109">
        <f t="shared" si="49"/>
        <v>30000</v>
      </c>
      <c r="AA37" s="109">
        <f>K37</f>
        <v>28000</v>
      </c>
      <c r="AB37" s="109">
        <f t="shared" si="50"/>
        <v>2000</v>
      </c>
      <c r="AC37" s="4">
        <f t="shared" si="50"/>
        <v>0.93333333333333335</v>
      </c>
      <c r="AD37" s="105">
        <f t="shared" si="50"/>
        <v>857.14285714285711</v>
      </c>
      <c r="AE37" s="114" t="str">
        <f>S37</f>
        <v>계</v>
      </c>
      <c r="AF37" s="114" t="str">
        <f>Q37&amp;"/"&amp;R37</f>
        <v>3/2</v>
      </c>
      <c r="AH37" s="20" t="str">
        <f t="shared" si="10"/>
        <v>수송동 군산수송제일오투그란데1단지</v>
      </c>
      <c r="AI37" s="106">
        <f t="shared" si="4"/>
        <v>35</v>
      </c>
      <c r="AJ37" s="114" t="str">
        <f>IF(AI37="","",$AJ$2)</f>
        <v>A-</v>
      </c>
      <c r="AK37" s="114" t="s">
        <v>13</v>
      </c>
      <c r="AL37" s="114" t="s">
        <v>1242</v>
      </c>
      <c r="AM37" s="114" t="s">
        <v>1243</v>
      </c>
      <c r="AN37" s="114" t="str">
        <f>IF(AI37="","",$AN$2)</f>
        <v>C</v>
      </c>
      <c r="AO37" s="114" t="str">
        <f>IF(N37="","",IF(N37&gt;=$AO$1/100,"O","X"))</f>
        <v>O</v>
      </c>
      <c r="AP37" s="114" t="str">
        <f>IF(I37="","",IF(I37&lt;=$AP$1,"O","X"))</f>
        <v>O</v>
      </c>
      <c r="AQ37" s="114" t="str">
        <f>IF(O37="","",IF(O37&lt;=$AQ$1,"O","X"))</f>
        <v>O</v>
      </c>
      <c r="AR37" s="114" t="str">
        <f>IF(M37="","",IF(M37&lt;=$AR$1,"O","X"))</f>
        <v>O</v>
      </c>
      <c r="AS37" s="114" t="s">
        <v>2</v>
      </c>
      <c r="AT37" s="114" t="str">
        <f>IF(OR(F37="",AI37=""),"",IF(AND((F37&lt;=85),(AI37&gt;=15)),"O","X"))</f>
        <v>O</v>
      </c>
      <c r="AU37" s="114" t="str">
        <f>IF(C37="","",IF(C37&gt;=$AU$1,"O","X"))</f>
        <v>O</v>
      </c>
      <c r="AV37" s="114" t="str">
        <f>IF(AO37="","",IF(AND(AO37="O",AP37="O",AR37="O",AT37="O",AU37="O"),"후보","X"))</f>
        <v>후보</v>
      </c>
    </row>
    <row r="38" spans="1:48" s="37" customFormat="1" ht="12" x14ac:dyDescent="0.3">
      <c r="A38" s="111" t="s">
        <v>1768</v>
      </c>
      <c r="B38" s="112" t="s">
        <v>1746</v>
      </c>
      <c r="C38" s="113">
        <v>724</v>
      </c>
      <c r="D38" s="104">
        <v>115.6</v>
      </c>
      <c r="E38" s="106">
        <v>35</v>
      </c>
      <c r="F38" s="104">
        <v>84.9</v>
      </c>
      <c r="G38" s="17">
        <v>26</v>
      </c>
      <c r="H38" s="107">
        <v>146</v>
      </c>
      <c r="I38" s="108">
        <v>30000</v>
      </c>
      <c r="J38" s="108" t="s">
        <v>1255</v>
      </c>
      <c r="K38" s="108">
        <v>28000</v>
      </c>
      <c r="L38" s="108" t="s">
        <v>1251</v>
      </c>
      <c r="M38" s="109">
        <f>I38-K38</f>
        <v>2000</v>
      </c>
      <c r="N38" s="4">
        <f>IF(ISERROR(K38/I38),"",K38/I38)</f>
        <v>0.93333333333333335</v>
      </c>
      <c r="O38" s="105">
        <f>I38/E38</f>
        <v>857.14285714285711</v>
      </c>
      <c r="P38" s="105">
        <f>K38/E38</f>
        <v>800</v>
      </c>
      <c r="Q38" s="114">
        <v>3</v>
      </c>
      <c r="R38" s="114">
        <v>2</v>
      </c>
      <c r="S38" s="114" t="s">
        <v>1244</v>
      </c>
      <c r="T38" s="5" t="s">
        <v>544</v>
      </c>
      <c r="U38" s="9"/>
      <c r="W38" s="104">
        <f t="shared" si="48"/>
        <v>115.6</v>
      </c>
      <c r="X38" s="106">
        <f t="shared" si="48"/>
        <v>35</v>
      </c>
      <c r="Y38" s="102">
        <f t="shared" si="49"/>
        <v>146</v>
      </c>
      <c r="Z38" s="109">
        <f t="shared" si="49"/>
        <v>30000</v>
      </c>
      <c r="AA38" s="109">
        <f>K38</f>
        <v>28000</v>
      </c>
      <c r="AB38" s="109">
        <f t="shared" si="50"/>
        <v>2000</v>
      </c>
      <c r="AC38" s="4">
        <f t="shared" si="50"/>
        <v>0.93333333333333335</v>
      </c>
      <c r="AD38" s="105">
        <f t="shared" si="50"/>
        <v>857.14285714285711</v>
      </c>
      <c r="AE38" s="114" t="str">
        <f>S38</f>
        <v>계</v>
      </c>
      <c r="AF38" s="114" t="str">
        <f>Q38&amp;"/"&amp;R38</f>
        <v>3/2</v>
      </c>
      <c r="AH38" s="20" t="str">
        <f t="shared" si="10"/>
        <v>수송동 군산수송제일오투그란데1단지</v>
      </c>
      <c r="AI38" s="106">
        <f t="shared" si="4"/>
        <v>35</v>
      </c>
      <c r="AJ38" s="114" t="str">
        <f>IF(AI38="","",$AJ$2)</f>
        <v>A-</v>
      </c>
      <c r="AK38" s="114" t="s">
        <v>13</v>
      </c>
      <c r="AL38" s="114" t="s">
        <v>1242</v>
      </c>
      <c r="AM38" s="114" t="s">
        <v>1243</v>
      </c>
      <c r="AN38" s="114" t="str">
        <f>IF(AI38="","",$AN$2)</f>
        <v>C</v>
      </c>
      <c r="AO38" s="114" t="str">
        <f>IF(N38="","",IF(N38&gt;=$AO$1/100,"O","X"))</f>
        <v>O</v>
      </c>
      <c r="AP38" s="114" t="str">
        <f>IF(I38="","",IF(I38&lt;=$AP$1,"O","X"))</f>
        <v>O</v>
      </c>
      <c r="AQ38" s="114" t="str">
        <f>IF(O38="","",IF(O38&lt;=$AQ$1,"O","X"))</f>
        <v>O</v>
      </c>
      <c r="AR38" s="114" t="str">
        <f>IF(M38="","",IF(M38&lt;=$AR$1,"O","X"))</f>
        <v>O</v>
      </c>
      <c r="AS38" s="114" t="s">
        <v>2</v>
      </c>
      <c r="AT38" s="114" t="str">
        <f>IF(OR(F38="",AI38=""),"",IF(AND((F38&lt;=85),(AI38&gt;=15)),"O","X"))</f>
        <v>O</v>
      </c>
      <c r="AU38" s="114" t="str">
        <f>IF(C38="","",IF(C38&gt;=$AU$1,"O","X"))</f>
        <v>O</v>
      </c>
      <c r="AV38" s="114" t="str">
        <f>IF(AO38="","",IF(AND(AO38="O",AP38="O",AR38="O",AT38="O",AU38="O"),"후보","X"))</f>
        <v>후보</v>
      </c>
    </row>
    <row r="39" spans="1:48" s="37" customFormat="1" ht="12" x14ac:dyDescent="0.3">
      <c r="A39" s="111" t="s">
        <v>1770</v>
      </c>
      <c r="B39" s="112" t="s">
        <v>1771</v>
      </c>
      <c r="C39" s="113">
        <v>449</v>
      </c>
      <c r="D39" s="104">
        <v>110.9</v>
      </c>
      <c r="E39" s="106">
        <v>34</v>
      </c>
      <c r="F39" s="104">
        <v>85</v>
      </c>
      <c r="G39" s="17">
        <v>26</v>
      </c>
      <c r="H39" s="107">
        <v>449</v>
      </c>
      <c r="I39" s="108">
        <v>27000</v>
      </c>
      <c r="J39" s="108" t="s">
        <v>1294</v>
      </c>
      <c r="K39" s="108">
        <v>23000</v>
      </c>
      <c r="L39" s="108" t="s">
        <v>1248</v>
      </c>
      <c r="M39" s="109">
        <f>I39-K39</f>
        <v>4000</v>
      </c>
      <c r="N39" s="4">
        <f>IF(ISERROR(K39/I39),"",K39/I39)</f>
        <v>0.85185185185185186</v>
      </c>
      <c r="O39" s="105">
        <f>I39/E39</f>
        <v>794.11764705882354</v>
      </c>
      <c r="P39" s="105">
        <f>K39/E39</f>
        <v>676.47058823529414</v>
      </c>
      <c r="Q39" s="114">
        <v>3</v>
      </c>
      <c r="R39" s="114">
        <v>2</v>
      </c>
      <c r="S39" s="114" t="s">
        <v>1244</v>
      </c>
      <c r="T39" s="5">
        <v>110</v>
      </c>
      <c r="U39" s="9"/>
      <c r="W39" s="104">
        <f>D39</f>
        <v>110.9</v>
      </c>
      <c r="X39" s="106">
        <f>E39</f>
        <v>34</v>
      </c>
      <c r="Y39" s="102">
        <f>H39</f>
        <v>449</v>
      </c>
      <c r="Z39" s="109">
        <f>I39</f>
        <v>27000</v>
      </c>
      <c r="AA39" s="109">
        <f>K39</f>
        <v>23000</v>
      </c>
      <c r="AB39" s="109">
        <f>M39</f>
        <v>4000</v>
      </c>
      <c r="AC39" s="4">
        <f>N39</f>
        <v>0.85185185185185186</v>
      </c>
      <c r="AD39" s="105">
        <f>O39</f>
        <v>794.11764705882354</v>
      </c>
      <c r="AE39" s="114" t="str">
        <f>S39</f>
        <v>계</v>
      </c>
      <c r="AF39" s="114" t="str">
        <f>Q39&amp;"/"&amp;R39</f>
        <v>3/2</v>
      </c>
      <c r="AH39" s="20" t="str">
        <f t="shared" si="10"/>
        <v>옥산면 힐스테이트은파</v>
      </c>
      <c r="AI39" s="106">
        <f t="shared" si="4"/>
        <v>34</v>
      </c>
      <c r="AJ39" s="114" t="str">
        <f>IF(AI39="","",$AJ$2)</f>
        <v>A-</v>
      </c>
      <c r="AK39" s="114" t="s">
        <v>13</v>
      </c>
      <c r="AL39" s="114" t="s">
        <v>1242</v>
      </c>
      <c r="AM39" s="114" t="s">
        <v>1243</v>
      </c>
      <c r="AN39" s="114" t="str">
        <f>IF(AI39="","",$AN$2)</f>
        <v>C</v>
      </c>
      <c r="AO39" s="114" t="str">
        <f>IF(N39="","",IF(N39&gt;=$AO$1/100,"O","X"))</f>
        <v>O</v>
      </c>
      <c r="AP39" s="114" t="str">
        <f>IF(I39="","",IF(I39&lt;=$AP$1,"O","X"))</f>
        <v>O</v>
      </c>
      <c r="AQ39" s="114" t="str">
        <f>IF(O39="","",IF(O39&lt;=$AQ$1,"O","X"))</f>
        <v>O</v>
      </c>
      <c r="AR39" s="114" t="str">
        <f>IF(M39="","",IF(M39&lt;=$AR$1,"O","X"))</f>
        <v>O</v>
      </c>
      <c r="AS39" s="114" t="s">
        <v>2</v>
      </c>
      <c r="AT39" s="114" t="str">
        <f>IF(OR(F39="",AI39=""),"",IF(AND((F39&lt;=85),(AI39&gt;=15)),"O","X"))</f>
        <v>O</v>
      </c>
      <c r="AU39" s="114" t="str">
        <f>IF(C39="","",IF(C39&gt;=$AU$1,"O","X"))</f>
        <v>O</v>
      </c>
      <c r="AV39" s="114" t="str">
        <f>IF(AO39="","",IF(AND(AO39="O",AP39="O",AR39="O",AT39="O",AU39="O"),"후보","X"))</f>
        <v>후보</v>
      </c>
    </row>
    <row r="40" spans="1:48" s="37" customFormat="1" ht="12" x14ac:dyDescent="0.3">
      <c r="A40" s="111" t="s">
        <v>1772</v>
      </c>
      <c r="B40" s="112" t="s">
        <v>1747</v>
      </c>
      <c r="C40" s="113">
        <v>770</v>
      </c>
      <c r="D40" s="104">
        <v>79.099999999999994</v>
      </c>
      <c r="E40" s="106">
        <v>24</v>
      </c>
      <c r="F40" s="104">
        <v>59.9</v>
      </c>
      <c r="G40" s="17">
        <v>18</v>
      </c>
      <c r="H40" s="107">
        <v>129</v>
      </c>
      <c r="I40" s="108">
        <v>21000</v>
      </c>
      <c r="J40" s="108" t="s">
        <v>1268</v>
      </c>
      <c r="K40" s="108">
        <v>17000</v>
      </c>
      <c r="L40" s="108" t="s">
        <v>1249</v>
      </c>
      <c r="M40" s="109">
        <f>I40-K40</f>
        <v>4000</v>
      </c>
      <c r="N40" s="4">
        <f>IF(ISERROR(K40/I40),"",K40/I40)</f>
        <v>0.80952380952380953</v>
      </c>
      <c r="O40" s="105">
        <f>I40/E40</f>
        <v>875</v>
      </c>
      <c r="P40" s="105">
        <f>K40/E40</f>
        <v>708.33333333333337</v>
      </c>
      <c r="Q40" s="114">
        <v>3</v>
      </c>
      <c r="R40" s="114">
        <v>1</v>
      </c>
      <c r="S40" s="114" t="s">
        <v>1244</v>
      </c>
      <c r="T40" s="5">
        <v>79</v>
      </c>
      <c r="U40" s="9"/>
      <c r="W40" s="104">
        <f t="shared" ref="W40:X40" si="51">D40</f>
        <v>79.099999999999994</v>
      </c>
      <c r="X40" s="106">
        <f t="shared" si="51"/>
        <v>24</v>
      </c>
      <c r="Y40" s="102">
        <f t="shared" ref="Y40:Z40" si="52">H40</f>
        <v>129</v>
      </c>
      <c r="Z40" s="109">
        <f t="shared" si="52"/>
        <v>21000</v>
      </c>
      <c r="AA40" s="109">
        <f>K40</f>
        <v>17000</v>
      </c>
      <c r="AB40" s="109">
        <f t="shared" ref="AB40:AD42" si="53">M40</f>
        <v>4000</v>
      </c>
      <c r="AC40" s="4">
        <f t="shared" si="53"/>
        <v>0.80952380952380953</v>
      </c>
      <c r="AD40" s="105">
        <f t="shared" si="53"/>
        <v>875</v>
      </c>
      <c r="AE40" s="114" t="str">
        <f>S40</f>
        <v>계</v>
      </c>
      <c r="AF40" s="114" t="str">
        <f>Q40&amp;"/"&amp;R40</f>
        <v>3/1</v>
      </c>
      <c r="AH40" s="20" t="str">
        <f t="shared" si="10"/>
        <v>조촌동 타워써미트</v>
      </c>
      <c r="AI40" s="106">
        <f t="shared" si="4"/>
        <v>24</v>
      </c>
      <c r="AJ40" s="114" t="str">
        <f>IF(AI40="","",$AJ$2)</f>
        <v>A-</v>
      </c>
      <c r="AK40" s="114" t="s">
        <v>13</v>
      </c>
      <c r="AL40" s="114" t="s">
        <v>1242</v>
      </c>
      <c r="AM40" s="114" t="s">
        <v>1243</v>
      </c>
      <c r="AN40" s="114" t="str">
        <f>IF(AI40="","",$AN$2)</f>
        <v>C</v>
      </c>
      <c r="AO40" s="114" t="str">
        <f>IF(N40="","",IF(N40&gt;=$AO$1/100,"O","X"))</f>
        <v>O</v>
      </c>
      <c r="AP40" s="114" t="str">
        <f>IF(I40="","",IF(I40&lt;=$AP$1,"O","X"))</f>
        <v>O</v>
      </c>
      <c r="AQ40" s="114" t="str">
        <f>IF(O40="","",IF(O40&lt;=$AQ$1,"O","X"))</f>
        <v>O</v>
      </c>
      <c r="AR40" s="114" t="str">
        <f>IF(M40="","",IF(M40&lt;=$AR$1,"O","X"))</f>
        <v>O</v>
      </c>
      <c r="AS40" s="114" t="s">
        <v>2</v>
      </c>
      <c r="AT40" s="114" t="str">
        <f>IF(OR(F40="",AI40=""),"",IF(AND((F40&lt;=85),(AI40&gt;=15)),"O","X"))</f>
        <v>O</v>
      </c>
      <c r="AU40" s="114" t="str">
        <f>IF(C40="","",IF(C40&gt;=$AU$1,"O","X"))</f>
        <v>O</v>
      </c>
      <c r="AV40" s="114" t="str">
        <f>IF(AO40="","",IF(AND(AO40="O",AP40="O",AR40="O",AT40="O",AU40="O"),"후보","X"))</f>
        <v>후보</v>
      </c>
    </row>
    <row r="41" spans="1:48" s="37" customFormat="1" ht="12" x14ac:dyDescent="0.3">
      <c r="A41" s="111" t="s">
        <v>1773</v>
      </c>
      <c r="B41" s="112" t="s">
        <v>1749</v>
      </c>
      <c r="C41" s="113">
        <v>480</v>
      </c>
      <c r="D41" s="104">
        <v>110.7</v>
      </c>
      <c r="E41" s="106">
        <v>33</v>
      </c>
      <c r="F41" s="104">
        <v>84.9</v>
      </c>
      <c r="G41" s="17">
        <v>26</v>
      </c>
      <c r="H41" s="107">
        <v>251</v>
      </c>
      <c r="I41" s="108">
        <v>27000</v>
      </c>
      <c r="J41" s="108" t="s">
        <v>1248</v>
      </c>
      <c r="K41" s="108">
        <v>24000</v>
      </c>
      <c r="L41" s="108" t="s">
        <v>1350</v>
      </c>
      <c r="M41" s="109">
        <f>I41-K41</f>
        <v>3000</v>
      </c>
      <c r="N41" s="4">
        <f>IF(ISERROR(K41/I41),"",K41/I41)</f>
        <v>0.88888888888888884</v>
      </c>
      <c r="O41" s="105">
        <f>I41/E41</f>
        <v>818.18181818181813</v>
      </c>
      <c r="P41" s="105">
        <f>K41/E41</f>
        <v>727.27272727272725</v>
      </c>
      <c r="Q41" s="114">
        <v>3</v>
      </c>
      <c r="R41" s="114">
        <v>2</v>
      </c>
      <c r="S41" s="114" t="s">
        <v>1244</v>
      </c>
      <c r="T41" s="5" t="s">
        <v>102</v>
      </c>
      <c r="U41" s="9"/>
      <c r="W41" s="104">
        <f>D41</f>
        <v>110.7</v>
      </c>
      <c r="X41" s="106">
        <f>E41</f>
        <v>33</v>
      </c>
      <c r="Y41" s="102">
        <f>H41</f>
        <v>251</v>
      </c>
      <c r="Z41" s="109">
        <f>I41</f>
        <v>27000</v>
      </c>
      <c r="AA41" s="109">
        <f>K41</f>
        <v>24000</v>
      </c>
      <c r="AB41" s="109">
        <f t="shared" si="53"/>
        <v>3000</v>
      </c>
      <c r="AC41" s="4">
        <f t="shared" si="53"/>
        <v>0.88888888888888884</v>
      </c>
      <c r="AD41" s="105">
        <f t="shared" si="53"/>
        <v>818.18181818181813</v>
      </c>
      <c r="AE41" s="114" t="str">
        <f>S41</f>
        <v>계</v>
      </c>
      <c r="AF41" s="114" t="str">
        <f>Q41&amp;"/"&amp;R41</f>
        <v>3/2</v>
      </c>
      <c r="AH41" s="20" t="str">
        <f t="shared" si="10"/>
        <v>조촌동 센트럴파크</v>
      </c>
      <c r="AI41" s="106">
        <f t="shared" si="4"/>
        <v>33</v>
      </c>
      <c r="AJ41" s="114" t="str">
        <f>IF(AI41="","",$AJ$2)</f>
        <v>A-</v>
      </c>
      <c r="AK41" s="114" t="s">
        <v>13</v>
      </c>
      <c r="AL41" s="114" t="s">
        <v>1242</v>
      </c>
      <c r="AM41" s="114" t="s">
        <v>1243</v>
      </c>
      <c r="AN41" s="114" t="str">
        <f>IF(AI41="","",$AN$2)</f>
        <v>C</v>
      </c>
      <c r="AO41" s="114" t="str">
        <f>IF(N41="","",IF(N41&gt;=$AO$1/100,"O","X"))</f>
        <v>O</v>
      </c>
      <c r="AP41" s="114" t="str">
        <f>IF(I41="","",IF(I41&lt;=$AP$1,"O","X"))</f>
        <v>O</v>
      </c>
      <c r="AQ41" s="114" t="str">
        <f>IF(O41="","",IF(O41&lt;=$AQ$1,"O","X"))</f>
        <v>O</v>
      </c>
      <c r="AR41" s="114" t="str">
        <f>IF(M41="","",IF(M41&lt;=$AR$1,"O","X"))</f>
        <v>O</v>
      </c>
      <c r="AS41" s="114" t="s">
        <v>2</v>
      </c>
      <c r="AT41" s="114" t="str">
        <f>IF(OR(F41="",AI41=""),"",IF(AND((F41&lt;=85),(AI41&gt;=15)),"O","X"))</f>
        <v>O</v>
      </c>
      <c r="AU41" s="114" t="str">
        <f>IF(C41="","",IF(C41&gt;=$AU$1,"O","X"))</f>
        <v>O</v>
      </c>
      <c r="AV41" s="114" t="str">
        <f>IF(AO41="","",IF(AND(AO41="O",AP41="O",AR41="O",AT41="O",AU41="O"),"후보","X"))</f>
        <v>후보</v>
      </c>
    </row>
    <row r="42" spans="1:48" s="37" customFormat="1" ht="12" x14ac:dyDescent="0.3">
      <c r="A42" s="111" t="s">
        <v>1773</v>
      </c>
      <c r="B42" s="112" t="s">
        <v>1774</v>
      </c>
      <c r="C42" s="113">
        <v>480</v>
      </c>
      <c r="D42" s="104">
        <v>110.2</v>
      </c>
      <c r="E42" s="106">
        <v>33</v>
      </c>
      <c r="F42" s="104">
        <v>85</v>
      </c>
      <c r="G42" s="17">
        <v>26</v>
      </c>
      <c r="H42" s="107">
        <v>229</v>
      </c>
      <c r="I42" s="108">
        <v>28000</v>
      </c>
      <c r="J42" s="108" t="s">
        <v>1294</v>
      </c>
      <c r="K42" s="108">
        <v>24000</v>
      </c>
      <c r="L42" s="108" t="s">
        <v>1249</v>
      </c>
      <c r="M42" s="109">
        <f>I42-K42</f>
        <v>4000</v>
      </c>
      <c r="N42" s="4">
        <f>IF(ISERROR(K42/I42),"",K42/I42)</f>
        <v>0.8571428571428571</v>
      </c>
      <c r="O42" s="105">
        <f>I42/E42</f>
        <v>848.4848484848485</v>
      </c>
      <c r="P42" s="105">
        <f>K42/E42</f>
        <v>727.27272727272725</v>
      </c>
      <c r="Q42" s="114">
        <v>3</v>
      </c>
      <c r="R42" s="114">
        <v>2</v>
      </c>
      <c r="S42" s="114" t="s">
        <v>1244</v>
      </c>
      <c r="T42" s="5" t="s">
        <v>101</v>
      </c>
      <c r="U42" s="9"/>
      <c r="W42" s="104">
        <f>D42</f>
        <v>110.2</v>
      </c>
      <c r="X42" s="106">
        <f>E42</f>
        <v>33</v>
      </c>
      <c r="Y42" s="102">
        <f>H42</f>
        <v>229</v>
      </c>
      <c r="Z42" s="109">
        <f>I42</f>
        <v>28000</v>
      </c>
      <c r="AA42" s="109">
        <f>K42</f>
        <v>24000</v>
      </c>
      <c r="AB42" s="109">
        <f t="shared" si="53"/>
        <v>4000</v>
      </c>
      <c r="AC42" s="4">
        <f t="shared" si="53"/>
        <v>0.8571428571428571</v>
      </c>
      <c r="AD42" s="105">
        <f t="shared" si="53"/>
        <v>848.4848484848485</v>
      </c>
      <c r="AE42" s="114" t="str">
        <f>S42</f>
        <v>계</v>
      </c>
      <c r="AF42" s="114" t="str">
        <f>Q42&amp;"/"&amp;R42</f>
        <v>3/2</v>
      </c>
      <c r="AH42" s="20" t="str">
        <f t="shared" si="10"/>
        <v>조촌동 센트럴파크</v>
      </c>
      <c r="AI42" s="106">
        <f t="shared" si="4"/>
        <v>33</v>
      </c>
      <c r="AJ42" s="114" t="str">
        <f>IF(AI42="","",$AJ$2)</f>
        <v>A-</v>
      </c>
      <c r="AK42" s="114" t="s">
        <v>13</v>
      </c>
      <c r="AL42" s="114" t="s">
        <v>1242</v>
      </c>
      <c r="AM42" s="114" t="s">
        <v>1243</v>
      </c>
      <c r="AN42" s="114" t="str">
        <f>IF(AI42="","",$AN$2)</f>
        <v>C</v>
      </c>
      <c r="AO42" s="114" t="str">
        <f>IF(N42="","",IF(N42&gt;=$AO$1/100,"O","X"))</f>
        <v>O</v>
      </c>
      <c r="AP42" s="114" t="str">
        <f>IF(I42="","",IF(I42&lt;=$AP$1,"O","X"))</f>
        <v>O</v>
      </c>
      <c r="AQ42" s="114" t="str">
        <f>IF(O42="","",IF(O42&lt;=$AQ$1,"O","X"))</f>
        <v>O</v>
      </c>
      <c r="AR42" s="114" t="str">
        <f>IF(M42="","",IF(M42&lt;=$AR$1,"O","X"))</f>
        <v>O</v>
      </c>
      <c r="AS42" s="114" t="s">
        <v>2</v>
      </c>
      <c r="AT42" s="114" t="str">
        <f>IF(OR(F42="",AI42=""),"",IF(AND((F42&lt;=85),(AI42&gt;=15)),"O","X"))</f>
        <v>O</v>
      </c>
      <c r="AU42" s="114" t="str">
        <f>IF(C42="","",IF(C42&gt;=$AU$1,"O","X"))</f>
        <v>O</v>
      </c>
      <c r="AV42" s="114" t="str">
        <f>IF(AO42="","",IF(AND(AO42="O",AP42="O",AR42="O",AT42="O",AU42="O"),"후보","X"))</f>
        <v>후보</v>
      </c>
    </row>
    <row r="43" spans="1:48" s="37" customFormat="1" ht="16.5" x14ac:dyDescent="0.3">
      <c r="A43" s="73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</row>
    <row r="44" spans="1:48" s="37" customFormat="1" ht="16.5" x14ac:dyDescent="0.3">
      <c r="A44" s="73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</row>
    <row r="45" spans="1:48" s="37" customFormat="1" ht="16.5" x14ac:dyDescent="0.3">
      <c r="A45" s="73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</row>
    <row r="46" spans="1:48" s="37" customFormat="1" ht="16.5" x14ac:dyDescent="0.3">
      <c r="A46" s="73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</row>
    <row r="47" spans="1:48" s="37" customFormat="1" ht="16.5" x14ac:dyDescent="0.3">
      <c r="A47" s="73"/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</row>
    <row r="48" spans="1:48" s="37" customFormat="1" ht="16.5" x14ac:dyDescent="0.3">
      <c r="A48" s="73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</row>
    <row r="49" spans="1:48" s="37" customFormat="1" ht="16.5" x14ac:dyDescent="0.3">
      <c r="A49" s="73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</row>
    <row r="50" spans="1:48" s="37" customFormat="1" ht="16.5" x14ac:dyDescent="0.3">
      <c r="A50" s="73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</row>
    <row r="51" spans="1:48" s="37" customFormat="1" ht="16.5" x14ac:dyDescent="0.3">
      <c r="A51" s="73"/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</row>
    <row r="52" spans="1:48" s="37" customFormat="1" ht="16.5" x14ac:dyDescent="0.3">
      <c r="A52" s="73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</row>
    <row r="53" spans="1:48" s="37" customFormat="1" ht="16.5" x14ac:dyDescent="0.3">
      <c r="A53" s="73"/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</row>
    <row r="54" spans="1:48" s="37" customFormat="1" ht="16.5" x14ac:dyDescent="0.3">
      <c r="A54" s="73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</row>
    <row r="55" spans="1:48" s="37" customFormat="1" ht="16.5" x14ac:dyDescent="0.3">
      <c r="A55" s="73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</row>
    <row r="56" spans="1:48" s="37" customFormat="1" ht="16.5" x14ac:dyDescent="0.3">
      <c r="A56" s="73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</row>
    <row r="57" spans="1:48" s="37" customFormat="1" ht="16.5" x14ac:dyDescent="0.3">
      <c r="A57" s="73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</row>
    <row r="58" spans="1:48" s="37" customFormat="1" ht="16.5" x14ac:dyDescent="0.3">
      <c r="A58" s="73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</row>
    <row r="59" spans="1:48" s="37" customFormat="1" ht="16.5" x14ac:dyDescent="0.3">
      <c r="A59" s="73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</row>
    <row r="60" spans="1:48" s="37" customFormat="1" ht="16.5" x14ac:dyDescent="0.3">
      <c r="A60" s="73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</row>
    <row r="61" spans="1:48" s="37" customFormat="1" ht="16.5" x14ac:dyDescent="0.3">
      <c r="A61" s="73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</row>
    <row r="62" spans="1:48" s="37" customFormat="1" ht="16.5" x14ac:dyDescent="0.3">
      <c r="A62" s="73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</row>
    <row r="63" spans="1:48" s="37" customFormat="1" ht="16.5" x14ac:dyDescent="0.3">
      <c r="A63" s="73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</row>
    <row r="64" spans="1:48" s="37" customFormat="1" ht="16.5" x14ac:dyDescent="0.3">
      <c r="A64" s="73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</row>
    <row r="65" spans="1:48" s="37" customFormat="1" ht="16.5" x14ac:dyDescent="0.3">
      <c r="A65" s="73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</row>
    <row r="66" spans="1:48" s="37" customFormat="1" ht="16.5" x14ac:dyDescent="0.3">
      <c r="A66" s="73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</row>
    <row r="67" spans="1:48" s="37" customFormat="1" ht="16.5" x14ac:dyDescent="0.3">
      <c r="A67" s="73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</row>
    <row r="68" spans="1:48" s="37" customFormat="1" ht="16.5" x14ac:dyDescent="0.3">
      <c r="A68" s="73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</row>
    <row r="69" spans="1:48" s="37" customFormat="1" ht="16.5" x14ac:dyDescent="0.3">
      <c r="A69" s="73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</row>
    <row r="70" spans="1:48" s="37" customFormat="1" ht="16.5" x14ac:dyDescent="0.3">
      <c r="A70" s="73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</row>
    <row r="71" spans="1:48" s="37" customFormat="1" ht="16.5" x14ac:dyDescent="0.3">
      <c r="A71" s="73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</row>
    <row r="72" spans="1:48" s="37" customFormat="1" ht="16.5" x14ac:dyDescent="0.3">
      <c r="A72" s="73"/>
      <c r="B72" s="7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</row>
    <row r="73" spans="1:48" s="37" customFormat="1" ht="16.5" x14ac:dyDescent="0.3">
      <c r="A73" s="73"/>
      <c r="B73" s="7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</row>
    <row r="74" spans="1:48" s="37" customFormat="1" ht="16.5" x14ac:dyDescent="0.3">
      <c r="A74" s="73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</row>
    <row r="75" spans="1:48" s="37" customFormat="1" ht="16.5" x14ac:dyDescent="0.3">
      <c r="A75" s="73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</row>
    <row r="76" spans="1:48" s="37" customFormat="1" ht="16.5" x14ac:dyDescent="0.3">
      <c r="A76" s="73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</row>
    <row r="77" spans="1:48" s="37" customFormat="1" ht="16.5" x14ac:dyDescent="0.3">
      <c r="A77" s="73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</row>
    <row r="78" spans="1:48" s="37" customFormat="1" ht="16.5" x14ac:dyDescent="0.3">
      <c r="A78" s="73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</row>
    <row r="79" spans="1:48" s="37" customFormat="1" ht="16.5" x14ac:dyDescent="0.3">
      <c r="A79" s="73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</row>
    <row r="80" spans="1:48" s="37" customFormat="1" ht="16.5" x14ac:dyDescent="0.3">
      <c r="A80" s="73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</row>
    <row r="81" spans="1:48" s="37" customFormat="1" ht="16.5" x14ac:dyDescent="0.3">
      <c r="A81" s="73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</row>
    <row r="82" spans="1:48" s="37" customFormat="1" ht="16.5" x14ac:dyDescent="0.3">
      <c r="A82" s="73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</row>
    <row r="83" spans="1:48" s="37" customFormat="1" ht="16.5" x14ac:dyDescent="0.3">
      <c r="A83" s="73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</row>
    <row r="84" spans="1:48" s="37" customFormat="1" ht="16.5" x14ac:dyDescent="0.3">
      <c r="A84" s="73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</row>
    <row r="85" spans="1:48" s="37" customFormat="1" ht="16.5" x14ac:dyDescent="0.3">
      <c r="A85" s="73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</row>
    <row r="86" spans="1:48" s="37" customFormat="1" ht="16.5" x14ac:dyDescent="0.3">
      <c r="A86" s="73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</row>
    <row r="87" spans="1:48" s="37" customFormat="1" ht="16.5" x14ac:dyDescent="0.3">
      <c r="A87" s="73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</row>
    <row r="88" spans="1:48" s="37" customFormat="1" ht="16.5" x14ac:dyDescent="0.3">
      <c r="A88" s="73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</row>
    <row r="89" spans="1:48" s="37" customFormat="1" ht="16.5" x14ac:dyDescent="0.3">
      <c r="A89" s="73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3"/>
      <c r="AE89" s="73"/>
      <c r="AF89" s="73"/>
      <c r="AG89" s="73"/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</row>
    <row r="90" spans="1:48" s="37" customFormat="1" ht="16.5" x14ac:dyDescent="0.3">
      <c r="A90" s="73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</row>
    <row r="91" spans="1:48" s="37" customFormat="1" ht="16.5" x14ac:dyDescent="0.3">
      <c r="A91" s="73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</row>
    <row r="92" spans="1:48" s="37" customFormat="1" ht="16.5" x14ac:dyDescent="0.3">
      <c r="A92" s="73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</row>
    <row r="93" spans="1:48" s="37" customFormat="1" ht="16.5" x14ac:dyDescent="0.3">
      <c r="A93" s="73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</row>
    <row r="94" spans="1:48" s="37" customFormat="1" ht="16.5" x14ac:dyDescent="0.3">
      <c r="A94" s="73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</row>
    <row r="95" spans="1:48" s="37" customFormat="1" ht="16.5" x14ac:dyDescent="0.3">
      <c r="A95" s="73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</row>
    <row r="96" spans="1:48" s="37" customFormat="1" ht="16.5" x14ac:dyDescent="0.3">
      <c r="A96" s="73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</row>
    <row r="97" spans="1:48" s="37" customFormat="1" ht="16.5" x14ac:dyDescent="0.3">
      <c r="A97" s="73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</row>
    <row r="98" spans="1:48" s="37" customFormat="1" ht="16.5" x14ac:dyDescent="0.3">
      <c r="A98" s="73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73"/>
      <c r="AG98" s="73"/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</row>
    <row r="99" spans="1:48" s="37" customFormat="1" ht="16.5" x14ac:dyDescent="0.3">
      <c r="A99" s="73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</row>
    <row r="100" spans="1:48" s="37" customFormat="1" ht="16.5" x14ac:dyDescent="0.3">
      <c r="A100" s="73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</row>
    <row r="101" spans="1:48" s="37" customFormat="1" ht="16.5" x14ac:dyDescent="0.3">
      <c r="A101" s="73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</row>
    <row r="102" spans="1:48" s="37" customFormat="1" ht="16.5" x14ac:dyDescent="0.3">
      <c r="A102" s="73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</row>
    <row r="103" spans="1:48" s="37" customFormat="1" ht="16.5" x14ac:dyDescent="0.3">
      <c r="A103" s="73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</row>
    <row r="104" spans="1:48" s="37" customFormat="1" ht="16.5" x14ac:dyDescent="0.3">
      <c r="A104" s="73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</row>
    <row r="105" spans="1:48" s="37" customFormat="1" ht="16.5" x14ac:dyDescent="0.3">
      <c r="A105" s="73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</row>
    <row r="106" spans="1:48" s="37" customFormat="1" ht="16.5" x14ac:dyDescent="0.3">
      <c r="A106" s="73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</row>
    <row r="107" spans="1:48" s="37" customFormat="1" ht="16.5" x14ac:dyDescent="0.3">
      <c r="A107" s="73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</row>
    <row r="108" spans="1:48" s="37" customFormat="1" ht="16.5" x14ac:dyDescent="0.3">
      <c r="A108" s="73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</row>
    <row r="109" spans="1:48" s="37" customFormat="1" ht="16.5" x14ac:dyDescent="0.3">
      <c r="A109" s="73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</row>
    <row r="110" spans="1:48" s="37" customFormat="1" ht="16.5" x14ac:dyDescent="0.3">
      <c r="A110" s="73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</row>
    <row r="111" spans="1:48" s="37" customFormat="1" ht="16.5" x14ac:dyDescent="0.3">
      <c r="A111" s="73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</row>
    <row r="112" spans="1:48" s="37" customFormat="1" ht="16.5" x14ac:dyDescent="0.3">
      <c r="A112" s="73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73"/>
      <c r="AG112" s="73"/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</row>
    <row r="113" spans="1:48" s="37" customFormat="1" ht="16.5" x14ac:dyDescent="0.3">
      <c r="A113" s="73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3"/>
      <c r="AE113" s="73"/>
      <c r="AF113" s="73"/>
      <c r="AG113" s="73"/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</row>
    <row r="114" spans="1:48" s="37" customFormat="1" ht="16.5" x14ac:dyDescent="0.3">
      <c r="A114" s="73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3"/>
      <c r="AE114" s="73"/>
      <c r="AF114" s="73"/>
      <c r="AG114" s="73"/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</row>
    <row r="115" spans="1:48" s="37" customFormat="1" ht="16.5" x14ac:dyDescent="0.3">
      <c r="A115" s="73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</row>
    <row r="116" spans="1:48" s="37" customFormat="1" ht="16.5" x14ac:dyDescent="0.3">
      <c r="A116" s="73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3"/>
      <c r="AE116" s="73"/>
      <c r="AF116" s="73"/>
      <c r="AG116" s="73"/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</row>
    <row r="117" spans="1:48" s="37" customFormat="1" ht="16.5" x14ac:dyDescent="0.3">
      <c r="A117" s="73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3"/>
      <c r="AE117" s="73"/>
      <c r="AF117" s="73"/>
      <c r="AG117" s="73"/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</row>
    <row r="118" spans="1:48" s="37" customFormat="1" ht="16.5" x14ac:dyDescent="0.3">
      <c r="A118" s="73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</row>
    <row r="119" spans="1:48" s="37" customFormat="1" ht="16.5" x14ac:dyDescent="0.3">
      <c r="A119" s="73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</row>
    <row r="120" spans="1:48" s="37" customFormat="1" ht="16.5" x14ac:dyDescent="0.3">
      <c r="A120" s="73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73"/>
      <c r="AG120" s="73"/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</row>
    <row r="121" spans="1:48" s="37" customFormat="1" ht="16.5" x14ac:dyDescent="0.3">
      <c r="A121" s="73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</row>
    <row r="122" spans="1:48" s="37" customFormat="1" ht="16.5" x14ac:dyDescent="0.3">
      <c r="A122" s="73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</row>
    <row r="123" spans="1:48" s="37" customFormat="1" ht="16.5" x14ac:dyDescent="0.3">
      <c r="A123" s="73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</row>
    <row r="124" spans="1:48" s="37" customFormat="1" ht="16.5" x14ac:dyDescent="0.3">
      <c r="A124" s="73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73"/>
      <c r="AG124" s="73"/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</row>
    <row r="125" spans="1:48" s="37" customFormat="1" ht="16.5" x14ac:dyDescent="0.3">
      <c r="A125" s="73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</row>
    <row r="126" spans="1:48" s="37" customFormat="1" ht="16.5" x14ac:dyDescent="0.3">
      <c r="A126" s="73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73"/>
      <c r="AG126" s="73"/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</row>
    <row r="127" spans="1:48" s="37" customFormat="1" ht="16.5" x14ac:dyDescent="0.3">
      <c r="A127" s="73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73"/>
      <c r="AG127" s="73"/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</row>
    <row r="128" spans="1:48" s="37" customFormat="1" ht="16.5" x14ac:dyDescent="0.3">
      <c r="A128" s="73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</row>
    <row r="129" spans="1:48" s="37" customFormat="1" ht="16.5" x14ac:dyDescent="0.3">
      <c r="A129" s="73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</row>
    <row r="130" spans="1:48" s="37" customFormat="1" ht="16.5" x14ac:dyDescent="0.3">
      <c r="A130" s="73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73"/>
      <c r="AG130" s="73"/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</row>
    <row r="131" spans="1:48" s="37" customFormat="1" ht="16.5" x14ac:dyDescent="0.3">
      <c r="A131" s="73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73"/>
      <c r="AG131" s="73"/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</row>
    <row r="132" spans="1:48" s="37" customFormat="1" ht="16.5" x14ac:dyDescent="0.3">
      <c r="A132" s="73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E132" s="73"/>
      <c r="AF132" s="73"/>
      <c r="AG132" s="73"/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</row>
    <row r="133" spans="1:48" s="37" customFormat="1" ht="16.5" x14ac:dyDescent="0.3">
      <c r="A133" s="73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</row>
    <row r="134" spans="1:48" s="37" customFormat="1" ht="16.5" x14ac:dyDescent="0.3">
      <c r="A134" s="73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73"/>
      <c r="AG134" s="73"/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</row>
    <row r="135" spans="1:48" s="37" customFormat="1" ht="16.5" x14ac:dyDescent="0.3">
      <c r="A135" s="73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73"/>
      <c r="AG135" s="73"/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</row>
    <row r="136" spans="1:48" s="37" customFormat="1" ht="16.5" x14ac:dyDescent="0.3">
      <c r="A136" s="73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73"/>
      <c r="AG136" s="73"/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</row>
    <row r="137" spans="1:48" s="37" customFormat="1" ht="16.5" x14ac:dyDescent="0.3">
      <c r="A137" s="73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3"/>
      <c r="AE137" s="73"/>
      <c r="AF137" s="73"/>
      <c r="AG137" s="73"/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</row>
    <row r="138" spans="1:48" s="37" customFormat="1" ht="16.5" x14ac:dyDescent="0.3">
      <c r="A138" s="73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3"/>
      <c r="AE138" s="73"/>
      <c r="AF138" s="73"/>
      <c r="AG138" s="73"/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</row>
    <row r="139" spans="1:48" s="37" customFormat="1" ht="16.5" x14ac:dyDescent="0.3">
      <c r="A139" s="73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</row>
    <row r="140" spans="1:48" s="37" customFormat="1" ht="16.5" x14ac:dyDescent="0.3">
      <c r="A140" s="73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3"/>
      <c r="AE140" s="73"/>
      <c r="AF140" s="73"/>
      <c r="AG140" s="73"/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</row>
    <row r="141" spans="1:48" s="37" customFormat="1" ht="16.5" x14ac:dyDescent="0.3">
      <c r="A141" s="73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3"/>
      <c r="AE141" s="73"/>
      <c r="AF141" s="73"/>
      <c r="AG141" s="73"/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</row>
    <row r="142" spans="1:48" s="37" customFormat="1" ht="16.5" x14ac:dyDescent="0.3">
      <c r="A142" s="73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3"/>
      <c r="AE142" s="73"/>
      <c r="AF142" s="73"/>
      <c r="AG142" s="73"/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</row>
    <row r="143" spans="1:48" s="37" customFormat="1" ht="16.5" x14ac:dyDescent="0.3">
      <c r="A143" s="73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3"/>
      <c r="AE143" s="73"/>
      <c r="AF143" s="73"/>
      <c r="AG143" s="73"/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</row>
    <row r="144" spans="1:48" s="37" customFormat="1" ht="16.5" x14ac:dyDescent="0.3">
      <c r="A144" s="73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3"/>
      <c r="AE144" s="73"/>
      <c r="AF144" s="73"/>
      <c r="AG144" s="73"/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</row>
    <row r="145" spans="1:48" s="37" customFormat="1" ht="16.5" x14ac:dyDescent="0.3">
      <c r="A145" s="73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3"/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</row>
    <row r="146" spans="1:48" s="37" customFormat="1" ht="16.5" x14ac:dyDescent="0.3">
      <c r="A146" s="73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</row>
    <row r="147" spans="1:48" s="37" customFormat="1" ht="16.5" x14ac:dyDescent="0.3">
      <c r="A147" s="73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3"/>
      <c r="AE147" s="73"/>
      <c r="AF147" s="73"/>
      <c r="AG147" s="73"/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</row>
    <row r="148" spans="1:48" s="37" customFormat="1" ht="16.5" x14ac:dyDescent="0.3">
      <c r="A148" s="73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3"/>
      <c r="AE148" s="73"/>
      <c r="AF148" s="73"/>
      <c r="AG148" s="73"/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</row>
    <row r="149" spans="1:48" s="37" customFormat="1" ht="16.5" x14ac:dyDescent="0.3">
      <c r="A149" s="73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</row>
    <row r="150" spans="1:48" s="37" customFormat="1" ht="16.5" x14ac:dyDescent="0.3">
      <c r="A150" s="73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</row>
    <row r="151" spans="1:48" s="37" customFormat="1" ht="16.5" x14ac:dyDescent="0.3">
      <c r="A151" s="73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</row>
    <row r="152" spans="1:48" s="37" customFormat="1" ht="16.5" x14ac:dyDescent="0.3">
      <c r="A152" s="73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</row>
    <row r="153" spans="1:48" s="37" customFormat="1" ht="16.5" x14ac:dyDescent="0.3">
      <c r="A153" s="73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</row>
    <row r="154" spans="1:48" s="37" customFormat="1" ht="16.5" x14ac:dyDescent="0.3">
      <c r="A154" s="73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</row>
    <row r="155" spans="1:48" s="37" customFormat="1" ht="16.5" x14ac:dyDescent="0.3">
      <c r="A155" s="73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</row>
    <row r="156" spans="1:48" s="37" customFormat="1" ht="16.5" x14ac:dyDescent="0.3">
      <c r="A156" s="73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</row>
    <row r="157" spans="1:48" s="37" customFormat="1" ht="16.5" x14ac:dyDescent="0.3">
      <c r="A157" s="73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H157" s="73"/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</row>
    <row r="158" spans="1:48" s="37" customFormat="1" ht="16.5" x14ac:dyDescent="0.3">
      <c r="A158" s="73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H158" s="73"/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</row>
    <row r="159" spans="1:48" s="37" customFormat="1" ht="16.5" x14ac:dyDescent="0.3">
      <c r="A159" s="73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H159" s="73"/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</row>
    <row r="160" spans="1:48" s="37" customFormat="1" ht="16.5" x14ac:dyDescent="0.3">
      <c r="A160" s="73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73"/>
      <c r="AG160" s="73"/>
      <c r="AH160" s="73"/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</row>
    <row r="161" spans="1:48" s="37" customFormat="1" ht="16.5" x14ac:dyDescent="0.3">
      <c r="A161" s="73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73"/>
      <c r="AG161" s="73"/>
      <c r="AH161" s="73"/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</row>
    <row r="162" spans="1:48" s="37" customFormat="1" ht="16.5" x14ac:dyDescent="0.3">
      <c r="A162" s="73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H162" s="73"/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</row>
    <row r="163" spans="1:48" s="37" customFormat="1" ht="16.5" x14ac:dyDescent="0.3">
      <c r="A163" s="73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73"/>
      <c r="AG163" s="73"/>
      <c r="AH163" s="73"/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</row>
    <row r="164" spans="1:48" s="37" customFormat="1" ht="16.5" x14ac:dyDescent="0.3">
      <c r="A164" s="73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73"/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</row>
    <row r="165" spans="1:48" s="37" customFormat="1" ht="16.5" x14ac:dyDescent="0.3">
      <c r="A165" s="73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</row>
    <row r="166" spans="1:48" s="37" customFormat="1" ht="16.5" x14ac:dyDescent="0.3">
      <c r="A166" s="73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</row>
    <row r="167" spans="1:48" s="37" customFormat="1" ht="16.5" x14ac:dyDescent="0.3">
      <c r="A167" s="73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</row>
    <row r="168" spans="1:48" s="37" customFormat="1" ht="16.5" x14ac:dyDescent="0.3">
      <c r="A168" s="73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</row>
    <row r="169" spans="1:48" s="37" customFormat="1" ht="16.5" x14ac:dyDescent="0.3">
      <c r="A169" s="73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</row>
    <row r="170" spans="1:48" s="37" customFormat="1" ht="16.5" x14ac:dyDescent="0.3">
      <c r="A170" s="73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</row>
    <row r="171" spans="1:48" s="37" customFormat="1" ht="16.5" x14ac:dyDescent="0.3">
      <c r="A171" s="73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</row>
    <row r="172" spans="1:48" s="37" customFormat="1" ht="16.5" x14ac:dyDescent="0.3">
      <c r="A172" s="73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</row>
    <row r="173" spans="1:48" s="37" customFormat="1" ht="16.5" x14ac:dyDescent="0.3">
      <c r="A173" s="73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</row>
    <row r="174" spans="1:48" s="37" customFormat="1" ht="16.5" x14ac:dyDescent="0.3">
      <c r="A174" s="73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</row>
    <row r="175" spans="1:48" s="37" customFormat="1" ht="16.5" x14ac:dyDescent="0.3">
      <c r="A175" s="73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</row>
    <row r="176" spans="1:48" s="37" customFormat="1" ht="16.5" x14ac:dyDescent="0.3">
      <c r="A176" s="73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</row>
    <row r="177" spans="1:48" s="37" customFormat="1" ht="16.5" x14ac:dyDescent="0.3">
      <c r="A177" s="73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</row>
    <row r="178" spans="1:48" s="37" customFormat="1" ht="16.5" x14ac:dyDescent="0.3">
      <c r="A178" s="73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</row>
    <row r="179" spans="1:48" s="37" customFormat="1" ht="16.5" x14ac:dyDescent="0.3">
      <c r="A179" s="73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</row>
    <row r="180" spans="1:48" s="37" customFormat="1" ht="16.5" x14ac:dyDescent="0.3">
      <c r="A180" s="73"/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</row>
    <row r="181" spans="1:48" s="37" customFormat="1" ht="16.5" x14ac:dyDescent="0.3">
      <c r="A181" s="73"/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</row>
    <row r="182" spans="1:48" s="37" customFormat="1" ht="16.5" x14ac:dyDescent="0.3">
      <c r="A182" s="73"/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</row>
    <row r="183" spans="1:48" s="37" customFormat="1" ht="16.5" x14ac:dyDescent="0.3">
      <c r="A183" s="73"/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</row>
    <row r="184" spans="1:48" s="37" customFormat="1" ht="16.5" x14ac:dyDescent="0.3">
      <c r="A184" s="73"/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</row>
    <row r="185" spans="1:48" s="37" customFormat="1" ht="16.5" x14ac:dyDescent="0.3">
      <c r="A185" s="73"/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</row>
    <row r="186" spans="1:48" s="37" customFormat="1" ht="16.5" x14ac:dyDescent="0.3">
      <c r="A186" s="73"/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</row>
    <row r="187" spans="1:48" s="37" customFormat="1" ht="16.5" x14ac:dyDescent="0.3">
      <c r="A187" s="73"/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</row>
    <row r="188" spans="1:48" s="37" customFormat="1" ht="16.5" x14ac:dyDescent="0.3">
      <c r="A188" s="73"/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</row>
    <row r="189" spans="1:48" s="37" customFormat="1" ht="16.5" x14ac:dyDescent="0.3">
      <c r="A189" s="73"/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</row>
    <row r="190" spans="1:48" s="37" customFormat="1" ht="16.5" x14ac:dyDescent="0.3">
      <c r="A190" s="73"/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</row>
    <row r="191" spans="1:48" s="37" customFormat="1" ht="16.5" x14ac:dyDescent="0.3">
      <c r="A191" s="73"/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</row>
    <row r="192" spans="1:48" s="37" customFormat="1" ht="16.5" x14ac:dyDescent="0.3">
      <c r="A192" s="73"/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</row>
    <row r="193" spans="1:48" s="37" customFormat="1" ht="16.5" x14ac:dyDescent="0.3">
      <c r="A193" s="73"/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</row>
    <row r="194" spans="1:48" s="37" customFormat="1" ht="16.5" x14ac:dyDescent="0.3">
      <c r="A194" s="73"/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</row>
    <row r="195" spans="1:48" s="37" customFormat="1" ht="16.5" x14ac:dyDescent="0.3">
      <c r="A195" s="73"/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</row>
    <row r="196" spans="1:48" s="37" customFormat="1" ht="16.5" x14ac:dyDescent="0.3">
      <c r="A196" s="73"/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</row>
    <row r="197" spans="1:48" s="37" customFormat="1" ht="16.5" x14ac:dyDescent="0.3">
      <c r="A197" s="73"/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</row>
    <row r="198" spans="1:48" s="37" customFormat="1" ht="16.5" x14ac:dyDescent="0.3">
      <c r="A198" s="73"/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</row>
    <row r="199" spans="1:48" s="37" customFormat="1" ht="16.5" x14ac:dyDescent="0.3">
      <c r="A199" s="73"/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</row>
    <row r="200" spans="1:48" s="37" customFormat="1" ht="16.5" x14ac:dyDescent="0.3">
      <c r="A200" s="73"/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</row>
    <row r="201" spans="1:48" s="37" customFormat="1" ht="16.5" x14ac:dyDescent="0.3">
      <c r="A201" s="73"/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</row>
    <row r="202" spans="1:48" s="37" customFormat="1" ht="16.5" x14ac:dyDescent="0.3">
      <c r="A202" s="73"/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</row>
    <row r="203" spans="1:48" s="37" customFormat="1" ht="16.5" x14ac:dyDescent="0.3">
      <c r="A203" s="73"/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</row>
    <row r="204" spans="1:48" s="37" customFormat="1" ht="16.5" x14ac:dyDescent="0.3">
      <c r="A204" s="73"/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3"/>
      <c r="AE204" s="73"/>
      <c r="AF204" s="73"/>
      <c r="AG204" s="73"/>
      <c r="AH204" s="73"/>
      <c r="AI204" s="73"/>
      <c r="AJ204" s="73"/>
      <c r="AK204" s="73"/>
      <c r="AL204" s="73"/>
      <c r="AM204" s="73"/>
      <c r="AN204" s="73"/>
      <c r="AO204" s="73"/>
      <c r="AP204" s="73"/>
      <c r="AQ204" s="73"/>
      <c r="AR204" s="73"/>
      <c r="AS204" s="73"/>
      <c r="AT204" s="73"/>
      <c r="AU204" s="73"/>
      <c r="AV204" s="73"/>
    </row>
    <row r="205" spans="1:48" s="37" customFormat="1" ht="16.5" x14ac:dyDescent="0.3">
      <c r="A205" s="73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3"/>
      <c r="AE205" s="73"/>
      <c r="AF205" s="73"/>
      <c r="AG205" s="73"/>
      <c r="AH205" s="73"/>
      <c r="AI205" s="73"/>
      <c r="AJ205" s="73"/>
      <c r="AK205" s="73"/>
      <c r="AL205" s="73"/>
      <c r="AM205" s="73"/>
      <c r="AN205" s="73"/>
      <c r="AO205" s="73"/>
      <c r="AP205" s="73"/>
      <c r="AQ205" s="73"/>
      <c r="AR205" s="73"/>
      <c r="AS205" s="73"/>
      <c r="AT205" s="73"/>
      <c r="AU205" s="73"/>
      <c r="AV205" s="73"/>
    </row>
    <row r="206" spans="1:48" s="37" customFormat="1" ht="16.5" x14ac:dyDescent="0.3">
      <c r="A206" s="73"/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3"/>
      <c r="AE206" s="73"/>
      <c r="AF206" s="73"/>
      <c r="AG206" s="73"/>
      <c r="AH206" s="73"/>
      <c r="AI206" s="73"/>
      <c r="AJ206" s="73"/>
      <c r="AK206" s="73"/>
      <c r="AL206" s="73"/>
      <c r="AM206" s="73"/>
      <c r="AN206" s="73"/>
      <c r="AO206" s="73"/>
      <c r="AP206" s="73"/>
      <c r="AQ206" s="73"/>
      <c r="AR206" s="73"/>
      <c r="AS206" s="73"/>
      <c r="AT206" s="73"/>
      <c r="AU206" s="73"/>
      <c r="AV206" s="73"/>
    </row>
    <row r="207" spans="1:48" s="37" customFormat="1" ht="16.5" x14ac:dyDescent="0.3">
      <c r="A207" s="73"/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3"/>
      <c r="AE207" s="73"/>
      <c r="AF207" s="73"/>
      <c r="AG207" s="73"/>
      <c r="AH207" s="73"/>
      <c r="AI207" s="73"/>
      <c r="AJ207" s="73"/>
      <c r="AK207" s="73"/>
      <c r="AL207" s="73"/>
      <c r="AM207" s="73"/>
      <c r="AN207" s="73"/>
      <c r="AO207" s="73"/>
      <c r="AP207" s="73"/>
      <c r="AQ207" s="73"/>
      <c r="AR207" s="73"/>
      <c r="AS207" s="73"/>
      <c r="AT207" s="73"/>
      <c r="AU207" s="73"/>
      <c r="AV207" s="73"/>
    </row>
    <row r="208" spans="1:48" s="37" customFormat="1" ht="16.5" x14ac:dyDescent="0.3">
      <c r="A208" s="73"/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3"/>
      <c r="AE208" s="73"/>
      <c r="AF208" s="73"/>
      <c r="AG208" s="73"/>
      <c r="AH208" s="73"/>
      <c r="AI208" s="73"/>
      <c r="AJ208" s="73"/>
      <c r="AK208" s="73"/>
      <c r="AL208" s="73"/>
      <c r="AM208" s="73"/>
      <c r="AN208" s="73"/>
      <c r="AO208" s="73"/>
      <c r="AP208" s="73"/>
      <c r="AQ208" s="73"/>
      <c r="AR208" s="73"/>
      <c r="AS208" s="73"/>
      <c r="AT208" s="73"/>
      <c r="AU208" s="73"/>
      <c r="AV208" s="73"/>
    </row>
    <row r="209" spans="1:48" s="37" customFormat="1" ht="16.5" x14ac:dyDescent="0.3">
      <c r="A209" s="73"/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  <c r="AA209" s="73"/>
      <c r="AB209" s="73"/>
      <c r="AC209" s="73"/>
      <c r="AD209" s="73"/>
      <c r="AE209" s="73"/>
      <c r="AF209" s="73"/>
      <c r="AG209" s="73"/>
      <c r="AH209" s="73"/>
      <c r="AI209" s="73"/>
      <c r="AJ209" s="73"/>
      <c r="AK209" s="73"/>
      <c r="AL209" s="73"/>
      <c r="AM209" s="73"/>
      <c r="AN209" s="73"/>
      <c r="AO209" s="73"/>
      <c r="AP209" s="73"/>
      <c r="AQ209" s="73"/>
      <c r="AR209" s="73"/>
      <c r="AS209" s="73"/>
      <c r="AT209" s="73"/>
      <c r="AU209" s="73"/>
      <c r="AV209" s="73"/>
    </row>
    <row r="210" spans="1:48" s="37" customFormat="1" ht="16.5" x14ac:dyDescent="0.3">
      <c r="A210" s="73"/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  <c r="AA210" s="73"/>
      <c r="AB210" s="73"/>
      <c r="AC210" s="73"/>
      <c r="AD210" s="73"/>
      <c r="AE210" s="73"/>
      <c r="AF210" s="73"/>
      <c r="AG210" s="73"/>
      <c r="AH210" s="73"/>
      <c r="AI210" s="73"/>
      <c r="AJ210" s="73"/>
      <c r="AK210" s="73"/>
      <c r="AL210" s="73"/>
      <c r="AM210" s="73"/>
      <c r="AN210" s="73"/>
      <c r="AO210" s="73"/>
      <c r="AP210" s="73"/>
      <c r="AQ210" s="73"/>
      <c r="AR210" s="73"/>
      <c r="AS210" s="73"/>
      <c r="AT210" s="73"/>
      <c r="AU210" s="73"/>
      <c r="AV210" s="73"/>
    </row>
    <row r="211" spans="1:48" s="37" customFormat="1" ht="16.5" x14ac:dyDescent="0.3">
      <c r="A211" s="73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  <c r="AA211" s="73"/>
      <c r="AB211" s="73"/>
      <c r="AC211" s="73"/>
      <c r="AD211" s="73"/>
      <c r="AE211" s="73"/>
      <c r="AF211" s="73"/>
      <c r="AG211" s="73"/>
      <c r="AH211" s="73"/>
      <c r="AI211" s="73"/>
      <c r="AJ211" s="73"/>
      <c r="AK211" s="73"/>
      <c r="AL211" s="73"/>
      <c r="AM211" s="73"/>
      <c r="AN211" s="73"/>
      <c r="AO211" s="73"/>
      <c r="AP211" s="73"/>
      <c r="AQ211" s="73"/>
      <c r="AR211" s="73"/>
      <c r="AS211" s="73"/>
      <c r="AT211" s="73"/>
      <c r="AU211" s="73"/>
      <c r="AV211" s="73"/>
    </row>
    <row r="212" spans="1:48" s="37" customFormat="1" ht="16.5" x14ac:dyDescent="0.3">
      <c r="A212" s="73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  <c r="AA212" s="73"/>
      <c r="AB212" s="73"/>
      <c r="AC212" s="73"/>
      <c r="AD212" s="73"/>
      <c r="AE212" s="73"/>
      <c r="AF212" s="73"/>
      <c r="AG212" s="73"/>
      <c r="AH212" s="73"/>
      <c r="AI212" s="73"/>
      <c r="AJ212" s="73"/>
      <c r="AK212" s="73"/>
      <c r="AL212" s="73"/>
      <c r="AM212" s="73"/>
      <c r="AN212" s="73"/>
      <c r="AO212" s="73"/>
      <c r="AP212" s="73"/>
      <c r="AQ212" s="73"/>
      <c r="AR212" s="73"/>
      <c r="AS212" s="73"/>
      <c r="AT212" s="73"/>
      <c r="AU212" s="73"/>
      <c r="AV212" s="73"/>
    </row>
    <row r="213" spans="1:48" s="37" customFormat="1" ht="16.5" x14ac:dyDescent="0.3">
      <c r="A213" s="73"/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  <c r="AA213" s="73"/>
      <c r="AB213" s="73"/>
      <c r="AC213" s="73"/>
      <c r="AD213" s="73"/>
      <c r="AE213" s="73"/>
      <c r="AF213" s="73"/>
      <c r="AG213" s="73"/>
      <c r="AH213" s="73"/>
      <c r="AI213" s="73"/>
      <c r="AJ213" s="73"/>
      <c r="AK213" s="73"/>
      <c r="AL213" s="73"/>
      <c r="AM213" s="73"/>
      <c r="AN213" s="73"/>
      <c r="AO213" s="73"/>
      <c r="AP213" s="73"/>
      <c r="AQ213" s="73"/>
      <c r="AR213" s="73"/>
      <c r="AS213" s="73"/>
      <c r="AT213" s="73"/>
      <c r="AU213" s="73"/>
      <c r="AV213" s="73"/>
    </row>
    <row r="214" spans="1:48" s="37" customFormat="1" ht="16.5" x14ac:dyDescent="0.3">
      <c r="A214" s="73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  <c r="AA214" s="73"/>
      <c r="AB214" s="73"/>
      <c r="AC214" s="73"/>
      <c r="AD214" s="73"/>
      <c r="AE214" s="73"/>
      <c r="AF214" s="73"/>
      <c r="AG214" s="73"/>
      <c r="AH214" s="73"/>
      <c r="AI214" s="73"/>
      <c r="AJ214" s="73"/>
      <c r="AK214" s="73"/>
      <c r="AL214" s="73"/>
      <c r="AM214" s="73"/>
      <c r="AN214" s="73"/>
      <c r="AO214" s="73"/>
      <c r="AP214" s="73"/>
      <c r="AQ214" s="73"/>
      <c r="AR214" s="73"/>
      <c r="AS214" s="73"/>
      <c r="AT214" s="73"/>
      <c r="AU214" s="73"/>
      <c r="AV214" s="73"/>
    </row>
    <row r="215" spans="1:48" s="37" customFormat="1" ht="16.5" x14ac:dyDescent="0.3">
      <c r="A215" s="73"/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  <c r="AD215" s="73"/>
      <c r="AE215" s="73"/>
      <c r="AF215" s="73"/>
      <c r="AG215" s="73"/>
      <c r="AH215" s="73"/>
      <c r="AI215" s="73"/>
      <c r="AJ215" s="73"/>
      <c r="AK215" s="73"/>
      <c r="AL215" s="73"/>
      <c r="AM215" s="73"/>
      <c r="AN215" s="73"/>
      <c r="AO215" s="73"/>
      <c r="AP215" s="73"/>
      <c r="AQ215" s="73"/>
      <c r="AR215" s="73"/>
      <c r="AS215" s="73"/>
      <c r="AT215" s="73"/>
      <c r="AU215" s="73"/>
      <c r="AV215" s="73"/>
    </row>
    <row r="216" spans="1:48" s="37" customFormat="1" ht="16.5" x14ac:dyDescent="0.3">
      <c r="A216" s="73"/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  <c r="AA216" s="73"/>
      <c r="AB216" s="73"/>
      <c r="AC216" s="73"/>
      <c r="AD216" s="73"/>
      <c r="AE216" s="73"/>
      <c r="AF216" s="73"/>
      <c r="AG216" s="73"/>
      <c r="AH216" s="73"/>
      <c r="AI216" s="73"/>
      <c r="AJ216" s="73"/>
      <c r="AK216" s="73"/>
      <c r="AL216" s="73"/>
      <c r="AM216" s="73"/>
      <c r="AN216" s="73"/>
      <c r="AO216" s="73"/>
      <c r="AP216" s="73"/>
      <c r="AQ216" s="73"/>
      <c r="AR216" s="73"/>
      <c r="AS216" s="73"/>
      <c r="AT216" s="73"/>
      <c r="AU216" s="73"/>
      <c r="AV216" s="73"/>
    </row>
    <row r="217" spans="1:48" s="37" customFormat="1" ht="16.5" x14ac:dyDescent="0.3">
      <c r="A217" s="73"/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  <c r="AA217" s="73"/>
      <c r="AB217" s="73"/>
      <c r="AC217" s="73"/>
      <c r="AD217" s="73"/>
      <c r="AE217" s="73"/>
      <c r="AF217" s="73"/>
      <c r="AG217" s="73"/>
      <c r="AH217" s="73"/>
      <c r="AI217" s="73"/>
      <c r="AJ217" s="73"/>
      <c r="AK217" s="73"/>
      <c r="AL217" s="73"/>
      <c r="AM217" s="73"/>
      <c r="AN217" s="73"/>
      <c r="AO217" s="73"/>
      <c r="AP217" s="73"/>
      <c r="AQ217" s="73"/>
      <c r="AR217" s="73"/>
      <c r="AS217" s="73"/>
      <c r="AT217" s="73"/>
      <c r="AU217" s="73"/>
      <c r="AV217" s="73"/>
    </row>
    <row r="218" spans="1:48" s="37" customFormat="1" ht="16.5" x14ac:dyDescent="0.3">
      <c r="A218" s="73"/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  <c r="AA218" s="73"/>
      <c r="AB218" s="73"/>
      <c r="AC218" s="73"/>
      <c r="AD218" s="73"/>
      <c r="AE218" s="73"/>
      <c r="AF218" s="73"/>
      <c r="AG218" s="73"/>
      <c r="AH218" s="73"/>
      <c r="AI218" s="73"/>
      <c r="AJ218" s="73"/>
      <c r="AK218" s="73"/>
      <c r="AL218" s="73"/>
      <c r="AM218" s="73"/>
      <c r="AN218" s="73"/>
      <c r="AO218" s="73"/>
      <c r="AP218" s="73"/>
      <c r="AQ218" s="73"/>
      <c r="AR218" s="73"/>
      <c r="AS218" s="73"/>
      <c r="AT218" s="73"/>
      <c r="AU218" s="73"/>
      <c r="AV218" s="73"/>
    </row>
    <row r="219" spans="1:48" s="37" customFormat="1" ht="16.5" x14ac:dyDescent="0.3">
      <c r="A219" s="73"/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  <c r="AA219" s="73"/>
      <c r="AB219" s="73"/>
      <c r="AC219" s="73"/>
      <c r="AD219" s="73"/>
      <c r="AE219" s="73"/>
      <c r="AF219" s="73"/>
      <c r="AG219" s="73"/>
      <c r="AH219" s="73"/>
      <c r="AI219" s="73"/>
      <c r="AJ219" s="73"/>
      <c r="AK219" s="73"/>
      <c r="AL219" s="73"/>
      <c r="AM219" s="73"/>
      <c r="AN219" s="73"/>
      <c r="AO219" s="73"/>
      <c r="AP219" s="73"/>
      <c r="AQ219" s="73"/>
      <c r="AR219" s="73"/>
      <c r="AS219" s="73"/>
      <c r="AT219" s="73"/>
      <c r="AU219" s="73"/>
      <c r="AV219" s="73"/>
    </row>
    <row r="220" spans="1:48" s="37" customFormat="1" ht="16.5" x14ac:dyDescent="0.3">
      <c r="A220" s="73"/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  <c r="AD220" s="73"/>
      <c r="AE220" s="73"/>
      <c r="AF220" s="73"/>
      <c r="AG220" s="73"/>
      <c r="AH220" s="73"/>
      <c r="AI220" s="73"/>
      <c r="AJ220" s="73"/>
      <c r="AK220" s="73"/>
      <c r="AL220" s="73"/>
      <c r="AM220" s="73"/>
      <c r="AN220" s="73"/>
      <c r="AO220" s="73"/>
      <c r="AP220" s="73"/>
      <c r="AQ220" s="73"/>
      <c r="AR220" s="73"/>
      <c r="AS220" s="73"/>
      <c r="AT220" s="73"/>
      <c r="AU220" s="73"/>
      <c r="AV220" s="73"/>
    </row>
    <row r="221" spans="1:48" s="37" customFormat="1" ht="16.5" x14ac:dyDescent="0.3">
      <c r="A221" s="73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  <c r="AA221" s="73"/>
      <c r="AB221" s="73"/>
      <c r="AC221" s="73"/>
      <c r="AD221" s="73"/>
      <c r="AE221" s="73"/>
      <c r="AF221" s="73"/>
      <c r="AG221" s="73"/>
      <c r="AH221" s="73"/>
      <c r="AI221" s="73"/>
      <c r="AJ221" s="73"/>
      <c r="AK221" s="73"/>
      <c r="AL221" s="73"/>
      <c r="AM221" s="73"/>
      <c r="AN221" s="73"/>
      <c r="AO221" s="73"/>
      <c r="AP221" s="73"/>
      <c r="AQ221" s="73"/>
      <c r="AR221" s="73"/>
      <c r="AS221" s="73"/>
      <c r="AT221" s="73"/>
      <c r="AU221" s="73"/>
      <c r="AV221" s="73"/>
    </row>
    <row r="222" spans="1:48" s="37" customFormat="1" ht="16.5" x14ac:dyDescent="0.3">
      <c r="A222" s="73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3"/>
      <c r="AE222" s="73"/>
      <c r="AF222" s="73"/>
      <c r="AG222" s="73"/>
      <c r="AH222" s="73"/>
      <c r="AI222" s="73"/>
      <c r="AJ222" s="73"/>
      <c r="AK222" s="73"/>
      <c r="AL222" s="73"/>
      <c r="AM222" s="73"/>
      <c r="AN222" s="73"/>
      <c r="AO222" s="73"/>
      <c r="AP222" s="73"/>
      <c r="AQ222" s="73"/>
      <c r="AR222" s="73"/>
      <c r="AS222" s="73"/>
      <c r="AT222" s="73"/>
      <c r="AU222" s="73"/>
      <c r="AV222" s="73"/>
    </row>
    <row r="223" spans="1:48" s="37" customFormat="1" ht="16.5" x14ac:dyDescent="0.3">
      <c r="A223" s="73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  <c r="AA223" s="73"/>
      <c r="AB223" s="73"/>
      <c r="AC223" s="73"/>
      <c r="AD223" s="73"/>
      <c r="AE223" s="73"/>
      <c r="AF223" s="73"/>
      <c r="AG223" s="73"/>
      <c r="AH223" s="73"/>
      <c r="AI223" s="73"/>
      <c r="AJ223" s="73"/>
      <c r="AK223" s="73"/>
      <c r="AL223" s="73"/>
      <c r="AM223" s="73"/>
      <c r="AN223" s="73"/>
      <c r="AO223" s="73"/>
      <c r="AP223" s="73"/>
      <c r="AQ223" s="73"/>
      <c r="AR223" s="73"/>
      <c r="AS223" s="73"/>
      <c r="AT223" s="73"/>
      <c r="AU223" s="73"/>
      <c r="AV223" s="73"/>
    </row>
    <row r="224" spans="1:48" s="37" customFormat="1" ht="16.5" x14ac:dyDescent="0.3">
      <c r="A224" s="73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3"/>
      <c r="AE224" s="73"/>
      <c r="AF224" s="73"/>
      <c r="AG224" s="73"/>
      <c r="AH224" s="73"/>
      <c r="AI224" s="73"/>
      <c r="AJ224" s="73"/>
      <c r="AK224" s="73"/>
      <c r="AL224" s="73"/>
      <c r="AM224" s="73"/>
      <c r="AN224" s="73"/>
      <c r="AO224" s="73"/>
      <c r="AP224" s="73"/>
      <c r="AQ224" s="73"/>
      <c r="AR224" s="73"/>
      <c r="AS224" s="73"/>
      <c r="AT224" s="73"/>
      <c r="AU224" s="73"/>
      <c r="AV224" s="73"/>
    </row>
    <row r="225" spans="1:48" s="37" customFormat="1" ht="16.5" x14ac:dyDescent="0.3">
      <c r="A225" s="73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3"/>
      <c r="AE225" s="73"/>
      <c r="AF225" s="73"/>
      <c r="AG225" s="73"/>
      <c r="AH225" s="73"/>
      <c r="AI225" s="73"/>
      <c r="AJ225" s="73"/>
      <c r="AK225" s="73"/>
      <c r="AL225" s="73"/>
      <c r="AM225" s="73"/>
      <c r="AN225" s="73"/>
      <c r="AO225" s="73"/>
      <c r="AP225" s="73"/>
      <c r="AQ225" s="73"/>
      <c r="AR225" s="73"/>
      <c r="AS225" s="73"/>
      <c r="AT225" s="73"/>
      <c r="AU225" s="73"/>
      <c r="AV225" s="73"/>
    </row>
    <row r="226" spans="1:48" s="37" customFormat="1" ht="16.5" x14ac:dyDescent="0.3">
      <c r="A226" s="73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  <c r="AA226" s="73"/>
      <c r="AB226" s="73"/>
      <c r="AC226" s="73"/>
      <c r="AD226" s="73"/>
      <c r="AE226" s="73"/>
      <c r="AF226" s="73"/>
      <c r="AG226" s="73"/>
      <c r="AH226" s="73"/>
      <c r="AI226" s="73"/>
      <c r="AJ226" s="73"/>
      <c r="AK226" s="73"/>
      <c r="AL226" s="73"/>
      <c r="AM226" s="73"/>
      <c r="AN226" s="73"/>
      <c r="AO226" s="73"/>
      <c r="AP226" s="73"/>
      <c r="AQ226" s="73"/>
      <c r="AR226" s="73"/>
      <c r="AS226" s="73"/>
      <c r="AT226" s="73"/>
      <c r="AU226" s="73"/>
      <c r="AV226" s="73"/>
    </row>
    <row r="227" spans="1:48" s="37" customFormat="1" ht="16.5" x14ac:dyDescent="0.3">
      <c r="A227" s="73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  <c r="AA227" s="73"/>
      <c r="AB227" s="73"/>
      <c r="AC227" s="73"/>
      <c r="AD227" s="73"/>
      <c r="AE227" s="73"/>
      <c r="AF227" s="73"/>
      <c r="AG227" s="73"/>
      <c r="AH227" s="73"/>
      <c r="AI227" s="73"/>
      <c r="AJ227" s="73"/>
      <c r="AK227" s="73"/>
      <c r="AL227" s="73"/>
      <c r="AM227" s="73"/>
      <c r="AN227" s="73"/>
      <c r="AO227" s="73"/>
      <c r="AP227" s="73"/>
      <c r="AQ227" s="73"/>
      <c r="AR227" s="73"/>
      <c r="AS227" s="73"/>
      <c r="AT227" s="73"/>
      <c r="AU227" s="73"/>
      <c r="AV227" s="73"/>
    </row>
    <row r="228" spans="1:48" s="37" customFormat="1" ht="16.5" x14ac:dyDescent="0.3">
      <c r="A228" s="73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  <c r="AA228" s="73"/>
      <c r="AB228" s="73"/>
      <c r="AC228" s="73"/>
      <c r="AD228" s="73"/>
      <c r="AE228" s="73"/>
      <c r="AF228" s="73"/>
      <c r="AG228" s="73"/>
      <c r="AH228" s="73"/>
      <c r="AI228" s="73"/>
      <c r="AJ228" s="73"/>
      <c r="AK228" s="73"/>
      <c r="AL228" s="73"/>
      <c r="AM228" s="73"/>
      <c r="AN228" s="73"/>
      <c r="AO228" s="73"/>
      <c r="AP228" s="73"/>
      <c r="AQ228" s="73"/>
      <c r="AR228" s="73"/>
      <c r="AS228" s="73"/>
      <c r="AT228" s="73"/>
      <c r="AU228" s="73"/>
      <c r="AV228" s="73"/>
    </row>
    <row r="229" spans="1:48" s="37" customFormat="1" ht="16.5" x14ac:dyDescent="0.3">
      <c r="A229" s="73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  <c r="AA229" s="73"/>
      <c r="AB229" s="73"/>
      <c r="AC229" s="73"/>
      <c r="AD229" s="73"/>
      <c r="AE229" s="73"/>
      <c r="AF229" s="73"/>
      <c r="AG229" s="73"/>
      <c r="AH229" s="73"/>
      <c r="AI229" s="73"/>
      <c r="AJ229" s="73"/>
      <c r="AK229" s="73"/>
      <c r="AL229" s="73"/>
      <c r="AM229" s="73"/>
      <c r="AN229" s="73"/>
      <c r="AO229" s="73"/>
      <c r="AP229" s="73"/>
      <c r="AQ229" s="73"/>
      <c r="AR229" s="73"/>
      <c r="AS229" s="73"/>
      <c r="AT229" s="73"/>
      <c r="AU229" s="73"/>
      <c r="AV229" s="73"/>
    </row>
    <row r="230" spans="1:48" s="37" customFormat="1" ht="16.5" x14ac:dyDescent="0.3">
      <c r="A230" s="73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  <c r="AA230" s="73"/>
      <c r="AB230" s="73"/>
      <c r="AC230" s="73"/>
      <c r="AD230" s="73"/>
      <c r="AE230" s="73"/>
      <c r="AF230" s="73"/>
      <c r="AG230" s="73"/>
      <c r="AH230" s="73"/>
      <c r="AI230" s="73"/>
      <c r="AJ230" s="73"/>
      <c r="AK230" s="73"/>
      <c r="AL230" s="73"/>
      <c r="AM230" s="73"/>
      <c r="AN230" s="73"/>
      <c r="AO230" s="73"/>
      <c r="AP230" s="73"/>
      <c r="AQ230" s="73"/>
      <c r="AR230" s="73"/>
      <c r="AS230" s="73"/>
      <c r="AT230" s="73"/>
      <c r="AU230" s="73"/>
      <c r="AV230" s="73"/>
    </row>
    <row r="231" spans="1:48" s="37" customFormat="1" ht="16.5" x14ac:dyDescent="0.3">
      <c r="A231" s="73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3"/>
      <c r="AE231" s="73"/>
      <c r="AF231" s="73"/>
      <c r="AG231" s="73"/>
      <c r="AH231" s="73"/>
      <c r="AI231" s="73"/>
      <c r="AJ231" s="73"/>
      <c r="AK231" s="73"/>
      <c r="AL231" s="73"/>
      <c r="AM231" s="73"/>
      <c r="AN231" s="73"/>
      <c r="AO231" s="73"/>
      <c r="AP231" s="73"/>
      <c r="AQ231" s="73"/>
      <c r="AR231" s="73"/>
      <c r="AS231" s="73"/>
      <c r="AT231" s="73"/>
      <c r="AU231" s="73"/>
      <c r="AV231" s="73"/>
    </row>
    <row r="232" spans="1:48" s="37" customFormat="1" ht="16.5" x14ac:dyDescent="0.3">
      <c r="A232" s="73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3"/>
      <c r="AE232" s="73"/>
      <c r="AF232" s="73"/>
      <c r="AG232" s="73"/>
      <c r="AH232" s="73"/>
      <c r="AI232" s="73"/>
      <c r="AJ232" s="73"/>
      <c r="AK232" s="73"/>
      <c r="AL232" s="73"/>
      <c r="AM232" s="73"/>
      <c r="AN232" s="73"/>
      <c r="AO232" s="73"/>
      <c r="AP232" s="73"/>
      <c r="AQ232" s="73"/>
      <c r="AR232" s="73"/>
      <c r="AS232" s="73"/>
      <c r="AT232" s="73"/>
      <c r="AU232" s="73"/>
      <c r="AV232" s="73"/>
    </row>
    <row r="233" spans="1:48" s="37" customFormat="1" ht="16.5" x14ac:dyDescent="0.3">
      <c r="A233" s="73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73"/>
      <c r="AG233" s="73"/>
      <c r="AH233" s="73"/>
      <c r="AI233" s="73"/>
      <c r="AJ233" s="73"/>
      <c r="AK233" s="73"/>
      <c r="AL233" s="73"/>
      <c r="AM233" s="73"/>
      <c r="AN233" s="73"/>
      <c r="AO233" s="73"/>
      <c r="AP233" s="73"/>
      <c r="AQ233" s="73"/>
      <c r="AR233" s="73"/>
      <c r="AS233" s="73"/>
      <c r="AT233" s="73"/>
      <c r="AU233" s="73"/>
      <c r="AV233" s="73"/>
    </row>
    <row r="234" spans="1:48" s="37" customFormat="1" ht="16.5" x14ac:dyDescent="0.3">
      <c r="A234" s="73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3"/>
      <c r="AE234" s="73"/>
      <c r="AF234" s="73"/>
      <c r="AG234" s="73"/>
      <c r="AH234" s="73"/>
      <c r="AI234" s="73"/>
      <c r="AJ234" s="73"/>
      <c r="AK234" s="73"/>
      <c r="AL234" s="73"/>
      <c r="AM234" s="73"/>
      <c r="AN234" s="73"/>
      <c r="AO234" s="73"/>
      <c r="AP234" s="73"/>
      <c r="AQ234" s="73"/>
      <c r="AR234" s="73"/>
      <c r="AS234" s="73"/>
      <c r="AT234" s="73"/>
      <c r="AU234" s="73"/>
      <c r="AV234" s="73"/>
    </row>
    <row r="235" spans="1:48" s="37" customFormat="1" ht="16.5" x14ac:dyDescent="0.3">
      <c r="A235" s="73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3"/>
      <c r="AE235" s="73"/>
      <c r="AF235" s="73"/>
      <c r="AG235" s="73"/>
      <c r="AH235" s="73"/>
      <c r="AI235" s="73"/>
      <c r="AJ235" s="73"/>
      <c r="AK235" s="73"/>
      <c r="AL235" s="73"/>
      <c r="AM235" s="73"/>
      <c r="AN235" s="73"/>
      <c r="AO235" s="73"/>
      <c r="AP235" s="73"/>
      <c r="AQ235" s="73"/>
      <c r="AR235" s="73"/>
      <c r="AS235" s="73"/>
      <c r="AT235" s="73"/>
      <c r="AU235" s="73"/>
      <c r="AV235" s="73"/>
    </row>
    <row r="236" spans="1:48" s="37" customFormat="1" ht="16.5" x14ac:dyDescent="0.3">
      <c r="A236" s="73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  <c r="AA236" s="73"/>
      <c r="AB236" s="73"/>
      <c r="AC236" s="73"/>
      <c r="AD236" s="73"/>
      <c r="AE236" s="73"/>
      <c r="AF236" s="73"/>
      <c r="AG236" s="73"/>
      <c r="AH236" s="73"/>
      <c r="AI236" s="73"/>
      <c r="AJ236" s="73"/>
      <c r="AK236" s="73"/>
      <c r="AL236" s="73"/>
      <c r="AM236" s="73"/>
      <c r="AN236" s="73"/>
      <c r="AO236" s="73"/>
      <c r="AP236" s="73"/>
      <c r="AQ236" s="73"/>
      <c r="AR236" s="73"/>
      <c r="AS236" s="73"/>
      <c r="AT236" s="73"/>
      <c r="AU236" s="73"/>
      <c r="AV236" s="73"/>
    </row>
    <row r="237" spans="1:48" s="37" customFormat="1" ht="16.5" x14ac:dyDescent="0.3">
      <c r="A237" s="73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3"/>
      <c r="AM237" s="73"/>
      <c r="AN237" s="73"/>
      <c r="AO237" s="73"/>
      <c r="AP237" s="73"/>
      <c r="AQ237" s="73"/>
      <c r="AR237" s="73"/>
      <c r="AS237" s="73"/>
      <c r="AT237" s="73"/>
      <c r="AU237" s="73"/>
      <c r="AV237" s="73"/>
    </row>
    <row r="238" spans="1:48" s="37" customFormat="1" ht="16.5" x14ac:dyDescent="0.3">
      <c r="A238" s="73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3"/>
      <c r="AE238" s="73"/>
      <c r="AF238" s="73"/>
      <c r="AG238" s="73"/>
      <c r="AH238" s="73"/>
      <c r="AI238" s="73"/>
      <c r="AJ238" s="73"/>
      <c r="AK238" s="73"/>
      <c r="AL238" s="73"/>
      <c r="AM238" s="73"/>
      <c r="AN238" s="73"/>
      <c r="AO238" s="73"/>
      <c r="AP238" s="73"/>
      <c r="AQ238" s="73"/>
      <c r="AR238" s="73"/>
      <c r="AS238" s="73"/>
      <c r="AT238" s="73"/>
      <c r="AU238" s="73"/>
      <c r="AV238" s="73"/>
    </row>
    <row r="239" spans="1:48" s="37" customFormat="1" ht="16.5" x14ac:dyDescent="0.3">
      <c r="A239" s="73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  <c r="AA239" s="73"/>
      <c r="AB239" s="73"/>
      <c r="AC239" s="73"/>
      <c r="AD239" s="73"/>
      <c r="AE239" s="73"/>
      <c r="AF239" s="73"/>
      <c r="AG239" s="73"/>
      <c r="AH239" s="73"/>
      <c r="AI239" s="73"/>
      <c r="AJ239" s="73"/>
      <c r="AK239" s="73"/>
      <c r="AL239" s="73"/>
      <c r="AM239" s="73"/>
      <c r="AN239" s="73"/>
      <c r="AO239" s="73"/>
      <c r="AP239" s="73"/>
      <c r="AQ239" s="73"/>
      <c r="AR239" s="73"/>
      <c r="AS239" s="73"/>
      <c r="AT239" s="73"/>
      <c r="AU239" s="73"/>
      <c r="AV239" s="73"/>
    </row>
    <row r="240" spans="1:48" s="37" customFormat="1" ht="16.5" x14ac:dyDescent="0.3">
      <c r="A240" s="73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  <c r="AA240" s="73"/>
      <c r="AB240" s="73"/>
      <c r="AC240" s="73"/>
      <c r="AD240" s="73"/>
      <c r="AE240" s="73"/>
      <c r="AF240" s="73"/>
      <c r="AG240" s="73"/>
      <c r="AH240" s="73"/>
      <c r="AI240" s="73"/>
      <c r="AJ240" s="73"/>
      <c r="AK240" s="73"/>
      <c r="AL240" s="73"/>
      <c r="AM240" s="73"/>
      <c r="AN240" s="73"/>
      <c r="AO240" s="73"/>
      <c r="AP240" s="73"/>
      <c r="AQ240" s="73"/>
      <c r="AR240" s="73"/>
      <c r="AS240" s="73"/>
      <c r="AT240" s="73"/>
      <c r="AU240" s="73"/>
      <c r="AV240" s="73"/>
    </row>
    <row r="241" spans="1:48" s="37" customFormat="1" ht="16.5" x14ac:dyDescent="0.3">
      <c r="A241" s="73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3"/>
      <c r="AE241" s="73"/>
      <c r="AF241" s="73"/>
      <c r="AG241" s="73"/>
      <c r="AH241" s="73"/>
      <c r="AI241" s="73"/>
      <c r="AJ241" s="73"/>
      <c r="AK241" s="73"/>
      <c r="AL241" s="73"/>
      <c r="AM241" s="73"/>
      <c r="AN241" s="73"/>
      <c r="AO241" s="73"/>
      <c r="AP241" s="73"/>
      <c r="AQ241" s="73"/>
      <c r="AR241" s="73"/>
      <c r="AS241" s="73"/>
      <c r="AT241" s="73"/>
      <c r="AU241" s="73"/>
      <c r="AV241" s="73"/>
    </row>
    <row r="242" spans="1:48" s="37" customFormat="1" ht="16.5" x14ac:dyDescent="0.3">
      <c r="A242" s="73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3"/>
      <c r="AE242" s="73"/>
      <c r="AF242" s="73"/>
      <c r="AG242" s="73"/>
      <c r="AH242" s="73"/>
      <c r="AI242" s="73"/>
      <c r="AJ242" s="73"/>
      <c r="AK242" s="73"/>
      <c r="AL242" s="73"/>
      <c r="AM242" s="73"/>
      <c r="AN242" s="73"/>
      <c r="AO242" s="73"/>
      <c r="AP242" s="73"/>
      <c r="AQ242" s="73"/>
      <c r="AR242" s="73"/>
      <c r="AS242" s="73"/>
      <c r="AT242" s="73"/>
      <c r="AU242" s="73"/>
      <c r="AV242" s="73"/>
    </row>
    <row r="243" spans="1:48" s="37" customFormat="1" ht="16.5" x14ac:dyDescent="0.3">
      <c r="A243" s="73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  <c r="AD243" s="73"/>
      <c r="AE243" s="73"/>
      <c r="AF243" s="73"/>
      <c r="AG243" s="73"/>
      <c r="AH243" s="73"/>
      <c r="AI243" s="73"/>
      <c r="AJ243" s="73"/>
      <c r="AK243" s="73"/>
      <c r="AL243" s="73"/>
      <c r="AM243" s="73"/>
      <c r="AN243" s="73"/>
      <c r="AO243" s="73"/>
      <c r="AP243" s="73"/>
      <c r="AQ243" s="73"/>
      <c r="AR243" s="73"/>
      <c r="AS243" s="73"/>
      <c r="AT243" s="73"/>
      <c r="AU243" s="73"/>
      <c r="AV243" s="73"/>
    </row>
    <row r="244" spans="1:48" s="37" customFormat="1" ht="16.5" x14ac:dyDescent="0.3">
      <c r="A244" s="73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  <c r="AA244" s="73"/>
      <c r="AB244" s="73"/>
      <c r="AC244" s="73"/>
      <c r="AD244" s="73"/>
      <c r="AE244" s="73"/>
      <c r="AF244" s="73"/>
      <c r="AG244" s="73"/>
      <c r="AH244" s="73"/>
      <c r="AI244" s="73"/>
      <c r="AJ244" s="73"/>
      <c r="AK244" s="73"/>
      <c r="AL244" s="73"/>
      <c r="AM244" s="73"/>
      <c r="AN244" s="73"/>
      <c r="AO244" s="73"/>
      <c r="AP244" s="73"/>
      <c r="AQ244" s="73"/>
      <c r="AR244" s="73"/>
      <c r="AS244" s="73"/>
      <c r="AT244" s="73"/>
      <c r="AU244" s="73"/>
      <c r="AV244" s="73"/>
    </row>
    <row r="245" spans="1:48" s="37" customFormat="1" ht="16.5" x14ac:dyDescent="0.3">
      <c r="A245" s="73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3"/>
      <c r="AE245" s="73"/>
      <c r="AF245" s="73"/>
      <c r="AG245" s="73"/>
      <c r="AH245" s="73"/>
      <c r="AI245" s="73"/>
      <c r="AJ245" s="73"/>
      <c r="AK245" s="73"/>
      <c r="AL245" s="73"/>
      <c r="AM245" s="73"/>
      <c r="AN245" s="73"/>
      <c r="AO245" s="73"/>
      <c r="AP245" s="73"/>
      <c r="AQ245" s="73"/>
      <c r="AR245" s="73"/>
      <c r="AS245" s="73"/>
      <c r="AT245" s="73"/>
      <c r="AU245" s="73"/>
      <c r="AV245" s="73"/>
    </row>
    <row r="246" spans="1:48" s="37" customFormat="1" ht="16.5" x14ac:dyDescent="0.3">
      <c r="A246" s="73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  <c r="AA246" s="73"/>
      <c r="AB246" s="73"/>
      <c r="AC246" s="73"/>
      <c r="AD246" s="73"/>
      <c r="AE246" s="73"/>
      <c r="AF246" s="73"/>
      <c r="AG246" s="73"/>
      <c r="AH246" s="73"/>
      <c r="AI246" s="73"/>
      <c r="AJ246" s="73"/>
      <c r="AK246" s="73"/>
      <c r="AL246" s="73"/>
      <c r="AM246" s="73"/>
      <c r="AN246" s="73"/>
      <c r="AO246" s="73"/>
      <c r="AP246" s="73"/>
      <c r="AQ246" s="73"/>
      <c r="AR246" s="73"/>
      <c r="AS246" s="73"/>
      <c r="AT246" s="73"/>
      <c r="AU246" s="73"/>
      <c r="AV246" s="73"/>
    </row>
    <row r="247" spans="1:48" s="37" customFormat="1" ht="16.5" x14ac:dyDescent="0.3">
      <c r="A247" s="73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3"/>
      <c r="AE247" s="73"/>
      <c r="AF247" s="73"/>
      <c r="AG247" s="73"/>
      <c r="AH247" s="73"/>
      <c r="AI247" s="73"/>
      <c r="AJ247" s="73"/>
      <c r="AK247" s="73"/>
      <c r="AL247" s="73"/>
      <c r="AM247" s="73"/>
      <c r="AN247" s="73"/>
      <c r="AO247" s="73"/>
      <c r="AP247" s="73"/>
      <c r="AQ247" s="73"/>
      <c r="AR247" s="73"/>
      <c r="AS247" s="73"/>
      <c r="AT247" s="73"/>
      <c r="AU247" s="73"/>
      <c r="AV247" s="73"/>
    </row>
    <row r="248" spans="1:48" s="37" customFormat="1" ht="16.5" x14ac:dyDescent="0.3">
      <c r="A248" s="73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3"/>
      <c r="AE248" s="73"/>
      <c r="AF248" s="73"/>
      <c r="AG248" s="73"/>
      <c r="AH248" s="73"/>
      <c r="AI248" s="73"/>
      <c r="AJ248" s="73"/>
      <c r="AK248" s="73"/>
      <c r="AL248" s="73"/>
      <c r="AM248" s="73"/>
      <c r="AN248" s="73"/>
      <c r="AO248" s="73"/>
      <c r="AP248" s="73"/>
      <c r="AQ248" s="73"/>
      <c r="AR248" s="73"/>
      <c r="AS248" s="73"/>
      <c r="AT248" s="73"/>
      <c r="AU248" s="73"/>
      <c r="AV248" s="73"/>
    </row>
    <row r="249" spans="1:48" s="37" customFormat="1" ht="16.5" x14ac:dyDescent="0.3">
      <c r="A249" s="73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  <c r="AA249" s="73"/>
      <c r="AB249" s="73"/>
      <c r="AC249" s="73"/>
      <c r="AD249" s="73"/>
      <c r="AE249" s="73"/>
      <c r="AF249" s="73"/>
      <c r="AG249" s="73"/>
      <c r="AH249" s="73"/>
      <c r="AI249" s="73"/>
      <c r="AJ249" s="73"/>
      <c r="AK249" s="73"/>
      <c r="AL249" s="73"/>
      <c r="AM249" s="73"/>
      <c r="AN249" s="73"/>
      <c r="AO249" s="73"/>
      <c r="AP249" s="73"/>
      <c r="AQ249" s="73"/>
      <c r="AR249" s="73"/>
      <c r="AS249" s="73"/>
      <c r="AT249" s="73"/>
      <c r="AU249" s="73"/>
      <c r="AV249" s="73"/>
    </row>
    <row r="250" spans="1:48" s="37" customFormat="1" ht="16.5" x14ac:dyDescent="0.3">
      <c r="A250" s="73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  <c r="AA250" s="73"/>
      <c r="AB250" s="73"/>
      <c r="AC250" s="73"/>
      <c r="AD250" s="73"/>
      <c r="AE250" s="73"/>
      <c r="AF250" s="73"/>
      <c r="AG250" s="73"/>
      <c r="AH250" s="73"/>
      <c r="AI250" s="73"/>
      <c r="AJ250" s="73"/>
      <c r="AK250" s="73"/>
      <c r="AL250" s="73"/>
      <c r="AM250" s="73"/>
      <c r="AN250" s="73"/>
      <c r="AO250" s="73"/>
      <c r="AP250" s="73"/>
      <c r="AQ250" s="73"/>
      <c r="AR250" s="73"/>
      <c r="AS250" s="73"/>
      <c r="AT250" s="73"/>
      <c r="AU250" s="73"/>
      <c r="AV250" s="73"/>
    </row>
    <row r="251" spans="1:48" s="37" customFormat="1" ht="16.5" x14ac:dyDescent="0.3">
      <c r="A251" s="73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  <c r="AA251" s="73"/>
      <c r="AB251" s="73"/>
      <c r="AC251" s="73"/>
      <c r="AD251" s="73"/>
      <c r="AE251" s="73"/>
      <c r="AF251" s="73"/>
      <c r="AG251" s="73"/>
      <c r="AH251" s="73"/>
      <c r="AI251" s="73"/>
      <c r="AJ251" s="73"/>
      <c r="AK251" s="73"/>
      <c r="AL251" s="73"/>
      <c r="AM251" s="73"/>
      <c r="AN251" s="73"/>
      <c r="AO251" s="73"/>
      <c r="AP251" s="73"/>
      <c r="AQ251" s="73"/>
      <c r="AR251" s="73"/>
      <c r="AS251" s="73"/>
      <c r="AT251" s="73"/>
      <c r="AU251" s="73"/>
      <c r="AV251" s="73"/>
    </row>
    <row r="252" spans="1:48" s="37" customFormat="1" ht="16.5" x14ac:dyDescent="0.3">
      <c r="A252" s="73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  <c r="AA252" s="73"/>
      <c r="AB252" s="73"/>
      <c r="AC252" s="73"/>
      <c r="AD252" s="73"/>
      <c r="AE252" s="73"/>
      <c r="AF252" s="73"/>
      <c r="AG252" s="73"/>
      <c r="AH252" s="73"/>
      <c r="AI252" s="73"/>
      <c r="AJ252" s="73"/>
      <c r="AK252" s="73"/>
      <c r="AL252" s="73"/>
      <c r="AM252" s="73"/>
      <c r="AN252" s="73"/>
      <c r="AO252" s="73"/>
      <c r="AP252" s="73"/>
      <c r="AQ252" s="73"/>
      <c r="AR252" s="73"/>
      <c r="AS252" s="73"/>
      <c r="AT252" s="73"/>
      <c r="AU252" s="73"/>
      <c r="AV252" s="73"/>
    </row>
    <row r="253" spans="1:48" s="37" customFormat="1" ht="16.5" x14ac:dyDescent="0.3">
      <c r="A253" s="73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  <c r="AD253" s="73"/>
      <c r="AE253" s="73"/>
      <c r="AF253" s="73"/>
      <c r="AG253" s="73"/>
      <c r="AH253" s="73"/>
      <c r="AI253" s="73"/>
      <c r="AJ253" s="73"/>
      <c r="AK253" s="73"/>
      <c r="AL253" s="73"/>
      <c r="AM253" s="73"/>
      <c r="AN253" s="73"/>
      <c r="AO253" s="73"/>
      <c r="AP253" s="73"/>
      <c r="AQ253" s="73"/>
      <c r="AR253" s="73"/>
      <c r="AS253" s="73"/>
      <c r="AT253" s="73"/>
      <c r="AU253" s="73"/>
      <c r="AV253" s="73"/>
    </row>
    <row r="254" spans="1:48" s="37" customFormat="1" ht="16.5" x14ac:dyDescent="0.3">
      <c r="A254" s="73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  <c r="AA254" s="73"/>
      <c r="AB254" s="73"/>
      <c r="AC254" s="73"/>
      <c r="AD254" s="73"/>
      <c r="AE254" s="73"/>
      <c r="AF254" s="73"/>
      <c r="AG254" s="73"/>
      <c r="AH254" s="73"/>
      <c r="AI254" s="73"/>
      <c r="AJ254" s="73"/>
      <c r="AK254" s="73"/>
      <c r="AL254" s="73"/>
      <c r="AM254" s="73"/>
      <c r="AN254" s="73"/>
      <c r="AO254" s="73"/>
      <c r="AP254" s="73"/>
      <c r="AQ254" s="73"/>
      <c r="AR254" s="73"/>
      <c r="AS254" s="73"/>
      <c r="AT254" s="73"/>
      <c r="AU254" s="73"/>
      <c r="AV254" s="73"/>
    </row>
    <row r="255" spans="1:48" s="37" customFormat="1" ht="16.5" x14ac:dyDescent="0.3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  <c r="AA255" s="73"/>
      <c r="AB255" s="73"/>
      <c r="AC255" s="73"/>
      <c r="AD255" s="73"/>
      <c r="AE255" s="73"/>
      <c r="AF255" s="73"/>
      <c r="AG255" s="73"/>
      <c r="AH255" s="73"/>
      <c r="AI255" s="73"/>
      <c r="AJ255" s="73"/>
      <c r="AK255" s="73"/>
      <c r="AL255" s="73"/>
      <c r="AM255" s="73"/>
      <c r="AN255" s="73"/>
      <c r="AO255" s="73"/>
      <c r="AP255" s="73"/>
      <c r="AQ255" s="73"/>
      <c r="AR255" s="73"/>
      <c r="AS255" s="73"/>
      <c r="AT255" s="73"/>
      <c r="AU255" s="73"/>
      <c r="AV255" s="73"/>
    </row>
    <row r="256" spans="1:48" s="37" customFormat="1" ht="16.5" x14ac:dyDescent="0.3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  <c r="AA256" s="73"/>
      <c r="AB256" s="73"/>
      <c r="AC256" s="73"/>
      <c r="AD256" s="73"/>
      <c r="AE256" s="73"/>
      <c r="AF256" s="73"/>
      <c r="AG256" s="73"/>
      <c r="AH256" s="73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3"/>
      <c r="AT256" s="73"/>
      <c r="AU256" s="73"/>
      <c r="AV256" s="73"/>
    </row>
    <row r="257" spans="1:48" s="37" customFormat="1" ht="16.5" x14ac:dyDescent="0.3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  <c r="AA257" s="73"/>
      <c r="AB257" s="73"/>
      <c r="AC257" s="73"/>
      <c r="AD257" s="73"/>
      <c r="AE257" s="73"/>
      <c r="AF257" s="73"/>
      <c r="AG257" s="73"/>
      <c r="AH257" s="73"/>
      <c r="AI257" s="73"/>
      <c r="AJ257" s="73"/>
      <c r="AK257" s="73"/>
      <c r="AL257" s="73"/>
      <c r="AM257" s="73"/>
      <c r="AN257" s="73"/>
      <c r="AO257" s="73"/>
      <c r="AP257" s="73"/>
      <c r="AQ257" s="73"/>
      <c r="AR257" s="73"/>
      <c r="AS257" s="73"/>
      <c r="AT257" s="73"/>
      <c r="AU257" s="73"/>
      <c r="AV257" s="73"/>
    </row>
    <row r="258" spans="1:48" s="37" customFormat="1" ht="16.5" x14ac:dyDescent="0.3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3"/>
      <c r="AE258" s="73"/>
      <c r="AF258" s="73"/>
      <c r="AG258" s="73"/>
      <c r="AH258" s="73"/>
      <c r="AI258" s="73"/>
      <c r="AJ258" s="73"/>
      <c r="AK258" s="73"/>
      <c r="AL258" s="73"/>
      <c r="AM258" s="73"/>
      <c r="AN258" s="73"/>
      <c r="AO258" s="73"/>
      <c r="AP258" s="73"/>
      <c r="AQ258" s="73"/>
      <c r="AR258" s="73"/>
      <c r="AS258" s="73"/>
      <c r="AT258" s="73"/>
      <c r="AU258" s="73"/>
      <c r="AV258" s="73"/>
    </row>
    <row r="259" spans="1:48" s="37" customFormat="1" ht="16.5" x14ac:dyDescent="0.3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  <c r="AA259" s="73"/>
      <c r="AB259" s="73"/>
      <c r="AC259" s="73"/>
      <c r="AD259" s="73"/>
      <c r="AE259" s="73"/>
      <c r="AF259" s="73"/>
      <c r="AG259" s="73"/>
      <c r="AH259" s="73"/>
      <c r="AI259" s="73"/>
      <c r="AJ259" s="73"/>
      <c r="AK259" s="73"/>
      <c r="AL259" s="73"/>
      <c r="AM259" s="73"/>
      <c r="AN259" s="73"/>
      <c r="AO259" s="73"/>
      <c r="AP259" s="73"/>
      <c r="AQ259" s="73"/>
      <c r="AR259" s="73"/>
      <c r="AS259" s="73"/>
      <c r="AT259" s="73"/>
      <c r="AU259" s="73"/>
      <c r="AV259" s="73"/>
    </row>
    <row r="260" spans="1:48" s="37" customFormat="1" ht="16.5" x14ac:dyDescent="0.3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3"/>
      <c r="AE260" s="73"/>
      <c r="AF260" s="73"/>
      <c r="AG260" s="73"/>
      <c r="AH260" s="73"/>
      <c r="AI260" s="73"/>
      <c r="AJ260" s="73"/>
      <c r="AK260" s="73"/>
      <c r="AL260" s="73"/>
      <c r="AM260" s="73"/>
      <c r="AN260" s="73"/>
      <c r="AO260" s="73"/>
      <c r="AP260" s="73"/>
      <c r="AQ260" s="73"/>
      <c r="AR260" s="73"/>
      <c r="AS260" s="73"/>
      <c r="AT260" s="73"/>
      <c r="AU260" s="73"/>
      <c r="AV260" s="73"/>
    </row>
    <row r="261" spans="1:48" s="37" customFormat="1" ht="16.5" x14ac:dyDescent="0.3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3"/>
      <c r="AE261" s="73"/>
      <c r="AF261" s="73"/>
      <c r="AG261" s="73"/>
      <c r="AH261" s="73"/>
      <c r="AI261" s="73"/>
      <c r="AJ261" s="73"/>
      <c r="AK261" s="73"/>
      <c r="AL261" s="73"/>
      <c r="AM261" s="73"/>
      <c r="AN261" s="73"/>
      <c r="AO261" s="73"/>
      <c r="AP261" s="73"/>
      <c r="AQ261" s="73"/>
      <c r="AR261" s="73"/>
      <c r="AS261" s="73"/>
      <c r="AT261" s="73"/>
      <c r="AU261" s="73"/>
      <c r="AV261" s="73"/>
    </row>
    <row r="262" spans="1:48" s="37" customFormat="1" ht="16.5" x14ac:dyDescent="0.3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3"/>
      <c r="AE262" s="73"/>
      <c r="AF262" s="73"/>
      <c r="AG262" s="73"/>
      <c r="AH262" s="73"/>
      <c r="AI262" s="73"/>
      <c r="AJ262" s="73"/>
      <c r="AK262" s="73"/>
      <c r="AL262" s="73"/>
      <c r="AM262" s="73"/>
      <c r="AN262" s="73"/>
      <c r="AO262" s="73"/>
      <c r="AP262" s="73"/>
      <c r="AQ262" s="73"/>
      <c r="AR262" s="73"/>
      <c r="AS262" s="73"/>
      <c r="AT262" s="73"/>
      <c r="AU262" s="73"/>
      <c r="AV262" s="73"/>
    </row>
    <row r="263" spans="1:48" s="37" customFormat="1" ht="16.5" x14ac:dyDescent="0.3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3"/>
      <c r="AE263" s="73"/>
      <c r="AF263" s="73"/>
      <c r="AG263" s="73"/>
      <c r="AH263" s="73"/>
      <c r="AI263" s="73"/>
      <c r="AJ263" s="73"/>
      <c r="AK263" s="73"/>
      <c r="AL263" s="73"/>
      <c r="AM263" s="73"/>
      <c r="AN263" s="73"/>
      <c r="AO263" s="73"/>
      <c r="AP263" s="73"/>
      <c r="AQ263" s="73"/>
      <c r="AR263" s="73"/>
      <c r="AS263" s="73"/>
      <c r="AT263" s="73"/>
      <c r="AU263" s="73"/>
      <c r="AV263" s="73"/>
    </row>
    <row r="264" spans="1:48" s="37" customFormat="1" ht="16.5" x14ac:dyDescent="0.3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3"/>
      <c r="AE264" s="73"/>
      <c r="AF264" s="73"/>
      <c r="AG264" s="73"/>
      <c r="AH264" s="73"/>
      <c r="AI264" s="73"/>
      <c r="AJ264" s="73"/>
      <c r="AK264" s="73"/>
      <c r="AL264" s="73"/>
      <c r="AM264" s="73"/>
      <c r="AN264" s="73"/>
      <c r="AO264" s="73"/>
      <c r="AP264" s="73"/>
      <c r="AQ264" s="73"/>
      <c r="AR264" s="73"/>
      <c r="AS264" s="73"/>
      <c r="AT264" s="73"/>
      <c r="AU264" s="73"/>
      <c r="AV264" s="73"/>
    </row>
    <row r="265" spans="1:48" s="37" customFormat="1" ht="16.5" x14ac:dyDescent="0.3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3"/>
      <c r="AE265" s="73"/>
      <c r="AF265" s="73"/>
      <c r="AG265" s="73"/>
      <c r="AH265" s="73"/>
      <c r="AI265" s="73"/>
      <c r="AJ265" s="73"/>
      <c r="AK265" s="73"/>
      <c r="AL265" s="73"/>
      <c r="AM265" s="73"/>
      <c r="AN265" s="73"/>
      <c r="AO265" s="73"/>
      <c r="AP265" s="73"/>
      <c r="AQ265" s="73"/>
      <c r="AR265" s="73"/>
      <c r="AS265" s="73"/>
      <c r="AT265" s="73"/>
      <c r="AU265" s="73"/>
      <c r="AV265" s="73"/>
    </row>
    <row r="266" spans="1:48" s="37" customFormat="1" ht="16.5" x14ac:dyDescent="0.3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3"/>
      <c r="AE266" s="73"/>
      <c r="AF266" s="73"/>
      <c r="AG266" s="73"/>
      <c r="AH266" s="73"/>
      <c r="AI266" s="73"/>
      <c r="AJ266" s="73"/>
      <c r="AK266" s="73"/>
      <c r="AL266" s="73"/>
      <c r="AM266" s="73"/>
      <c r="AN266" s="73"/>
      <c r="AO266" s="73"/>
      <c r="AP266" s="73"/>
      <c r="AQ266" s="73"/>
      <c r="AR266" s="73"/>
      <c r="AS266" s="73"/>
      <c r="AT266" s="73"/>
      <c r="AU266" s="73"/>
      <c r="AV266" s="73"/>
    </row>
    <row r="267" spans="1:48" s="37" customFormat="1" ht="16.5" x14ac:dyDescent="0.3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3"/>
      <c r="AE267" s="73"/>
      <c r="AF267" s="73"/>
      <c r="AG267" s="73"/>
      <c r="AH267" s="73"/>
      <c r="AI267" s="73"/>
      <c r="AJ267" s="73"/>
      <c r="AK267" s="73"/>
      <c r="AL267" s="73"/>
      <c r="AM267" s="73"/>
      <c r="AN267" s="73"/>
      <c r="AO267" s="73"/>
      <c r="AP267" s="73"/>
      <c r="AQ267" s="73"/>
      <c r="AR267" s="73"/>
      <c r="AS267" s="73"/>
      <c r="AT267" s="73"/>
      <c r="AU267" s="73"/>
      <c r="AV267" s="73"/>
    </row>
    <row r="268" spans="1:48" s="37" customFormat="1" ht="16.5" x14ac:dyDescent="0.3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3"/>
      <c r="AE268" s="73"/>
      <c r="AF268" s="73"/>
      <c r="AG268" s="73"/>
      <c r="AH268" s="73"/>
      <c r="AI268" s="73"/>
      <c r="AJ268" s="73"/>
      <c r="AK268" s="73"/>
      <c r="AL268" s="73"/>
      <c r="AM268" s="73"/>
      <c r="AN268" s="73"/>
      <c r="AO268" s="73"/>
      <c r="AP268" s="73"/>
      <c r="AQ268" s="73"/>
      <c r="AR268" s="73"/>
      <c r="AS268" s="73"/>
      <c r="AT268" s="73"/>
      <c r="AU268" s="73"/>
      <c r="AV268" s="73"/>
    </row>
    <row r="269" spans="1:48" s="37" customFormat="1" ht="16.5" x14ac:dyDescent="0.3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3"/>
      <c r="AE269" s="73"/>
      <c r="AF269" s="73"/>
      <c r="AG269" s="73"/>
      <c r="AH269" s="73"/>
      <c r="AI269" s="73"/>
      <c r="AJ269" s="73"/>
      <c r="AK269" s="73"/>
      <c r="AL269" s="73"/>
      <c r="AM269" s="73"/>
      <c r="AN269" s="73"/>
      <c r="AO269" s="73"/>
      <c r="AP269" s="73"/>
      <c r="AQ269" s="73"/>
      <c r="AR269" s="73"/>
      <c r="AS269" s="73"/>
      <c r="AT269" s="73"/>
      <c r="AU269" s="73"/>
      <c r="AV269" s="73"/>
    </row>
    <row r="270" spans="1:48" s="37" customFormat="1" ht="16.5" x14ac:dyDescent="0.3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3"/>
      <c r="AE270" s="73"/>
      <c r="AF270" s="73"/>
      <c r="AG270" s="73"/>
      <c r="AH270" s="73"/>
      <c r="AI270" s="73"/>
      <c r="AJ270" s="73"/>
      <c r="AK270" s="73"/>
      <c r="AL270" s="73"/>
      <c r="AM270" s="73"/>
      <c r="AN270" s="73"/>
      <c r="AO270" s="73"/>
      <c r="AP270" s="73"/>
      <c r="AQ270" s="73"/>
      <c r="AR270" s="73"/>
      <c r="AS270" s="73"/>
      <c r="AT270" s="73"/>
      <c r="AU270" s="73"/>
      <c r="AV270" s="73"/>
    </row>
    <row r="271" spans="1:48" s="37" customFormat="1" ht="16.5" x14ac:dyDescent="0.3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3"/>
      <c r="AE271" s="73"/>
      <c r="AF271" s="73"/>
      <c r="AG271" s="73"/>
      <c r="AH271" s="73"/>
      <c r="AI271" s="73"/>
      <c r="AJ271" s="73"/>
      <c r="AK271" s="73"/>
      <c r="AL271" s="73"/>
      <c r="AM271" s="73"/>
      <c r="AN271" s="73"/>
      <c r="AO271" s="73"/>
      <c r="AP271" s="73"/>
      <c r="AQ271" s="73"/>
      <c r="AR271" s="73"/>
      <c r="AS271" s="73"/>
      <c r="AT271" s="73"/>
      <c r="AU271" s="73"/>
      <c r="AV271" s="73"/>
    </row>
    <row r="272" spans="1:48" s="37" customFormat="1" ht="16.5" x14ac:dyDescent="0.3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3"/>
      <c r="AE272" s="73"/>
      <c r="AF272" s="73"/>
      <c r="AG272" s="73"/>
      <c r="AH272" s="73"/>
      <c r="AI272" s="73"/>
      <c r="AJ272" s="73"/>
      <c r="AK272" s="73"/>
      <c r="AL272" s="73"/>
      <c r="AM272" s="73"/>
      <c r="AN272" s="73"/>
      <c r="AO272" s="73"/>
      <c r="AP272" s="73"/>
      <c r="AQ272" s="73"/>
      <c r="AR272" s="73"/>
      <c r="AS272" s="73"/>
      <c r="AT272" s="73"/>
      <c r="AU272" s="73"/>
      <c r="AV272" s="73"/>
    </row>
    <row r="273" spans="1:48" s="37" customFormat="1" ht="16.5" x14ac:dyDescent="0.3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3"/>
      <c r="AE273" s="73"/>
      <c r="AF273" s="73"/>
      <c r="AG273" s="73"/>
      <c r="AH273" s="73"/>
      <c r="AI273" s="73"/>
      <c r="AJ273" s="73"/>
      <c r="AK273" s="73"/>
      <c r="AL273" s="73"/>
      <c r="AM273" s="73"/>
      <c r="AN273" s="73"/>
      <c r="AO273" s="73"/>
      <c r="AP273" s="73"/>
      <c r="AQ273" s="73"/>
      <c r="AR273" s="73"/>
      <c r="AS273" s="73"/>
      <c r="AT273" s="73"/>
      <c r="AU273" s="73"/>
      <c r="AV273" s="73"/>
    </row>
    <row r="274" spans="1:48" s="37" customFormat="1" ht="16.5" x14ac:dyDescent="0.3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3"/>
      <c r="AE274" s="73"/>
      <c r="AF274" s="73"/>
      <c r="AG274" s="73"/>
      <c r="AH274" s="73"/>
      <c r="AI274" s="73"/>
      <c r="AJ274" s="73"/>
      <c r="AK274" s="73"/>
      <c r="AL274" s="73"/>
      <c r="AM274" s="73"/>
      <c r="AN274" s="73"/>
      <c r="AO274" s="73"/>
      <c r="AP274" s="73"/>
      <c r="AQ274" s="73"/>
      <c r="AR274" s="73"/>
      <c r="AS274" s="73"/>
      <c r="AT274" s="73"/>
      <c r="AU274" s="73"/>
      <c r="AV274" s="73"/>
    </row>
    <row r="275" spans="1:48" s="37" customFormat="1" ht="16.5" x14ac:dyDescent="0.3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3"/>
      <c r="AE275" s="73"/>
      <c r="AF275" s="73"/>
      <c r="AG275" s="73"/>
      <c r="AH275" s="73"/>
      <c r="AI275" s="73"/>
      <c r="AJ275" s="73"/>
      <c r="AK275" s="73"/>
      <c r="AL275" s="73"/>
      <c r="AM275" s="73"/>
      <c r="AN275" s="73"/>
      <c r="AO275" s="73"/>
      <c r="AP275" s="73"/>
      <c r="AQ275" s="73"/>
      <c r="AR275" s="73"/>
      <c r="AS275" s="73"/>
      <c r="AT275" s="73"/>
      <c r="AU275" s="73"/>
      <c r="AV275" s="73"/>
    </row>
    <row r="276" spans="1:48" s="37" customFormat="1" ht="16.5" x14ac:dyDescent="0.3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3"/>
      <c r="AE276" s="73"/>
      <c r="AF276" s="73"/>
      <c r="AG276" s="73"/>
      <c r="AH276" s="73"/>
      <c r="AI276" s="73"/>
      <c r="AJ276" s="73"/>
      <c r="AK276" s="73"/>
      <c r="AL276" s="73"/>
      <c r="AM276" s="73"/>
      <c r="AN276" s="73"/>
      <c r="AO276" s="73"/>
      <c r="AP276" s="73"/>
      <c r="AQ276" s="73"/>
      <c r="AR276" s="73"/>
      <c r="AS276" s="73"/>
      <c r="AT276" s="73"/>
      <c r="AU276" s="73"/>
      <c r="AV276" s="73"/>
    </row>
    <row r="277" spans="1:48" s="37" customFormat="1" ht="16.5" x14ac:dyDescent="0.3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  <c r="AA277" s="73"/>
      <c r="AB277" s="73"/>
      <c r="AC277" s="73"/>
      <c r="AD277" s="73"/>
      <c r="AE277" s="73"/>
      <c r="AF277" s="73"/>
      <c r="AG277" s="73"/>
      <c r="AH277" s="73"/>
      <c r="AI277" s="73"/>
      <c r="AJ277" s="73"/>
      <c r="AK277" s="73"/>
      <c r="AL277" s="73"/>
      <c r="AM277" s="73"/>
      <c r="AN277" s="73"/>
      <c r="AO277" s="73"/>
      <c r="AP277" s="73"/>
      <c r="AQ277" s="73"/>
      <c r="AR277" s="73"/>
      <c r="AS277" s="73"/>
      <c r="AT277" s="73"/>
      <c r="AU277" s="73"/>
      <c r="AV277" s="73"/>
    </row>
    <row r="278" spans="1:48" s="37" customFormat="1" ht="16.5" x14ac:dyDescent="0.3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  <c r="AA278" s="73"/>
      <c r="AB278" s="73"/>
      <c r="AC278" s="73"/>
      <c r="AD278" s="73"/>
      <c r="AE278" s="73"/>
      <c r="AF278" s="73"/>
      <c r="AG278" s="73"/>
      <c r="AH278" s="73"/>
      <c r="AI278" s="73"/>
      <c r="AJ278" s="73"/>
      <c r="AK278" s="73"/>
      <c r="AL278" s="73"/>
      <c r="AM278" s="73"/>
      <c r="AN278" s="73"/>
      <c r="AO278" s="73"/>
      <c r="AP278" s="73"/>
      <c r="AQ278" s="73"/>
      <c r="AR278" s="73"/>
      <c r="AS278" s="73"/>
      <c r="AT278" s="73"/>
      <c r="AU278" s="73"/>
      <c r="AV278" s="73"/>
    </row>
    <row r="279" spans="1:48" s="37" customFormat="1" ht="16.5" x14ac:dyDescent="0.3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  <c r="AA279" s="73"/>
      <c r="AB279" s="73"/>
      <c r="AC279" s="73"/>
      <c r="AD279" s="73"/>
      <c r="AE279" s="73"/>
      <c r="AF279" s="73"/>
      <c r="AG279" s="73"/>
      <c r="AH279" s="73"/>
      <c r="AI279" s="73"/>
      <c r="AJ279" s="73"/>
      <c r="AK279" s="73"/>
      <c r="AL279" s="73"/>
      <c r="AM279" s="73"/>
      <c r="AN279" s="73"/>
      <c r="AO279" s="73"/>
      <c r="AP279" s="73"/>
      <c r="AQ279" s="73"/>
      <c r="AR279" s="73"/>
      <c r="AS279" s="73"/>
      <c r="AT279" s="73"/>
      <c r="AU279" s="73"/>
      <c r="AV279" s="73"/>
    </row>
    <row r="280" spans="1:48" s="37" customFormat="1" ht="16.5" x14ac:dyDescent="0.3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  <c r="AA280" s="73"/>
      <c r="AB280" s="73"/>
      <c r="AC280" s="73"/>
      <c r="AD280" s="73"/>
      <c r="AE280" s="73"/>
      <c r="AF280" s="73"/>
      <c r="AG280" s="73"/>
      <c r="AH280" s="73"/>
      <c r="AI280" s="73"/>
      <c r="AJ280" s="73"/>
      <c r="AK280" s="73"/>
      <c r="AL280" s="73"/>
      <c r="AM280" s="73"/>
      <c r="AN280" s="73"/>
      <c r="AO280" s="73"/>
      <c r="AP280" s="73"/>
      <c r="AQ280" s="73"/>
      <c r="AR280" s="73"/>
      <c r="AS280" s="73"/>
      <c r="AT280" s="73"/>
      <c r="AU280" s="73"/>
      <c r="AV280" s="73"/>
    </row>
    <row r="281" spans="1:48" s="37" customFormat="1" ht="16.5" x14ac:dyDescent="0.3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  <c r="AA281" s="73"/>
      <c r="AB281" s="73"/>
      <c r="AC281" s="73"/>
      <c r="AD281" s="73"/>
      <c r="AE281" s="73"/>
      <c r="AF281" s="73"/>
      <c r="AG281" s="73"/>
      <c r="AH281" s="73"/>
      <c r="AI281" s="73"/>
      <c r="AJ281" s="73"/>
      <c r="AK281" s="73"/>
      <c r="AL281" s="73"/>
      <c r="AM281" s="73"/>
      <c r="AN281" s="73"/>
      <c r="AO281" s="73"/>
      <c r="AP281" s="73"/>
      <c r="AQ281" s="73"/>
      <c r="AR281" s="73"/>
      <c r="AS281" s="73"/>
      <c r="AT281" s="73"/>
      <c r="AU281" s="73"/>
      <c r="AV281" s="73"/>
    </row>
    <row r="282" spans="1:48" s="37" customFormat="1" ht="16.5" x14ac:dyDescent="0.3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  <c r="AA282" s="73"/>
      <c r="AB282" s="73"/>
      <c r="AC282" s="73"/>
      <c r="AD282" s="73"/>
      <c r="AE282" s="73"/>
      <c r="AF282" s="73"/>
      <c r="AG282" s="73"/>
      <c r="AH282" s="73"/>
      <c r="AI282" s="73"/>
      <c r="AJ282" s="73"/>
      <c r="AK282" s="73"/>
      <c r="AL282" s="73"/>
      <c r="AM282" s="73"/>
      <c r="AN282" s="73"/>
      <c r="AO282" s="73"/>
      <c r="AP282" s="73"/>
      <c r="AQ282" s="73"/>
      <c r="AR282" s="73"/>
      <c r="AS282" s="73"/>
      <c r="AT282" s="73"/>
      <c r="AU282" s="73"/>
      <c r="AV282" s="73"/>
    </row>
    <row r="283" spans="1:48" s="37" customFormat="1" ht="16.5" x14ac:dyDescent="0.3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  <c r="AA283" s="73"/>
      <c r="AB283" s="73"/>
      <c r="AC283" s="73"/>
      <c r="AD283" s="73"/>
      <c r="AE283" s="73"/>
      <c r="AF283" s="73"/>
      <c r="AG283" s="73"/>
      <c r="AH283" s="73"/>
      <c r="AI283" s="73"/>
      <c r="AJ283" s="73"/>
      <c r="AK283" s="73"/>
      <c r="AL283" s="73"/>
      <c r="AM283" s="73"/>
      <c r="AN283" s="73"/>
      <c r="AO283" s="73"/>
      <c r="AP283" s="73"/>
      <c r="AQ283" s="73"/>
      <c r="AR283" s="73"/>
      <c r="AS283" s="73"/>
      <c r="AT283" s="73"/>
      <c r="AU283" s="73"/>
      <c r="AV283" s="73"/>
    </row>
    <row r="284" spans="1:48" s="37" customFormat="1" ht="16.5" x14ac:dyDescent="0.3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3"/>
      <c r="AH284" s="73"/>
      <c r="AI284" s="73"/>
      <c r="AJ284" s="73"/>
      <c r="AK284" s="73"/>
      <c r="AL284" s="73"/>
      <c r="AM284" s="73"/>
      <c r="AN284" s="73"/>
      <c r="AO284" s="73"/>
      <c r="AP284" s="73"/>
      <c r="AQ284" s="73"/>
      <c r="AR284" s="73"/>
      <c r="AS284" s="73"/>
      <c r="AT284" s="73"/>
      <c r="AU284" s="73"/>
      <c r="AV284" s="73"/>
    </row>
    <row r="285" spans="1:48" s="37" customFormat="1" ht="16.5" x14ac:dyDescent="0.3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  <c r="AA285" s="73"/>
      <c r="AB285" s="73"/>
      <c r="AC285" s="73"/>
      <c r="AD285" s="73"/>
      <c r="AE285" s="73"/>
      <c r="AF285" s="73"/>
      <c r="AG285" s="73"/>
      <c r="AH285" s="73"/>
      <c r="AI285" s="73"/>
      <c r="AJ285" s="73"/>
      <c r="AK285" s="73"/>
      <c r="AL285" s="73"/>
      <c r="AM285" s="73"/>
      <c r="AN285" s="73"/>
      <c r="AO285" s="73"/>
      <c r="AP285" s="73"/>
      <c r="AQ285" s="73"/>
      <c r="AR285" s="73"/>
      <c r="AS285" s="73"/>
      <c r="AT285" s="73"/>
      <c r="AU285" s="73"/>
      <c r="AV285" s="73"/>
    </row>
    <row r="286" spans="1:48" s="37" customFormat="1" ht="16.5" x14ac:dyDescent="0.3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  <c r="AA286" s="73"/>
      <c r="AB286" s="73"/>
      <c r="AC286" s="73"/>
      <c r="AD286" s="73"/>
      <c r="AE286" s="73"/>
      <c r="AF286" s="73"/>
      <c r="AG286" s="73"/>
      <c r="AH286" s="73"/>
      <c r="AI286" s="73"/>
      <c r="AJ286" s="73"/>
      <c r="AK286" s="73"/>
      <c r="AL286" s="73"/>
      <c r="AM286" s="73"/>
      <c r="AN286" s="73"/>
      <c r="AO286" s="73"/>
      <c r="AP286" s="73"/>
      <c r="AQ286" s="73"/>
      <c r="AR286" s="73"/>
      <c r="AS286" s="73"/>
      <c r="AT286" s="73"/>
      <c r="AU286" s="73"/>
      <c r="AV286" s="73"/>
    </row>
    <row r="287" spans="1:48" s="37" customFormat="1" ht="16.5" x14ac:dyDescent="0.3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  <c r="AA287" s="73"/>
      <c r="AB287" s="73"/>
      <c r="AC287" s="73"/>
      <c r="AD287" s="73"/>
      <c r="AE287" s="73"/>
      <c r="AF287" s="73"/>
      <c r="AG287" s="73"/>
      <c r="AH287" s="73"/>
      <c r="AI287" s="73"/>
      <c r="AJ287" s="73"/>
      <c r="AK287" s="73"/>
      <c r="AL287" s="73"/>
      <c r="AM287" s="73"/>
      <c r="AN287" s="73"/>
      <c r="AO287" s="73"/>
      <c r="AP287" s="73"/>
      <c r="AQ287" s="73"/>
      <c r="AR287" s="73"/>
      <c r="AS287" s="73"/>
      <c r="AT287" s="73"/>
      <c r="AU287" s="73"/>
      <c r="AV287" s="73"/>
    </row>
    <row r="288" spans="1:48" s="37" customFormat="1" ht="16.5" x14ac:dyDescent="0.3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  <c r="AA288" s="73"/>
      <c r="AB288" s="73"/>
      <c r="AC288" s="73"/>
      <c r="AD288" s="73"/>
      <c r="AE288" s="73"/>
      <c r="AF288" s="73"/>
      <c r="AG288" s="73"/>
      <c r="AH288" s="73"/>
      <c r="AI288" s="73"/>
      <c r="AJ288" s="73"/>
      <c r="AK288" s="73"/>
      <c r="AL288" s="73"/>
      <c r="AM288" s="73"/>
      <c r="AN288" s="73"/>
      <c r="AO288" s="73"/>
      <c r="AP288" s="73"/>
      <c r="AQ288" s="73"/>
      <c r="AR288" s="73"/>
      <c r="AS288" s="73"/>
      <c r="AT288" s="73"/>
      <c r="AU288" s="73"/>
      <c r="AV288" s="73"/>
    </row>
    <row r="289" spans="1:48" s="37" customFormat="1" ht="16.5" x14ac:dyDescent="0.3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  <c r="AA289" s="73"/>
      <c r="AB289" s="73"/>
      <c r="AC289" s="73"/>
      <c r="AD289" s="73"/>
      <c r="AE289" s="73"/>
      <c r="AF289" s="73"/>
      <c r="AG289" s="73"/>
      <c r="AH289" s="73"/>
      <c r="AI289" s="73"/>
      <c r="AJ289" s="73"/>
      <c r="AK289" s="73"/>
      <c r="AL289" s="73"/>
      <c r="AM289" s="73"/>
      <c r="AN289" s="73"/>
      <c r="AO289" s="73"/>
      <c r="AP289" s="73"/>
      <c r="AQ289" s="73"/>
      <c r="AR289" s="73"/>
      <c r="AS289" s="73"/>
      <c r="AT289" s="73"/>
      <c r="AU289" s="73"/>
      <c r="AV289" s="73"/>
    </row>
    <row r="290" spans="1:48" s="37" customFormat="1" ht="16.5" x14ac:dyDescent="0.3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  <c r="AI290" s="73"/>
      <c r="AJ290" s="73"/>
      <c r="AK290" s="73"/>
      <c r="AL290" s="73"/>
      <c r="AM290" s="73"/>
      <c r="AN290" s="73"/>
      <c r="AO290" s="73"/>
      <c r="AP290" s="73"/>
      <c r="AQ290" s="73"/>
      <c r="AR290" s="73"/>
      <c r="AS290" s="73"/>
      <c r="AT290" s="73"/>
      <c r="AU290" s="73"/>
      <c r="AV290" s="73"/>
    </row>
    <row r="291" spans="1:48" s="37" customFormat="1" ht="16.5" x14ac:dyDescent="0.3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  <c r="AA291" s="73"/>
      <c r="AB291" s="73"/>
      <c r="AC291" s="73"/>
      <c r="AD291" s="73"/>
      <c r="AE291" s="73"/>
      <c r="AF291" s="73"/>
      <c r="AG291" s="73"/>
      <c r="AH291" s="73"/>
      <c r="AI291" s="73"/>
      <c r="AJ291" s="73"/>
      <c r="AK291" s="73"/>
      <c r="AL291" s="73"/>
      <c r="AM291" s="73"/>
      <c r="AN291" s="73"/>
      <c r="AO291" s="73"/>
      <c r="AP291" s="73"/>
      <c r="AQ291" s="73"/>
      <c r="AR291" s="73"/>
      <c r="AS291" s="73"/>
      <c r="AT291" s="73"/>
      <c r="AU291" s="73"/>
      <c r="AV291" s="73"/>
    </row>
    <row r="292" spans="1:48" s="37" customFormat="1" ht="16.5" x14ac:dyDescent="0.3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3"/>
      <c r="AE292" s="73"/>
      <c r="AF292" s="73"/>
      <c r="AG292" s="73"/>
      <c r="AH292" s="73"/>
      <c r="AI292" s="73"/>
      <c r="AJ292" s="73"/>
      <c r="AK292" s="73"/>
      <c r="AL292" s="73"/>
      <c r="AM292" s="73"/>
      <c r="AN292" s="73"/>
      <c r="AO292" s="73"/>
      <c r="AP292" s="73"/>
      <c r="AQ292" s="73"/>
      <c r="AR292" s="73"/>
      <c r="AS292" s="73"/>
      <c r="AT292" s="73"/>
      <c r="AU292" s="73"/>
      <c r="AV292" s="73"/>
    </row>
    <row r="293" spans="1:48" s="37" customFormat="1" ht="16.5" x14ac:dyDescent="0.3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  <c r="AA293" s="73"/>
      <c r="AB293" s="73"/>
      <c r="AC293" s="73"/>
      <c r="AD293" s="73"/>
      <c r="AE293" s="73"/>
      <c r="AF293" s="73"/>
      <c r="AG293" s="73"/>
      <c r="AH293" s="73"/>
      <c r="AI293" s="73"/>
      <c r="AJ293" s="73"/>
      <c r="AK293" s="73"/>
      <c r="AL293" s="73"/>
      <c r="AM293" s="73"/>
      <c r="AN293" s="73"/>
      <c r="AO293" s="73"/>
      <c r="AP293" s="73"/>
      <c r="AQ293" s="73"/>
      <c r="AR293" s="73"/>
      <c r="AS293" s="73"/>
      <c r="AT293" s="73"/>
      <c r="AU293" s="73"/>
      <c r="AV293" s="73"/>
    </row>
    <row r="294" spans="1:48" s="37" customFormat="1" ht="16.5" x14ac:dyDescent="0.3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  <c r="AA294" s="73"/>
      <c r="AB294" s="73"/>
      <c r="AC294" s="73"/>
      <c r="AD294" s="73"/>
      <c r="AE294" s="73"/>
      <c r="AF294" s="73"/>
      <c r="AG294" s="73"/>
      <c r="AH294" s="73"/>
      <c r="AI294" s="73"/>
      <c r="AJ294" s="73"/>
      <c r="AK294" s="73"/>
      <c r="AL294" s="73"/>
      <c r="AM294" s="73"/>
      <c r="AN294" s="73"/>
      <c r="AO294" s="73"/>
      <c r="AP294" s="73"/>
      <c r="AQ294" s="73"/>
      <c r="AR294" s="73"/>
      <c r="AS294" s="73"/>
      <c r="AT294" s="73"/>
      <c r="AU294" s="73"/>
      <c r="AV294" s="73"/>
    </row>
    <row r="295" spans="1:48" s="37" customFormat="1" ht="16.5" x14ac:dyDescent="0.3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  <c r="AA295" s="73"/>
      <c r="AB295" s="73"/>
      <c r="AC295" s="73"/>
      <c r="AD295" s="73"/>
      <c r="AE295" s="73"/>
      <c r="AF295" s="73"/>
      <c r="AG295" s="73"/>
      <c r="AH295" s="73"/>
      <c r="AI295" s="73"/>
      <c r="AJ295" s="73"/>
      <c r="AK295" s="73"/>
      <c r="AL295" s="73"/>
      <c r="AM295" s="73"/>
      <c r="AN295" s="73"/>
      <c r="AO295" s="73"/>
      <c r="AP295" s="73"/>
      <c r="AQ295" s="73"/>
      <c r="AR295" s="73"/>
      <c r="AS295" s="73"/>
      <c r="AT295" s="73"/>
      <c r="AU295" s="73"/>
      <c r="AV295" s="73"/>
    </row>
    <row r="296" spans="1:48" s="37" customFormat="1" ht="16.5" x14ac:dyDescent="0.3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  <c r="AA296" s="73"/>
      <c r="AB296" s="73"/>
      <c r="AC296" s="73"/>
      <c r="AD296" s="73"/>
      <c r="AE296" s="73"/>
      <c r="AF296" s="73"/>
      <c r="AG296" s="73"/>
      <c r="AH296" s="73"/>
      <c r="AI296" s="73"/>
      <c r="AJ296" s="73"/>
      <c r="AK296" s="73"/>
      <c r="AL296" s="73"/>
      <c r="AM296" s="73"/>
      <c r="AN296" s="73"/>
      <c r="AO296" s="73"/>
      <c r="AP296" s="73"/>
      <c r="AQ296" s="73"/>
      <c r="AR296" s="73"/>
      <c r="AS296" s="73"/>
      <c r="AT296" s="73"/>
      <c r="AU296" s="73"/>
      <c r="AV296" s="73"/>
    </row>
    <row r="297" spans="1:48" s="37" customFormat="1" ht="16.5" x14ac:dyDescent="0.3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  <c r="AA297" s="73"/>
      <c r="AB297" s="73"/>
      <c r="AC297" s="73"/>
      <c r="AD297" s="73"/>
      <c r="AE297" s="73"/>
      <c r="AF297" s="73"/>
      <c r="AG297" s="73"/>
      <c r="AH297" s="73"/>
      <c r="AI297" s="73"/>
      <c r="AJ297" s="73"/>
      <c r="AK297" s="73"/>
      <c r="AL297" s="73"/>
      <c r="AM297" s="73"/>
      <c r="AN297" s="73"/>
      <c r="AO297" s="73"/>
      <c r="AP297" s="73"/>
      <c r="AQ297" s="73"/>
      <c r="AR297" s="73"/>
      <c r="AS297" s="73"/>
      <c r="AT297" s="73"/>
      <c r="AU297" s="73"/>
      <c r="AV297" s="73"/>
    </row>
    <row r="298" spans="1:48" s="37" customFormat="1" ht="16.5" x14ac:dyDescent="0.3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3"/>
      <c r="AE298" s="73"/>
      <c r="AF298" s="73"/>
      <c r="AG298" s="73"/>
      <c r="AH298" s="73"/>
      <c r="AI298" s="73"/>
      <c r="AJ298" s="73"/>
      <c r="AK298" s="73"/>
      <c r="AL298" s="73"/>
      <c r="AM298" s="73"/>
      <c r="AN298" s="73"/>
      <c r="AO298" s="73"/>
      <c r="AP298" s="73"/>
      <c r="AQ298" s="73"/>
      <c r="AR298" s="73"/>
      <c r="AS298" s="73"/>
      <c r="AT298" s="73"/>
      <c r="AU298" s="73"/>
      <c r="AV298" s="73"/>
    </row>
    <row r="299" spans="1:48" s="37" customFormat="1" ht="16.5" x14ac:dyDescent="0.3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3"/>
      <c r="AE299" s="73"/>
      <c r="AF299" s="73"/>
      <c r="AG299" s="73"/>
      <c r="AH299" s="73"/>
      <c r="AI299" s="73"/>
      <c r="AJ299" s="73"/>
      <c r="AK299" s="73"/>
      <c r="AL299" s="73"/>
      <c r="AM299" s="73"/>
      <c r="AN299" s="73"/>
      <c r="AO299" s="73"/>
      <c r="AP299" s="73"/>
      <c r="AQ299" s="73"/>
      <c r="AR299" s="73"/>
      <c r="AS299" s="73"/>
      <c r="AT299" s="73"/>
      <c r="AU299" s="73"/>
      <c r="AV299" s="73"/>
    </row>
    <row r="300" spans="1:48" s="37" customFormat="1" ht="16.5" x14ac:dyDescent="0.3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3"/>
      <c r="AE300" s="73"/>
      <c r="AF300" s="73"/>
      <c r="AG300" s="73"/>
      <c r="AH300" s="73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3"/>
      <c r="AT300" s="73"/>
      <c r="AU300" s="73"/>
      <c r="AV300" s="73"/>
    </row>
    <row r="301" spans="1:48" s="37" customFormat="1" ht="16.5" x14ac:dyDescent="0.3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3"/>
      <c r="AE301" s="73"/>
      <c r="AF301" s="73"/>
      <c r="AG301" s="73"/>
      <c r="AH301" s="73"/>
      <c r="AI301" s="73"/>
      <c r="AJ301" s="73"/>
      <c r="AK301" s="73"/>
      <c r="AL301" s="73"/>
      <c r="AM301" s="73"/>
      <c r="AN301" s="73"/>
      <c r="AO301" s="73"/>
      <c r="AP301" s="73"/>
      <c r="AQ301" s="73"/>
      <c r="AR301" s="73"/>
      <c r="AS301" s="73"/>
      <c r="AT301" s="73"/>
      <c r="AU301" s="73"/>
      <c r="AV301" s="73"/>
    </row>
    <row r="302" spans="1:48" s="37" customFormat="1" ht="16.5" x14ac:dyDescent="0.3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3"/>
      <c r="AE302" s="73"/>
      <c r="AF302" s="73"/>
      <c r="AG302" s="73"/>
      <c r="AH302" s="73"/>
      <c r="AI302" s="73"/>
      <c r="AJ302" s="73"/>
      <c r="AK302" s="73"/>
      <c r="AL302" s="73"/>
      <c r="AM302" s="73"/>
      <c r="AN302" s="73"/>
      <c r="AO302" s="73"/>
      <c r="AP302" s="73"/>
      <c r="AQ302" s="73"/>
      <c r="AR302" s="73"/>
      <c r="AS302" s="73"/>
      <c r="AT302" s="73"/>
      <c r="AU302" s="73"/>
      <c r="AV302" s="73"/>
    </row>
    <row r="303" spans="1:48" s="37" customFormat="1" ht="16.5" x14ac:dyDescent="0.3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3"/>
      <c r="AE303" s="73"/>
      <c r="AF303" s="73"/>
      <c r="AG303" s="73"/>
      <c r="AH303" s="73"/>
      <c r="AI303" s="73"/>
      <c r="AJ303" s="73"/>
      <c r="AK303" s="73"/>
      <c r="AL303" s="73"/>
      <c r="AM303" s="73"/>
      <c r="AN303" s="73"/>
      <c r="AO303" s="73"/>
      <c r="AP303" s="73"/>
      <c r="AQ303" s="73"/>
      <c r="AR303" s="73"/>
      <c r="AS303" s="73"/>
      <c r="AT303" s="73"/>
      <c r="AU303" s="73"/>
      <c r="AV303" s="73"/>
    </row>
    <row r="304" spans="1:48" s="37" customFormat="1" ht="16.5" x14ac:dyDescent="0.3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3"/>
      <c r="AE304" s="73"/>
      <c r="AF304" s="73"/>
      <c r="AG304" s="73"/>
      <c r="AH304" s="73"/>
      <c r="AI304" s="73"/>
      <c r="AJ304" s="73"/>
      <c r="AK304" s="73"/>
      <c r="AL304" s="73"/>
      <c r="AM304" s="73"/>
      <c r="AN304" s="73"/>
      <c r="AO304" s="73"/>
      <c r="AP304" s="73"/>
      <c r="AQ304" s="73"/>
      <c r="AR304" s="73"/>
      <c r="AS304" s="73"/>
      <c r="AT304" s="73"/>
      <c r="AU304" s="73"/>
      <c r="AV304" s="73"/>
    </row>
    <row r="305" spans="1:48" s="37" customFormat="1" ht="16.5" x14ac:dyDescent="0.3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  <c r="AA305" s="73"/>
      <c r="AB305" s="73"/>
      <c r="AC305" s="73"/>
      <c r="AD305" s="73"/>
      <c r="AE305" s="73"/>
      <c r="AF305" s="73"/>
      <c r="AG305" s="73"/>
      <c r="AH305" s="73"/>
      <c r="AI305" s="73"/>
      <c r="AJ305" s="73"/>
      <c r="AK305" s="73"/>
      <c r="AL305" s="73"/>
      <c r="AM305" s="73"/>
      <c r="AN305" s="73"/>
      <c r="AO305" s="73"/>
      <c r="AP305" s="73"/>
      <c r="AQ305" s="73"/>
      <c r="AR305" s="73"/>
      <c r="AS305" s="73"/>
      <c r="AT305" s="73"/>
      <c r="AU305" s="73"/>
      <c r="AV305" s="73"/>
    </row>
    <row r="306" spans="1:48" s="37" customFormat="1" ht="16.5" x14ac:dyDescent="0.3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  <c r="AA306" s="73"/>
      <c r="AB306" s="73"/>
      <c r="AC306" s="73"/>
      <c r="AD306" s="73"/>
      <c r="AE306" s="73"/>
      <c r="AF306" s="73"/>
      <c r="AG306" s="73"/>
      <c r="AH306" s="73"/>
      <c r="AI306" s="73"/>
      <c r="AJ306" s="73"/>
      <c r="AK306" s="73"/>
      <c r="AL306" s="73"/>
      <c r="AM306" s="73"/>
      <c r="AN306" s="73"/>
      <c r="AO306" s="73"/>
      <c r="AP306" s="73"/>
      <c r="AQ306" s="73"/>
      <c r="AR306" s="73"/>
      <c r="AS306" s="73"/>
      <c r="AT306" s="73"/>
      <c r="AU306" s="73"/>
      <c r="AV306" s="73"/>
    </row>
    <row r="307" spans="1:48" s="37" customFormat="1" ht="16.5" x14ac:dyDescent="0.3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  <c r="AA307" s="73"/>
      <c r="AB307" s="73"/>
      <c r="AC307" s="73"/>
      <c r="AD307" s="73"/>
      <c r="AE307" s="73"/>
      <c r="AF307" s="73"/>
      <c r="AG307" s="73"/>
      <c r="AH307" s="73"/>
      <c r="AI307" s="73"/>
      <c r="AJ307" s="73"/>
      <c r="AK307" s="73"/>
      <c r="AL307" s="73"/>
      <c r="AM307" s="73"/>
      <c r="AN307" s="73"/>
      <c r="AO307" s="73"/>
      <c r="AP307" s="73"/>
      <c r="AQ307" s="73"/>
      <c r="AR307" s="73"/>
      <c r="AS307" s="73"/>
      <c r="AT307" s="73"/>
      <c r="AU307" s="73"/>
      <c r="AV307" s="73"/>
    </row>
    <row r="308" spans="1:48" s="37" customFormat="1" ht="16.5" x14ac:dyDescent="0.3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  <c r="AA308" s="73"/>
      <c r="AB308" s="73"/>
      <c r="AC308" s="73"/>
      <c r="AD308" s="73"/>
      <c r="AE308" s="73"/>
      <c r="AF308" s="73"/>
      <c r="AG308" s="73"/>
      <c r="AH308" s="73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3"/>
      <c r="AT308" s="73"/>
      <c r="AU308" s="73"/>
      <c r="AV308" s="73"/>
    </row>
    <row r="309" spans="1:48" s="37" customFormat="1" ht="16.5" x14ac:dyDescent="0.3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3"/>
      <c r="AE309" s="73"/>
      <c r="AF309" s="73"/>
      <c r="AG309" s="73"/>
      <c r="AH309" s="73"/>
      <c r="AI309" s="73"/>
      <c r="AJ309" s="73"/>
      <c r="AK309" s="73"/>
      <c r="AL309" s="73"/>
      <c r="AM309" s="73"/>
      <c r="AN309" s="73"/>
      <c r="AO309" s="73"/>
      <c r="AP309" s="73"/>
      <c r="AQ309" s="73"/>
      <c r="AR309" s="73"/>
      <c r="AS309" s="73"/>
      <c r="AT309" s="73"/>
      <c r="AU309" s="73"/>
      <c r="AV309" s="73"/>
    </row>
    <row r="310" spans="1:48" s="37" customFormat="1" ht="16.5" x14ac:dyDescent="0.3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  <c r="AA310" s="73"/>
      <c r="AB310" s="73"/>
      <c r="AC310" s="73"/>
      <c r="AD310" s="73"/>
      <c r="AE310" s="73"/>
      <c r="AF310" s="73"/>
      <c r="AG310" s="73"/>
      <c r="AH310" s="73"/>
      <c r="AI310" s="73"/>
      <c r="AJ310" s="73"/>
      <c r="AK310" s="73"/>
      <c r="AL310" s="73"/>
      <c r="AM310" s="73"/>
      <c r="AN310" s="73"/>
      <c r="AO310" s="73"/>
      <c r="AP310" s="73"/>
      <c r="AQ310" s="73"/>
      <c r="AR310" s="73"/>
      <c r="AS310" s="73"/>
      <c r="AT310" s="73"/>
      <c r="AU310" s="73"/>
      <c r="AV310" s="73"/>
    </row>
    <row r="311" spans="1:48" s="37" customFormat="1" ht="16.5" x14ac:dyDescent="0.3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  <c r="AA311" s="73"/>
      <c r="AB311" s="73"/>
      <c r="AC311" s="73"/>
      <c r="AD311" s="73"/>
      <c r="AE311" s="73"/>
      <c r="AF311" s="73"/>
      <c r="AG311" s="73"/>
      <c r="AH311" s="73"/>
      <c r="AI311" s="73"/>
      <c r="AJ311" s="73"/>
      <c r="AK311" s="73"/>
      <c r="AL311" s="73"/>
      <c r="AM311" s="73"/>
      <c r="AN311" s="73"/>
      <c r="AO311" s="73"/>
      <c r="AP311" s="73"/>
      <c r="AQ311" s="73"/>
      <c r="AR311" s="73"/>
      <c r="AS311" s="73"/>
      <c r="AT311" s="73"/>
      <c r="AU311" s="73"/>
      <c r="AV311" s="73"/>
    </row>
    <row r="312" spans="1:48" s="37" customFormat="1" ht="16.5" x14ac:dyDescent="0.3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  <c r="AA312" s="73"/>
      <c r="AB312" s="73"/>
      <c r="AC312" s="73"/>
      <c r="AD312" s="73"/>
      <c r="AE312" s="73"/>
      <c r="AF312" s="73"/>
      <c r="AG312" s="73"/>
      <c r="AH312" s="73"/>
      <c r="AI312" s="73"/>
      <c r="AJ312" s="73"/>
      <c r="AK312" s="73"/>
      <c r="AL312" s="73"/>
      <c r="AM312" s="73"/>
      <c r="AN312" s="73"/>
      <c r="AO312" s="73"/>
      <c r="AP312" s="73"/>
      <c r="AQ312" s="73"/>
      <c r="AR312" s="73"/>
      <c r="AS312" s="73"/>
      <c r="AT312" s="73"/>
      <c r="AU312" s="73"/>
      <c r="AV312" s="73"/>
    </row>
    <row r="313" spans="1:48" s="37" customFormat="1" ht="16.5" x14ac:dyDescent="0.3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3"/>
      <c r="AE313" s="73"/>
      <c r="AF313" s="73"/>
      <c r="AG313" s="73"/>
      <c r="AH313" s="73"/>
      <c r="AI313" s="73"/>
      <c r="AJ313" s="73"/>
      <c r="AK313" s="73"/>
      <c r="AL313" s="73"/>
      <c r="AM313" s="73"/>
      <c r="AN313" s="73"/>
      <c r="AO313" s="73"/>
      <c r="AP313" s="73"/>
      <c r="AQ313" s="73"/>
      <c r="AR313" s="73"/>
      <c r="AS313" s="73"/>
      <c r="AT313" s="73"/>
      <c r="AU313" s="73"/>
      <c r="AV313" s="73"/>
    </row>
    <row r="314" spans="1:48" s="37" customFormat="1" ht="16.5" x14ac:dyDescent="0.3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3"/>
      <c r="AE314" s="73"/>
      <c r="AF314" s="73"/>
      <c r="AG314" s="73"/>
      <c r="AH314" s="73"/>
      <c r="AI314" s="73"/>
      <c r="AJ314" s="73"/>
      <c r="AK314" s="73"/>
      <c r="AL314" s="73"/>
      <c r="AM314" s="73"/>
      <c r="AN314" s="73"/>
      <c r="AO314" s="73"/>
      <c r="AP314" s="73"/>
      <c r="AQ314" s="73"/>
      <c r="AR314" s="73"/>
      <c r="AS314" s="73"/>
      <c r="AT314" s="73"/>
      <c r="AU314" s="73"/>
      <c r="AV314" s="73"/>
    </row>
    <row r="315" spans="1:48" s="37" customFormat="1" ht="16.5" x14ac:dyDescent="0.3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3"/>
      <c r="AE315" s="73"/>
      <c r="AF315" s="73"/>
      <c r="AG315" s="73"/>
      <c r="AH315" s="73"/>
      <c r="AI315" s="73"/>
      <c r="AJ315" s="73"/>
      <c r="AK315" s="73"/>
      <c r="AL315" s="73"/>
      <c r="AM315" s="73"/>
      <c r="AN315" s="73"/>
      <c r="AO315" s="73"/>
      <c r="AP315" s="73"/>
      <c r="AQ315" s="73"/>
      <c r="AR315" s="73"/>
      <c r="AS315" s="73"/>
      <c r="AT315" s="73"/>
      <c r="AU315" s="73"/>
      <c r="AV315" s="73"/>
    </row>
    <row r="316" spans="1:48" s="37" customFormat="1" ht="16.5" x14ac:dyDescent="0.3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3"/>
      <c r="AE316" s="73"/>
      <c r="AF316" s="73"/>
      <c r="AG316" s="73"/>
      <c r="AH316" s="73"/>
      <c r="AI316" s="73"/>
      <c r="AJ316" s="73"/>
      <c r="AK316" s="73"/>
      <c r="AL316" s="73"/>
      <c r="AM316" s="73"/>
      <c r="AN316" s="73"/>
      <c r="AO316" s="73"/>
      <c r="AP316" s="73"/>
      <c r="AQ316" s="73"/>
      <c r="AR316" s="73"/>
      <c r="AS316" s="73"/>
      <c r="AT316" s="73"/>
      <c r="AU316" s="73"/>
      <c r="AV316" s="73"/>
    </row>
    <row r="317" spans="1:48" s="37" customFormat="1" ht="16.5" x14ac:dyDescent="0.3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  <c r="AM317" s="73"/>
      <c r="AN317" s="73"/>
      <c r="AO317" s="73"/>
      <c r="AP317" s="73"/>
      <c r="AQ317" s="73"/>
      <c r="AR317" s="73"/>
      <c r="AS317" s="73"/>
      <c r="AT317" s="73"/>
      <c r="AU317" s="73"/>
      <c r="AV317" s="73"/>
    </row>
    <row r="318" spans="1:48" s="37" customFormat="1" ht="16.5" x14ac:dyDescent="0.3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3"/>
      <c r="AE318" s="73"/>
      <c r="AF318" s="73"/>
      <c r="AG318" s="73"/>
      <c r="AH318" s="73"/>
      <c r="AI318" s="73"/>
      <c r="AJ318" s="73"/>
      <c r="AK318" s="73"/>
      <c r="AL318" s="73"/>
      <c r="AM318" s="73"/>
      <c r="AN318" s="73"/>
      <c r="AO318" s="73"/>
      <c r="AP318" s="73"/>
      <c r="AQ318" s="73"/>
      <c r="AR318" s="73"/>
      <c r="AS318" s="73"/>
      <c r="AT318" s="73"/>
      <c r="AU318" s="73"/>
      <c r="AV318" s="73"/>
    </row>
    <row r="319" spans="1:48" s="37" customFormat="1" ht="16.5" x14ac:dyDescent="0.3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3"/>
      <c r="AE319" s="73"/>
      <c r="AF319" s="73"/>
      <c r="AG319" s="73"/>
      <c r="AH319" s="73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3"/>
      <c r="AT319" s="73"/>
      <c r="AU319" s="73"/>
      <c r="AV319" s="73"/>
    </row>
    <row r="320" spans="1:48" s="37" customFormat="1" ht="16.5" x14ac:dyDescent="0.3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3"/>
      <c r="AE320" s="73"/>
      <c r="AF320" s="73"/>
      <c r="AG320" s="73"/>
      <c r="AH320" s="73"/>
      <c r="AI320" s="73"/>
      <c r="AJ320" s="73"/>
      <c r="AK320" s="73"/>
      <c r="AL320" s="73"/>
      <c r="AM320" s="73"/>
      <c r="AN320" s="73"/>
      <c r="AO320" s="73"/>
      <c r="AP320" s="73"/>
      <c r="AQ320" s="73"/>
      <c r="AR320" s="73"/>
      <c r="AS320" s="73"/>
      <c r="AT320" s="73"/>
      <c r="AU320" s="73"/>
      <c r="AV320" s="73"/>
    </row>
    <row r="321" spans="1:48" s="37" customFormat="1" ht="16.5" x14ac:dyDescent="0.3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3"/>
      <c r="AE321" s="73"/>
      <c r="AF321" s="73"/>
      <c r="AG321" s="73"/>
      <c r="AH321" s="73"/>
      <c r="AI321" s="73"/>
      <c r="AJ321" s="73"/>
      <c r="AK321" s="73"/>
      <c r="AL321" s="73"/>
      <c r="AM321" s="73"/>
      <c r="AN321" s="73"/>
      <c r="AO321" s="73"/>
      <c r="AP321" s="73"/>
      <c r="AQ321" s="73"/>
      <c r="AR321" s="73"/>
      <c r="AS321" s="73"/>
      <c r="AT321" s="73"/>
      <c r="AU321" s="73"/>
      <c r="AV321" s="73"/>
    </row>
    <row r="322" spans="1:48" s="37" customFormat="1" ht="16.5" x14ac:dyDescent="0.3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3"/>
      <c r="AE322" s="73"/>
      <c r="AF322" s="73"/>
      <c r="AG322" s="73"/>
      <c r="AH322" s="73"/>
      <c r="AI322" s="73"/>
      <c r="AJ322" s="73"/>
      <c r="AK322" s="73"/>
      <c r="AL322" s="73"/>
      <c r="AM322" s="73"/>
      <c r="AN322" s="73"/>
      <c r="AO322" s="73"/>
      <c r="AP322" s="73"/>
      <c r="AQ322" s="73"/>
      <c r="AR322" s="73"/>
      <c r="AS322" s="73"/>
      <c r="AT322" s="73"/>
      <c r="AU322" s="73"/>
      <c r="AV322" s="73"/>
    </row>
    <row r="323" spans="1:48" s="37" customFormat="1" ht="16.5" x14ac:dyDescent="0.3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3"/>
      <c r="AE323" s="73"/>
      <c r="AF323" s="73"/>
      <c r="AG323" s="73"/>
      <c r="AH323" s="73"/>
      <c r="AI323" s="73"/>
      <c r="AJ323" s="73"/>
      <c r="AK323" s="73"/>
      <c r="AL323" s="73"/>
      <c r="AM323" s="73"/>
      <c r="AN323" s="73"/>
      <c r="AO323" s="73"/>
      <c r="AP323" s="73"/>
      <c r="AQ323" s="73"/>
      <c r="AR323" s="73"/>
      <c r="AS323" s="73"/>
      <c r="AT323" s="73"/>
      <c r="AU323" s="73"/>
      <c r="AV323" s="73"/>
    </row>
    <row r="324" spans="1:48" s="37" customFormat="1" ht="16.5" x14ac:dyDescent="0.3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3"/>
      <c r="AE324" s="73"/>
      <c r="AF324" s="73"/>
      <c r="AG324" s="73"/>
      <c r="AH324" s="73"/>
      <c r="AI324" s="73"/>
      <c r="AJ324" s="73"/>
      <c r="AK324" s="73"/>
      <c r="AL324" s="73"/>
      <c r="AM324" s="73"/>
      <c r="AN324" s="73"/>
      <c r="AO324" s="73"/>
      <c r="AP324" s="73"/>
      <c r="AQ324" s="73"/>
      <c r="AR324" s="73"/>
      <c r="AS324" s="73"/>
      <c r="AT324" s="73"/>
      <c r="AU324" s="73"/>
      <c r="AV324" s="73"/>
    </row>
    <row r="325" spans="1:48" s="37" customFormat="1" ht="16.5" x14ac:dyDescent="0.3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3"/>
      <c r="AE325" s="73"/>
      <c r="AF325" s="73"/>
      <c r="AG325" s="73"/>
      <c r="AH325" s="73"/>
      <c r="AI325" s="73"/>
      <c r="AJ325" s="73"/>
      <c r="AK325" s="73"/>
      <c r="AL325" s="73"/>
      <c r="AM325" s="73"/>
      <c r="AN325" s="73"/>
      <c r="AO325" s="73"/>
      <c r="AP325" s="73"/>
      <c r="AQ325" s="73"/>
      <c r="AR325" s="73"/>
      <c r="AS325" s="73"/>
      <c r="AT325" s="73"/>
      <c r="AU325" s="73"/>
      <c r="AV325" s="73"/>
    </row>
    <row r="326" spans="1:48" s="37" customFormat="1" ht="16.5" x14ac:dyDescent="0.3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/>
      <c r="AL326" s="73"/>
      <c r="AM326" s="73"/>
      <c r="AN326" s="73"/>
      <c r="AO326" s="73"/>
      <c r="AP326" s="73"/>
      <c r="AQ326" s="73"/>
      <c r="AR326" s="73"/>
      <c r="AS326" s="73"/>
      <c r="AT326" s="73"/>
      <c r="AU326" s="73"/>
      <c r="AV326" s="73"/>
    </row>
    <row r="327" spans="1:48" s="37" customFormat="1" ht="16.5" x14ac:dyDescent="0.3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3"/>
      <c r="AE327" s="73"/>
      <c r="AF327" s="73"/>
      <c r="AG327" s="73"/>
      <c r="AH327" s="73"/>
      <c r="AI327" s="73"/>
      <c r="AJ327" s="73"/>
      <c r="AK327" s="73"/>
      <c r="AL327" s="73"/>
      <c r="AM327" s="73"/>
      <c r="AN327" s="73"/>
      <c r="AO327" s="73"/>
      <c r="AP327" s="73"/>
      <c r="AQ327" s="73"/>
      <c r="AR327" s="73"/>
      <c r="AS327" s="73"/>
      <c r="AT327" s="73"/>
      <c r="AU327" s="73"/>
      <c r="AV327" s="73"/>
    </row>
    <row r="328" spans="1:48" s="37" customFormat="1" ht="16.5" x14ac:dyDescent="0.3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3"/>
      <c r="AE328" s="73"/>
      <c r="AF328" s="73"/>
      <c r="AG328" s="73"/>
      <c r="AH328" s="73"/>
      <c r="AI328" s="73"/>
      <c r="AJ328" s="73"/>
      <c r="AK328" s="73"/>
      <c r="AL328" s="73"/>
      <c r="AM328" s="73"/>
      <c r="AN328" s="73"/>
      <c r="AO328" s="73"/>
      <c r="AP328" s="73"/>
      <c r="AQ328" s="73"/>
      <c r="AR328" s="73"/>
      <c r="AS328" s="73"/>
      <c r="AT328" s="73"/>
      <c r="AU328" s="73"/>
      <c r="AV328" s="73"/>
    </row>
    <row r="329" spans="1:48" s="37" customFormat="1" ht="16.5" x14ac:dyDescent="0.3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3"/>
      <c r="AE329" s="73"/>
      <c r="AF329" s="73"/>
      <c r="AG329" s="73"/>
      <c r="AH329" s="73"/>
      <c r="AI329" s="73"/>
      <c r="AJ329" s="73"/>
      <c r="AK329" s="73"/>
      <c r="AL329" s="73"/>
      <c r="AM329" s="73"/>
      <c r="AN329" s="73"/>
      <c r="AO329" s="73"/>
      <c r="AP329" s="73"/>
      <c r="AQ329" s="73"/>
      <c r="AR329" s="73"/>
      <c r="AS329" s="73"/>
      <c r="AT329" s="73"/>
      <c r="AU329" s="73"/>
      <c r="AV329" s="73"/>
    </row>
    <row r="330" spans="1:48" s="37" customFormat="1" ht="16.5" x14ac:dyDescent="0.3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3"/>
      <c r="AE330" s="73"/>
      <c r="AF330" s="73"/>
      <c r="AG330" s="73"/>
      <c r="AH330" s="73"/>
      <c r="AI330" s="73"/>
      <c r="AJ330" s="73"/>
      <c r="AK330" s="73"/>
      <c r="AL330" s="73"/>
      <c r="AM330" s="73"/>
      <c r="AN330" s="73"/>
      <c r="AO330" s="73"/>
      <c r="AP330" s="73"/>
      <c r="AQ330" s="73"/>
      <c r="AR330" s="73"/>
      <c r="AS330" s="73"/>
      <c r="AT330" s="73"/>
      <c r="AU330" s="73"/>
      <c r="AV330" s="73"/>
    </row>
    <row r="331" spans="1:48" s="37" customFormat="1" ht="16.5" x14ac:dyDescent="0.3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3"/>
      <c r="AE331" s="73"/>
      <c r="AF331" s="73"/>
      <c r="AG331" s="73"/>
      <c r="AH331" s="73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3"/>
      <c r="AT331" s="73"/>
      <c r="AU331" s="73"/>
      <c r="AV331" s="73"/>
    </row>
    <row r="332" spans="1:48" s="37" customFormat="1" ht="16.5" x14ac:dyDescent="0.3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3"/>
      <c r="AE332" s="73"/>
      <c r="AF332" s="73"/>
      <c r="AG332" s="73"/>
      <c r="AH332" s="73"/>
      <c r="AI332" s="73"/>
      <c r="AJ332" s="73"/>
      <c r="AK332" s="73"/>
      <c r="AL332" s="73"/>
      <c r="AM332" s="73"/>
      <c r="AN332" s="73"/>
      <c r="AO332" s="73"/>
      <c r="AP332" s="73"/>
      <c r="AQ332" s="73"/>
      <c r="AR332" s="73"/>
      <c r="AS332" s="73"/>
      <c r="AT332" s="73"/>
      <c r="AU332" s="73"/>
      <c r="AV332" s="73"/>
    </row>
    <row r="333" spans="1:48" s="37" customFormat="1" ht="16.5" x14ac:dyDescent="0.3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3"/>
      <c r="AE333" s="73"/>
      <c r="AF333" s="73"/>
      <c r="AG333" s="73"/>
      <c r="AH333" s="73"/>
      <c r="AI333" s="73"/>
      <c r="AJ333" s="73"/>
      <c r="AK333" s="73"/>
      <c r="AL333" s="73"/>
      <c r="AM333" s="73"/>
      <c r="AN333" s="73"/>
      <c r="AO333" s="73"/>
      <c r="AP333" s="73"/>
      <c r="AQ333" s="73"/>
      <c r="AR333" s="73"/>
      <c r="AS333" s="73"/>
      <c r="AT333" s="73"/>
      <c r="AU333" s="73"/>
      <c r="AV333" s="73"/>
    </row>
    <row r="334" spans="1:48" s="37" customFormat="1" ht="16.5" x14ac:dyDescent="0.3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73"/>
      <c r="AG334" s="73"/>
      <c r="AH334" s="73"/>
      <c r="AI334" s="73"/>
      <c r="AJ334" s="73"/>
      <c r="AK334" s="73"/>
      <c r="AL334" s="73"/>
      <c r="AM334" s="73"/>
      <c r="AN334" s="73"/>
      <c r="AO334" s="73"/>
      <c r="AP334" s="73"/>
      <c r="AQ334" s="73"/>
      <c r="AR334" s="73"/>
      <c r="AS334" s="73"/>
      <c r="AT334" s="73"/>
      <c r="AU334" s="73"/>
      <c r="AV334" s="73"/>
    </row>
    <row r="335" spans="1:48" s="37" customFormat="1" ht="16.5" x14ac:dyDescent="0.3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73"/>
      <c r="AG335" s="73"/>
      <c r="AH335" s="73"/>
      <c r="AI335" s="73"/>
      <c r="AJ335" s="73"/>
      <c r="AK335" s="73"/>
      <c r="AL335" s="73"/>
      <c r="AM335" s="73"/>
      <c r="AN335" s="73"/>
      <c r="AO335" s="73"/>
      <c r="AP335" s="73"/>
      <c r="AQ335" s="73"/>
      <c r="AR335" s="73"/>
      <c r="AS335" s="73"/>
      <c r="AT335" s="73"/>
      <c r="AU335" s="73"/>
      <c r="AV335" s="73"/>
    </row>
    <row r="336" spans="1:48" s="37" customFormat="1" ht="16.5" x14ac:dyDescent="0.3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73"/>
      <c r="AG336" s="73"/>
      <c r="AH336" s="73"/>
      <c r="AI336" s="73"/>
      <c r="AJ336" s="73"/>
      <c r="AK336" s="73"/>
      <c r="AL336" s="73"/>
      <c r="AM336" s="73"/>
      <c r="AN336" s="73"/>
      <c r="AO336" s="73"/>
      <c r="AP336" s="73"/>
      <c r="AQ336" s="73"/>
      <c r="AR336" s="73"/>
      <c r="AS336" s="73"/>
      <c r="AT336" s="73"/>
      <c r="AU336" s="73"/>
      <c r="AV336" s="73"/>
    </row>
    <row r="337" spans="1:48" s="37" customFormat="1" ht="16.5" x14ac:dyDescent="0.3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73"/>
      <c r="AG337" s="73"/>
      <c r="AH337" s="73"/>
      <c r="AI337" s="73"/>
      <c r="AJ337" s="73"/>
      <c r="AK337" s="73"/>
      <c r="AL337" s="73"/>
      <c r="AM337" s="73"/>
      <c r="AN337" s="73"/>
      <c r="AO337" s="73"/>
      <c r="AP337" s="73"/>
      <c r="AQ337" s="73"/>
      <c r="AR337" s="73"/>
      <c r="AS337" s="73"/>
      <c r="AT337" s="73"/>
      <c r="AU337" s="73"/>
      <c r="AV337" s="73"/>
    </row>
    <row r="338" spans="1:48" s="37" customFormat="1" ht="16.5" x14ac:dyDescent="0.3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3"/>
      <c r="AE338" s="73"/>
      <c r="AF338" s="73"/>
      <c r="AG338" s="73"/>
      <c r="AH338" s="73"/>
      <c r="AI338" s="73"/>
      <c r="AJ338" s="73"/>
      <c r="AK338" s="73"/>
      <c r="AL338" s="73"/>
      <c r="AM338" s="73"/>
      <c r="AN338" s="73"/>
      <c r="AO338" s="73"/>
      <c r="AP338" s="73"/>
      <c r="AQ338" s="73"/>
      <c r="AR338" s="73"/>
      <c r="AS338" s="73"/>
      <c r="AT338" s="73"/>
      <c r="AU338" s="73"/>
      <c r="AV338" s="73"/>
    </row>
    <row r="339" spans="1:48" s="37" customFormat="1" ht="16.5" x14ac:dyDescent="0.3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3"/>
      <c r="AE339" s="73"/>
      <c r="AF339" s="73"/>
      <c r="AG339" s="73"/>
      <c r="AH339" s="73"/>
      <c r="AI339" s="73"/>
      <c r="AJ339" s="73"/>
      <c r="AK339" s="73"/>
      <c r="AL339" s="73"/>
      <c r="AM339" s="73"/>
      <c r="AN339" s="73"/>
      <c r="AO339" s="73"/>
      <c r="AP339" s="73"/>
      <c r="AQ339" s="73"/>
      <c r="AR339" s="73"/>
      <c r="AS339" s="73"/>
      <c r="AT339" s="73"/>
      <c r="AU339" s="73"/>
      <c r="AV339" s="73"/>
    </row>
    <row r="340" spans="1:48" s="37" customFormat="1" ht="16.5" x14ac:dyDescent="0.3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  <c r="AI340" s="73"/>
      <c r="AJ340" s="73"/>
      <c r="AK340" s="73"/>
      <c r="AL340" s="73"/>
      <c r="AM340" s="73"/>
      <c r="AN340" s="73"/>
      <c r="AO340" s="73"/>
      <c r="AP340" s="73"/>
      <c r="AQ340" s="73"/>
      <c r="AR340" s="73"/>
      <c r="AS340" s="73"/>
      <c r="AT340" s="73"/>
      <c r="AU340" s="73"/>
      <c r="AV340" s="73"/>
    </row>
    <row r="341" spans="1:48" s="37" customFormat="1" ht="16.5" x14ac:dyDescent="0.3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3"/>
      <c r="AE341" s="73"/>
      <c r="AF341" s="73"/>
      <c r="AG341" s="73"/>
      <c r="AH341" s="73"/>
      <c r="AI341" s="73"/>
      <c r="AJ341" s="73"/>
      <c r="AK341" s="73"/>
      <c r="AL341" s="73"/>
      <c r="AM341" s="73"/>
      <c r="AN341" s="73"/>
      <c r="AO341" s="73"/>
      <c r="AP341" s="73"/>
      <c r="AQ341" s="73"/>
      <c r="AR341" s="73"/>
      <c r="AS341" s="73"/>
      <c r="AT341" s="73"/>
      <c r="AU341" s="73"/>
      <c r="AV341" s="73"/>
    </row>
    <row r="342" spans="1:48" s="37" customFormat="1" ht="16.5" x14ac:dyDescent="0.3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3"/>
      <c r="AE342" s="73"/>
      <c r="AF342" s="73"/>
      <c r="AG342" s="73"/>
      <c r="AH342" s="73"/>
      <c r="AI342" s="73"/>
      <c r="AJ342" s="73"/>
      <c r="AK342" s="73"/>
      <c r="AL342" s="73"/>
      <c r="AM342" s="73"/>
      <c r="AN342" s="73"/>
      <c r="AO342" s="73"/>
      <c r="AP342" s="73"/>
      <c r="AQ342" s="73"/>
      <c r="AR342" s="73"/>
      <c r="AS342" s="73"/>
      <c r="AT342" s="73"/>
      <c r="AU342" s="73"/>
      <c r="AV342" s="73"/>
    </row>
    <row r="343" spans="1:48" s="37" customFormat="1" ht="16.5" x14ac:dyDescent="0.3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73"/>
      <c r="AG343" s="73"/>
      <c r="AH343" s="73"/>
      <c r="AI343" s="73"/>
      <c r="AJ343" s="73"/>
      <c r="AK343" s="73"/>
      <c r="AL343" s="73"/>
      <c r="AM343" s="73"/>
      <c r="AN343" s="73"/>
      <c r="AO343" s="73"/>
      <c r="AP343" s="73"/>
      <c r="AQ343" s="73"/>
      <c r="AR343" s="73"/>
      <c r="AS343" s="73"/>
      <c r="AT343" s="73"/>
      <c r="AU343" s="73"/>
      <c r="AV343" s="73"/>
    </row>
    <row r="344" spans="1:48" s="37" customFormat="1" ht="16.5" x14ac:dyDescent="0.3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3"/>
      <c r="AE344" s="73"/>
      <c r="AF344" s="73"/>
      <c r="AG344" s="73"/>
      <c r="AH344" s="73"/>
      <c r="AI344" s="73"/>
      <c r="AJ344" s="73"/>
      <c r="AK344" s="73"/>
      <c r="AL344" s="73"/>
      <c r="AM344" s="73"/>
      <c r="AN344" s="73"/>
      <c r="AO344" s="73"/>
      <c r="AP344" s="73"/>
      <c r="AQ344" s="73"/>
      <c r="AR344" s="73"/>
      <c r="AS344" s="73"/>
      <c r="AT344" s="73"/>
      <c r="AU344" s="73"/>
      <c r="AV344" s="73"/>
    </row>
    <row r="345" spans="1:48" s="37" customFormat="1" ht="16.5" x14ac:dyDescent="0.3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3"/>
      <c r="AE345" s="73"/>
      <c r="AF345" s="73"/>
      <c r="AG345" s="73"/>
      <c r="AH345" s="73"/>
      <c r="AI345" s="73"/>
      <c r="AJ345" s="73"/>
      <c r="AK345" s="73"/>
      <c r="AL345" s="73"/>
      <c r="AM345" s="73"/>
      <c r="AN345" s="73"/>
      <c r="AO345" s="73"/>
      <c r="AP345" s="73"/>
      <c r="AQ345" s="73"/>
      <c r="AR345" s="73"/>
      <c r="AS345" s="73"/>
      <c r="AT345" s="73"/>
      <c r="AU345" s="73"/>
      <c r="AV345" s="73"/>
    </row>
    <row r="346" spans="1:48" s="37" customFormat="1" ht="16.5" x14ac:dyDescent="0.3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3"/>
      <c r="AE346" s="73"/>
      <c r="AF346" s="73"/>
      <c r="AG346" s="73"/>
      <c r="AH346" s="73"/>
      <c r="AI346" s="73"/>
      <c r="AJ346" s="73"/>
      <c r="AK346" s="73"/>
      <c r="AL346" s="73"/>
      <c r="AM346" s="73"/>
      <c r="AN346" s="73"/>
      <c r="AO346" s="73"/>
      <c r="AP346" s="73"/>
      <c r="AQ346" s="73"/>
      <c r="AR346" s="73"/>
      <c r="AS346" s="73"/>
      <c r="AT346" s="73"/>
      <c r="AU346" s="73"/>
      <c r="AV346" s="73"/>
    </row>
    <row r="347" spans="1:48" s="37" customFormat="1" ht="16.5" x14ac:dyDescent="0.3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3"/>
      <c r="AE347" s="73"/>
      <c r="AF347" s="73"/>
      <c r="AG347" s="73"/>
      <c r="AH347" s="73"/>
      <c r="AI347" s="73"/>
      <c r="AJ347" s="73"/>
      <c r="AK347" s="73"/>
      <c r="AL347" s="73"/>
      <c r="AM347" s="73"/>
      <c r="AN347" s="73"/>
      <c r="AO347" s="73"/>
      <c r="AP347" s="73"/>
      <c r="AQ347" s="73"/>
      <c r="AR347" s="73"/>
      <c r="AS347" s="73"/>
      <c r="AT347" s="73"/>
      <c r="AU347" s="73"/>
      <c r="AV347" s="73"/>
    </row>
    <row r="348" spans="1:48" s="37" customFormat="1" ht="16.5" x14ac:dyDescent="0.3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  <c r="AI348" s="73"/>
      <c r="AJ348" s="73"/>
      <c r="AK348" s="73"/>
      <c r="AL348" s="73"/>
      <c r="AM348" s="73"/>
      <c r="AN348" s="73"/>
      <c r="AO348" s="73"/>
      <c r="AP348" s="73"/>
      <c r="AQ348" s="73"/>
      <c r="AR348" s="73"/>
      <c r="AS348" s="73"/>
      <c r="AT348" s="73"/>
      <c r="AU348" s="73"/>
      <c r="AV348" s="73"/>
    </row>
    <row r="349" spans="1:48" s="37" customFormat="1" ht="16.5" x14ac:dyDescent="0.3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3"/>
      <c r="AE349" s="73"/>
      <c r="AF349" s="73"/>
      <c r="AG349" s="73"/>
      <c r="AH349" s="73"/>
      <c r="AI349" s="73"/>
      <c r="AJ349" s="73"/>
      <c r="AK349" s="73"/>
      <c r="AL349" s="73"/>
      <c r="AM349" s="73"/>
      <c r="AN349" s="73"/>
      <c r="AO349" s="73"/>
      <c r="AP349" s="73"/>
      <c r="AQ349" s="73"/>
      <c r="AR349" s="73"/>
      <c r="AS349" s="73"/>
      <c r="AT349" s="73"/>
      <c r="AU349" s="73"/>
      <c r="AV349" s="73"/>
    </row>
    <row r="350" spans="1:48" s="37" customFormat="1" ht="16.5" x14ac:dyDescent="0.3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3"/>
      <c r="AE350" s="73"/>
      <c r="AF350" s="73"/>
      <c r="AG350" s="73"/>
      <c r="AH350" s="73"/>
      <c r="AI350" s="73"/>
      <c r="AJ350" s="73"/>
      <c r="AK350" s="73"/>
      <c r="AL350" s="73"/>
      <c r="AM350" s="73"/>
      <c r="AN350" s="73"/>
      <c r="AO350" s="73"/>
      <c r="AP350" s="73"/>
      <c r="AQ350" s="73"/>
      <c r="AR350" s="73"/>
      <c r="AS350" s="73"/>
      <c r="AT350" s="73"/>
      <c r="AU350" s="73"/>
      <c r="AV350" s="73"/>
    </row>
    <row r="351" spans="1:48" s="37" customFormat="1" ht="16.5" x14ac:dyDescent="0.3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3"/>
      <c r="AE351" s="73"/>
      <c r="AF351" s="73"/>
      <c r="AG351" s="73"/>
      <c r="AH351" s="73"/>
      <c r="AI351" s="73"/>
      <c r="AJ351" s="73"/>
      <c r="AK351" s="73"/>
      <c r="AL351" s="73"/>
      <c r="AM351" s="73"/>
      <c r="AN351" s="73"/>
      <c r="AO351" s="73"/>
      <c r="AP351" s="73"/>
      <c r="AQ351" s="73"/>
      <c r="AR351" s="73"/>
      <c r="AS351" s="73"/>
      <c r="AT351" s="73"/>
      <c r="AU351" s="73"/>
      <c r="AV351" s="73"/>
    </row>
    <row r="352" spans="1:48" s="37" customFormat="1" ht="16.5" x14ac:dyDescent="0.3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3"/>
      <c r="AE352" s="73"/>
      <c r="AF352" s="73"/>
      <c r="AG352" s="73"/>
      <c r="AH352" s="73"/>
      <c r="AI352" s="73"/>
      <c r="AJ352" s="73"/>
      <c r="AK352" s="73"/>
      <c r="AL352" s="73"/>
      <c r="AM352" s="73"/>
      <c r="AN352" s="73"/>
      <c r="AO352" s="73"/>
      <c r="AP352" s="73"/>
      <c r="AQ352" s="73"/>
      <c r="AR352" s="73"/>
      <c r="AS352" s="73"/>
      <c r="AT352" s="73"/>
      <c r="AU352" s="73"/>
      <c r="AV352" s="73"/>
    </row>
    <row r="353" spans="1:48" s="37" customFormat="1" ht="16.5" x14ac:dyDescent="0.3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3"/>
      <c r="AE353" s="73"/>
      <c r="AF353" s="73"/>
      <c r="AG353" s="73"/>
      <c r="AH353" s="73"/>
      <c r="AI353" s="73"/>
      <c r="AJ353" s="73"/>
      <c r="AK353" s="73"/>
      <c r="AL353" s="73"/>
      <c r="AM353" s="73"/>
      <c r="AN353" s="73"/>
      <c r="AO353" s="73"/>
      <c r="AP353" s="73"/>
      <c r="AQ353" s="73"/>
      <c r="AR353" s="73"/>
      <c r="AS353" s="73"/>
      <c r="AT353" s="73"/>
      <c r="AU353" s="73"/>
      <c r="AV353" s="73"/>
    </row>
    <row r="354" spans="1:48" s="37" customFormat="1" ht="16.5" x14ac:dyDescent="0.3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3"/>
      <c r="AE354" s="73"/>
      <c r="AF354" s="73"/>
      <c r="AG354" s="73"/>
      <c r="AH354" s="73"/>
      <c r="AI354" s="73"/>
      <c r="AJ354" s="73"/>
      <c r="AK354" s="73"/>
      <c r="AL354" s="73"/>
      <c r="AM354" s="73"/>
      <c r="AN354" s="73"/>
      <c r="AO354" s="73"/>
      <c r="AP354" s="73"/>
      <c r="AQ354" s="73"/>
      <c r="AR354" s="73"/>
      <c r="AS354" s="73"/>
      <c r="AT354" s="73"/>
      <c r="AU354" s="73"/>
      <c r="AV354" s="73"/>
    </row>
    <row r="355" spans="1:48" s="37" customFormat="1" ht="16.5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3"/>
      <c r="AE355" s="73"/>
      <c r="AF355" s="73"/>
      <c r="AG355" s="73"/>
      <c r="AH355" s="73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3"/>
      <c r="AT355" s="73"/>
      <c r="AU355" s="73"/>
      <c r="AV355" s="73"/>
    </row>
    <row r="356" spans="1:48" s="37" customFormat="1" ht="16.5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  <c r="AI356" s="73"/>
      <c r="AJ356" s="73"/>
      <c r="AK356" s="73"/>
      <c r="AL356" s="73"/>
      <c r="AM356" s="73"/>
      <c r="AN356" s="73"/>
      <c r="AO356" s="73"/>
      <c r="AP356" s="73"/>
      <c r="AQ356" s="73"/>
      <c r="AR356" s="73"/>
      <c r="AS356" s="73"/>
      <c r="AT356" s="73"/>
      <c r="AU356" s="73"/>
      <c r="AV356" s="73"/>
    </row>
    <row r="357" spans="1:48" s="37" customFormat="1" ht="16.5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3"/>
      <c r="AE357" s="73"/>
      <c r="AF357" s="73"/>
      <c r="AG357" s="73"/>
      <c r="AH357" s="73"/>
      <c r="AI357" s="73"/>
      <c r="AJ357" s="73"/>
      <c r="AK357" s="73"/>
      <c r="AL357" s="73"/>
      <c r="AM357" s="73"/>
      <c r="AN357" s="73"/>
      <c r="AO357" s="73"/>
      <c r="AP357" s="73"/>
      <c r="AQ357" s="73"/>
      <c r="AR357" s="73"/>
      <c r="AS357" s="73"/>
      <c r="AT357" s="73"/>
      <c r="AU357" s="73"/>
      <c r="AV357" s="73"/>
    </row>
    <row r="358" spans="1:48" s="37" customFormat="1" ht="16.5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3"/>
      <c r="AE358" s="73"/>
      <c r="AF358" s="73"/>
      <c r="AG358" s="73"/>
      <c r="AH358" s="73"/>
      <c r="AI358" s="73"/>
      <c r="AJ358" s="73"/>
      <c r="AK358" s="73"/>
      <c r="AL358" s="73"/>
      <c r="AM358" s="73"/>
      <c r="AN358" s="73"/>
      <c r="AO358" s="73"/>
      <c r="AP358" s="73"/>
      <c r="AQ358" s="73"/>
      <c r="AR358" s="73"/>
      <c r="AS358" s="73"/>
      <c r="AT358" s="73"/>
      <c r="AU358" s="73"/>
      <c r="AV358" s="73"/>
    </row>
    <row r="359" spans="1:48" s="37" customFormat="1" ht="16.5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3"/>
      <c r="AE359" s="73"/>
      <c r="AF359" s="73"/>
      <c r="AG359" s="73"/>
      <c r="AH359" s="73"/>
      <c r="AI359" s="73"/>
      <c r="AJ359" s="73"/>
      <c r="AK359" s="73"/>
      <c r="AL359" s="73"/>
      <c r="AM359" s="73"/>
      <c r="AN359" s="73"/>
      <c r="AO359" s="73"/>
      <c r="AP359" s="73"/>
      <c r="AQ359" s="73"/>
      <c r="AR359" s="73"/>
      <c r="AS359" s="73"/>
      <c r="AT359" s="73"/>
      <c r="AU359" s="73"/>
      <c r="AV359" s="73"/>
    </row>
    <row r="360" spans="1:48" s="37" customFormat="1" ht="16.5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</row>
    <row r="361" spans="1:48" s="37" customFormat="1" ht="16.5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3"/>
      <c r="AE361" s="73"/>
      <c r="AF361" s="73"/>
      <c r="AG361" s="73"/>
      <c r="AH361" s="73"/>
      <c r="AI361" s="73"/>
      <c r="AJ361" s="73"/>
      <c r="AK361" s="73"/>
      <c r="AL361" s="73"/>
      <c r="AM361" s="73"/>
      <c r="AN361" s="73"/>
      <c r="AO361" s="73"/>
      <c r="AP361" s="73"/>
      <c r="AQ361" s="73"/>
      <c r="AR361" s="73"/>
      <c r="AS361" s="73"/>
      <c r="AT361" s="73"/>
      <c r="AU361" s="73"/>
      <c r="AV361" s="73"/>
    </row>
    <row r="362" spans="1:48" s="37" customFormat="1" ht="16.5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3"/>
      <c r="AE362" s="73"/>
      <c r="AF362" s="73"/>
      <c r="AG362" s="73"/>
      <c r="AH362" s="73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3"/>
      <c r="AT362" s="73"/>
      <c r="AU362" s="73"/>
      <c r="AV362" s="73"/>
    </row>
    <row r="363" spans="1:48" s="37" customFormat="1" ht="16.5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3"/>
      <c r="AE363" s="73"/>
      <c r="AF363" s="73"/>
      <c r="AG363" s="73"/>
      <c r="AH363" s="73"/>
      <c r="AI363" s="73"/>
      <c r="AJ363" s="73"/>
      <c r="AK363" s="73"/>
      <c r="AL363" s="73"/>
      <c r="AM363" s="73"/>
      <c r="AN363" s="73"/>
      <c r="AO363" s="73"/>
      <c r="AP363" s="73"/>
      <c r="AQ363" s="73"/>
      <c r="AR363" s="73"/>
      <c r="AS363" s="73"/>
      <c r="AT363" s="73"/>
      <c r="AU363" s="73"/>
      <c r="AV363" s="73"/>
    </row>
    <row r="364" spans="1:48" s="37" customFormat="1" ht="16.5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3"/>
      <c r="AE364" s="73"/>
      <c r="AF364" s="73"/>
      <c r="AG364" s="73"/>
      <c r="AH364" s="73"/>
      <c r="AI364" s="73"/>
      <c r="AJ364" s="73"/>
      <c r="AK364" s="73"/>
      <c r="AL364" s="73"/>
      <c r="AM364" s="73"/>
      <c r="AN364" s="73"/>
      <c r="AO364" s="73"/>
      <c r="AP364" s="73"/>
      <c r="AQ364" s="73"/>
      <c r="AR364" s="73"/>
      <c r="AS364" s="73"/>
      <c r="AT364" s="73"/>
      <c r="AU364" s="73"/>
      <c r="AV364" s="73"/>
    </row>
    <row r="365" spans="1:48" s="37" customFormat="1" ht="16.5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  <c r="AI365" s="73"/>
      <c r="AJ365" s="73"/>
      <c r="AK365" s="73"/>
      <c r="AL365" s="73"/>
      <c r="AM365" s="73"/>
      <c r="AN365" s="73"/>
      <c r="AO365" s="73"/>
      <c r="AP365" s="73"/>
      <c r="AQ365" s="73"/>
      <c r="AR365" s="73"/>
      <c r="AS365" s="73"/>
      <c r="AT365" s="73"/>
      <c r="AU365" s="73"/>
      <c r="AV365" s="73"/>
    </row>
    <row r="366" spans="1:48" s="37" customFormat="1" ht="16.5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3"/>
      <c r="AP366" s="73"/>
      <c r="AQ366" s="73"/>
      <c r="AR366" s="73"/>
      <c r="AS366" s="73"/>
      <c r="AT366" s="73"/>
      <c r="AU366" s="73"/>
      <c r="AV366" s="73"/>
    </row>
    <row r="367" spans="1:48" s="37" customFormat="1" ht="16.5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73"/>
      <c r="AG367" s="73"/>
      <c r="AH367" s="73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3"/>
      <c r="AT367" s="73"/>
      <c r="AU367" s="73"/>
      <c r="AV367" s="73"/>
    </row>
    <row r="368" spans="1:48" s="37" customFormat="1" ht="16.5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73"/>
      <c r="AG368" s="73"/>
      <c r="AH368" s="73"/>
      <c r="AI368" s="73"/>
      <c r="AJ368" s="73"/>
      <c r="AK368" s="73"/>
      <c r="AL368" s="73"/>
      <c r="AM368" s="73"/>
      <c r="AN368" s="73"/>
      <c r="AO368" s="73"/>
      <c r="AP368" s="73"/>
      <c r="AQ368" s="73"/>
      <c r="AR368" s="73"/>
      <c r="AS368" s="73"/>
      <c r="AT368" s="73"/>
      <c r="AU368" s="73"/>
      <c r="AV368" s="73"/>
    </row>
    <row r="369" spans="1:48" s="37" customFormat="1" ht="16.5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73"/>
      <c r="AG369" s="73"/>
      <c r="AH369" s="73"/>
      <c r="AI369" s="73"/>
      <c r="AJ369" s="73"/>
      <c r="AK369" s="73"/>
      <c r="AL369" s="73"/>
      <c r="AM369" s="73"/>
      <c r="AN369" s="73"/>
      <c r="AO369" s="73"/>
      <c r="AP369" s="73"/>
      <c r="AQ369" s="73"/>
      <c r="AR369" s="73"/>
      <c r="AS369" s="73"/>
      <c r="AT369" s="73"/>
      <c r="AU369" s="73"/>
      <c r="AV369" s="73"/>
    </row>
    <row r="370" spans="1:48" s="37" customFormat="1" ht="16.5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73"/>
      <c r="AG370" s="73"/>
      <c r="AH370" s="73"/>
      <c r="AI370" s="73"/>
      <c r="AJ370" s="73"/>
      <c r="AK370" s="73"/>
      <c r="AL370" s="73"/>
      <c r="AM370" s="73"/>
      <c r="AN370" s="73"/>
      <c r="AO370" s="73"/>
      <c r="AP370" s="73"/>
      <c r="AQ370" s="73"/>
      <c r="AR370" s="73"/>
      <c r="AS370" s="73"/>
      <c r="AT370" s="73"/>
      <c r="AU370" s="73"/>
      <c r="AV370" s="73"/>
    </row>
    <row r="371" spans="1:48" s="37" customFormat="1" ht="16.5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73"/>
      <c r="AG371" s="73"/>
      <c r="AH371" s="73"/>
      <c r="AI371" s="73"/>
      <c r="AJ371" s="73"/>
      <c r="AK371" s="73"/>
      <c r="AL371" s="73"/>
      <c r="AM371" s="73"/>
      <c r="AN371" s="73"/>
      <c r="AO371" s="73"/>
      <c r="AP371" s="73"/>
      <c r="AQ371" s="73"/>
      <c r="AR371" s="73"/>
      <c r="AS371" s="73"/>
      <c r="AT371" s="73"/>
      <c r="AU371" s="73"/>
      <c r="AV371" s="73"/>
    </row>
    <row r="372" spans="1:48" s="37" customFormat="1" ht="16.5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3"/>
      <c r="AE372" s="73"/>
      <c r="AF372" s="73"/>
      <c r="AG372" s="73"/>
      <c r="AH372" s="73"/>
      <c r="AI372" s="73"/>
      <c r="AJ372" s="73"/>
      <c r="AK372" s="73"/>
      <c r="AL372" s="73"/>
      <c r="AM372" s="73"/>
      <c r="AN372" s="73"/>
      <c r="AO372" s="73"/>
      <c r="AP372" s="73"/>
      <c r="AQ372" s="73"/>
      <c r="AR372" s="73"/>
      <c r="AS372" s="73"/>
      <c r="AT372" s="73"/>
      <c r="AU372" s="73"/>
      <c r="AV372" s="73"/>
    </row>
    <row r="373" spans="1:48" s="37" customFormat="1" ht="16.5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  <c r="AI373" s="73"/>
      <c r="AJ373" s="73"/>
      <c r="AK373" s="73"/>
      <c r="AL373" s="73"/>
      <c r="AM373" s="73"/>
      <c r="AN373" s="73"/>
      <c r="AO373" s="73"/>
      <c r="AP373" s="73"/>
      <c r="AQ373" s="73"/>
      <c r="AR373" s="73"/>
      <c r="AS373" s="73"/>
      <c r="AT373" s="73"/>
      <c r="AU373" s="73"/>
      <c r="AV373" s="73"/>
    </row>
    <row r="374" spans="1:48" s="37" customFormat="1" ht="16.5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3"/>
      <c r="AE374" s="73"/>
      <c r="AF374" s="73"/>
      <c r="AG374" s="73"/>
      <c r="AH374" s="73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3"/>
      <c r="AT374" s="73"/>
      <c r="AU374" s="73"/>
      <c r="AV374" s="73"/>
    </row>
    <row r="375" spans="1:48" s="37" customFormat="1" ht="16.5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3"/>
      <c r="AE375" s="73"/>
      <c r="AF375" s="73"/>
      <c r="AG375" s="73"/>
      <c r="AH375" s="73"/>
      <c r="AI375" s="73"/>
      <c r="AJ375" s="73"/>
      <c r="AK375" s="73"/>
      <c r="AL375" s="73"/>
      <c r="AM375" s="73"/>
      <c r="AN375" s="73"/>
      <c r="AO375" s="73"/>
      <c r="AP375" s="73"/>
      <c r="AQ375" s="73"/>
      <c r="AR375" s="73"/>
      <c r="AS375" s="73"/>
      <c r="AT375" s="73"/>
      <c r="AU375" s="73"/>
      <c r="AV375" s="73"/>
    </row>
    <row r="376" spans="1:48" s="37" customFormat="1" ht="16.5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3"/>
      <c r="AE376" s="73"/>
      <c r="AF376" s="73"/>
      <c r="AG376" s="73"/>
      <c r="AH376" s="73"/>
      <c r="AI376" s="73"/>
      <c r="AJ376" s="73"/>
      <c r="AK376" s="73"/>
      <c r="AL376" s="73"/>
      <c r="AM376" s="73"/>
      <c r="AN376" s="73"/>
      <c r="AO376" s="73"/>
      <c r="AP376" s="73"/>
      <c r="AQ376" s="73"/>
      <c r="AR376" s="73"/>
      <c r="AS376" s="73"/>
      <c r="AT376" s="73"/>
      <c r="AU376" s="73"/>
      <c r="AV376" s="73"/>
    </row>
    <row r="377" spans="1:48" s="37" customFormat="1" ht="16.5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</row>
    <row r="378" spans="1:48" s="37" customFormat="1" ht="16.5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3"/>
      <c r="AE378" s="73"/>
      <c r="AF378" s="73"/>
      <c r="AG378" s="73"/>
      <c r="AH378" s="73"/>
      <c r="AI378" s="73"/>
      <c r="AJ378" s="73"/>
      <c r="AK378" s="73"/>
      <c r="AL378" s="73"/>
      <c r="AM378" s="73"/>
      <c r="AN378" s="73"/>
      <c r="AO378" s="73"/>
      <c r="AP378" s="73"/>
      <c r="AQ378" s="73"/>
      <c r="AR378" s="73"/>
      <c r="AS378" s="73"/>
      <c r="AT378" s="73"/>
      <c r="AU378" s="73"/>
      <c r="AV378" s="73"/>
    </row>
    <row r="379" spans="1:48" s="37" customFormat="1" ht="16.5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3"/>
      <c r="AE379" s="73"/>
      <c r="AF379" s="73"/>
      <c r="AG379" s="73"/>
      <c r="AH379" s="73"/>
      <c r="AI379" s="73"/>
      <c r="AJ379" s="73"/>
      <c r="AK379" s="73"/>
      <c r="AL379" s="73"/>
      <c r="AM379" s="73"/>
      <c r="AN379" s="73"/>
      <c r="AO379" s="73"/>
      <c r="AP379" s="73"/>
      <c r="AQ379" s="73"/>
      <c r="AR379" s="73"/>
      <c r="AS379" s="73"/>
      <c r="AT379" s="73"/>
      <c r="AU379" s="73"/>
      <c r="AV379" s="73"/>
    </row>
    <row r="380" spans="1:48" s="37" customFormat="1" ht="16.5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3"/>
      <c r="AE380" s="73"/>
      <c r="AF380" s="73"/>
      <c r="AG380" s="73"/>
      <c r="AH380" s="73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3"/>
      <c r="AT380" s="73"/>
      <c r="AU380" s="73"/>
      <c r="AV380" s="73"/>
    </row>
    <row r="381" spans="1:48" s="37" customFormat="1" ht="16.5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  <c r="AI381" s="73"/>
      <c r="AJ381" s="73"/>
      <c r="AK381" s="73"/>
      <c r="AL381" s="73"/>
      <c r="AM381" s="73"/>
      <c r="AN381" s="73"/>
      <c r="AO381" s="73"/>
      <c r="AP381" s="73"/>
      <c r="AQ381" s="73"/>
      <c r="AR381" s="73"/>
      <c r="AS381" s="73"/>
      <c r="AT381" s="73"/>
      <c r="AU381" s="73"/>
      <c r="AV381" s="73"/>
    </row>
    <row r="382" spans="1:48" s="37" customFormat="1" ht="16.5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3"/>
      <c r="AE382" s="73"/>
      <c r="AF382" s="73"/>
      <c r="AG382" s="73"/>
      <c r="AH382" s="73"/>
      <c r="AI382" s="73"/>
      <c r="AJ382" s="73"/>
      <c r="AK382" s="73"/>
      <c r="AL382" s="73"/>
      <c r="AM382" s="73"/>
      <c r="AN382" s="73"/>
      <c r="AO382" s="73"/>
      <c r="AP382" s="73"/>
      <c r="AQ382" s="73"/>
      <c r="AR382" s="73"/>
      <c r="AS382" s="73"/>
      <c r="AT382" s="73"/>
      <c r="AU382" s="73"/>
      <c r="AV382" s="73"/>
    </row>
    <row r="383" spans="1:48" s="37" customFormat="1" ht="16.5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73"/>
      <c r="AG383" s="73"/>
      <c r="AH383" s="73"/>
      <c r="AI383" s="73"/>
      <c r="AJ383" s="73"/>
      <c r="AK383" s="73"/>
      <c r="AL383" s="73"/>
      <c r="AM383" s="73"/>
      <c r="AN383" s="73"/>
      <c r="AO383" s="73"/>
      <c r="AP383" s="73"/>
      <c r="AQ383" s="73"/>
      <c r="AR383" s="73"/>
      <c r="AS383" s="73"/>
      <c r="AT383" s="73"/>
      <c r="AU383" s="73"/>
      <c r="AV383" s="73"/>
    </row>
    <row r="384" spans="1:48" s="37" customFormat="1" ht="16.5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73"/>
      <c r="AG384" s="73"/>
      <c r="AH384" s="73"/>
      <c r="AI384" s="73"/>
      <c r="AJ384" s="73"/>
      <c r="AK384" s="73"/>
      <c r="AL384" s="73"/>
      <c r="AM384" s="73"/>
      <c r="AN384" s="73"/>
      <c r="AO384" s="73"/>
      <c r="AP384" s="73"/>
      <c r="AQ384" s="73"/>
      <c r="AR384" s="73"/>
      <c r="AS384" s="73"/>
      <c r="AT384" s="73"/>
      <c r="AU384" s="73"/>
      <c r="AV384" s="73"/>
    </row>
    <row r="385" spans="1:51" s="37" customFormat="1" ht="16.5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3"/>
      <c r="AE385" s="73"/>
      <c r="AF385" s="73"/>
      <c r="AG385" s="73"/>
      <c r="AH385" s="73"/>
      <c r="AI385" s="73"/>
      <c r="AJ385" s="73"/>
      <c r="AK385" s="73"/>
      <c r="AL385" s="73"/>
      <c r="AM385" s="73"/>
      <c r="AN385" s="73"/>
      <c r="AO385" s="73"/>
      <c r="AP385" s="73"/>
      <c r="AQ385" s="73"/>
      <c r="AR385" s="73"/>
      <c r="AS385" s="73"/>
      <c r="AT385" s="73"/>
      <c r="AU385" s="73"/>
      <c r="AV385" s="73"/>
    </row>
    <row r="386" spans="1:51" s="37" customFormat="1" ht="16.5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3"/>
      <c r="AE386" s="73"/>
      <c r="AF386" s="73"/>
      <c r="AG386" s="73"/>
      <c r="AH386" s="73"/>
      <c r="AI386" s="73"/>
      <c r="AJ386" s="73"/>
      <c r="AK386" s="73"/>
      <c r="AL386" s="73"/>
      <c r="AM386" s="73"/>
      <c r="AN386" s="73"/>
      <c r="AO386" s="73"/>
      <c r="AP386" s="73"/>
      <c r="AQ386" s="73"/>
      <c r="AR386" s="73"/>
      <c r="AS386" s="73"/>
      <c r="AT386" s="73"/>
      <c r="AU386" s="73"/>
      <c r="AV386" s="73"/>
    </row>
    <row r="387" spans="1:51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3"/>
      <c r="AP387" s="73"/>
      <c r="AQ387" s="73"/>
      <c r="AR387" s="73"/>
      <c r="AS387" s="73"/>
      <c r="AT387" s="73"/>
      <c r="AU387" s="73"/>
      <c r="AV387" s="73"/>
      <c r="AX387" s="84"/>
      <c r="AY387" s="84"/>
    </row>
    <row r="388" spans="1:51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3"/>
      <c r="AP388" s="73"/>
      <c r="AQ388" s="73"/>
      <c r="AR388" s="73"/>
      <c r="AS388" s="73"/>
      <c r="AT388" s="73"/>
      <c r="AU388" s="73"/>
      <c r="AV388" s="73"/>
      <c r="AX388" s="84"/>
      <c r="AY388" s="84"/>
    </row>
    <row r="389" spans="1:51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3"/>
      <c r="AT389" s="73"/>
      <c r="AU389" s="73"/>
      <c r="AV389" s="73"/>
      <c r="AX389" s="84"/>
      <c r="AY389" s="84"/>
    </row>
    <row r="390" spans="1:51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3"/>
      <c r="AP390" s="73"/>
      <c r="AQ390" s="73"/>
      <c r="AR390" s="73"/>
      <c r="AS390" s="73"/>
      <c r="AT390" s="73"/>
      <c r="AU390" s="73"/>
      <c r="AV390" s="73"/>
      <c r="AX390" s="84"/>
      <c r="AY390" s="84"/>
    </row>
    <row r="391" spans="1:51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3"/>
      <c r="AP391" s="73"/>
      <c r="AQ391" s="73"/>
      <c r="AR391" s="73"/>
      <c r="AS391" s="73"/>
      <c r="AT391" s="73"/>
      <c r="AU391" s="73"/>
      <c r="AV391" s="73"/>
      <c r="AX391" s="84"/>
      <c r="AY391" s="84"/>
    </row>
    <row r="392" spans="1:51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3"/>
      <c r="AP392" s="73"/>
      <c r="AQ392" s="73"/>
      <c r="AR392" s="73"/>
      <c r="AS392" s="73"/>
      <c r="AT392" s="73"/>
      <c r="AU392" s="73"/>
      <c r="AV392" s="73"/>
      <c r="AX392" s="84"/>
      <c r="AY392" s="84"/>
    </row>
    <row r="393" spans="1:51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3"/>
      <c r="AP393" s="73"/>
      <c r="AQ393" s="73"/>
      <c r="AR393" s="73"/>
      <c r="AS393" s="73"/>
      <c r="AT393" s="73"/>
      <c r="AU393" s="73"/>
      <c r="AV393" s="73"/>
      <c r="AX393" s="84"/>
      <c r="AY393" s="84"/>
    </row>
    <row r="394" spans="1:51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X394" s="84"/>
      <c r="AY394" s="84"/>
    </row>
    <row r="395" spans="1:51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  <c r="AX395" s="84"/>
      <c r="AY395" s="84"/>
    </row>
    <row r="396" spans="1:51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  <c r="AX396" s="84"/>
      <c r="AY396" s="84"/>
    </row>
    <row r="397" spans="1:51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3"/>
      <c r="AP397" s="73"/>
      <c r="AQ397" s="73"/>
      <c r="AR397" s="73"/>
      <c r="AS397" s="73"/>
      <c r="AT397" s="73"/>
      <c r="AU397" s="73"/>
      <c r="AV397" s="73"/>
      <c r="AX397" s="84"/>
      <c r="AY397" s="84"/>
    </row>
    <row r="398" spans="1:51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3"/>
      <c r="AP398" s="73"/>
      <c r="AQ398" s="73"/>
      <c r="AR398" s="73"/>
      <c r="AS398" s="73"/>
      <c r="AT398" s="73"/>
      <c r="AU398" s="73"/>
      <c r="AV398" s="73"/>
      <c r="AX398" s="84"/>
      <c r="AY398" s="84"/>
    </row>
    <row r="399" spans="1:51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3"/>
      <c r="AP399" s="73"/>
      <c r="AQ399" s="73"/>
      <c r="AR399" s="73"/>
      <c r="AS399" s="73"/>
      <c r="AT399" s="73"/>
      <c r="AU399" s="73"/>
      <c r="AV399" s="73"/>
      <c r="AX399" s="84"/>
      <c r="AY399" s="84"/>
    </row>
    <row r="400" spans="1:51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3"/>
      <c r="AP400" s="73"/>
      <c r="AQ400" s="73"/>
      <c r="AR400" s="73"/>
      <c r="AS400" s="73"/>
      <c r="AT400" s="73"/>
      <c r="AU400" s="73"/>
      <c r="AV400" s="73"/>
      <c r="AX400" s="84"/>
      <c r="AY400" s="84"/>
    </row>
    <row r="401" spans="1:58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X401" s="84"/>
      <c r="AY401" s="84"/>
    </row>
    <row r="402" spans="1:58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3"/>
      <c r="AP402" s="73"/>
      <c r="AQ402" s="73"/>
      <c r="AR402" s="73"/>
      <c r="AS402" s="73"/>
      <c r="AT402" s="73"/>
      <c r="AU402" s="73"/>
      <c r="AV402" s="73"/>
      <c r="AX402" s="84"/>
      <c r="AY402" s="84"/>
    </row>
    <row r="403" spans="1:58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3"/>
      <c r="AP403" s="73"/>
      <c r="AQ403" s="73"/>
      <c r="AR403" s="73"/>
      <c r="AS403" s="73"/>
      <c r="AT403" s="73"/>
      <c r="AU403" s="73"/>
      <c r="AV403" s="73"/>
      <c r="AX403" s="84"/>
      <c r="AY403" s="84"/>
    </row>
    <row r="404" spans="1:58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3"/>
      <c r="AP404" s="73"/>
      <c r="AQ404" s="73"/>
      <c r="AR404" s="73"/>
      <c r="AS404" s="73"/>
      <c r="AT404" s="73"/>
      <c r="AU404" s="73"/>
      <c r="AV404" s="73"/>
      <c r="AX404" s="84"/>
      <c r="AY404" s="84"/>
      <c r="AZ404" s="84"/>
      <c r="BA404" s="77" t="s">
        <v>59</v>
      </c>
      <c r="BB404" s="85">
        <v>0</v>
      </c>
      <c r="BC404" s="85">
        <v>0</v>
      </c>
      <c r="BD404" s="85">
        <v>0</v>
      </c>
      <c r="BE404" s="85">
        <v>0</v>
      </c>
      <c r="BF404" s="85">
        <v>0</v>
      </c>
    </row>
    <row r="405" spans="1:58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X405" s="84"/>
      <c r="AY405" s="84"/>
      <c r="AZ405" s="84"/>
      <c r="BA405" s="77" t="s">
        <v>60</v>
      </c>
      <c r="BB405" s="85">
        <v>0</v>
      </c>
      <c r="BC405" s="85">
        <v>0</v>
      </c>
      <c r="BD405" s="85">
        <v>0</v>
      </c>
      <c r="BE405" s="85">
        <v>0</v>
      </c>
      <c r="BF405" s="85">
        <v>0</v>
      </c>
    </row>
    <row r="406" spans="1:58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  <c r="AT406" s="73"/>
      <c r="AU406" s="73"/>
      <c r="AV406" s="73"/>
      <c r="AX406" s="84"/>
      <c r="AY406" s="84"/>
      <c r="AZ406" s="84"/>
      <c r="BA406" s="77" t="s">
        <v>66</v>
      </c>
      <c r="BB406" s="85">
        <v>0</v>
      </c>
      <c r="BC406" s="85">
        <v>0</v>
      </c>
      <c r="BD406" s="85">
        <v>0</v>
      </c>
      <c r="BE406" s="85">
        <v>0</v>
      </c>
      <c r="BF406" s="85">
        <v>0</v>
      </c>
    </row>
    <row r="407" spans="1:58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3"/>
      <c r="AP407" s="73"/>
      <c r="AQ407" s="73"/>
      <c r="AR407" s="73"/>
      <c r="AS407" s="73"/>
      <c r="AT407" s="73"/>
      <c r="AU407" s="73"/>
      <c r="AV407" s="73"/>
      <c r="AX407" s="84"/>
      <c r="AY407" s="84"/>
      <c r="AZ407" s="84"/>
      <c r="BA407" s="2"/>
    </row>
    <row r="408" spans="1:58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3"/>
      <c r="AP408" s="73"/>
      <c r="AQ408" s="73"/>
      <c r="AR408" s="73"/>
      <c r="AS408" s="73"/>
      <c r="AT408" s="73"/>
      <c r="AU408" s="73"/>
      <c r="AV408" s="73"/>
      <c r="AX408" s="84"/>
      <c r="AY408" s="84"/>
      <c r="AZ408" s="84"/>
      <c r="BA408" s="77"/>
      <c r="BB408" s="77" t="s">
        <v>62</v>
      </c>
      <c r="BC408" s="77" t="s">
        <v>63</v>
      </c>
      <c r="BD408" s="77" t="s">
        <v>64</v>
      </c>
      <c r="BE408" s="77" t="s">
        <v>65</v>
      </c>
      <c r="BF408" s="77" t="s">
        <v>66</v>
      </c>
    </row>
    <row r="409" spans="1:58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3"/>
      <c r="AP409" s="73"/>
      <c r="AQ409" s="73"/>
      <c r="AR409" s="73"/>
      <c r="AS409" s="73"/>
      <c r="AT409" s="73"/>
      <c r="AU409" s="73"/>
      <c r="AV409" s="73"/>
      <c r="AX409" s="84"/>
      <c r="AY409" s="84"/>
      <c r="BA409" s="77" t="s">
        <v>59</v>
      </c>
      <c r="BB409" s="87" t="e">
        <v>#DIV/0!</v>
      </c>
      <c r="BC409" s="87" t="e">
        <v>#DIV/0!</v>
      </c>
      <c r="BD409" s="87" t="e">
        <v>#DIV/0!</v>
      </c>
      <c r="BE409" s="87" t="e">
        <v>#DIV/0!</v>
      </c>
      <c r="BF409" s="87" t="e">
        <v>#DIV/0!</v>
      </c>
    </row>
    <row r="410" spans="1:58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X410" s="84"/>
      <c r="AY410" s="84"/>
      <c r="BA410" s="77" t="s">
        <v>60</v>
      </c>
      <c r="BB410" s="87" t="e">
        <v>#DIV/0!</v>
      </c>
      <c r="BC410" s="87" t="e">
        <v>#DIV/0!</v>
      </c>
      <c r="BD410" s="87" t="e">
        <v>#DIV/0!</v>
      </c>
      <c r="BE410" s="87" t="e">
        <v>#DIV/0!</v>
      </c>
      <c r="BF410" s="87" t="e">
        <v>#DIV/0!</v>
      </c>
    </row>
    <row r="411" spans="1:58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X411" s="84"/>
      <c r="AY411" s="84"/>
      <c r="BA411" s="77" t="s">
        <v>66</v>
      </c>
      <c r="BB411" s="87" t="e">
        <v>#DIV/0!</v>
      </c>
      <c r="BC411" s="87" t="e">
        <v>#DIV/0!</v>
      </c>
      <c r="BD411" s="87" t="e">
        <v>#DIV/0!</v>
      </c>
      <c r="BE411" s="87" t="e">
        <v>#DIV/0!</v>
      </c>
      <c r="BF411" s="87" t="e">
        <v>#DIV/0!</v>
      </c>
    </row>
    <row r="412" spans="1:58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X412" s="84"/>
      <c r="AY412" s="84"/>
    </row>
    <row r="413" spans="1:58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X413" s="84"/>
      <c r="AY413" s="84"/>
    </row>
    <row r="414" spans="1:58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X414" s="84"/>
      <c r="AY414" s="84"/>
    </row>
    <row r="415" spans="1:58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X415" s="84"/>
      <c r="AY415" s="84"/>
    </row>
    <row r="416" spans="1:58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X416" s="84"/>
      <c r="AY416" s="84"/>
    </row>
    <row r="417" spans="1:58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X417" s="84"/>
      <c r="AY417" s="84"/>
    </row>
    <row r="418" spans="1:58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X418" s="84"/>
      <c r="AY418" s="84"/>
    </row>
    <row r="419" spans="1:58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X419" s="84"/>
      <c r="AY419" s="84"/>
    </row>
    <row r="420" spans="1:58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X420" s="84"/>
      <c r="AY420" s="84"/>
    </row>
    <row r="421" spans="1:58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X421" s="84"/>
      <c r="AY421" s="84"/>
    </row>
    <row r="422" spans="1:58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X422" s="84"/>
      <c r="AY422" s="84"/>
      <c r="AZ422" s="84"/>
      <c r="BA422" s="77" t="s">
        <v>59</v>
      </c>
      <c r="BB422" s="85">
        <v>0</v>
      </c>
      <c r="BC422" s="85">
        <v>0</v>
      </c>
      <c r="BD422" s="85">
        <v>0</v>
      </c>
      <c r="BE422" s="85">
        <v>0</v>
      </c>
      <c r="BF422" s="85">
        <v>0</v>
      </c>
    </row>
    <row r="423" spans="1:58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X423" s="84"/>
      <c r="AY423" s="84"/>
      <c r="AZ423" s="84"/>
      <c r="BA423" s="77" t="s">
        <v>60</v>
      </c>
      <c r="BB423" s="85">
        <v>0</v>
      </c>
      <c r="BC423" s="85">
        <v>0</v>
      </c>
      <c r="BD423" s="85">
        <v>0</v>
      </c>
      <c r="BE423" s="85">
        <v>0</v>
      </c>
      <c r="BF423" s="85">
        <v>0</v>
      </c>
    </row>
    <row r="424" spans="1:58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X424" s="84"/>
      <c r="AY424" s="84"/>
      <c r="AZ424" s="84"/>
      <c r="BA424" s="72" t="s">
        <v>61</v>
      </c>
      <c r="BB424" s="86">
        <v>0</v>
      </c>
      <c r="BC424" s="86">
        <v>0</v>
      </c>
      <c r="BD424" s="86">
        <v>0</v>
      </c>
      <c r="BE424" s="86">
        <v>0</v>
      </c>
      <c r="BF424" s="86">
        <v>0</v>
      </c>
    </row>
    <row r="425" spans="1:58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X425" s="84"/>
      <c r="AY425" s="84"/>
      <c r="AZ425" s="84"/>
      <c r="BA425" s="2"/>
    </row>
    <row r="426" spans="1:58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X426" s="84"/>
      <c r="AY426" s="84"/>
      <c r="AZ426" s="84"/>
      <c r="BA426" s="77" t="s">
        <v>67</v>
      </c>
      <c r="BB426" s="87" t="e">
        <v>#DIV/0!</v>
      </c>
      <c r="BC426" s="87" t="e">
        <v>#DIV/0!</v>
      </c>
      <c r="BD426" s="87" t="e">
        <v>#DIV/0!</v>
      </c>
      <c r="BE426" s="87" t="e">
        <v>#DIV/0!</v>
      </c>
      <c r="BF426" s="87" t="e">
        <v>#DIV/0!</v>
      </c>
    </row>
    <row r="427" spans="1:58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X427" s="84"/>
      <c r="AY427" s="84"/>
      <c r="BA427" s="77" t="s">
        <v>60</v>
      </c>
      <c r="BB427" s="87" t="e">
        <v>#DIV/0!</v>
      </c>
      <c r="BC427" s="87" t="e">
        <v>#DIV/0!</v>
      </c>
      <c r="BD427" s="87" t="e">
        <v>#DIV/0!</v>
      </c>
      <c r="BE427" s="87" t="e">
        <v>#DIV/0!</v>
      </c>
      <c r="BF427" s="87" t="e">
        <v>#DIV/0!</v>
      </c>
    </row>
    <row r="428" spans="1:58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X428" s="84"/>
      <c r="AY428" s="84"/>
      <c r="BA428" s="72" t="s">
        <v>61</v>
      </c>
      <c r="BB428" s="88" t="e">
        <v>#DIV/0!</v>
      </c>
      <c r="BC428" s="88" t="e">
        <v>#DIV/0!</v>
      </c>
      <c r="BD428" s="88" t="e">
        <v>#DIV/0!</v>
      </c>
      <c r="BE428" s="88" t="e">
        <v>#DIV/0!</v>
      </c>
      <c r="BF428" s="88" t="e">
        <v>#DIV/0!</v>
      </c>
    </row>
    <row r="429" spans="1:58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X429" s="84"/>
      <c r="AY429" s="84"/>
      <c r="BA429" s="77" t="s">
        <v>66</v>
      </c>
      <c r="BB429" s="87" t="e">
        <v>#DIV/0!</v>
      </c>
      <c r="BC429" s="87" t="e">
        <v>#DIV/0!</v>
      </c>
      <c r="BD429" s="87" t="e">
        <v>#DIV/0!</v>
      </c>
      <c r="BE429" s="87" t="e">
        <v>#DIV/0!</v>
      </c>
      <c r="BF429" s="87" t="e">
        <v>#DIV/0!</v>
      </c>
    </row>
    <row r="430" spans="1:58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X430" s="84"/>
      <c r="AY430" s="84"/>
    </row>
    <row r="431" spans="1:58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X431" s="84"/>
      <c r="AY431" s="84"/>
    </row>
    <row r="432" spans="1:58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X432" s="84"/>
      <c r="AY432" s="84"/>
    </row>
    <row r="433" spans="1:51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X433" s="84"/>
      <c r="AY433" s="84"/>
    </row>
    <row r="434" spans="1:51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X434" s="84"/>
      <c r="AY434" s="84"/>
    </row>
    <row r="435" spans="1:51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X435" s="84"/>
      <c r="AY435" s="84"/>
    </row>
    <row r="436" spans="1:51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X436" s="84"/>
      <c r="AY436" s="84"/>
    </row>
    <row r="437" spans="1:51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X437" s="84"/>
      <c r="AY437" s="84"/>
    </row>
    <row r="438" spans="1:51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X438" s="84"/>
      <c r="AY438" s="84"/>
    </row>
    <row r="439" spans="1:51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X439" s="84"/>
      <c r="AY439" s="84"/>
    </row>
    <row r="440" spans="1:51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X440" s="84"/>
      <c r="AY440" s="84"/>
    </row>
    <row r="441" spans="1:51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X441" s="84"/>
      <c r="AY441" s="84"/>
    </row>
    <row r="442" spans="1:51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X442" s="84"/>
      <c r="AY442" s="84"/>
    </row>
    <row r="443" spans="1:51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X443" s="84"/>
      <c r="AY443" s="84"/>
    </row>
    <row r="444" spans="1:51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X444" s="84"/>
      <c r="AY444" s="84"/>
    </row>
    <row r="445" spans="1:51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X445" s="84"/>
      <c r="AY445" s="84"/>
    </row>
    <row r="446" spans="1:51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X446" s="84"/>
      <c r="AY446" s="84"/>
    </row>
    <row r="447" spans="1:51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X447" s="84"/>
      <c r="AY447" s="84"/>
    </row>
    <row r="448" spans="1:51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X448" s="84"/>
      <c r="AY448" s="84"/>
    </row>
    <row r="449" spans="1:58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X449" s="84"/>
      <c r="AY449" s="84"/>
    </row>
    <row r="450" spans="1:58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X450" s="84"/>
      <c r="AY450" s="84"/>
    </row>
    <row r="451" spans="1:58" s="37" customFormat="1" ht="16.5" customHeight="1" x14ac:dyDescent="0.3">
      <c r="A451" s="73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X451" s="84"/>
      <c r="AY451" s="84"/>
    </row>
    <row r="452" spans="1:58" s="37" customFormat="1" ht="16.5" customHeight="1" x14ac:dyDescent="0.3">
      <c r="A452" s="73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X452" s="84"/>
      <c r="AY452" s="84"/>
    </row>
    <row r="453" spans="1:58" s="37" customFormat="1" ht="16.5" customHeight="1" x14ac:dyDescent="0.3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X453" s="84"/>
      <c r="AY453" s="84"/>
    </row>
    <row r="454" spans="1:58" s="37" customFormat="1" ht="16.5" customHeight="1" x14ac:dyDescent="0.3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X454" s="84"/>
      <c r="AY454" s="84"/>
    </row>
    <row r="455" spans="1:58" s="37" customFormat="1" ht="16.5" customHeight="1" x14ac:dyDescent="0.3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X455" s="84"/>
      <c r="AY455" s="84"/>
    </row>
    <row r="456" spans="1:58" s="37" customFormat="1" ht="16.5" customHeight="1" x14ac:dyDescent="0.3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X456" s="84"/>
      <c r="AY456" s="84"/>
    </row>
    <row r="457" spans="1:58" s="37" customFormat="1" ht="16.5" customHeight="1" x14ac:dyDescent="0.3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X457" s="84"/>
      <c r="AY457" s="84"/>
    </row>
    <row r="458" spans="1:58" s="37" customFormat="1" ht="16.5" customHeight="1" x14ac:dyDescent="0.3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X458" s="84"/>
      <c r="AY458" s="84"/>
    </row>
    <row r="459" spans="1:58" s="37" customFormat="1" ht="16.5" customHeight="1" x14ac:dyDescent="0.3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X459" s="84"/>
      <c r="AY459" s="84"/>
    </row>
    <row r="460" spans="1:58" s="37" customFormat="1" ht="16.5" customHeight="1" x14ac:dyDescent="0.3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X460" s="84"/>
      <c r="AY460" s="84"/>
    </row>
    <row r="461" spans="1:58" s="37" customFormat="1" ht="16.5" customHeight="1" x14ac:dyDescent="0.3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X461" s="84"/>
      <c r="AY461" s="84"/>
    </row>
    <row r="462" spans="1:58" s="37" customFormat="1" ht="16.5" customHeight="1" x14ac:dyDescent="0.3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X462" s="84"/>
      <c r="AY462" s="84"/>
    </row>
    <row r="463" spans="1:58" s="37" customFormat="1" ht="16.5" customHeight="1" x14ac:dyDescent="0.3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X463" s="84"/>
      <c r="AY463" s="84"/>
    </row>
    <row r="464" spans="1:58" s="37" customFormat="1" ht="16.5" customHeight="1" x14ac:dyDescent="0.3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X464" s="84"/>
      <c r="AY464" s="84"/>
      <c r="AZ464" s="84"/>
      <c r="BA464" s="77" t="s">
        <v>59</v>
      </c>
      <c r="BB464" s="85">
        <v>0</v>
      </c>
      <c r="BC464" s="85">
        <v>0</v>
      </c>
      <c r="BD464" s="85">
        <v>0</v>
      </c>
      <c r="BE464" s="85">
        <v>0</v>
      </c>
      <c r="BF464" s="85">
        <v>0</v>
      </c>
    </row>
    <row r="465" spans="1:58" s="37" customFormat="1" ht="16.5" customHeight="1" x14ac:dyDescent="0.3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X465" s="84"/>
      <c r="AY465" s="84"/>
      <c r="AZ465" s="84"/>
      <c r="BA465" s="77" t="s">
        <v>60</v>
      </c>
      <c r="BB465" s="85">
        <v>0</v>
      </c>
      <c r="BC465" s="85">
        <v>0</v>
      </c>
      <c r="BD465" s="85">
        <v>0</v>
      </c>
      <c r="BE465" s="85">
        <v>0</v>
      </c>
      <c r="BF465" s="85">
        <v>0</v>
      </c>
    </row>
    <row r="466" spans="1:58" s="37" customFormat="1" ht="16.5" customHeight="1" x14ac:dyDescent="0.3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X466" s="84"/>
      <c r="AY466" s="84"/>
      <c r="AZ466" s="84"/>
      <c r="BA466" s="72" t="s">
        <v>61</v>
      </c>
      <c r="BB466" s="86">
        <v>0</v>
      </c>
      <c r="BC466" s="86">
        <v>0</v>
      </c>
      <c r="BD466" s="86">
        <v>0</v>
      </c>
      <c r="BE466" s="86">
        <v>0</v>
      </c>
      <c r="BF466" s="86">
        <v>0</v>
      </c>
    </row>
    <row r="467" spans="1:58" s="37" customFormat="1" ht="16.5" customHeight="1" x14ac:dyDescent="0.3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X467" s="84"/>
      <c r="AY467" s="84"/>
      <c r="AZ467" s="84"/>
      <c r="BA467" s="77" t="s">
        <v>66</v>
      </c>
      <c r="BB467" s="85">
        <v>0</v>
      </c>
      <c r="BC467" s="85">
        <v>0</v>
      </c>
      <c r="BD467" s="85">
        <v>0</v>
      </c>
      <c r="BE467" s="85">
        <v>0</v>
      </c>
      <c r="BF467" s="85">
        <v>0</v>
      </c>
    </row>
    <row r="468" spans="1:58" s="37" customFormat="1" ht="16.5" customHeight="1" x14ac:dyDescent="0.3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X468" s="84"/>
      <c r="AY468" s="84"/>
      <c r="AZ468" s="84"/>
      <c r="BA468" s="77"/>
      <c r="BB468" s="77" t="s">
        <v>62</v>
      </c>
      <c r="BC468" s="77" t="s">
        <v>63</v>
      </c>
      <c r="BD468" s="77" t="s">
        <v>64</v>
      </c>
      <c r="BE468" s="77" t="s">
        <v>65</v>
      </c>
      <c r="BF468" s="77" t="s">
        <v>66</v>
      </c>
    </row>
    <row r="469" spans="1:58" s="37" customFormat="1" ht="16.5" customHeight="1" x14ac:dyDescent="0.3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X469" s="84"/>
      <c r="AY469" s="84"/>
      <c r="AZ469" s="84"/>
      <c r="BA469" s="77" t="s">
        <v>67</v>
      </c>
      <c r="BB469" s="87" t="e">
        <v>#DIV/0!</v>
      </c>
      <c r="BC469" s="87" t="e">
        <v>#DIV/0!</v>
      </c>
      <c r="BD469" s="87" t="e">
        <v>#DIV/0!</v>
      </c>
      <c r="BE469" s="87" t="e">
        <v>#DIV/0!</v>
      </c>
      <c r="BF469" s="87" t="e">
        <v>#DIV/0!</v>
      </c>
    </row>
    <row r="470" spans="1:58" s="37" customFormat="1" ht="16.5" customHeight="1" x14ac:dyDescent="0.3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X470" s="84"/>
      <c r="AY470" s="84"/>
      <c r="BA470" s="77" t="s">
        <v>59</v>
      </c>
      <c r="BB470" s="87" t="e">
        <v>#DIV/0!</v>
      </c>
      <c r="BC470" s="87" t="e">
        <v>#DIV/0!</v>
      </c>
      <c r="BD470" s="87" t="e">
        <v>#DIV/0!</v>
      </c>
      <c r="BE470" s="87" t="e">
        <v>#DIV/0!</v>
      </c>
      <c r="BF470" s="87" t="e">
        <v>#DIV/0!</v>
      </c>
    </row>
    <row r="471" spans="1:58" s="37" customFormat="1" ht="16.5" customHeight="1" x14ac:dyDescent="0.3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X471" s="84"/>
      <c r="AY471" s="84"/>
      <c r="BA471" s="72" t="s">
        <v>61</v>
      </c>
      <c r="BB471" s="88" t="e">
        <v>#DIV/0!</v>
      </c>
      <c r="BC471" s="88" t="e">
        <v>#DIV/0!</v>
      </c>
      <c r="BD471" s="88" t="e">
        <v>#DIV/0!</v>
      </c>
      <c r="BE471" s="88" t="e">
        <v>#DIV/0!</v>
      </c>
      <c r="BF471" s="88" t="e">
        <v>#DIV/0!</v>
      </c>
    </row>
    <row r="472" spans="1:58" s="37" customFormat="1" ht="16.5" customHeight="1" x14ac:dyDescent="0.3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X472" s="84"/>
      <c r="AY472" s="84"/>
      <c r="BA472" s="77" t="s">
        <v>66</v>
      </c>
      <c r="BB472" s="87" t="e">
        <v>#DIV/0!</v>
      </c>
      <c r="BC472" s="87" t="e">
        <v>#DIV/0!</v>
      </c>
      <c r="BD472" s="87" t="e">
        <v>#DIV/0!</v>
      </c>
      <c r="BE472" s="87" t="e">
        <v>#DIV/0!</v>
      </c>
      <c r="BF472" s="87" t="e">
        <v>#DIV/0!</v>
      </c>
    </row>
    <row r="473" spans="1:58" s="37" customFormat="1" ht="16.5" customHeight="1" x14ac:dyDescent="0.3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X473" s="84"/>
      <c r="AY473" s="84"/>
    </row>
    <row r="474" spans="1:58" s="37" customFormat="1" ht="16.5" customHeight="1" x14ac:dyDescent="0.3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X474" s="84"/>
      <c r="AY474" s="84"/>
    </row>
    <row r="475" spans="1:58" s="37" customFormat="1" ht="16.5" customHeight="1" x14ac:dyDescent="0.3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X475" s="84"/>
      <c r="AY475" s="84"/>
    </row>
    <row r="476" spans="1:58" s="37" customFormat="1" ht="16.5" customHeight="1" x14ac:dyDescent="0.3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X476" s="84"/>
      <c r="AY476" s="84"/>
    </row>
    <row r="477" spans="1:58" s="37" customFormat="1" ht="16.5" customHeight="1" x14ac:dyDescent="0.3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X477" s="84"/>
      <c r="AY477" s="84"/>
    </row>
    <row r="478" spans="1:58" s="37" customFormat="1" ht="16.5" customHeight="1" x14ac:dyDescent="0.3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X478" s="84"/>
      <c r="AY478" s="84"/>
    </row>
    <row r="479" spans="1:58" s="37" customFormat="1" ht="16.5" customHeight="1" x14ac:dyDescent="0.3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X479" s="84"/>
      <c r="AY479" s="84"/>
    </row>
    <row r="480" spans="1:58" s="37" customFormat="1" ht="16.5" customHeight="1" x14ac:dyDescent="0.3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X480" s="84"/>
      <c r="AY480" s="84"/>
    </row>
    <row r="481" spans="1:51" s="37" customFormat="1" ht="16.5" customHeight="1" x14ac:dyDescent="0.3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X481" s="84"/>
      <c r="AY481" s="84"/>
    </row>
    <row r="482" spans="1:51" s="37" customFormat="1" ht="16.5" customHeight="1" x14ac:dyDescent="0.3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X482" s="84"/>
      <c r="AY482" s="84"/>
    </row>
    <row r="483" spans="1:51" s="37" customFormat="1" ht="16.5" customHeight="1" x14ac:dyDescent="0.3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X483" s="84"/>
      <c r="AY483" s="84"/>
    </row>
    <row r="484" spans="1:51" s="37" customFormat="1" ht="16.5" customHeight="1" x14ac:dyDescent="0.3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X484" s="84"/>
      <c r="AY484" s="84"/>
    </row>
    <row r="485" spans="1:51" s="37" customFormat="1" ht="16.5" customHeight="1" x14ac:dyDescent="0.3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X485" s="84"/>
      <c r="AY485" s="84"/>
    </row>
    <row r="486" spans="1:51" s="37" customFormat="1" ht="16.5" customHeight="1" x14ac:dyDescent="0.3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X486" s="84"/>
      <c r="AY486" s="84"/>
    </row>
    <row r="487" spans="1:51" s="37" customFormat="1" ht="16.5" customHeight="1" x14ac:dyDescent="0.3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X487" s="84"/>
      <c r="AY487" s="84"/>
    </row>
    <row r="488" spans="1:51" s="37" customFormat="1" ht="16.5" customHeight="1" x14ac:dyDescent="0.3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X488" s="84"/>
      <c r="AY488" s="84"/>
    </row>
    <row r="489" spans="1:51" s="37" customFormat="1" ht="16.5" customHeight="1" x14ac:dyDescent="0.3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X489" s="84"/>
      <c r="AY489" s="84"/>
    </row>
    <row r="490" spans="1:51" s="37" customFormat="1" ht="16.5" customHeight="1" x14ac:dyDescent="0.3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X490" s="84"/>
      <c r="AY490" s="84"/>
    </row>
    <row r="491" spans="1:51" s="37" customFormat="1" ht="16.5" customHeight="1" x14ac:dyDescent="0.3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X491" s="84"/>
      <c r="AY491" s="84"/>
    </row>
    <row r="492" spans="1:51" s="37" customFormat="1" ht="16.5" customHeight="1" x14ac:dyDescent="0.3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X492" s="84"/>
      <c r="AY492" s="84"/>
    </row>
    <row r="493" spans="1:51" s="37" customFormat="1" ht="16.5" customHeight="1" x14ac:dyDescent="0.3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X493" s="84"/>
      <c r="AY493" s="84"/>
    </row>
    <row r="494" spans="1:51" s="37" customFormat="1" ht="16.5" customHeight="1" x14ac:dyDescent="0.3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X494" s="84"/>
      <c r="AY494" s="84"/>
    </row>
    <row r="495" spans="1:51" s="37" customFormat="1" ht="16.5" customHeight="1" x14ac:dyDescent="0.3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X495" s="84"/>
      <c r="AY495" s="84"/>
    </row>
    <row r="496" spans="1:51" s="37" customFormat="1" ht="16.5" customHeight="1" x14ac:dyDescent="0.3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X496" s="84"/>
      <c r="AY496" s="84"/>
    </row>
    <row r="497" spans="1:51" s="37" customFormat="1" ht="16.5" customHeight="1" x14ac:dyDescent="0.3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X497" s="84"/>
      <c r="AY497" s="84"/>
    </row>
    <row r="498" spans="1:51" s="37" customFormat="1" ht="16.5" customHeight="1" x14ac:dyDescent="0.3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X498" s="84"/>
      <c r="AY498" s="84"/>
    </row>
    <row r="499" spans="1:51" s="37" customFormat="1" ht="16.5" customHeight="1" x14ac:dyDescent="0.3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X499" s="84"/>
      <c r="AY499" s="84"/>
    </row>
    <row r="500" spans="1:51" s="37" customFormat="1" ht="16.5" customHeight="1" x14ac:dyDescent="0.3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X500" s="84"/>
      <c r="AY500" s="84"/>
    </row>
    <row r="501" spans="1:51" s="37" customFormat="1" ht="16.5" customHeight="1" x14ac:dyDescent="0.3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X501" s="84"/>
      <c r="AY501" s="84"/>
    </row>
    <row r="502" spans="1:51" s="37" customFormat="1" ht="16.5" customHeight="1" x14ac:dyDescent="0.3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X502" s="84"/>
      <c r="AY502" s="84"/>
    </row>
    <row r="503" spans="1:51" s="37" customFormat="1" ht="16.5" customHeight="1" x14ac:dyDescent="0.3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X503" s="84"/>
      <c r="AY503" s="84"/>
    </row>
    <row r="504" spans="1:51" s="37" customFormat="1" ht="16.5" customHeight="1" x14ac:dyDescent="0.3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X504" s="84"/>
      <c r="AY504" s="84"/>
    </row>
    <row r="505" spans="1:51" s="37" customFormat="1" ht="16.5" customHeight="1" x14ac:dyDescent="0.3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X505" s="84"/>
      <c r="AY505" s="84"/>
    </row>
    <row r="506" spans="1:51" s="37" customFormat="1" ht="16.5" customHeight="1" x14ac:dyDescent="0.3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X506" s="84"/>
      <c r="AY506" s="84"/>
    </row>
    <row r="507" spans="1:51" s="37" customFormat="1" ht="16.5" customHeight="1" x14ac:dyDescent="0.3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X507" s="84"/>
      <c r="AY507" s="84"/>
    </row>
    <row r="508" spans="1:51" s="37" customFormat="1" ht="16.5" customHeight="1" x14ac:dyDescent="0.3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X508" s="84"/>
      <c r="AY508" s="84"/>
    </row>
    <row r="509" spans="1:51" s="37" customFormat="1" ht="16.5" customHeight="1" x14ac:dyDescent="0.3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X509" s="84"/>
      <c r="AY509" s="84"/>
    </row>
    <row r="510" spans="1:51" s="37" customFormat="1" ht="16.5" customHeight="1" x14ac:dyDescent="0.3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X510" s="84"/>
      <c r="AY510" s="84"/>
    </row>
    <row r="511" spans="1:51" s="37" customFormat="1" ht="16.5" customHeight="1" x14ac:dyDescent="0.3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X511" s="84"/>
      <c r="AY511" s="84"/>
    </row>
    <row r="512" spans="1:51" s="37" customFormat="1" ht="16.5" customHeight="1" x14ac:dyDescent="0.3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X512" s="84"/>
      <c r="AY512" s="84"/>
    </row>
    <row r="513" spans="1:58" s="37" customFormat="1" ht="16.5" customHeight="1" x14ac:dyDescent="0.3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X513" s="84"/>
      <c r="AY513" s="84"/>
    </row>
    <row r="514" spans="1:58" s="37" customFormat="1" ht="16.5" customHeight="1" x14ac:dyDescent="0.3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X514" s="84"/>
      <c r="AY514" s="84"/>
    </row>
    <row r="515" spans="1:58" s="37" customFormat="1" ht="16.5" customHeight="1" x14ac:dyDescent="0.3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X515" s="84"/>
      <c r="AY515" s="84"/>
    </row>
    <row r="516" spans="1:58" s="37" customFormat="1" ht="16.5" customHeight="1" x14ac:dyDescent="0.3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X516" s="84"/>
      <c r="AY516" s="84"/>
    </row>
    <row r="517" spans="1:58" s="37" customFormat="1" ht="16.5" customHeight="1" x14ac:dyDescent="0.3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X517" s="84"/>
      <c r="AY517" s="84"/>
    </row>
    <row r="518" spans="1:58" s="37" customFormat="1" ht="16.5" customHeight="1" x14ac:dyDescent="0.3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X518" s="84"/>
      <c r="AY518" s="84"/>
    </row>
    <row r="519" spans="1:58" s="37" customFormat="1" ht="16.5" customHeight="1" x14ac:dyDescent="0.3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X519" s="84"/>
      <c r="AY519" s="84"/>
    </row>
    <row r="520" spans="1:58" s="37" customFormat="1" ht="16.5" customHeight="1" x14ac:dyDescent="0.3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X520" s="84"/>
      <c r="AY520" s="84"/>
    </row>
    <row r="521" spans="1:58" s="37" customFormat="1" ht="16.5" customHeight="1" x14ac:dyDescent="0.3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X521" s="84"/>
      <c r="AY521" s="84"/>
    </row>
    <row r="522" spans="1:58" s="37" customFormat="1" ht="16.5" customHeight="1" x14ac:dyDescent="0.3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X522" s="84"/>
      <c r="AY522" s="84"/>
    </row>
    <row r="523" spans="1:58" s="37" customFormat="1" ht="16.5" customHeight="1" x14ac:dyDescent="0.3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X523" s="84"/>
      <c r="AY523" s="84"/>
    </row>
    <row r="524" spans="1:58" s="37" customFormat="1" ht="16.5" customHeight="1" x14ac:dyDescent="0.3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X524" s="84"/>
      <c r="AY524" s="84"/>
    </row>
    <row r="525" spans="1:58" s="37" customFormat="1" ht="16.5" customHeight="1" x14ac:dyDescent="0.3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X525" s="84"/>
      <c r="AY525" s="84"/>
    </row>
    <row r="526" spans="1:58" s="37" customFormat="1" ht="16.5" customHeight="1" x14ac:dyDescent="0.3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X526" s="84"/>
      <c r="AY526" s="84"/>
    </row>
    <row r="527" spans="1:58" s="37" customFormat="1" ht="16.5" customHeight="1" x14ac:dyDescent="0.3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X527" s="84"/>
      <c r="AY527" s="84"/>
    </row>
    <row r="528" spans="1:58" s="37" customFormat="1" ht="16.5" customHeight="1" x14ac:dyDescent="0.3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X528" s="84"/>
      <c r="AY528" s="84"/>
      <c r="AZ528" s="84"/>
      <c r="BA528" s="77" t="s">
        <v>59</v>
      </c>
      <c r="BB528" s="85">
        <v>0</v>
      </c>
      <c r="BC528" s="85">
        <v>0</v>
      </c>
      <c r="BD528" s="85">
        <v>0</v>
      </c>
      <c r="BE528" s="85">
        <v>0</v>
      </c>
      <c r="BF528" s="85">
        <v>0</v>
      </c>
    </row>
    <row r="529" spans="1:58" s="37" customFormat="1" ht="16.5" customHeight="1" x14ac:dyDescent="0.3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X529" s="84"/>
      <c r="AY529" s="84"/>
      <c r="AZ529" s="84"/>
      <c r="BA529" s="77" t="s">
        <v>60</v>
      </c>
      <c r="BB529" s="85">
        <v>0</v>
      </c>
      <c r="BC529" s="85">
        <v>0</v>
      </c>
      <c r="BD529" s="85">
        <v>0</v>
      </c>
      <c r="BE529" s="85">
        <v>0</v>
      </c>
      <c r="BF529" s="85">
        <v>0</v>
      </c>
    </row>
    <row r="530" spans="1:58" s="37" customFormat="1" ht="16.5" customHeight="1" x14ac:dyDescent="0.3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X530" s="84"/>
      <c r="AY530" s="84"/>
      <c r="AZ530" s="84"/>
      <c r="BA530" s="77" t="s">
        <v>66</v>
      </c>
      <c r="BB530" s="85">
        <v>0</v>
      </c>
      <c r="BC530" s="85">
        <v>0</v>
      </c>
      <c r="BD530" s="85">
        <v>0</v>
      </c>
      <c r="BE530" s="85">
        <v>0</v>
      </c>
      <c r="BF530" s="85">
        <v>0</v>
      </c>
    </row>
    <row r="531" spans="1:58" s="37" customFormat="1" ht="16.5" customHeight="1" x14ac:dyDescent="0.3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X531" s="84"/>
      <c r="AY531" s="84"/>
      <c r="AZ531" s="84"/>
      <c r="BA531" s="2"/>
    </row>
    <row r="532" spans="1:58" s="37" customFormat="1" ht="16.5" customHeight="1" x14ac:dyDescent="0.3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X532" s="84"/>
      <c r="AY532" s="84"/>
      <c r="AZ532" s="84"/>
      <c r="BA532" s="77"/>
      <c r="BB532" s="77" t="s">
        <v>62</v>
      </c>
      <c r="BC532" s="77" t="s">
        <v>63</v>
      </c>
      <c r="BD532" s="77" t="s">
        <v>64</v>
      </c>
      <c r="BE532" s="77" t="s">
        <v>65</v>
      </c>
      <c r="BF532" s="77" t="s">
        <v>66</v>
      </c>
    </row>
    <row r="533" spans="1:58" s="37" customFormat="1" ht="16.5" customHeight="1" x14ac:dyDescent="0.3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X533" s="84"/>
      <c r="AY533" s="84"/>
      <c r="BA533" s="77" t="s">
        <v>59</v>
      </c>
      <c r="BB533" s="87" t="e">
        <v>#DIV/0!</v>
      </c>
      <c r="BC533" s="87" t="e">
        <v>#DIV/0!</v>
      </c>
      <c r="BD533" s="87" t="e">
        <v>#DIV/0!</v>
      </c>
      <c r="BE533" s="87" t="e">
        <v>#DIV/0!</v>
      </c>
      <c r="BF533" s="87" t="e">
        <v>#DIV/0!</v>
      </c>
    </row>
    <row r="534" spans="1:58" s="37" customFormat="1" ht="16.5" customHeight="1" x14ac:dyDescent="0.3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X534" s="84"/>
      <c r="AY534" s="84"/>
      <c r="BA534" s="77" t="s">
        <v>60</v>
      </c>
      <c r="BB534" s="87" t="e">
        <v>#DIV/0!</v>
      </c>
      <c r="BC534" s="87" t="e">
        <v>#DIV/0!</v>
      </c>
      <c r="BD534" s="87" t="e">
        <v>#DIV/0!</v>
      </c>
      <c r="BE534" s="87" t="e">
        <v>#DIV/0!</v>
      </c>
      <c r="BF534" s="87" t="e">
        <v>#DIV/0!</v>
      </c>
    </row>
    <row r="535" spans="1:58" s="37" customFormat="1" ht="16.5" customHeight="1" x14ac:dyDescent="0.3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X535" s="84"/>
      <c r="AY535" s="84"/>
      <c r="BA535" s="77" t="s">
        <v>66</v>
      </c>
      <c r="BB535" s="87" t="e">
        <v>#DIV/0!</v>
      </c>
      <c r="BC535" s="87" t="e">
        <v>#DIV/0!</v>
      </c>
      <c r="BD535" s="87" t="e">
        <v>#DIV/0!</v>
      </c>
      <c r="BE535" s="87" t="e">
        <v>#DIV/0!</v>
      </c>
      <c r="BF535" s="87" t="e">
        <v>#DIV/0!</v>
      </c>
    </row>
    <row r="536" spans="1:58" s="37" customFormat="1" ht="16.5" customHeight="1" x14ac:dyDescent="0.3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X536" s="84"/>
      <c r="AY536" s="84"/>
    </row>
    <row r="537" spans="1:58" s="37" customFormat="1" ht="16.5" customHeight="1" x14ac:dyDescent="0.3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X537" s="84"/>
      <c r="AY537" s="84"/>
    </row>
    <row r="538" spans="1:58" s="37" customFormat="1" ht="16.5" customHeight="1" x14ac:dyDescent="0.3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X538" s="84"/>
      <c r="AY538" s="84"/>
    </row>
    <row r="539" spans="1:58" s="37" customFormat="1" ht="16.5" customHeight="1" x14ac:dyDescent="0.3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X539" s="84"/>
      <c r="AY539" s="84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30587" priority="99946" operator="lessThan">
      <formula>15.1</formula>
    </cfRule>
    <cfRule type="cellIs" dxfId="30586" priority="99947" operator="lessThan">
      <formula>18.1</formula>
    </cfRule>
    <cfRule type="cellIs" dxfId="30585" priority="99948" operator="lessThan">
      <formula>21.1</formula>
    </cfRule>
    <cfRule type="cellIs" dxfId="30584" priority="99949" operator="lessThan">
      <formula>24.1</formula>
    </cfRule>
    <cfRule type="cellIs" dxfId="30583" priority="99950" operator="lessThan">
      <formula>30</formula>
    </cfRule>
    <cfRule type="cellIs" dxfId="30582" priority="99951" operator="lessThan">
      <formula>34.1</formula>
    </cfRule>
  </conditionalFormatting>
  <conditionalFormatting sqref="Z3">
    <cfRule type="colorScale" priority="9994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30581" priority="99943" operator="greaterThan">
      <formula>0.9</formula>
    </cfRule>
    <cfRule type="cellIs" dxfId="30580" priority="99944" operator="greaterThan">
      <formula>0.85</formula>
    </cfRule>
  </conditionalFormatting>
  <conditionalFormatting sqref="N2">
    <cfRule type="cellIs" dxfId="30579" priority="99941" operator="greaterThan">
      <formula>0.9</formula>
    </cfRule>
    <cfRule type="cellIs" dxfId="30578" priority="99942" operator="greaterThan">
      <formula>0.85</formula>
    </cfRule>
  </conditionalFormatting>
  <conditionalFormatting sqref="AV4">
    <cfRule type="expression" dxfId="701" priority="701">
      <formula>AV4="X"</formula>
    </cfRule>
    <cfRule type="expression" dxfId="700" priority="702">
      <formula>AV4="후보"</formula>
    </cfRule>
  </conditionalFormatting>
  <conditionalFormatting sqref="AC4">
    <cfRule type="cellIs" dxfId="699" priority="699" operator="greaterThan">
      <formula>0.9</formula>
    </cfRule>
    <cfRule type="cellIs" dxfId="698" priority="700" operator="greaterThan">
      <formula>0.85</formula>
    </cfRule>
  </conditionalFormatting>
  <conditionalFormatting sqref="N4">
    <cfRule type="cellIs" dxfId="697" priority="697" operator="greaterThan">
      <formula>0.9</formula>
    </cfRule>
    <cfRule type="cellIs" dxfId="696" priority="698" operator="greaterThan">
      <formula>0.85</formula>
    </cfRule>
  </conditionalFormatting>
  <conditionalFormatting sqref="E4">
    <cfRule type="expression" dxfId="695" priority="693">
      <formula>AND(IF(OR($Q4=1,$Q4=2),1,0),IF($X4&lt;=20,1,0))</formula>
    </cfRule>
    <cfRule type="expression" dxfId="694" priority="694">
      <formula>AND(IF($Q4=2,1,0),IF($X4&lt;30,1,0))</formula>
    </cfRule>
    <cfRule type="expression" dxfId="693" priority="695">
      <formula>AND(IF($Q4=3,1,0),IF($X4&lt;30,1,0))</formula>
    </cfRule>
    <cfRule type="expression" dxfId="692" priority="696">
      <formula>AND(IF($Q4=3,1,IF($Q4=4,1,0)),IF($F4&lt;=85,1,0))</formula>
    </cfRule>
  </conditionalFormatting>
  <conditionalFormatting sqref="X4">
    <cfRule type="expression" dxfId="691" priority="689">
      <formula>AND(IF(OR($Q4=1,$Q4=2),1,0),IF($X4&lt;=20,1,0))</formula>
    </cfRule>
    <cfRule type="expression" dxfId="690" priority="690">
      <formula>AND(IF($Q4=2,1,0),IF($X4&lt;30,1,0))</formula>
    </cfRule>
    <cfRule type="expression" dxfId="689" priority="691">
      <formula>AND(IF($Q4=3,1,0),IF($X4&lt;30,1,0))</formula>
    </cfRule>
    <cfRule type="expression" dxfId="688" priority="692">
      <formula>AND(IF($Q4=3,1,IF($Q4=4,1,0)),IF($F4&lt;=85,1,0))</formula>
    </cfRule>
  </conditionalFormatting>
  <conditionalFormatting sqref="AI4">
    <cfRule type="expression" dxfId="687" priority="685">
      <formula>AND(IF(OR($Q4=1,$Q4=2),1,0),IF($X4&lt;=20,1,0))</formula>
    </cfRule>
    <cfRule type="expression" dxfId="686" priority="686">
      <formula>AND(IF($Q4=2,1,0),IF($X4&lt;30,1,0))</formula>
    </cfRule>
    <cfRule type="expression" dxfId="685" priority="687">
      <formula>AND(IF($Q4=3,1,0),IF($X4&lt;30,1,0))</formula>
    </cfRule>
    <cfRule type="expression" dxfId="684" priority="688">
      <formula>AND(IF($Q4=3,1,IF($Q4=4,1,0)),IF($F4&lt;=85,1,0))</formula>
    </cfRule>
  </conditionalFormatting>
  <conditionalFormatting sqref="AV5">
    <cfRule type="expression" dxfId="683" priority="683">
      <formula>AV5="X"</formula>
    </cfRule>
    <cfRule type="expression" dxfId="682" priority="684">
      <formula>AV5="후보"</formula>
    </cfRule>
  </conditionalFormatting>
  <conditionalFormatting sqref="AC5">
    <cfRule type="cellIs" dxfId="681" priority="681" operator="greaterThan">
      <formula>0.9</formula>
    </cfRule>
    <cfRule type="cellIs" dxfId="680" priority="682" operator="greaterThan">
      <formula>0.85</formula>
    </cfRule>
  </conditionalFormatting>
  <conditionalFormatting sqref="N5">
    <cfRule type="cellIs" dxfId="679" priority="679" operator="greaterThan">
      <formula>0.9</formula>
    </cfRule>
    <cfRule type="cellIs" dxfId="678" priority="680" operator="greaterThan">
      <formula>0.85</formula>
    </cfRule>
  </conditionalFormatting>
  <conditionalFormatting sqref="E5">
    <cfRule type="expression" dxfId="677" priority="675">
      <formula>AND(IF(OR($Q5=1,$Q5=2),1,0),IF($X5&lt;=20,1,0))</formula>
    </cfRule>
    <cfRule type="expression" dxfId="676" priority="676">
      <formula>AND(IF($Q5=2,1,0),IF($X5&lt;30,1,0))</formula>
    </cfRule>
    <cfRule type="expression" dxfId="675" priority="677">
      <formula>AND(IF($Q5=3,1,0),IF($X5&lt;30,1,0))</formula>
    </cfRule>
    <cfRule type="expression" dxfId="674" priority="678">
      <formula>AND(IF($Q5=3,1,IF($Q5=4,1,0)),IF($F5&lt;=85,1,0))</formula>
    </cfRule>
  </conditionalFormatting>
  <conditionalFormatting sqref="X5">
    <cfRule type="expression" dxfId="673" priority="671">
      <formula>AND(IF(OR($Q5=1,$Q5=2),1,0),IF($X5&lt;=20,1,0))</formula>
    </cfRule>
    <cfRule type="expression" dxfId="672" priority="672">
      <formula>AND(IF($Q5=2,1,0),IF($X5&lt;30,1,0))</formula>
    </cfRule>
    <cfRule type="expression" dxfId="671" priority="673">
      <formula>AND(IF($Q5=3,1,0),IF($X5&lt;30,1,0))</formula>
    </cfRule>
    <cfRule type="expression" dxfId="670" priority="674">
      <formula>AND(IF($Q5=3,1,IF($Q5=4,1,0)),IF($F5&lt;=85,1,0))</formula>
    </cfRule>
  </conditionalFormatting>
  <conditionalFormatting sqref="AI5">
    <cfRule type="expression" dxfId="669" priority="667">
      <formula>AND(IF(OR($Q5=1,$Q5=2),1,0),IF($X5&lt;=20,1,0))</formula>
    </cfRule>
    <cfRule type="expression" dxfId="668" priority="668">
      <formula>AND(IF($Q5=2,1,0),IF($X5&lt;30,1,0))</formula>
    </cfRule>
    <cfRule type="expression" dxfId="667" priority="669">
      <formula>AND(IF($Q5=3,1,0),IF($X5&lt;30,1,0))</formula>
    </cfRule>
    <cfRule type="expression" dxfId="666" priority="670">
      <formula>AND(IF($Q5=3,1,IF($Q5=4,1,0)),IF($F5&lt;=85,1,0))</formula>
    </cfRule>
  </conditionalFormatting>
  <conditionalFormatting sqref="AV6">
    <cfRule type="expression" dxfId="665" priority="665">
      <formula>AV6="X"</formula>
    </cfRule>
    <cfRule type="expression" dxfId="664" priority="666">
      <formula>AV6="후보"</formula>
    </cfRule>
  </conditionalFormatting>
  <conditionalFormatting sqref="AC6">
    <cfRule type="cellIs" dxfId="663" priority="663" operator="greaterThan">
      <formula>0.9</formula>
    </cfRule>
    <cfRule type="cellIs" dxfId="662" priority="664" operator="greaterThan">
      <formula>0.85</formula>
    </cfRule>
  </conditionalFormatting>
  <conditionalFormatting sqref="N6">
    <cfRule type="cellIs" dxfId="661" priority="661" operator="greaterThan">
      <formula>0.9</formula>
    </cfRule>
    <cfRule type="cellIs" dxfId="660" priority="662" operator="greaterThan">
      <formula>0.85</formula>
    </cfRule>
  </conditionalFormatting>
  <conditionalFormatting sqref="E6">
    <cfRule type="expression" dxfId="659" priority="657">
      <formula>AND(IF(OR($Q6=1,$Q6=2),1,0),IF($X6&lt;=20,1,0))</formula>
    </cfRule>
    <cfRule type="expression" dxfId="658" priority="658">
      <formula>AND(IF($Q6=2,1,0),IF($X6&lt;30,1,0))</formula>
    </cfRule>
    <cfRule type="expression" dxfId="657" priority="659">
      <formula>AND(IF($Q6=3,1,0),IF($X6&lt;30,1,0))</formula>
    </cfRule>
    <cfRule type="expression" dxfId="656" priority="660">
      <formula>AND(IF($Q6=3,1,IF($Q6=4,1,0)),IF($F6&lt;=85,1,0))</formula>
    </cfRule>
  </conditionalFormatting>
  <conditionalFormatting sqref="X6">
    <cfRule type="expression" dxfId="655" priority="653">
      <formula>AND(IF(OR($Q6=1,$Q6=2),1,0),IF($X6&lt;=20,1,0))</formula>
    </cfRule>
    <cfRule type="expression" dxfId="654" priority="654">
      <formula>AND(IF($Q6=2,1,0),IF($X6&lt;30,1,0))</formula>
    </cfRule>
    <cfRule type="expression" dxfId="653" priority="655">
      <formula>AND(IF($Q6=3,1,0),IF($X6&lt;30,1,0))</formula>
    </cfRule>
    <cfRule type="expression" dxfId="652" priority="656">
      <formula>AND(IF($Q6=3,1,IF($Q6=4,1,0)),IF($F6&lt;=85,1,0))</formula>
    </cfRule>
  </conditionalFormatting>
  <conditionalFormatting sqref="AI6">
    <cfRule type="expression" dxfId="651" priority="649">
      <formula>AND(IF(OR($Q6=1,$Q6=2),1,0),IF($X6&lt;=20,1,0))</formula>
    </cfRule>
    <cfRule type="expression" dxfId="650" priority="650">
      <formula>AND(IF($Q6=2,1,0),IF($X6&lt;30,1,0))</formula>
    </cfRule>
    <cfRule type="expression" dxfId="649" priority="651">
      <formula>AND(IF($Q6=3,1,0),IF($X6&lt;30,1,0))</formula>
    </cfRule>
    <cfRule type="expression" dxfId="648" priority="652">
      <formula>AND(IF($Q6=3,1,IF($Q6=4,1,0)),IF($F6&lt;=85,1,0))</formula>
    </cfRule>
  </conditionalFormatting>
  <conditionalFormatting sqref="AV7">
    <cfRule type="expression" dxfId="647" priority="647">
      <formula>AV7="X"</formula>
    </cfRule>
    <cfRule type="expression" dxfId="646" priority="648">
      <formula>AV7="후보"</formula>
    </cfRule>
  </conditionalFormatting>
  <conditionalFormatting sqref="AC7">
    <cfRule type="cellIs" dxfId="645" priority="645" operator="greaterThan">
      <formula>0.9</formula>
    </cfRule>
    <cfRule type="cellIs" dxfId="644" priority="646" operator="greaterThan">
      <formula>0.85</formula>
    </cfRule>
  </conditionalFormatting>
  <conditionalFormatting sqref="N7">
    <cfRule type="cellIs" dxfId="643" priority="643" operator="greaterThan">
      <formula>0.9</formula>
    </cfRule>
    <cfRule type="cellIs" dxfId="642" priority="644" operator="greaterThan">
      <formula>0.85</formula>
    </cfRule>
  </conditionalFormatting>
  <conditionalFormatting sqref="E7">
    <cfRule type="expression" dxfId="641" priority="639">
      <formula>AND(IF(OR($Q7=1,$Q7=2),1,0),IF($X7&lt;=20,1,0))</formula>
    </cfRule>
    <cfRule type="expression" dxfId="640" priority="640">
      <formula>AND(IF($Q7=2,1,0),IF($X7&lt;30,1,0))</formula>
    </cfRule>
    <cfRule type="expression" dxfId="639" priority="641">
      <formula>AND(IF($Q7=3,1,0),IF($X7&lt;30,1,0))</formula>
    </cfRule>
    <cfRule type="expression" dxfId="638" priority="642">
      <formula>AND(IF($Q7=3,1,IF($Q7=4,1,0)),IF($F7&lt;=85,1,0))</formula>
    </cfRule>
  </conditionalFormatting>
  <conditionalFormatting sqref="X7">
    <cfRule type="expression" dxfId="637" priority="635">
      <formula>AND(IF(OR($Q7=1,$Q7=2),1,0),IF($X7&lt;=20,1,0))</formula>
    </cfRule>
    <cfRule type="expression" dxfId="636" priority="636">
      <formula>AND(IF($Q7=2,1,0),IF($X7&lt;30,1,0))</formula>
    </cfRule>
    <cfRule type="expression" dxfId="635" priority="637">
      <formula>AND(IF($Q7=3,1,0),IF($X7&lt;30,1,0))</formula>
    </cfRule>
    <cfRule type="expression" dxfId="634" priority="638">
      <formula>AND(IF($Q7=3,1,IF($Q7=4,1,0)),IF($F7&lt;=85,1,0))</formula>
    </cfRule>
  </conditionalFormatting>
  <conditionalFormatting sqref="AI7">
    <cfRule type="expression" dxfId="633" priority="631">
      <formula>AND(IF(OR($Q7=1,$Q7=2),1,0),IF($X7&lt;=20,1,0))</formula>
    </cfRule>
    <cfRule type="expression" dxfId="632" priority="632">
      <formula>AND(IF($Q7=2,1,0),IF($X7&lt;30,1,0))</formula>
    </cfRule>
    <cfRule type="expression" dxfId="631" priority="633">
      <formula>AND(IF($Q7=3,1,0),IF($X7&lt;30,1,0))</formula>
    </cfRule>
    <cfRule type="expression" dxfId="630" priority="634">
      <formula>AND(IF($Q7=3,1,IF($Q7=4,1,0)),IF($F7&lt;=85,1,0))</formula>
    </cfRule>
  </conditionalFormatting>
  <conditionalFormatting sqref="AV8">
    <cfRule type="expression" dxfId="629" priority="629">
      <formula>AV8="X"</formula>
    </cfRule>
    <cfRule type="expression" dxfId="628" priority="630">
      <formula>AV8="후보"</formula>
    </cfRule>
  </conditionalFormatting>
  <conditionalFormatting sqref="AC8">
    <cfRule type="cellIs" dxfId="627" priority="627" operator="greaterThan">
      <formula>0.9</formula>
    </cfRule>
    <cfRule type="cellIs" dxfId="626" priority="628" operator="greaterThan">
      <formula>0.85</formula>
    </cfRule>
  </conditionalFormatting>
  <conditionalFormatting sqref="N8">
    <cfRule type="cellIs" dxfId="625" priority="625" operator="greaterThan">
      <formula>0.9</formula>
    </cfRule>
    <cfRule type="cellIs" dxfId="624" priority="626" operator="greaterThan">
      <formula>0.85</formula>
    </cfRule>
  </conditionalFormatting>
  <conditionalFormatting sqref="E8">
    <cfRule type="expression" dxfId="623" priority="621">
      <formula>AND(IF(OR($Q8=1,$Q8=2),1,0),IF($X8&lt;=20,1,0))</formula>
    </cfRule>
    <cfRule type="expression" dxfId="622" priority="622">
      <formula>AND(IF($Q8=2,1,0),IF($X8&lt;30,1,0))</formula>
    </cfRule>
    <cfRule type="expression" dxfId="621" priority="623">
      <formula>AND(IF($Q8=3,1,0),IF($X8&lt;30,1,0))</formula>
    </cfRule>
    <cfRule type="expression" dxfId="620" priority="624">
      <formula>AND(IF($Q8=3,1,IF($Q8=4,1,0)),IF($F8&lt;=85,1,0))</formula>
    </cfRule>
  </conditionalFormatting>
  <conditionalFormatting sqref="X8">
    <cfRule type="expression" dxfId="619" priority="617">
      <formula>AND(IF(OR($Q8=1,$Q8=2),1,0),IF($X8&lt;=20,1,0))</formula>
    </cfRule>
    <cfRule type="expression" dxfId="618" priority="618">
      <formula>AND(IF($Q8=2,1,0),IF($X8&lt;30,1,0))</formula>
    </cfRule>
    <cfRule type="expression" dxfId="617" priority="619">
      <formula>AND(IF($Q8=3,1,0),IF($X8&lt;30,1,0))</formula>
    </cfRule>
    <cfRule type="expression" dxfId="616" priority="620">
      <formula>AND(IF($Q8=3,1,IF($Q8=4,1,0)),IF($F8&lt;=85,1,0))</formula>
    </cfRule>
  </conditionalFormatting>
  <conditionalFormatting sqref="AI8">
    <cfRule type="expression" dxfId="615" priority="613">
      <formula>AND(IF(OR($Q8=1,$Q8=2),1,0),IF($X8&lt;=20,1,0))</formula>
    </cfRule>
    <cfRule type="expression" dxfId="614" priority="614">
      <formula>AND(IF($Q8=2,1,0),IF($X8&lt;30,1,0))</formula>
    </cfRule>
    <cfRule type="expression" dxfId="613" priority="615">
      <formula>AND(IF($Q8=3,1,0),IF($X8&lt;30,1,0))</formula>
    </cfRule>
    <cfRule type="expression" dxfId="612" priority="616">
      <formula>AND(IF($Q8=3,1,IF($Q8=4,1,0)),IF($F8&lt;=85,1,0))</formula>
    </cfRule>
  </conditionalFormatting>
  <conditionalFormatting sqref="AV9">
    <cfRule type="expression" dxfId="611" priority="611">
      <formula>AV9="X"</formula>
    </cfRule>
    <cfRule type="expression" dxfId="610" priority="612">
      <formula>AV9="후보"</formula>
    </cfRule>
  </conditionalFormatting>
  <conditionalFormatting sqref="AC9">
    <cfRule type="cellIs" dxfId="609" priority="609" operator="greaterThan">
      <formula>0.9</formula>
    </cfRule>
    <cfRule type="cellIs" dxfId="608" priority="610" operator="greaterThan">
      <formula>0.85</formula>
    </cfRule>
  </conditionalFormatting>
  <conditionalFormatting sqref="N9">
    <cfRule type="cellIs" dxfId="607" priority="607" operator="greaterThan">
      <formula>0.9</formula>
    </cfRule>
    <cfRule type="cellIs" dxfId="606" priority="608" operator="greaterThan">
      <formula>0.85</formula>
    </cfRule>
  </conditionalFormatting>
  <conditionalFormatting sqref="E9">
    <cfRule type="expression" dxfId="605" priority="603">
      <formula>AND(IF(OR($Q9=1,$Q9=2),1,0),IF($X9&lt;=20,1,0))</formula>
    </cfRule>
    <cfRule type="expression" dxfId="604" priority="604">
      <formula>AND(IF($Q9=2,1,0),IF($X9&lt;30,1,0))</formula>
    </cfRule>
    <cfRule type="expression" dxfId="603" priority="605">
      <formula>AND(IF($Q9=3,1,0),IF($X9&lt;30,1,0))</formula>
    </cfRule>
    <cfRule type="expression" dxfId="602" priority="606">
      <formula>AND(IF($Q9=3,1,IF($Q9=4,1,0)),IF($F9&lt;=85,1,0))</formula>
    </cfRule>
  </conditionalFormatting>
  <conditionalFormatting sqref="X9">
    <cfRule type="expression" dxfId="601" priority="599">
      <formula>AND(IF(OR($Q9=1,$Q9=2),1,0),IF($X9&lt;=20,1,0))</formula>
    </cfRule>
    <cfRule type="expression" dxfId="600" priority="600">
      <formula>AND(IF($Q9=2,1,0),IF($X9&lt;30,1,0))</formula>
    </cfRule>
    <cfRule type="expression" dxfId="599" priority="601">
      <formula>AND(IF($Q9=3,1,0),IF($X9&lt;30,1,0))</formula>
    </cfRule>
    <cfRule type="expression" dxfId="598" priority="602">
      <formula>AND(IF($Q9=3,1,IF($Q9=4,1,0)),IF($F9&lt;=85,1,0))</formula>
    </cfRule>
  </conditionalFormatting>
  <conditionalFormatting sqref="AI9">
    <cfRule type="expression" dxfId="597" priority="595">
      <formula>AND(IF(OR($Q9=1,$Q9=2),1,0),IF($X9&lt;=20,1,0))</formula>
    </cfRule>
    <cfRule type="expression" dxfId="596" priority="596">
      <formula>AND(IF($Q9=2,1,0),IF($X9&lt;30,1,0))</formula>
    </cfRule>
    <cfRule type="expression" dxfId="595" priority="597">
      <formula>AND(IF($Q9=3,1,0),IF($X9&lt;30,1,0))</formula>
    </cfRule>
    <cfRule type="expression" dxfId="594" priority="598">
      <formula>AND(IF($Q9=3,1,IF($Q9=4,1,0)),IF($F9&lt;=85,1,0))</formula>
    </cfRule>
  </conditionalFormatting>
  <conditionalFormatting sqref="AV10">
    <cfRule type="expression" dxfId="593" priority="593">
      <formula>AV10="X"</formula>
    </cfRule>
    <cfRule type="expression" dxfId="592" priority="594">
      <formula>AV10="후보"</formula>
    </cfRule>
  </conditionalFormatting>
  <conditionalFormatting sqref="AC10">
    <cfRule type="cellIs" dxfId="591" priority="591" operator="greaterThan">
      <formula>0.9</formula>
    </cfRule>
    <cfRule type="cellIs" dxfId="590" priority="592" operator="greaterThan">
      <formula>0.85</formula>
    </cfRule>
  </conditionalFormatting>
  <conditionalFormatting sqref="N10">
    <cfRule type="cellIs" dxfId="589" priority="589" operator="greaterThan">
      <formula>0.9</formula>
    </cfRule>
    <cfRule type="cellIs" dxfId="588" priority="590" operator="greaterThan">
      <formula>0.85</formula>
    </cfRule>
  </conditionalFormatting>
  <conditionalFormatting sqref="E10">
    <cfRule type="expression" dxfId="587" priority="585">
      <formula>AND(IF(OR($Q10=1,$Q10=2),1,0),IF($X10&lt;=20,1,0))</formula>
    </cfRule>
    <cfRule type="expression" dxfId="586" priority="586">
      <formula>AND(IF($Q10=2,1,0),IF($X10&lt;30,1,0))</formula>
    </cfRule>
    <cfRule type="expression" dxfId="585" priority="587">
      <formula>AND(IF($Q10=3,1,0),IF($X10&lt;30,1,0))</formula>
    </cfRule>
    <cfRule type="expression" dxfId="584" priority="588">
      <formula>AND(IF($Q10=3,1,IF($Q10=4,1,0)),IF($F10&lt;=85,1,0))</formula>
    </cfRule>
  </conditionalFormatting>
  <conditionalFormatting sqref="X10">
    <cfRule type="expression" dxfId="583" priority="581">
      <formula>AND(IF(OR($Q10=1,$Q10=2),1,0),IF($X10&lt;=20,1,0))</formula>
    </cfRule>
    <cfRule type="expression" dxfId="582" priority="582">
      <formula>AND(IF($Q10=2,1,0),IF($X10&lt;30,1,0))</formula>
    </cfRule>
    <cfRule type="expression" dxfId="581" priority="583">
      <formula>AND(IF($Q10=3,1,0),IF($X10&lt;30,1,0))</formula>
    </cfRule>
    <cfRule type="expression" dxfId="580" priority="584">
      <formula>AND(IF($Q10=3,1,IF($Q10=4,1,0)),IF($F10&lt;=85,1,0))</formula>
    </cfRule>
  </conditionalFormatting>
  <conditionalFormatting sqref="AI10">
    <cfRule type="expression" dxfId="579" priority="577">
      <formula>AND(IF(OR($Q10=1,$Q10=2),1,0),IF($X10&lt;=20,1,0))</formula>
    </cfRule>
    <cfRule type="expression" dxfId="578" priority="578">
      <formula>AND(IF($Q10=2,1,0),IF($X10&lt;30,1,0))</formula>
    </cfRule>
    <cfRule type="expression" dxfId="577" priority="579">
      <formula>AND(IF($Q10=3,1,0),IF($X10&lt;30,1,0))</formula>
    </cfRule>
    <cfRule type="expression" dxfId="576" priority="580">
      <formula>AND(IF($Q10=3,1,IF($Q10=4,1,0)),IF($F10&lt;=85,1,0))</formula>
    </cfRule>
  </conditionalFormatting>
  <conditionalFormatting sqref="AV11">
    <cfRule type="expression" dxfId="575" priority="575">
      <formula>AV11="X"</formula>
    </cfRule>
    <cfRule type="expression" dxfId="574" priority="576">
      <formula>AV11="후보"</formula>
    </cfRule>
  </conditionalFormatting>
  <conditionalFormatting sqref="AC11">
    <cfRule type="cellIs" dxfId="573" priority="573" operator="greaterThan">
      <formula>0.9</formula>
    </cfRule>
    <cfRule type="cellIs" dxfId="572" priority="574" operator="greaterThan">
      <formula>0.85</formula>
    </cfRule>
  </conditionalFormatting>
  <conditionalFormatting sqref="N11">
    <cfRule type="cellIs" dxfId="571" priority="571" operator="greaterThan">
      <formula>0.9</formula>
    </cfRule>
    <cfRule type="cellIs" dxfId="570" priority="572" operator="greaterThan">
      <formula>0.85</formula>
    </cfRule>
  </conditionalFormatting>
  <conditionalFormatting sqref="E11">
    <cfRule type="expression" dxfId="569" priority="567">
      <formula>AND(IF(OR($Q11=1,$Q11=2),1,0),IF($X11&lt;=20,1,0))</formula>
    </cfRule>
    <cfRule type="expression" dxfId="568" priority="568">
      <formula>AND(IF($Q11=2,1,0),IF($X11&lt;30,1,0))</formula>
    </cfRule>
    <cfRule type="expression" dxfId="567" priority="569">
      <formula>AND(IF($Q11=3,1,0),IF($X11&lt;30,1,0))</formula>
    </cfRule>
    <cfRule type="expression" dxfId="566" priority="570">
      <formula>AND(IF($Q11=3,1,IF($Q11=4,1,0)),IF($F11&lt;=85,1,0))</formula>
    </cfRule>
  </conditionalFormatting>
  <conditionalFormatting sqref="X11">
    <cfRule type="expression" dxfId="565" priority="563">
      <formula>AND(IF(OR($Q11=1,$Q11=2),1,0),IF($X11&lt;=20,1,0))</formula>
    </cfRule>
    <cfRule type="expression" dxfId="564" priority="564">
      <formula>AND(IF($Q11=2,1,0),IF($X11&lt;30,1,0))</formula>
    </cfRule>
    <cfRule type="expression" dxfId="563" priority="565">
      <formula>AND(IF($Q11=3,1,0),IF($X11&lt;30,1,0))</formula>
    </cfRule>
    <cfRule type="expression" dxfId="562" priority="566">
      <formula>AND(IF($Q11=3,1,IF($Q11=4,1,0)),IF($F11&lt;=85,1,0))</formula>
    </cfRule>
  </conditionalFormatting>
  <conditionalFormatting sqref="AI11">
    <cfRule type="expression" dxfId="561" priority="559">
      <formula>AND(IF(OR($Q11=1,$Q11=2),1,0),IF($X11&lt;=20,1,0))</formula>
    </cfRule>
    <cfRule type="expression" dxfId="560" priority="560">
      <formula>AND(IF($Q11=2,1,0),IF($X11&lt;30,1,0))</formula>
    </cfRule>
    <cfRule type="expression" dxfId="559" priority="561">
      <formula>AND(IF($Q11=3,1,0),IF($X11&lt;30,1,0))</formula>
    </cfRule>
    <cfRule type="expression" dxfId="558" priority="562">
      <formula>AND(IF($Q11=3,1,IF($Q11=4,1,0)),IF($F11&lt;=85,1,0))</formula>
    </cfRule>
  </conditionalFormatting>
  <conditionalFormatting sqref="AV12">
    <cfRule type="expression" dxfId="557" priority="557">
      <formula>AV12="X"</formula>
    </cfRule>
    <cfRule type="expression" dxfId="556" priority="558">
      <formula>AV12="후보"</formula>
    </cfRule>
  </conditionalFormatting>
  <conditionalFormatting sqref="AC12">
    <cfRule type="cellIs" dxfId="555" priority="555" operator="greaterThan">
      <formula>0.9</formula>
    </cfRule>
    <cfRule type="cellIs" dxfId="554" priority="556" operator="greaterThan">
      <formula>0.85</formula>
    </cfRule>
  </conditionalFormatting>
  <conditionalFormatting sqref="N12">
    <cfRule type="cellIs" dxfId="553" priority="553" operator="greaterThan">
      <formula>0.9</formula>
    </cfRule>
    <cfRule type="cellIs" dxfId="552" priority="554" operator="greaterThan">
      <formula>0.85</formula>
    </cfRule>
  </conditionalFormatting>
  <conditionalFormatting sqref="E12">
    <cfRule type="expression" dxfId="551" priority="549">
      <formula>AND(IF(OR($Q12=1,$Q12=2),1,0),IF($X12&lt;=20,1,0))</formula>
    </cfRule>
    <cfRule type="expression" dxfId="550" priority="550">
      <formula>AND(IF($Q12=2,1,0),IF($X12&lt;30,1,0))</formula>
    </cfRule>
    <cfRule type="expression" dxfId="549" priority="551">
      <formula>AND(IF($Q12=3,1,0),IF($X12&lt;30,1,0))</formula>
    </cfRule>
    <cfRule type="expression" dxfId="548" priority="552">
      <formula>AND(IF($Q12=3,1,IF($Q12=4,1,0)),IF($F12&lt;=85,1,0))</formula>
    </cfRule>
  </conditionalFormatting>
  <conditionalFormatting sqref="X12">
    <cfRule type="expression" dxfId="547" priority="545">
      <formula>AND(IF(OR($Q12=1,$Q12=2),1,0),IF($X12&lt;=20,1,0))</formula>
    </cfRule>
    <cfRule type="expression" dxfId="546" priority="546">
      <formula>AND(IF($Q12=2,1,0),IF($X12&lt;30,1,0))</formula>
    </cfRule>
    <cfRule type="expression" dxfId="545" priority="547">
      <formula>AND(IF($Q12=3,1,0),IF($X12&lt;30,1,0))</formula>
    </cfRule>
    <cfRule type="expression" dxfId="544" priority="548">
      <formula>AND(IF($Q12=3,1,IF($Q12=4,1,0)),IF($F12&lt;=85,1,0))</formula>
    </cfRule>
  </conditionalFormatting>
  <conditionalFormatting sqref="AI12">
    <cfRule type="expression" dxfId="543" priority="541">
      <formula>AND(IF(OR($Q12=1,$Q12=2),1,0),IF($X12&lt;=20,1,0))</formula>
    </cfRule>
    <cfRule type="expression" dxfId="542" priority="542">
      <formula>AND(IF($Q12=2,1,0),IF($X12&lt;30,1,0))</formula>
    </cfRule>
    <cfRule type="expression" dxfId="541" priority="543">
      <formula>AND(IF($Q12=3,1,0),IF($X12&lt;30,1,0))</formula>
    </cfRule>
    <cfRule type="expression" dxfId="540" priority="544">
      <formula>AND(IF($Q12=3,1,IF($Q12=4,1,0)),IF($F12&lt;=85,1,0))</formula>
    </cfRule>
  </conditionalFormatting>
  <conditionalFormatting sqref="AV13">
    <cfRule type="expression" dxfId="539" priority="539">
      <formula>AV13="X"</formula>
    </cfRule>
    <cfRule type="expression" dxfId="538" priority="540">
      <formula>AV13="후보"</formula>
    </cfRule>
  </conditionalFormatting>
  <conditionalFormatting sqref="AC13">
    <cfRule type="cellIs" dxfId="537" priority="537" operator="greaterThan">
      <formula>0.9</formula>
    </cfRule>
    <cfRule type="cellIs" dxfId="536" priority="538" operator="greaterThan">
      <formula>0.85</formula>
    </cfRule>
  </conditionalFormatting>
  <conditionalFormatting sqref="N13">
    <cfRule type="cellIs" dxfId="535" priority="535" operator="greaterThan">
      <formula>0.9</formula>
    </cfRule>
    <cfRule type="cellIs" dxfId="534" priority="536" operator="greaterThan">
      <formula>0.85</formula>
    </cfRule>
  </conditionalFormatting>
  <conditionalFormatting sqref="E13">
    <cfRule type="expression" dxfId="533" priority="531">
      <formula>AND(IF(OR($Q13=1,$Q13=2),1,0),IF($X13&lt;=20,1,0))</formula>
    </cfRule>
    <cfRule type="expression" dxfId="532" priority="532">
      <formula>AND(IF($Q13=2,1,0),IF($X13&lt;30,1,0))</formula>
    </cfRule>
    <cfRule type="expression" dxfId="531" priority="533">
      <formula>AND(IF($Q13=3,1,0),IF($X13&lt;30,1,0))</formula>
    </cfRule>
    <cfRule type="expression" dxfId="530" priority="534">
      <formula>AND(IF($Q13=3,1,IF($Q13=4,1,0)),IF($F13&lt;=85,1,0))</formula>
    </cfRule>
  </conditionalFormatting>
  <conditionalFormatting sqref="X13">
    <cfRule type="expression" dxfId="529" priority="527">
      <formula>AND(IF(OR($Q13=1,$Q13=2),1,0),IF($X13&lt;=20,1,0))</formula>
    </cfRule>
    <cfRule type="expression" dxfId="528" priority="528">
      <formula>AND(IF($Q13=2,1,0),IF($X13&lt;30,1,0))</formula>
    </cfRule>
    <cfRule type="expression" dxfId="527" priority="529">
      <formula>AND(IF($Q13=3,1,0),IF($X13&lt;30,1,0))</formula>
    </cfRule>
    <cfRule type="expression" dxfId="526" priority="530">
      <formula>AND(IF($Q13=3,1,IF($Q13=4,1,0)),IF($F13&lt;=85,1,0))</formula>
    </cfRule>
  </conditionalFormatting>
  <conditionalFormatting sqref="AI13">
    <cfRule type="expression" dxfId="525" priority="523">
      <formula>AND(IF(OR($Q13=1,$Q13=2),1,0),IF($X13&lt;=20,1,0))</formula>
    </cfRule>
    <cfRule type="expression" dxfId="524" priority="524">
      <formula>AND(IF($Q13=2,1,0),IF($X13&lt;30,1,0))</formula>
    </cfRule>
    <cfRule type="expression" dxfId="523" priority="525">
      <formula>AND(IF($Q13=3,1,0),IF($X13&lt;30,1,0))</formula>
    </cfRule>
    <cfRule type="expression" dxfId="522" priority="526">
      <formula>AND(IF($Q13=3,1,IF($Q13=4,1,0)),IF($F13&lt;=85,1,0))</formula>
    </cfRule>
  </conditionalFormatting>
  <conditionalFormatting sqref="AV14">
    <cfRule type="expression" dxfId="521" priority="521">
      <formula>AV14="X"</formula>
    </cfRule>
    <cfRule type="expression" dxfId="520" priority="522">
      <formula>AV14="후보"</formula>
    </cfRule>
  </conditionalFormatting>
  <conditionalFormatting sqref="AC14">
    <cfRule type="cellIs" dxfId="519" priority="519" operator="greaterThan">
      <formula>0.9</formula>
    </cfRule>
    <cfRule type="cellIs" dxfId="518" priority="520" operator="greaterThan">
      <formula>0.85</formula>
    </cfRule>
  </conditionalFormatting>
  <conditionalFormatting sqref="N14">
    <cfRule type="cellIs" dxfId="517" priority="517" operator="greaterThan">
      <formula>0.9</formula>
    </cfRule>
    <cfRule type="cellIs" dxfId="516" priority="518" operator="greaterThan">
      <formula>0.85</formula>
    </cfRule>
  </conditionalFormatting>
  <conditionalFormatting sqref="E14">
    <cfRule type="expression" dxfId="515" priority="513">
      <formula>AND(IF(OR($Q14=1,$Q14=2),1,0),IF($X14&lt;=20,1,0))</formula>
    </cfRule>
    <cfRule type="expression" dxfId="514" priority="514">
      <formula>AND(IF($Q14=2,1,0),IF($X14&lt;30,1,0))</formula>
    </cfRule>
    <cfRule type="expression" dxfId="513" priority="515">
      <formula>AND(IF($Q14=3,1,0),IF($X14&lt;30,1,0))</formula>
    </cfRule>
    <cfRule type="expression" dxfId="512" priority="516">
      <formula>AND(IF($Q14=3,1,IF($Q14=4,1,0)),IF($F14&lt;=85,1,0))</formula>
    </cfRule>
  </conditionalFormatting>
  <conditionalFormatting sqref="X14">
    <cfRule type="expression" dxfId="511" priority="509">
      <formula>AND(IF(OR($Q14=1,$Q14=2),1,0),IF($X14&lt;=20,1,0))</formula>
    </cfRule>
    <cfRule type="expression" dxfId="510" priority="510">
      <formula>AND(IF($Q14=2,1,0),IF($X14&lt;30,1,0))</formula>
    </cfRule>
    <cfRule type="expression" dxfId="509" priority="511">
      <formula>AND(IF($Q14=3,1,0),IF($X14&lt;30,1,0))</formula>
    </cfRule>
    <cfRule type="expression" dxfId="508" priority="512">
      <formula>AND(IF($Q14=3,1,IF($Q14=4,1,0)),IF($F14&lt;=85,1,0))</formula>
    </cfRule>
  </conditionalFormatting>
  <conditionalFormatting sqref="AI14">
    <cfRule type="expression" dxfId="507" priority="505">
      <formula>AND(IF(OR($Q14=1,$Q14=2),1,0),IF($X14&lt;=20,1,0))</formula>
    </cfRule>
    <cfRule type="expression" dxfId="506" priority="506">
      <formula>AND(IF($Q14=2,1,0),IF($X14&lt;30,1,0))</formula>
    </cfRule>
    <cfRule type="expression" dxfId="505" priority="507">
      <formula>AND(IF($Q14=3,1,0),IF($X14&lt;30,1,0))</formula>
    </cfRule>
    <cfRule type="expression" dxfId="504" priority="508">
      <formula>AND(IF($Q14=3,1,IF($Q14=4,1,0)),IF($F14&lt;=85,1,0))</formula>
    </cfRule>
  </conditionalFormatting>
  <conditionalFormatting sqref="AV15">
    <cfRule type="expression" dxfId="503" priority="503">
      <formula>AV15="X"</formula>
    </cfRule>
    <cfRule type="expression" dxfId="502" priority="504">
      <formula>AV15="후보"</formula>
    </cfRule>
  </conditionalFormatting>
  <conditionalFormatting sqref="AC15">
    <cfRule type="cellIs" dxfId="501" priority="501" operator="greaterThan">
      <formula>0.9</formula>
    </cfRule>
    <cfRule type="cellIs" dxfId="500" priority="502" operator="greaterThan">
      <formula>0.85</formula>
    </cfRule>
  </conditionalFormatting>
  <conditionalFormatting sqref="N15">
    <cfRule type="cellIs" dxfId="499" priority="499" operator="greaterThan">
      <formula>0.9</formula>
    </cfRule>
    <cfRule type="cellIs" dxfId="498" priority="500" operator="greaterThan">
      <formula>0.85</formula>
    </cfRule>
  </conditionalFormatting>
  <conditionalFormatting sqref="E15">
    <cfRule type="expression" dxfId="497" priority="495">
      <formula>AND(IF(OR($Q15=1,$Q15=2),1,0),IF($X15&lt;=20,1,0))</formula>
    </cfRule>
    <cfRule type="expression" dxfId="496" priority="496">
      <formula>AND(IF($Q15=2,1,0),IF($X15&lt;30,1,0))</formula>
    </cfRule>
    <cfRule type="expression" dxfId="495" priority="497">
      <formula>AND(IF($Q15=3,1,0),IF($X15&lt;30,1,0))</formula>
    </cfRule>
    <cfRule type="expression" dxfId="494" priority="498">
      <formula>AND(IF($Q15=3,1,IF($Q15=4,1,0)),IF($F15&lt;=85,1,0))</formula>
    </cfRule>
  </conditionalFormatting>
  <conditionalFormatting sqref="X15">
    <cfRule type="expression" dxfId="493" priority="491">
      <formula>AND(IF(OR($Q15=1,$Q15=2),1,0),IF($X15&lt;=20,1,0))</formula>
    </cfRule>
    <cfRule type="expression" dxfId="492" priority="492">
      <formula>AND(IF($Q15=2,1,0),IF($X15&lt;30,1,0))</formula>
    </cfRule>
    <cfRule type="expression" dxfId="491" priority="493">
      <formula>AND(IF($Q15=3,1,0),IF($X15&lt;30,1,0))</formula>
    </cfRule>
    <cfRule type="expression" dxfId="490" priority="494">
      <formula>AND(IF($Q15=3,1,IF($Q15=4,1,0)),IF($F15&lt;=85,1,0))</formula>
    </cfRule>
  </conditionalFormatting>
  <conditionalFormatting sqref="AI15">
    <cfRule type="expression" dxfId="489" priority="487">
      <formula>AND(IF(OR($Q15=1,$Q15=2),1,0),IF($X15&lt;=20,1,0))</formula>
    </cfRule>
    <cfRule type="expression" dxfId="488" priority="488">
      <formula>AND(IF($Q15=2,1,0),IF($X15&lt;30,1,0))</formula>
    </cfRule>
    <cfRule type="expression" dxfId="487" priority="489">
      <formula>AND(IF($Q15=3,1,0),IF($X15&lt;30,1,0))</formula>
    </cfRule>
    <cfRule type="expression" dxfId="486" priority="490">
      <formula>AND(IF($Q15=3,1,IF($Q15=4,1,0)),IF($F15&lt;=85,1,0))</formula>
    </cfRule>
  </conditionalFormatting>
  <conditionalFormatting sqref="AV16">
    <cfRule type="expression" dxfId="485" priority="485">
      <formula>AV16="X"</formula>
    </cfRule>
    <cfRule type="expression" dxfId="484" priority="486">
      <formula>AV16="후보"</formula>
    </cfRule>
  </conditionalFormatting>
  <conditionalFormatting sqref="AC16">
    <cfRule type="cellIs" dxfId="483" priority="483" operator="greaterThan">
      <formula>0.9</formula>
    </cfRule>
    <cfRule type="cellIs" dxfId="482" priority="484" operator="greaterThan">
      <formula>0.85</formula>
    </cfRule>
  </conditionalFormatting>
  <conditionalFormatting sqref="N16">
    <cfRule type="cellIs" dxfId="481" priority="481" operator="greaterThan">
      <formula>0.9</formula>
    </cfRule>
    <cfRule type="cellIs" dxfId="480" priority="482" operator="greaterThan">
      <formula>0.85</formula>
    </cfRule>
  </conditionalFormatting>
  <conditionalFormatting sqref="E16">
    <cfRule type="expression" dxfId="479" priority="477">
      <formula>AND(IF(OR($Q16=1,$Q16=2),1,0),IF($X16&lt;=20,1,0))</formula>
    </cfRule>
    <cfRule type="expression" dxfId="478" priority="478">
      <formula>AND(IF($Q16=2,1,0),IF($X16&lt;30,1,0))</formula>
    </cfRule>
    <cfRule type="expression" dxfId="477" priority="479">
      <formula>AND(IF($Q16=3,1,0),IF($X16&lt;30,1,0))</formula>
    </cfRule>
    <cfRule type="expression" dxfId="476" priority="480">
      <formula>AND(IF($Q16=3,1,IF($Q16=4,1,0)),IF($F16&lt;=85,1,0))</formula>
    </cfRule>
  </conditionalFormatting>
  <conditionalFormatting sqref="X16">
    <cfRule type="expression" dxfId="475" priority="473">
      <formula>AND(IF(OR($Q16=1,$Q16=2),1,0),IF($X16&lt;=20,1,0))</formula>
    </cfRule>
    <cfRule type="expression" dxfId="474" priority="474">
      <formula>AND(IF($Q16=2,1,0),IF($X16&lt;30,1,0))</formula>
    </cfRule>
    <cfRule type="expression" dxfId="473" priority="475">
      <formula>AND(IF($Q16=3,1,0),IF($X16&lt;30,1,0))</formula>
    </cfRule>
    <cfRule type="expression" dxfId="472" priority="476">
      <formula>AND(IF($Q16=3,1,IF($Q16=4,1,0)),IF($F16&lt;=85,1,0))</formula>
    </cfRule>
  </conditionalFormatting>
  <conditionalFormatting sqref="AI16">
    <cfRule type="expression" dxfId="471" priority="469">
      <formula>AND(IF(OR($Q16=1,$Q16=2),1,0),IF($X16&lt;=20,1,0))</formula>
    </cfRule>
    <cfRule type="expression" dxfId="470" priority="470">
      <formula>AND(IF($Q16=2,1,0),IF($X16&lt;30,1,0))</formula>
    </cfRule>
    <cfRule type="expression" dxfId="469" priority="471">
      <formula>AND(IF($Q16=3,1,0),IF($X16&lt;30,1,0))</formula>
    </cfRule>
    <cfRule type="expression" dxfId="468" priority="472">
      <formula>AND(IF($Q16=3,1,IF($Q16=4,1,0)),IF($F16&lt;=85,1,0))</formula>
    </cfRule>
  </conditionalFormatting>
  <conditionalFormatting sqref="AV17">
    <cfRule type="expression" dxfId="467" priority="467">
      <formula>AV17="X"</formula>
    </cfRule>
    <cfRule type="expression" dxfId="466" priority="468">
      <formula>AV17="후보"</formula>
    </cfRule>
  </conditionalFormatting>
  <conditionalFormatting sqref="AC17">
    <cfRule type="cellIs" dxfId="465" priority="465" operator="greaterThan">
      <formula>0.9</formula>
    </cfRule>
    <cfRule type="cellIs" dxfId="464" priority="466" operator="greaterThan">
      <formula>0.85</formula>
    </cfRule>
  </conditionalFormatting>
  <conditionalFormatting sqref="N17">
    <cfRule type="cellIs" dxfId="463" priority="463" operator="greaterThan">
      <formula>0.9</formula>
    </cfRule>
    <cfRule type="cellIs" dxfId="462" priority="464" operator="greaterThan">
      <formula>0.85</formula>
    </cfRule>
  </conditionalFormatting>
  <conditionalFormatting sqref="E17">
    <cfRule type="expression" dxfId="461" priority="459">
      <formula>AND(IF(OR($Q17=1,$Q17=2),1,0),IF($X17&lt;=20,1,0))</formula>
    </cfRule>
    <cfRule type="expression" dxfId="460" priority="460">
      <formula>AND(IF($Q17=2,1,0),IF($X17&lt;30,1,0))</formula>
    </cfRule>
    <cfRule type="expression" dxfId="459" priority="461">
      <formula>AND(IF($Q17=3,1,0),IF($X17&lt;30,1,0))</formula>
    </cfRule>
    <cfRule type="expression" dxfId="458" priority="462">
      <formula>AND(IF($Q17=3,1,IF($Q17=4,1,0)),IF($F17&lt;=85,1,0))</formula>
    </cfRule>
  </conditionalFormatting>
  <conditionalFormatting sqref="X17">
    <cfRule type="expression" dxfId="457" priority="455">
      <formula>AND(IF(OR($Q17=1,$Q17=2),1,0),IF($X17&lt;=20,1,0))</formula>
    </cfRule>
    <cfRule type="expression" dxfId="456" priority="456">
      <formula>AND(IF($Q17=2,1,0),IF($X17&lt;30,1,0))</formula>
    </cfRule>
    <cfRule type="expression" dxfId="455" priority="457">
      <formula>AND(IF($Q17=3,1,0),IF($X17&lt;30,1,0))</formula>
    </cfRule>
    <cfRule type="expression" dxfId="454" priority="458">
      <formula>AND(IF($Q17=3,1,IF($Q17=4,1,0)),IF($F17&lt;=85,1,0))</formula>
    </cfRule>
  </conditionalFormatting>
  <conditionalFormatting sqref="AI17">
    <cfRule type="expression" dxfId="453" priority="451">
      <formula>AND(IF(OR($Q17=1,$Q17=2),1,0),IF($X17&lt;=20,1,0))</formula>
    </cfRule>
    <cfRule type="expression" dxfId="452" priority="452">
      <formula>AND(IF($Q17=2,1,0),IF($X17&lt;30,1,0))</formula>
    </cfRule>
    <cfRule type="expression" dxfId="451" priority="453">
      <formula>AND(IF($Q17=3,1,0),IF($X17&lt;30,1,0))</formula>
    </cfRule>
    <cfRule type="expression" dxfId="450" priority="454">
      <formula>AND(IF($Q17=3,1,IF($Q17=4,1,0)),IF($F17&lt;=85,1,0))</formula>
    </cfRule>
  </conditionalFormatting>
  <conditionalFormatting sqref="AV18">
    <cfRule type="expression" dxfId="449" priority="449">
      <formula>AV18="X"</formula>
    </cfRule>
    <cfRule type="expression" dxfId="448" priority="450">
      <formula>AV18="후보"</formula>
    </cfRule>
  </conditionalFormatting>
  <conditionalFormatting sqref="AC18">
    <cfRule type="cellIs" dxfId="447" priority="447" operator="greaterThan">
      <formula>0.9</formula>
    </cfRule>
    <cfRule type="cellIs" dxfId="446" priority="448" operator="greaterThan">
      <formula>0.85</formula>
    </cfRule>
  </conditionalFormatting>
  <conditionalFormatting sqref="N18">
    <cfRule type="cellIs" dxfId="445" priority="445" operator="greaterThan">
      <formula>0.9</formula>
    </cfRule>
    <cfRule type="cellIs" dxfId="444" priority="446" operator="greaterThan">
      <formula>0.85</formula>
    </cfRule>
  </conditionalFormatting>
  <conditionalFormatting sqref="E18">
    <cfRule type="expression" dxfId="443" priority="441">
      <formula>AND(IF(OR($Q18=1,$Q18=2),1,0),IF($X18&lt;=20,1,0))</formula>
    </cfRule>
    <cfRule type="expression" dxfId="442" priority="442">
      <formula>AND(IF($Q18=2,1,0),IF($X18&lt;30,1,0))</formula>
    </cfRule>
    <cfRule type="expression" dxfId="441" priority="443">
      <formula>AND(IF($Q18=3,1,0),IF($X18&lt;30,1,0))</formula>
    </cfRule>
    <cfRule type="expression" dxfId="440" priority="444">
      <formula>AND(IF($Q18=3,1,IF($Q18=4,1,0)),IF($F18&lt;=85,1,0))</formula>
    </cfRule>
  </conditionalFormatting>
  <conditionalFormatting sqref="X18">
    <cfRule type="expression" dxfId="439" priority="437">
      <formula>AND(IF(OR($Q18=1,$Q18=2),1,0),IF($X18&lt;=20,1,0))</formula>
    </cfRule>
    <cfRule type="expression" dxfId="438" priority="438">
      <formula>AND(IF($Q18=2,1,0),IF($X18&lt;30,1,0))</formula>
    </cfRule>
    <cfRule type="expression" dxfId="437" priority="439">
      <formula>AND(IF($Q18=3,1,0),IF($X18&lt;30,1,0))</formula>
    </cfRule>
    <cfRule type="expression" dxfId="436" priority="440">
      <formula>AND(IF($Q18=3,1,IF($Q18=4,1,0)),IF($F18&lt;=85,1,0))</formula>
    </cfRule>
  </conditionalFormatting>
  <conditionalFormatting sqref="AI18">
    <cfRule type="expression" dxfId="435" priority="433">
      <formula>AND(IF(OR($Q18=1,$Q18=2),1,0),IF($X18&lt;=20,1,0))</formula>
    </cfRule>
    <cfRule type="expression" dxfId="434" priority="434">
      <formula>AND(IF($Q18=2,1,0),IF($X18&lt;30,1,0))</formula>
    </cfRule>
    <cfRule type="expression" dxfId="433" priority="435">
      <formula>AND(IF($Q18=3,1,0),IF($X18&lt;30,1,0))</formula>
    </cfRule>
    <cfRule type="expression" dxfId="432" priority="436">
      <formula>AND(IF($Q18=3,1,IF($Q18=4,1,0)),IF($F18&lt;=85,1,0))</formula>
    </cfRule>
  </conditionalFormatting>
  <conditionalFormatting sqref="AV19">
    <cfRule type="expression" dxfId="431" priority="431">
      <formula>AV19="X"</formula>
    </cfRule>
    <cfRule type="expression" dxfId="430" priority="432">
      <formula>AV19="후보"</formula>
    </cfRule>
  </conditionalFormatting>
  <conditionalFormatting sqref="AC19">
    <cfRule type="cellIs" dxfId="429" priority="429" operator="greaterThan">
      <formula>0.9</formula>
    </cfRule>
    <cfRule type="cellIs" dxfId="428" priority="430" operator="greaterThan">
      <formula>0.85</formula>
    </cfRule>
  </conditionalFormatting>
  <conditionalFormatting sqref="N19">
    <cfRule type="cellIs" dxfId="427" priority="427" operator="greaterThan">
      <formula>0.9</formula>
    </cfRule>
    <cfRule type="cellIs" dxfId="426" priority="428" operator="greaterThan">
      <formula>0.85</formula>
    </cfRule>
  </conditionalFormatting>
  <conditionalFormatting sqref="E19">
    <cfRule type="expression" dxfId="425" priority="423">
      <formula>AND(IF(OR($Q19=1,$Q19=2),1,0),IF($X19&lt;=20,1,0))</formula>
    </cfRule>
    <cfRule type="expression" dxfId="424" priority="424">
      <formula>AND(IF($Q19=2,1,0),IF($X19&lt;30,1,0))</formula>
    </cfRule>
    <cfRule type="expression" dxfId="423" priority="425">
      <formula>AND(IF($Q19=3,1,0),IF($X19&lt;30,1,0))</formula>
    </cfRule>
    <cfRule type="expression" dxfId="422" priority="426">
      <formula>AND(IF($Q19=3,1,IF($Q19=4,1,0)),IF($F19&lt;=85,1,0))</formula>
    </cfRule>
  </conditionalFormatting>
  <conditionalFormatting sqref="X19">
    <cfRule type="expression" dxfId="421" priority="419">
      <formula>AND(IF(OR($Q19=1,$Q19=2),1,0),IF($X19&lt;=20,1,0))</formula>
    </cfRule>
    <cfRule type="expression" dxfId="420" priority="420">
      <formula>AND(IF($Q19=2,1,0),IF($X19&lt;30,1,0))</formula>
    </cfRule>
    <cfRule type="expression" dxfId="419" priority="421">
      <formula>AND(IF($Q19=3,1,0),IF($X19&lt;30,1,0))</formula>
    </cfRule>
    <cfRule type="expression" dxfId="418" priority="422">
      <formula>AND(IF($Q19=3,1,IF($Q19=4,1,0)),IF($F19&lt;=85,1,0))</formula>
    </cfRule>
  </conditionalFormatting>
  <conditionalFormatting sqref="AI19">
    <cfRule type="expression" dxfId="417" priority="415">
      <formula>AND(IF(OR($Q19=1,$Q19=2),1,0),IF($X19&lt;=20,1,0))</formula>
    </cfRule>
    <cfRule type="expression" dxfId="416" priority="416">
      <formula>AND(IF($Q19=2,1,0),IF($X19&lt;30,1,0))</formula>
    </cfRule>
    <cfRule type="expression" dxfId="415" priority="417">
      <formula>AND(IF($Q19=3,1,0),IF($X19&lt;30,1,0))</formula>
    </cfRule>
    <cfRule type="expression" dxfId="414" priority="418">
      <formula>AND(IF($Q19=3,1,IF($Q19=4,1,0)),IF($F19&lt;=85,1,0))</formula>
    </cfRule>
  </conditionalFormatting>
  <conditionalFormatting sqref="AV20">
    <cfRule type="expression" dxfId="413" priority="413">
      <formula>AV20="X"</formula>
    </cfRule>
    <cfRule type="expression" dxfId="412" priority="414">
      <formula>AV20="후보"</formula>
    </cfRule>
  </conditionalFormatting>
  <conditionalFormatting sqref="AC20">
    <cfRule type="cellIs" dxfId="411" priority="411" operator="greaterThan">
      <formula>0.9</formula>
    </cfRule>
    <cfRule type="cellIs" dxfId="410" priority="412" operator="greaterThan">
      <formula>0.85</formula>
    </cfRule>
  </conditionalFormatting>
  <conditionalFormatting sqref="N20">
    <cfRule type="cellIs" dxfId="409" priority="409" operator="greaterThan">
      <formula>0.9</formula>
    </cfRule>
    <cfRule type="cellIs" dxfId="408" priority="410" operator="greaterThan">
      <formula>0.85</formula>
    </cfRule>
  </conditionalFormatting>
  <conditionalFormatting sqref="E20">
    <cfRule type="expression" dxfId="407" priority="405">
      <formula>AND(IF(OR($Q20=1,$Q20=2),1,0),IF($X20&lt;=20,1,0))</formula>
    </cfRule>
    <cfRule type="expression" dxfId="406" priority="406">
      <formula>AND(IF($Q20=2,1,0),IF($X20&lt;30,1,0))</formula>
    </cfRule>
    <cfRule type="expression" dxfId="405" priority="407">
      <formula>AND(IF($Q20=3,1,0),IF($X20&lt;30,1,0))</formula>
    </cfRule>
    <cfRule type="expression" dxfId="404" priority="408">
      <formula>AND(IF($Q20=3,1,IF($Q20=4,1,0)),IF($F20&lt;=85,1,0))</formula>
    </cfRule>
  </conditionalFormatting>
  <conditionalFormatting sqref="X20">
    <cfRule type="expression" dxfId="403" priority="401">
      <formula>AND(IF(OR($Q20=1,$Q20=2),1,0),IF($X20&lt;=20,1,0))</formula>
    </cfRule>
    <cfRule type="expression" dxfId="402" priority="402">
      <formula>AND(IF($Q20=2,1,0),IF($X20&lt;30,1,0))</formula>
    </cfRule>
    <cfRule type="expression" dxfId="401" priority="403">
      <formula>AND(IF($Q20=3,1,0),IF($X20&lt;30,1,0))</formula>
    </cfRule>
    <cfRule type="expression" dxfId="400" priority="404">
      <formula>AND(IF($Q20=3,1,IF($Q20=4,1,0)),IF($F20&lt;=85,1,0))</formula>
    </cfRule>
  </conditionalFormatting>
  <conditionalFormatting sqref="AI20">
    <cfRule type="expression" dxfId="399" priority="397">
      <formula>AND(IF(OR($Q20=1,$Q20=2),1,0),IF($X20&lt;=20,1,0))</formula>
    </cfRule>
    <cfRule type="expression" dxfId="398" priority="398">
      <formula>AND(IF($Q20=2,1,0),IF($X20&lt;30,1,0))</formula>
    </cfRule>
    <cfRule type="expression" dxfId="397" priority="399">
      <formula>AND(IF($Q20=3,1,0),IF($X20&lt;30,1,0))</formula>
    </cfRule>
    <cfRule type="expression" dxfId="396" priority="400">
      <formula>AND(IF($Q20=3,1,IF($Q20=4,1,0)),IF($F20&lt;=85,1,0))</formula>
    </cfRule>
  </conditionalFormatting>
  <conditionalFormatting sqref="AV21">
    <cfRule type="expression" dxfId="395" priority="395">
      <formula>AV21="X"</formula>
    </cfRule>
    <cfRule type="expression" dxfId="394" priority="396">
      <formula>AV21="후보"</formula>
    </cfRule>
  </conditionalFormatting>
  <conditionalFormatting sqref="AC21">
    <cfRule type="cellIs" dxfId="393" priority="393" operator="greaterThan">
      <formula>0.9</formula>
    </cfRule>
    <cfRule type="cellIs" dxfId="392" priority="394" operator="greaterThan">
      <formula>0.85</formula>
    </cfRule>
  </conditionalFormatting>
  <conditionalFormatting sqref="N21">
    <cfRule type="cellIs" dxfId="391" priority="391" operator="greaterThan">
      <formula>0.9</formula>
    </cfRule>
    <cfRule type="cellIs" dxfId="390" priority="392" operator="greaterThan">
      <formula>0.85</formula>
    </cfRule>
  </conditionalFormatting>
  <conditionalFormatting sqref="E21">
    <cfRule type="expression" dxfId="389" priority="387">
      <formula>AND(IF(OR($Q21=1,$Q21=2),1,0),IF($X21&lt;=20,1,0))</formula>
    </cfRule>
    <cfRule type="expression" dxfId="388" priority="388">
      <formula>AND(IF($Q21=2,1,0),IF($X21&lt;30,1,0))</formula>
    </cfRule>
    <cfRule type="expression" dxfId="387" priority="389">
      <formula>AND(IF($Q21=3,1,0),IF($X21&lt;30,1,0))</formula>
    </cfRule>
    <cfRule type="expression" dxfId="386" priority="390">
      <formula>AND(IF($Q21=3,1,IF($Q21=4,1,0)),IF($F21&lt;=85,1,0))</formula>
    </cfRule>
  </conditionalFormatting>
  <conditionalFormatting sqref="X21">
    <cfRule type="expression" dxfId="385" priority="383">
      <formula>AND(IF(OR($Q21=1,$Q21=2),1,0),IF($X21&lt;=20,1,0))</formula>
    </cfRule>
    <cfRule type="expression" dxfId="384" priority="384">
      <formula>AND(IF($Q21=2,1,0),IF($X21&lt;30,1,0))</formula>
    </cfRule>
    <cfRule type="expression" dxfId="383" priority="385">
      <formula>AND(IF($Q21=3,1,0),IF($X21&lt;30,1,0))</formula>
    </cfRule>
    <cfRule type="expression" dxfId="382" priority="386">
      <formula>AND(IF($Q21=3,1,IF($Q21=4,1,0)),IF($F21&lt;=85,1,0))</formula>
    </cfRule>
  </conditionalFormatting>
  <conditionalFormatting sqref="AI21">
    <cfRule type="expression" dxfId="381" priority="379">
      <formula>AND(IF(OR($Q21=1,$Q21=2),1,0),IF($X21&lt;=20,1,0))</formula>
    </cfRule>
    <cfRule type="expression" dxfId="380" priority="380">
      <formula>AND(IF($Q21=2,1,0),IF($X21&lt;30,1,0))</formula>
    </cfRule>
    <cfRule type="expression" dxfId="379" priority="381">
      <formula>AND(IF($Q21=3,1,0),IF($X21&lt;30,1,0))</formula>
    </cfRule>
    <cfRule type="expression" dxfId="378" priority="382">
      <formula>AND(IF($Q21=3,1,IF($Q21=4,1,0)),IF($F21&lt;=85,1,0))</formula>
    </cfRule>
  </conditionalFormatting>
  <conditionalFormatting sqref="AV22">
    <cfRule type="expression" dxfId="377" priority="377">
      <formula>AV22="X"</formula>
    </cfRule>
    <cfRule type="expression" dxfId="376" priority="378">
      <formula>AV22="후보"</formula>
    </cfRule>
  </conditionalFormatting>
  <conditionalFormatting sqref="AC22">
    <cfRule type="cellIs" dxfId="375" priority="375" operator="greaterThan">
      <formula>0.9</formula>
    </cfRule>
    <cfRule type="cellIs" dxfId="374" priority="376" operator="greaterThan">
      <formula>0.85</formula>
    </cfRule>
  </conditionalFormatting>
  <conditionalFormatting sqref="N22">
    <cfRule type="cellIs" dxfId="373" priority="373" operator="greaterThan">
      <formula>0.9</formula>
    </cfRule>
    <cfRule type="cellIs" dxfId="372" priority="374" operator="greaterThan">
      <formula>0.85</formula>
    </cfRule>
  </conditionalFormatting>
  <conditionalFormatting sqref="E22">
    <cfRule type="expression" dxfId="371" priority="369">
      <formula>AND(IF(OR($Q22=1,$Q22=2),1,0),IF($X22&lt;=20,1,0))</formula>
    </cfRule>
    <cfRule type="expression" dxfId="370" priority="370">
      <formula>AND(IF($Q22=2,1,0),IF($X22&lt;30,1,0))</formula>
    </cfRule>
    <cfRule type="expression" dxfId="369" priority="371">
      <formula>AND(IF($Q22=3,1,0),IF($X22&lt;30,1,0))</formula>
    </cfRule>
    <cfRule type="expression" dxfId="368" priority="372">
      <formula>AND(IF($Q22=3,1,IF($Q22=4,1,0)),IF($F22&lt;=85,1,0))</formula>
    </cfRule>
  </conditionalFormatting>
  <conditionalFormatting sqref="X22">
    <cfRule type="expression" dxfId="367" priority="365">
      <formula>AND(IF(OR($Q22=1,$Q22=2),1,0),IF($X22&lt;=20,1,0))</formula>
    </cfRule>
    <cfRule type="expression" dxfId="366" priority="366">
      <formula>AND(IF($Q22=2,1,0),IF($X22&lt;30,1,0))</formula>
    </cfRule>
    <cfRule type="expression" dxfId="365" priority="367">
      <formula>AND(IF($Q22=3,1,0),IF($X22&lt;30,1,0))</formula>
    </cfRule>
    <cfRule type="expression" dxfId="364" priority="368">
      <formula>AND(IF($Q22=3,1,IF($Q22=4,1,0)),IF($F22&lt;=85,1,0))</formula>
    </cfRule>
  </conditionalFormatting>
  <conditionalFormatting sqref="AI22">
    <cfRule type="expression" dxfId="363" priority="361">
      <formula>AND(IF(OR($Q22=1,$Q22=2),1,0),IF($X22&lt;=20,1,0))</formula>
    </cfRule>
    <cfRule type="expression" dxfId="362" priority="362">
      <formula>AND(IF($Q22=2,1,0),IF($X22&lt;30,1,0))</formula>
    </cfRule>
    <cfRule type="expression" dxfId="361" priority="363">
      <formula>AND(IF($Q22=3,1,0),IF($X22&lt;30,1,0))</formula>
    </cfRule>
    <cfRule type="expression" dxfId="360" priority="364">
      <formula>AND(IF($Q22=3,1,IF($Q22=4,1,0)),IF($F22&lt;=85,1,0))</formula>
    </cfRule>
  </conditionalFormatting>
  <conditionalFormatting sqref="AV23">
    <cfRule type="expression" dxfId="359" priority="359">
      <formula>AV23="X"</formula>
    </cfRule>
    <cfRule type="expression" dxfId="358" priority="360">
      <formula>AV23="후보"</formula>
    </cfRule>
  </conditionalFormatting>
  <conditionalFormatting sqref="AC23">
    <cfRule type="cellIs" dxfId="357" priority="357" operator="greaterThan">
      <formula>0.9</formula>
    </cfRule>
    <cfRule type="cellIs" dxfId="356" priority="358" operator="greaterThan">
      <formula>0.85</formula>
    </cfRule>
  </conditionalFormatting>
  <conditionalFormatting sqref="N23">
    <cfRule type="cellIs" dxfId="355" priority="355" operator="greaterThan">
      <formula>0.9</formula>
    </cfRule>
    <cfRule type="cellIs" dxfId="354" priority="356" operator="greaterThan">
      <formula>0.85</formula>
    </cfRule>
  </conditionalFormatting>
  <conditionalFormatting sqref="E23">
    <cfRule type="expression" dxfId="353" priority="351">
      <formula>AND(IF(OR($Q23=1,$Q23=2),1,0),IF($X23&lt;=20,1,0))</formula>
    </cfRule>
    <cfRule type="expression" dxfId="352" priority="352">
      <formula>AND(IF($Q23=2,1,0),IF($X23&lt;30,1,0))</formula>
    </cfRule>
    <cfRule type="expression" dxfId="351" priority="353">
      <formula>AND(IF($Q23=3,1,0),IF($X23&lt;30,1,0))</formula>
    </cfRule>
    <cfRule type="expression" dxfId="350" priority="354">
      <formula>AND(IF($Q23=3,1,IF($Q23=4,1,0)),IF($F23&lt;=85,1,0))</formula>
    </cfRule>
  </conditionalFormatting>
  <conditionalFormatting sqref="X23">
    <cfRule type="expression" dxfId="349" priority="347">
      <formula>AND(IF(OR($Q23=1,$Q23=2),1,0),IF($X23&lt;=20,1,0))</formula>
    </cfRule>
    <cfRule type="expression" dxfId="348" priority="348">
      <formula>AND(IF($Q23=2,1,0),IF($X23&lt;30,1,0))</formula>
    </cfRule>
    <cfRule type="expression" dxfId="347" priority="349">
      <formula>AND(IF($Q23=3,1,0),IF($X23&lt;30,1,0))</formula>
    </cfRule>
    <cfRule type="expression" dxfId="346" priority="350">
      <formula>AND(IF($Q23=3,1,IF($Q23=4,1,0)),IF($F23&lt;=85,1,0))</formula>
    </cfRule>
  </conditionalFormatting>
  <conditionalFormatting sqref="AI23">
    <cfRule type="expression" dxfId="345" priority="343">
      <formula>AND(IF(OR($Q23=1,$Q23=2),1,0),IF($X23&lt;=20,1,0))</formula>
    </cfRule>
    <cfRule type="expression" dxfId="344" priority="344">
      <formula>AND(IF($Q23=2,1,0),IF($X23&lt;30,1,0))</formula>
    </cfRule>
    <cfRule type="expression" dxfId="343" priority="345">
      <formula>AND(IF($Q23=3,1,0),IF($X23&lt;30,1,0))</formula>
    </cfRule>
    <cfRule type="expression" dxfId="342" priority="346">
      <formula>AND(IF($Q23=3,1,IF($Q23=4,1,0)),IF($F23&lt;=85,1,0))</formula>
    </cfRule>
  </conditionalFormatting>
  <conditionalFormatting sqref="AV24">
    <cfRule type="expression" dxfId="341" priority="341">
      <formula>AV24="X"</formula>
    </cfRule>
    <cfRule type="expression" dxfId="340" priority="342">
      <formula>AV24="후보"</formula>
    </cfRule>
  </conditionalFormatting>
  <conditionalFormatting sqref="AC24">
    <cfRule type="cellIs" dxfId="339" priority="339" operator="greaterThan">
      <formula>0.9</formula>
    </cfRule>
    <cfRule type="cellIs" dxfId="338" priority="340" operator="greaterThan">
      <formula>0.85</formula>
    </cfRule>
  </conditionalFormatting>
  <conditionalFormatting sqref="N24">
    <cfRule type="cellIs" dxfId="337" priority="337" operator="greaterThan">
      <formula>0.9</formula>
    </cfRule>
    <cfRule type="cellIs" dxfId="336" priority="338" operator="greaterThan">
      <formula>0.85</formula>
    </cfRule>
  </conditionalFormatting>
  <conditionalFormatting sqref="E24">
    <cfRule type="expression" dxfId="335" priority="333">
      <formula>AND(IF(OR($Q24=1,$Q24=2),1,0),IF($X24&lt;=20,1,0))</formula>
    </cfRule>
    <cfRule type="expression" dxfId="334" priority="334">
      <formula>AND(IF($Q24=2,1,0),IF($X24&lt;30,1,0))</formula>
    </cfRule>
    <cfRule type="expression" dxfId="333" priority="335">
      <formula>AND(IF($Q24=3,1,0),IF($X24&lt;30,1,0))</formula>
    </cfRule>
    <cfRule type="expression" dxfId="332" priority="336">
      <formula>AND(IF($Q24=3,1,IF($Q24=4,1,0)),IF($F24&lt;=85,1,0))</formula>
    </cfRule>
  </conditionalFormatting>
  <conditionalFormatting sqref="X24">
    <cfRule type="expression" dxfId="331" priority="329">
      <formula>AND(IF(OR($Q24=1,$Q24=2),1,0),IF($X24&lt;=20,1,0))</formula>
    </cfRule>
    <cfRule type="expression" dxfId="330" priority="330">
      <formula>AND(IF($Q24=2,1,0),IF($X24&lt;30,1,0))</formula>
    </cfRule>
    <cfRule type="expression" dxfId="329" priority="331">
      <formula>AND(IF($Q24=3,1,0),IF($X24&lt;30,1,0))</formula>
    </cfRule>
    <cfRule type="expression" dxfId="328" priority="332">
      <formula>AND(IF($Q24=3,1,IF($Q24=4,1,0)),IF($F24&lt;=85,1,0))</formula>
    </cfRule>
  </conditionalFormatting>
  <conditionalFormatting sqref="AI24">
    <cfRule type="expression" dxfId="327" priority="325">
      <formula>AND(IF(OR($Q24=1,$Q24=2),1,0),IF($X24&lt;=20,1,0))</formula>
    </cfRule>
    <cfRule type="expression" dxfId="326" priority="326">
      <formula>AND(IF($Q24=2,1,0),IF($X24&lt;30,1,0))</formula>
    </cfRule>
    <cfRule type="expression" dxfId="325" priority="327">
      <formula>AND(IF($Q24=3,1,0),IF($X24&lt;30,1,0))</formula>
    </cfRule>
    <cfRule type="expression" dxfId="324" priority="328">
      <formula>AND(IF($Q24=3,1,IF($Q24=4,1,0)),IF($F24&lt;=85,1,0))</formula>
    </cfRule>
  </conditionalFormatting>
  <conditionalFormatting sqref="AV25">
    <cfRule type="expression" dxfId="323" priority="323">
      <formula>AV25="X"</formula>
    </cfRule>
    <cfRule type="expression" dxfId="322" priority="324">
      <formula>AV25="후보"</formula>
    </cfRule>
  </conditionalFormatting>
  <conditionalFormatting sqref="AC25">
    <cfRule type="cellIs" dxfId="321" priority="321" operator="greaterThan">
      <formula>0.9</formula>
    </cfRule>
    <cfRule type="cellIs" dxfId="320" priority="322" operator="greaterThan">
      <formula>0.85</formula>
    </cfRule>
  </conditionalFormatting>
  <conditionalFormatting sqref="N25">
    <cfRule type="cellIs" dxfId="319" priority="319" operator="greaterThan">
      <formula>0.9</formula>
    </cfRule>
    <cfRule type="cellIs" dxfId="318" priority="320" operator="greaterThan">
      <formula>0.85</formula>
    </cfRule>
  </conditionalFormatting>
  <conditionalFormatting sqref="E25">
    <cfRule type="expression" dxfId="317" priority="315">
      <formula>AND(IF(OR($Q25=1,$Q25=2),1,0),IF($X25&lt;=20,1,0))</formula>
    </cfRule>
    <cfRule type="expression" dxfId="316" priority="316">
      <formula>AND(IF($Q25=2,1,0),IF($X25&lt;30,1,0))</formula>
    </cfRule>
    <cfRule type="expression" dxfId="315" priority="317">
      <formula>AND(IF($Q25=3,1,0),IF($X25&lt;30,1,0))</formula>
    </cfRule>
    <cfRule type="expression" dxfId="314" priority="318">
      <formula>AND(IF($Q25=3,1,IF($Q25=4,1,0)),IF($F25&lt;=85,1,0))</formula>
    </cfRule>
  </conditionalFormatting>
  <conditionalFormatting sqref="X25">
    <cfRule type="expression" dxfId="313" priority="311">
      <formula>AND(IF(OR($Q25=1,$Q25=2),1,0),IF($X25&lt;=20,1,0))</formula>
    </cfRule>
    <cfRule type="expression" dxfId="312" priority="312">
      <formula>AND(IF($Q25=2,1,0),IF($X25&lt;30,1,0))</formula>
    </cfRule>
    <cfRule type="expression" dxfId="311" priority="313">
      <formula>AND(IF($Q25=3,1,0),IF($X25&lt;30,1,0))</formula>
    </cfRule>
    <cfRule type="expression" dxfId="310" priority="314">
      <formula>AND(IF($Q25=3,1,IF($Q25=4,1,0)),IF($F25&lt;=85,1,0))</formula>
    </cfRule>
  </conditionalFormatting>
  <conditionalFormatting sqref="AI25">
    <cfRule type="expression" dxfId="309" priority="307">
      <formula>AND(IF(OR($Q25=1,$Q25=2),1,0),IF($X25&lt;=20,1,0))</formula>
    </cfRule>
    <cfRule type="expression" dxfId="308" priority="308">
      <formula>AND(IF($Q25=2,1,0),IF($X25&lt;30,1,0))</formula>
    </cfRule>
    <cfRule type="expression" dxfId="307" priority="309">
      <formula>AND(IF($Q25=3,1,0),IF($X25&lt;30,1,0))</formula>
    </cfRule>
    <cfRule type="expression" dxfId="306" priority="310">
      <formula>AND(IF($Q25=3,1,IF($Q25=4,1,0)),IF($F25&lt;=85,1,0))</formula>
    </cfRule>
  </conditionalFormatting>
  <conditionalFormatting sqref="AV26">
    <cfRule type="expression" dxfId="305" priority="305">
      <formula>AV26="X"</formula>
    </cfRule>
    <cfRule type="expression" dxfId="304" priority="306">
      <formula>AV26="후보"</formula>
    </cfRule>
  </conditionalFormatting>
  <conditionalFormatting sqref="AC26">
    <cfRule type="cellIs" dxfId="303" priority="303" operator="greaterThan">
      <formula>0.9</formula>
    </cfRule>
    <cfRule type="cellIs" dxfId="302" priority="304" operator="greaterThan">
      <formula>0.85</formula>
    </cfRule>
  </conditionalFormatting>
  <conditionalFormatting sqref="N26">
    <cfRule type="cellIs" dxfId="301" priority="301" operator="greaterThan">
      <formula>0.9</formula>
    </cfRule>
    <cfRule type="cellIs" dxfId="300" priority="302" operator="greaterThan">
      <formula>0.85</formula>
    </cfRule>
  </conditionalFormatting>
  <conditionalFormatting sqref="E26">
    <cfRule type="expression" dxfId="299" priority="297">
      <formula>AND(IF(OR($Q26=1,$Q26=2),1,0),IF($X26&lt;=20,1,0))</formula>
    </cfRule>
    <cfRule type="expression" dxfId="298" priority="298">
      <formula>AND(IF($Q26=2,1,0),IF($X26&lt;30,1,0))</formula>
    </cfRule>
    <cfRule type="expression" dxfId="297" priority="299">
      <formula>AND(IF($Q26=3,1,0),IF($X26&lt;30,1,0))</formula>
    </cfRule>
    <cfRule type="expression" dxfId="296" priority="300">
      <formula>AND(IF($Q26=3,1,IF($Q26=4,1,0)),IF($F26&lt;=85,1,0))</formula>
    </cfRule>
  </conditionalFormatting>
  <conditionalFormatting sqref="X26">
    <cfRule type="expression" dxfId="295" priority="293">
      <formula>AND(IF(OR($Q26=1,$Q26=2),1,0),IF($X26&lt;=20,1,0))</formula>
    </cfRule>
    <cfRule type="expression" dxfId="294" priority="294">
      <formula>AND(IF($Q26=2,1,0),IF($X26&lt;30,1,0))</formula>
    </cfRule>
    <cfRule type="expression" dxfId="293" priority="295">
      <formula>AND(IF($Q26=3,1,0),IF($X26&lt;30,1,0))</formula>
    </cfRule>
    <cfRule type="expression" dxfId="292" priority="296">
      <formula>AND(IF($Q26=3,1,IF($Q26=4,1,0)),IF($F26&lt;=85,1,0))</formula>
    </cfRule>
  </conditionalFormatting>
  <conditionalFormatting sqref="AI26">
    <cfRule type="expression" dxfId="291" priority="289">
      <formula>AND(IF(OR($Q26=1,$Q26=2),1,0),IF($X26&lt;=20,1,0))</formula>
    </cfRule>
    <cfRule type="expression" dxfId="290" priority="290">
      <formula>AND(IF($Q26=2,1,0),IF($X26&lt;30,1,0))</formula>
    </cfRule>
    <cfRule type="expression" dxfId="289" priority="291">
      <formula>AND(IF($Q26=3,1,0),IF($X26&lt;30,1,0))</formula>
    </cfRule>
    <cfRule type="expression" dxfId="288" priority="292">
      <formula>AND(IF($Q26=3,1,IF($Q26=4,1,0)),IF($F26&lt;=85,1,0))</formula>
    </cfRule>
  </conditionalFormatting>
  <conditionalFormatting sqref="AV27">
    <cfRule type="expression" dxfId="287" priority="287">
      <formula>AV27="X"</formula>
    </cfRule>
    <cfRule type="expression" dxfId="286" priority="288">
      <formula>AV27="후보"</formula>
    </cfRule>
  </conditionalFormatting>
  <conditionalFormatting sqref="AC27">
    <cfRule type="cellIs" dxfId="285" priority="285" operator="greaterThan">
      <formula>0.9</formula>
    </cfRule>
    <cfRule type="cellIs" dxfId="284" priority="286" operator="greaterThan">
      <formula>0.85</formula>
    </cfRule>
  </conditionalFormatting>
  <conditionalFormatting sqref="N27">
    <cfRule type="cellIs" dxfId="283" priority="283" operator="greaterThan">
      <formula>0.9</formula>
    </cfRule>
    <cfRule type="cellIs" dxfId="282" priority="284" operator="greaterThan">
      <formula>0.85</formula>
    </cfRule>
  </conditionalFormatting>
  <conditionalFormatting sqref="E27">
    <cfRule type="expression" dxfId="281" priority="279">
      <formula>AND(IF(OR($Q27=1,$Q27=2),1,0),IF($X27&lt;=20,1,0))</formula>
    </cfRule>
    <cfRule type="expression" dxfId="280" priority="280">
      <formula>AND(IF($Q27=2,1,0),IF($X27&lt;30,1,0))</formula>
    </cfRule>
    <cfRule type="expression" dxfId="279" priority="281">
      <formula>AND(IF($Q27=3,1,0),IF($X27&lt;30,1,0))</formula>
    </cfRule>
    <cfRule type="expression" dxfId="278" priority="282">
      <formula>AND(IF($Q27=3,1,IF($Q27=4,1,0)),IF($F27&lt;=85,1,0))</formula>
    </cfRule>
  </conditionalFormatting>
  <conditionalFormatting sqref="X27">
    <cfRule type="expression" dxfId="277" priority="275">
      <formula>AND(IF(OR($Q27=1,$Q27=2),1,0),IF($X27&lt;=20,1,0))</formula>
    </cfRule>
    <cfRule type="expression" dxfId="276" priority="276">
      <formula>AND(IF($Q27=2,1,0),IF($X27&lt;30,1,0))</formula>
    </cfRule>
    <cfRule type="expression" dxfId="275" priority="277">
      <formula>AND(IF($Q27=3,1,0),IF($X27&lt;30,1,0))</formula>
    </cfRule>
    <cfRule type="expression" dxfId="274" priority="278">
      <formula>AND(IF($Q27=3,1,IF($Q27=4,1,0)),IF($F27&lt;=85,1,0))</formula>
    </cfRule>
  </conditionalFormatting>
  <conditionalFormatting sqref="AI27">
    <cfRule type="expression" dxfId="273" priority="271">
      <formula>AND(IF(OR($Q27=1,$Q27=2),1,0),IF($X27&lt;=20,1,0))</formula>
    </cfRule>
    <cfRule type="expression" dxfId="272" priority="272">
      <formula>AND(IF($Q27=2,1,0),IF($X27&lt;30,1,0))</formula>
    </cfRule>
    <cfRule type="expression" dxfId="271" priority="273">
      <formula>AND(IF($Q27=3,1,0),IF($X27&lt;30,1,0))</formula>
    </cfRule>
    <cfRule type="expression" dxfId="270" priority="274">
      <formula>AND(IF($Q27=3,1,IF($Q27=4,1,0)),IF($F27&lt;=85,1,0))</formula>
    </cfRule>
  </conditionalFormatting>
  <conditionalFormatting sqref="AV28">
    <cfRule type="expression" dxfId="269" priority="269">
      <formula>AV28="X"</formula>
    </cfRule>
    <cfRule type="expression" dxfId="268" priority="270">
      <formula>AV28="후보"</formula>
    </cfRule>
  </conditionalFormatting>
  <conditionalFormatting sqref="AC28">
    <cfRule type="cellIs" dxfId="267" priority="267" operator="greaterThan">
      <formula>0.9</formula>
    </cfRule>
    <cfRule type="cellIs" dxfId="266" priority="268" operator="greaterThan">
      <formula>0.85</formula>
    </cfRule>
  </conditionalFormatting>
  <conditionalFormatting sqref="N28">
    <cfRule type="cellIs" dxfId="265" priority="265" operator="greaterThan">
      <formula>0.9</formula>
    </cfRule>
    <cfRule type="cellIs" dxfId="264" priority="266" operator="greaterThan">
      <formula>0.85</formula>
    </cfRule>
  </conditionalFormatting>
  <conditionalFormatting sqref="E28">
    <cfRule type="expression" dxfId="263" priority="261">
      <formula>AND(IF(OR($Q28=1,$Q28=2),1,0),IF($X28&lt;=20,1,0))</formula>
    </cfRule>
    <cfRule type="expression" dxfId="262" priority="262">
      <formula>AND(IF($Q28=2,1,0),IF($X28&lt;30,1,0))</formula>
    </cfRule>
    <cfRule type="expression" dxfId="261" priority="263">
      <formula>AND(IF($Q28=3,1,0),IF($X28&lt;30,1,0))</formula>
    </cfRule>
    <cfRule type="expression" dxfId="260" priority="264">
      <formula>AND(IF($Q28=3,1,IF($Q28=4,1,0)),IF($F28&lt;=85,1,0))</formula>
    </cfRule>
  </conditionalFormatting>
  <conditionalFormatting sqref="X28">
    <cfRule type="expression" dxfId="259" priority="257">
      <formula>AND(IF(OR($Q28=1,$Q28=2),1,0),IF($X28&lt;=20,1,0))</formula>
    </cfRule>
    <cfRule type="expression" dxfId="258" priority="258">
      <formula>AND(IF($Q28=2,1,0),IF($X28&lt;30,1,0))</formula>
    </cfRule>
    <cfRule type="expression" dxfId="257" priority="259">
      <formula>AND(IF($Q28=3,1,0),IF($X28&lt;30,1,0))</formula>
    </cfRule>
    <cfRule type="expression" dxfId="256" priority="260">
      <formula>AND(IF($Q28=3,1,IF($Q28=4,1,0)),IF($F28&lt;=85,1,0))</formula>
    </cfRule>
  </conditionalFormatting>
  <conditionalFormatting sqref="AI28">
    <cfRule type="expression" dxfId="255" priority="253">
      <formula>AND(IF(OR($Q28=1,$Q28=2),1,0),IF($X28&lt;=20,1,0))</formula>
    </cfRule>
    <cfRule type="expression" dxfId="254" priority="254">
      <formula>AND(IF($Q28=2,1,0),IF($X28&lt;30,1,0))</formula>
    </cfRule>
    <cfRule type="expression" dxfId="253" priority="255">
      <formula>AND(IF($Q28=3,1,0),IF($X28&lt;30,1,0))</formula>
    </cfRule>
    <cfRule type="expression" dxfId="252" priority="256">
      <formula>AND(IF($Q28=3,1,IF($Q28=4,1,0)),IF($F28&lt;=85,1,0))</formula>
    </cfRule>
  </conditionalFormatting>
  <conditionalFormatting sqref="AV29">
    <cfRule type="expression" dxfId="251" priority="251">
      <formula>AV29="X"</formula>
    </cfRule>
    <cfRule type="expression" dxfId="250" priority="252">
      <formula>AV29="후보"</formula>
    </cfRule>
  </conditionalFormatting>
  <conditionalFormatting sqref="AC29">
    <cfRule type="cellIs" dxfId="249" priority="249" operator="greaterThan">
      <formula>0.9</formula>
    </cfRule>
    <cfRule type="cellIs" dxfId="248" priority="250" operator="greaterThan">
      <formula>0.85</formula>
    </cfRule>
  </conditionalFormatting>
  <conditionalFormatting sqref="N29">
    <cfRule type="cellIs" dxfId="247" priority="247" operator="greaterThan">
      <formula>0.9</formula>
    </cfRule>
    <cfRule type="cellIs" dxfId="246" priority="248" operator="greaterThan">
      <formula>0.85</formula>
    </cfRule>
  </conditionalFormatting>
  <conditionalFormatting sqref="E29">
    <cfRule type="expression" dxfId="245" priority="243">
      <formula>AND(IF(OR($Q29=1,$Q29=2),1,0),IF($X29&lt;=20,1,0))</formula>
    </cfRule>
    <cfRule type="expression" dxfId="244" priority="244">
      <formula>AND(IF($Q29=2,1,0),IF($X29&lt;30,1,0))</formula>
    </cfRule>
    <cfRule type="expression" dxfId="243" priority="245">
      <formula>AND(IF($Q29=3,1,0),IF($X29&lt;30,1,0))</formula>
    </cfRule>
    <cfRule type="expression" dxfId="242" priority="246">
      <formula>AND(IF($Q29=3,1,IF($Q29=4,1,0)),IF($F29&lt;=85,1,0))</formula>
    </cfRule>
  </conditionalFormatting>
  <conditionalFormatting sqref="X29">
    <cfRule type="expression" dxfId="241" priority="239">
      <formula>AND(IF(OR($Q29=1,$Q29=2),1,0),IF($X29&lt;=20,1,0))</formula>
    </cfRule>
    <cfRule type="expression" dxfId="240" priority="240">
      <formula>AND(IF($Q29=2,1,0),IF($X29&lt;30,1,0))</formula>
    </cfRule>
    <cfRule type="expression" dxfId="239" priority="241">
      <formula>AND(IF($Q29=3,1,0),IF($X29&lt;30,1,0))</formula>
    </cfRule>
    <cfRule type="expression" dxfId="238" priority="242">
      <formula>AND(IF($Q29=3,1,IF($Q29=4,1,0)),IF($F29&lt;=85,1,0))</formula>
    </cfRule>
  </conditionalFormatting>
  <conditionalFormatting sqref="AI29">
    <cfRule type="expression" dxfId="237" priority="235">
      <formula>AND(IF(OR($Q29=1,$Q29=2),1,0),IF($X29&lt;=20,1,0))</formula>
    </cfRule>
    <cfRule type="expression" dxfId="236" priority="236">
      <formula>AND(IF($Q29=2,1,0),IF($X29&lt;30,1,0))</formula>
    </cfRule>
    <cfRule type="expression" dxfId="235" priority="237">
      <formula>AND(IF($Q29=3,1,0),IF($X29&lt;30,1,0))</formula>
    </cfRule>
    <cfRule type="expression" dxfId="234" priority="238">
      <formula>AND(IF($Q29=3,1,IF($Q29=4,1,0)),IF($F29&lt;=85,1,0))</formula>
    </cfRule>
  </conditionalFormatting>
  <conditionalFormatting sqref="AV30">
    <cfRule type="expression" dxfId="233" priority="233">
      <formula>AV30="X"</formula>
    </cfRule>
    <cfRule type="expression" dxfId="232" priority="234">
      <formula>AV30="후보"</formula>
    </cfRule>
  </conditionalFormatting>
  <conditionalFormatting sqref="AC30">
    <cfRule type="cellIs" dxfId="231" priority="231" operator="greaterThan">
      <formula>0.9</formula>
    </cfRule>
    <cfRule type="cellIs" dxfId="230" priority="232" operator="greaterThan">
      <formula>0.85</formula>
    </cfRule>
  </conditionalFormatting>
  <conditionalFormatting sqref="N30">
    <cfRule type="cellIs" dxfId="229" priority="229" operator="greaterThan">
      <formula>0.9</formula>
    </cfRule>
    <cfRule type="cellIs" dxfId="228" priority="230" operator="greaterThan">
      <formula>0.85</formula>
    </cfRule>
  </conditionalFormatting>
  <conditionalFormatting sqref="E30">
    <cfRule type="expression" dxfId="227" priority="225">
      <formula>AND(IF(OR($Q30=1,$Q30=2),1,0),IF($X30&lt;=20,1,0))</formula>
    </cfRule>
    <cfRule type="expression" dxfId="226" priority="226">
      <formula>AND(IF($Q30=2,1,0),IF($X30&lt;30,1,0))</formula>
    </cfRule>
    <cfRule type="expression" dxfId="225" priority="227">
      <formula>AND(IF($Q30=3,1,0),IF($X30&lt;30,1,0))</formula>
    </cfRule>
    <cfRule type="expression" dxfId="224" priority="228">
      <formula>AND(IF($Q30=3,1,IF($Q30=4,1,0)),IF($F30&lt;=85,1,0))</formula>
    </cfRule>
  </conditionalFormatting>
  <conditionalFormatting sqref="X30">
    <cfRule type="expression" dxfId="223" priority="221">
      <formula>AND(IF(OR($Q30=1,$Q30=2),1,0),IF($X30&lt;=20,1,0))</formula>
    </cfRule>
    <cfRule type="expression" dxfId="222" priority="222">
      <formula>AND(IF($Q30=2,1,0),IF($X30&lt;30,1,0))</formula>
    </cfRule>
    <cfRule type="expression" dxfId="221" priority="223">
      <formula>AND(IF($Q30=3,1,0),IF($X30&lt;30,1,0))</formula>
    </cfRule>
    <cfRule type="expression" dxfId="220" priority="224">
      <formula>AND(IF($Q30=3,1,IF($Q30=4,1,0)),IF($F30&lt;=85,1,0))</formula>
    </cfRule>
  </conditionalFormatting>
  <conditionalFormatting sqref="AI30">
    <cfRule type="expression" dxfId="219" priority="217">
      <formula>AND(IF(OR($Q30=1,$Q30=2),1,0),IF($X30&lt;=20,1,0))</formula>
    </cfRule>
    <cfRule type="expression" dxfId="218" priority="218">
      <formula>AND(IF($Q30=2,1,0),IF($X30&lt;30,1,0))</formula>
    </cfRule>
    <cfRule type="expression" dxfId="217" priority="219">
      <formula>AND(IF($Q30=3,1,0),IF($X30&lt;30,1,0))</formula>
    </cfRule>
    <cfRule type="expression" dxfId="216" priority="220">
      <formula>AND(IF($Q30=3,1,IF($Q30=4,1,0)),IF($F30&lt;=85,1,0))</formula>
    </cfRule>
  </conditionalFormatting>
  <conditionalFormatting sqref="AV31">
    <cfRule type="expression" dxfId="215" priority="215">
      <formula>AV31="X"</formula>
    </cfRule>
    <cfRule type="expression" dxfId="214" priority="216">
      <formula>AV31="후보"</formula>
    </cfRule>
  </conditionalFormatting>
  <conditionalFormatting sqref="AC31">
    <cfRule type="cellIs" dxfId="213" priority="213" operator="greaterThan">
      <formula>0.9</formula>
    </cfRule>
    <cfRule type="cellIs" dxfId="212" priority="214" operator="greaterThan">
      <formula>0.85</formula>
    </cfRule>
  </conditionalFormatting>
  <conditionalFormatting sqref="N31">
    <cfRule type="cellIs" dxfId="211" priority="211" operator="greaterThan">
      <formula>0.9</formula>
    </cfRule>
    <cfRule type="cellIs" dxfId="210" priority="212" operator="greaterThan">
      <formula>0.85</formula>
    </cfRule>
  </conditionalFormatting>
  <conditionalFormatting sqref="E31">
    <cfRule type="expression" dxfId="209" priority="207">
      <formula>AND(IF(OR($Q31=1,$Q31=2),1,0),IF($X31&lt;=20,1,0))</formula>
    </cfRule>
    <cfRule type="expression" dxfId="208" priority="208">
      <formula>AND(IF($Q31=2,1,0),IF($X31&lt;30,1,0))</formula>
    </cfRule>
    <cfRule type="expression" dxfId="207" priority="209">
      <formula>AND(IF($Q31=3,1,0),IF($X31&lt;30,1,0))</formula>
    </cfRule>
    <cfRule type="expression" dxfId="206" priority="210">
      <formula>AND(IF($Q31=3,1,IF($Q31=4,1,0)),IF($F31&lt;=85,1,0))</formula>
    </cfRule>
  </conditionalFormatting>
  <conditionalFormatting sqref="X31">
    <cfRule type="expression" dxfId="205" priority="203">
      <formula>AND(IF(OR($Q31=1,$Q31=2),1,0),IF($X31&lt;=20,1,0))</formula>
    </cfRule>
    <cfRule type="expression" dxfId="204" priority="204">
      <formula>AND(IF($Q31=2,1,0),IF($X31&lt;30,1,0))</formula>
    </cfRule>
    <cfRule type="expression" dxfId="203" priority="205">
      <formula>AND(IF($Q31=3,1,0),IF($X31&lt;30,1,0))</formula>
    </cfRule>
    <cfRule type="expression" dxfId="202" priority="206">
      <formula>AND(IF($Q31=3,1,IF($Q31=4,1,0)),IF($F31&lt;=85,1,0))</formula>
    </cfRule>
  </conditionalFormatting>
  <conditionalFormatting sqref="AI31">
    <cfRule type="expression" dxfId="201" priority="199">
      <formula>AND(IF(OR($Q31=1,$Q31=2),1,0),IF($X31&lt;=20,1,0))</formula>
    </cfRule>
    <cfRule type="expression" dxfId="200" priority="200">
      <formula>AND(IF($Q31=2,1,0),IF($X31&lt;30,1,0))</formula>
    </cfRule>
    <cfRule type="expression" dxfId="199" priority="201">
      <formula>AND(IF($Q31=3,1,0),IF($X31&lt;30,1,0))</formula>
    </cfRule>
    <cfRule type="expression" dxfId="198" priority="202">
      <formula>AND(IF($Q31=3,1,IF($Q31=4,1,0)),IF($F31&lt;=85,1,0))</formula>
    </cfRule>
  </conditionalFormatting>
  <conditionalFormatting sqref="AV32">
    <cfRule type="expression" dxfId="197" priority="197">
      <formula>AV32="X"</formula>
    </cfRule>
    <cfRule type="expression" dxfId="196" priority="198">
      <formula>AV32="후보"</formula>
    </cfRule>
  </conditionalFormatting>
  <conditionalFormatting sqref="AC32">
    <cfRule type="cellIs" dxfId="195" priority="195" operator="greaterThan">
      <formula>0.9</formula>
    </cfRule>
    <cfRule type="cellIs" dxfId="194" priority="196" operator="greaterThan">
      <formula>0.85</formula>
    </cfRule>
  </conditionalFormatting>
  <conditionalFormatting sqref="N32">
    <cfRule type="cellIs" dxfId="193" priority="193" operator="greaterThan">
      <formula>0.9</formula>
    </cfRule>
    <cfRule type="cellIs" dxfId="192" priority="194" operator="greaterThan">
      <formula>0.85</formula>
    </cfRule>
  </conditionalFormatting>
  <conditionalFormatting sqref="E32">
    <cfRule type="expression" dxfId="191" priority="189">
      <formula>AND(IF(OR($Q32=1,$Q32=2),1,0),IF($X32&lt;=20,1,0))</formula>
    </cfRule>
    <cfRule type="expression" dxfId="190" priority="190">
      <formula>AND(IF($Q32=2,1,0),IF($X32&lt;30,1,0))</formula>
    </cfRule>
    <cfRule type="expression" dxfId="189" priority="191">
      <formula>AND(IF($Q32=3,1,0),IF($X32&lt;30,1,0))</formula>
    </cfRule>
    <cfRule type="expression" dxfId="188" priority="192">
      <formula>AND(IF($Q32=3,1,IF($Q32=4,1,0)),IF($F32&lt;=85,1,0))</formula>
    </cfRule>
  </conditionalFormatting>
  <conditionalFormatting sqref="X32">
    <cfRule type="expression" dxfId="187" priority="185">
      <formula>AND(IF(OR($Q32=1,$Q32=2),1,0),IF($X32&lt;=20,1,0))</formula>
    </cfRule>
    <cfRule type="expression" dxfId="186" priority="186">
      <formula>AND(IF($Q32=2,1,0),IF($X32&lt;30,1,0))</formula>
    </cfRule>
    <cfRule type="expression" dxfId="185" priority="187">
      <formula>AND(IF($Q32=3,1,0),IF($X32&lt;30,1,0))</formula>
    </cfRule>
    <cfRule type="expression" dxfId="184" priority="188">
      <formula>AND(IF($Q32=3,1,IF($Q32=4,1,0)),IF($F32&lt;=85,1,0))</formula>
    </cfRule>
  </conditionalFormatting>
  <conditionalFormatting sqref="AI32">
    <cfRule type="expression" dxfId="183" priority="181">
      <formula>AND(IF(OR($Q32=1,$Q32=2),1,0),IF($X32&lt;=20,1,0))</formula>
    </cfRule>
    <cfRule type="expression" dxfId="182" priority="182">
      <formula>AND(IF($Q32=2,1,0),IF($X32&lt;30,1,0))</formula>
    </cfRule>
    <cfRule type="expression" dxfId="181" priority="183">
      <formula>AND(IF($Q32=3,1,0),IF($X32&lt;30,1,0))</formula>
    </cfRule>
    <cfRule type="expression" dxfId="180" priority="184">
      <formula>AND(IF($Q32=3,1,IF($Q32=4,1,0)),IF($F32&lt;=85,1,0))</formula>
    </cfRule>
  </conditionalFormatting>
  <conditionalFormatting sqref="AV33">
    <cfRule type="expression" dxfId="179" priority="179">
      <formula>AV33="X"</formula>
    </cfRule>
    <cfRule type="expression" dxfId="178" priority="180">
      <formula>AV33="후보"</formula>
    </cfRule>
  </conditionalFormatting>
  <conditionalFormatting sqref="AC33">
    <cfRule type="cellIs" dxfId="177" priority="177" operator="greaterThan">
      <formula>0.9</formula>
    </cfRule>
    <cfRule type="cellIs" dxfId="176" priority="178" operator="greaterThan">
      <formula>0.85</formula>
    </cfRule>
  </conditionalFormatting>
  <conditionalFormatting sqref="N33">
    <cfRule type="cellIs" dxfId="175" priority="175" operator="greaterThan">
      <formula>0.9</formula>
    </cfRule>
    <cfRule type="cellIs" dxfId="174" priority="176" operator="greaterThan">
      <formula>0.85</formula>
    </cfRule>
  </conditionalFormatting>
  <conditionalFormatting sqref="E33">
    <cfRule type="expression" dxfId="173" priority="171">
      <formula>AND(IF(OR($Q33=1,$Q33=2),1,0),IF($X33&lt;=20,1,0))</formula>
    </cfRule>
    <cfRule type="expression" dxfId="172" priority="172">
      <formula>AND(IF($Q33=2,1,0),IF($X33&lt;30,1,0))</formula>
    </cfRule>
    <cfRule type="expression" dxfId="171" priority="173">
      <formula>AND(IF($Q33=3,1,0),IF($X33&lt;30,1,0))</formula>
    </cfRule>
    <cfRule type="expression" dxfId="170" priority="174">
      <formula>AND(IF($Q33=3,1,IF($Q33=4,1,0)),IF($F33&lt;=85,1,0))</formula>
    </cfRule>
  </conditionalFormatting>
  <conditionalFormatting sqref="X33">
    <cfRule type="expression" dxfId="169" priority="167">
      <formula>AND(IF(OR($Q33=1,$Q33=2),1,0),IF($X33&lt;=20,1,0))</formula>
    </cfRule>
    <cfRule type="expression" dxfId="168" priority="168">
      <formula>AND(IF($Q33=2,1,0),IF($X33&lt;30,1,0))</formula>
    </cfRule>
    <cfRule type="expression" dxfId="167" priority="169">
      <formula>AND(IF($Q33=3,1,0),IF($X33&lt;30,1,0))</formula>
    </cfRule>
    <cfRule type="expression" dxfId="166" priority="170">
      <formula>AND(IF($Q33=3,1,IF($Q33=4,1,0)),IF($F33&lt;=85,1,0))</formula>
    </cfRule>
  </conditionalFormatting>
  <conditionalFormatting sqref="AI33">
    <cfRule type="expression" dxfId="165" priority="163">
      <formula>AND(IF(OR($Q33=1,$Q33=2),1,0),IF($X33&lt;=20,1,0))</formula>
    </cfRule>
    <cfRule type="expression" dxfId="164" priority="164">
      <formula>AND(IF($Q33=2,1,0),IF($X33&lt;30,1,0))</formula>
    </cfRule>
    <cfRule type="expression" dxfId="163" priority="165">
      <formula>AND(IF($Q33=3,1,0),IF($X33&lt;30,1,0))</formula>
    </cfRule>
    <cfRule type="expression" dxfId="162" priority="166">
      <formula>AND(IF($Q33=3,1,IF($Q33=4,1,0)),IF($F33&lt;=85,1,0))</formula>
    </cfRule>
  </conditionalFormatting>
  <conditionalFormatting sqref="AV34">
    <cfRule type="expression" dxfId="161" priority="161">
      <formula>AV34="X"</formula>
    </cfRule>
    <cfRule type="expression" dxfId="160" priority="162">
      <formula>AV34="후보"</formula>
    </cfRule>
  </conditionalFormatting>
  <conditionalFormatting sqref="AC34">
    <cfRule type="cellIs" dxfId="159" priority="159" operator="greaterThan">
      <formula>0.9</formula>
    </cfRule>
    <cfRule type="cellIs" dxfId="158" priority="160" operator="greaterThan">
      <formula>0.85</formula>
    </cfRule>
  </conditionalFormatting>
  <conditionalFormatting sqref="N34">
    <cfRule type="cellIs" dxfId="157" priority="157" operator="greaterThan">
      <formula>0.9</formula>
    </cfRule>
    <cfRule type="cellIs" dxfId="156" priority="158" operator="greaterThan">
      <formula>0.85</formula>
    </cfRule>
  </conditionalFormatting>
  <conditionalFormatting sqref="E34">
    <cfRule type="expression" dxfId="155" priority="153">
      <formula>AND(IF(OR($Q34=1,$Q34=2),1,0),IF($X34&lt;=20,1,0))</formula>
    </cfRule>
    <cfRule type="expression" dxfId="154" priority="154">
      <formula>AND(IF($Q34=2,1,0),IF($X34&lt;30,1,0))</formula>
    </cfRule>
    <cfRule type="expression" dxfId="153" priority="155">
      <formula>AND(IF($Q34=3,1,0),IF($X34&lt;30,1,0))</formula>
    </cfRule>
    <cfRule type="expression" dxfId="152" priority="156">
      <formula>AND(IF($Q34=3,1,IF($Q34=4,1,0)),IF($F34&lt;=85,1,0))</formula>
    </cfRule>
  </conditionalFormatting>
  <conditionalFormatting sqref="X34">
    <cfRule type="expression" dxfId="151" priority="149">
      <formula>AND(IF(OR($Q34=1,$Q34=2),1,0),IF($X34&lt;=20,1,0))</formula>
    </cfRule>
    <cfRule type="expression" dxfId="150" priority="150">
      <formula>AND(IF($Q34=2,1,0),IF($X34&lt;30,1,0))</formula>
    </cfRule>
    <cfRule type="expression" dxfId="149" priority="151">
      <formula>AND(IF($Q34=3,1,0),IF($X34&lt;30,1,0))</formula>
    </cfRule>
    <cfRule type="expression" dxfId="148" priority="152">
      <formula>AND(IF($Q34=3,1,IF($Q34=4,1,0)),IF($F34&lt;=85,1,0))</formula>
    </cfRule>
  </conditionalFormatting>
  <conditionalFormatting sqref="AI34">
    <cfRule type="expression" dxfId="147" priority="145">
      <formula>AND(IF(OR($Q34=1,$Q34=2),1,0),IF($X34&lt;=20,1,0))</formula>
    </cfRule>
    <cfRule type="expression" dxfId="146" priority="146">
      <formula>AND(IF($Q34=2,1,0),IF($X34&lt;30,1,0))</formula>
    </cfRule>
    <cfRule type="expression" dxfId="145" priority="147">
      <formula>AND(IF($Q34=3,1,0),IF($X34&lt;30,1,0))</formula>
    </cfRule>
    <cfRule type="expression" dxfId="144" priority="148">
      <formula>AND(IF($Q34=3,1,IF($Q34=4,1,0)),IF($F34&lt;=85,1,0))</formula>
    </cfRule>
  </conditionalFormatting>
  <conditionalFormatting sqref="AV35">
    <cfRule type="expression" dxfId="143" priority="143">
      <formula>AV35="X"</formula>
    </cfRule>
    <cfRule type="expression" dxfId="142" priority="144">
      <formula>AV35="후보"</formula>
    </cfRule>
  </conditionalFormatting>
  <conditionalFormatting sqref="AC35">
    <cfRule type="cellIs" dxfId="141" priority="141" operator="greaterThan">
      <formula>0.9</formula>
    </cfRule>
    <cfRule type="cellIs" dxfId="140" priority="142" operator="greaterThan">
      <formula>0.85</formula>
    </cfRule>
  </conditionalFormatting>
  <conditionalFormatting sqref="N35">
    <cfRule type="cellIs" dxfId="139" priority="139" operator="greaterThan">
      <formula>0.9</formula>
    </cfRule>
    <cfRule type="cellIs" dxfId="138" priority="140" operator="greaterThan">
      <formula>0.85</formula>
    </cfRule>
  </conditionalFormatting>
  <conditionalFormatting sqref="E35">
    <cfRule type="expression" dxfId="137" priority="135">
      <formula>AND(IF(OR($Q35=1,$Q35=2),1,0),IF($X35&lt;=20,1,0))</formula>
    </cfRule>
    <cfRule type="expression" dxfId="136" priority="136">
      <formula>AND(IF($Q35=2,1,0),IF($X35&lt;30,1,0))</formula>
    </cfRule>
    <cfRule type="expression" dxfId="135" priority="137">
      <formula>AND(IF($Q35=3,1,0),IF($X35&lt;30,1,0))</formula>
    </cfRule>
    <cfRule type="expression" dxfId="134" priority="138">
      <formula>AND(IF($Q35=3,1,IF($Q35=4,1,0)),IF($F35&lt;=85,1,0))</formula>
    </cfRule>
  </conditionalFormatting>
  <conditionalFormatting sqref="X35">
    <cfRule type="expression" dxfId="133" priority="131">
      <formula>AND(IF(OR($Q35=1,$Q35=2),1,0),IF($X35&lt;=20,1,0))</formula>
    </cfRule>
    <cfRule type="expression" dxfId="132" priority="132">
      <formula>AND(IF($Q35=2,1,0),IF($X35&lt;30,1,0))</formula>
    </cfRule>
    <cfRule type="expression" dxfId="131" priority="133">
      <formula>AND(IF($Q35=3,1,0),IF($X35&lt;30,1,0))</formula>
    </cfRule>
    <cfRule type="expression" dxfId="130" priority="134">
      <formula>AND(IF($Q35=3,1,IF($Q35=4,1,0)),IF($F35&lt;=85,1,0))</formula>
    </cfRule>
  </conditionalFormatting>
  <conditionalFormatting sqref="AI35">
    <cfRule type="expression" dxfId="129" priority="127">
      <formula>AND(IF(OR($Q35=1,$Q35=2),1,0),IF($X35&lt;=20,1,0))</formula>
    </cfRule>
    <cfRule type="expression" dxfId="128" priority="128">
      <formula>AND(IF($Q35=2,1,0),IF($X35&lt;30,1,0))</formula>
    </cfRule>
    <cfRule type="expression" dxfId="127" priority="129">
      <formula>AND(IF($Q35=3,1,0),IF($X35&lt;30,1,0))</formula>
    </cfRule>
    <cfRule type="expression" dxfId="126" priority="130">
      <formula>AND(IF($Q35=3,1,IF($Q35=4,1,0)),IF($F35&lt;=85,1,0))</formula>
    </cfRule>
  </conditionalFormatting>
  <conditionalFormatting sqref="AV36">
    <cfRule type="expression" dxfId="125" priority="125">
      <formula>AV36="X"</formula>
    </cfRule>
    <cfRule type="expression" dxfId="124" priority="126">
      <formula>AV36="후보"</formula>
    </cfRule>
  </conditionalFormatting>
  <conditionalFormatting sqref="AC36">
    <cfRule type="cellIs" dxfId="123" priority="123" operator="greaterThan">
      <formula>0.9</formula>
    </cfRule>
    <cfRule type="cellIs" dxfId="122" priority="124" operator="greaterThan">
      <formula>0.85</formula>
    </cfRule>
  </conditionalFormatting>
  <conditionalFormatting sqref="N36">
    <cfRule type="cellIs" dxfId="121" priority="121" operator="greaterThan">
      <formula>0.9</formula>
    </cfRule>
    <cfRule type="cellIs" dxfId="120" priority="122" operator="greaterThan">
      <formula>0.85</formula>
    </cfRule>
  </conditionalFormatting>
  <conditionalFormatting sqref="E36">
    <cfRule type="expression" dxfId="119" priority="117">
      <formula>AND(IF(OR($Q36=1,$Q36=2),1,0),IF($X36&lt;=20,1,0))</formula>
    </cfRule>
    <cfRule type="expression" dxfId="118" priority="118">
      <formula>AND(IF($Q36=2,1,0),IF($X36&lt;30,1,0))</formula>
    </cfRule>
    <cfRule type="expression" dxfId="117" priority="119">
      <formula>AND(IF($Q36=3,1,0),IF($X36&lt;30,1,0))</formula>
    </cfRule>
    <cfRule type="expression" dxfId="116" priority="120">
      <formula>AND(IF($Q36=3,1,IF($Q36=4,1,0)),IF($F36&lt;=85,1,0))</formula>
    </cfRule>
  </conditionalFormatting>
  <conditionalFormatting sqref="X36">
    <cfRule type="expression" dxfId="115" priority="113">
      <formula>AND(IF(OR($Q36=1,$Q36=2),1,0),IF($X36&lt;=20,1,0))</formula>
    </cfRule>
    <cfRule type="expression" dxfId="114" priority="114">
      <formula>AND(IF($Q36=2,1,0),IF($X36&lt;30,1,0))</formula>
    </cfRule>
    <cfRule type="expression" dxfId="113" priority="115">
      <formula>AND(IF($Q36=3,1,0),IF($X36&lt;30,1,0))</formula>
    </cfRule>
    <cfRule type="expression" dxfId="112" priority="116">
      <formula>AND(IF($Q36=3,1,IF($Q36=4,1,0)),IF($F36&lt;=85,1,0))</formula>
    </cfRule>
  </conditionalFormatting>
  <conditionalFormatting sqref="AI36">
    <cfRule type="expression" dxfId="111" priority="109">
      <formula>AND(IF(OR($Q36=1,$Q36=2),1,0),IF($X36&lt;=20,1,0))</formula>
    </cfRule>
    <cfRule type="expression" dxfId="110" priority="110">
      <formula>AND(IF($Q36=2,1,0),IF($X36&lt;30,1,0))</formula>
    </cfRule>
    <cfRule type="expression" dxfId="109" priority="111">
      <formula>AND(IF($Q36=3,1,0),IF($X36&lt;30,1,0))</formula>
    </cfRule>
    <cfRule type="expression" dxfId="108" priority="112">
      <formula>AND(IF($Q36=3,1,IF($Q36=4,1,0)),IF($F36&lt;=85,1,0))</formula>
    </cfRule>
  </conditionalFormatting>
  <conditionalFormatting sqref="AV37">
    <cfRule type="expression" dxfId="107" priority="107">
      <formula>AV37="X"</formula>
    </cfRule>
    <cfRule type="expression" dxfId="106" priority="108">
      <formula>AV37="후보"</formula>
    </cfRule>
  </conditionalFormatting>
  <conditionalFormatting sqref="AC37">
    <cfRule type="cellIs" dxfId="105" priority="105" operator="greaterThan">
      <formula>0.9</formula>
    </cfRule>
    <cfRule type="cellIs" dxfId="104" priority="106" operator="greaterThan">
      <formula>0.85</formula>
    </cfRule>
  </conditionalFormatting>
  <conditionalFormatting sqref="N37">
    <cfRule type="cellIs" dxfId="103" priority="103" operator="greaterThan">
      <formula>0.9</formula>
    </cfRule>
    <cfRule type="cellIs" dxfId="102" priority="104" operator="greaterThan">
      <formula>0.85</formula>
    </cfRule>
  </conditionalFormatting>
  <conditionalFormatting sqref="E37">
    <cfRule type="expression" dxfId="101" priority="99">
      <formula>AND(IF(OR($Q37=1,$Q37=2),1,0),IF($X37&lt;=20,1,0))</formula>
    </cfRule>
    <cfRule type="expression" dxfId="100" priority="100">
      <formula>AND(IF($Q37=2,1,0),IF($X37&lt;30,1,0))</formula>
    </cfRule>
    <cfRule type="expression" dxfId="99" priority="101">
      <formula>AND(IF($Q37=3,1,0),IF($X37&lt;30,1,0))</formula>
    </cfRule>
    <cfRule type="expression" dxfId="98" priority="102">
      <formula>AND(IF($Q37=3,1,IF($Q37=4,1,0)),IF($F37&lt;=85,1,0))</formula>
    </cfRule>
  </conditionalFormatting>
  <conditionalFormatting sqref="X37">
    <cfRule type="expression" dxfId="97" priority="95">
      <formula>AND(IF(OR($Q37=1,$Q37=2),1,0),IF($X37&lt;=20,1,0))</formula>
    </cfRule>
    <cfRule type="expression" dxfId="96" priority="96">
      <formula>AND(IF($Q37=2,1,0),IF($X37&lt;30,1,0))</formula>
    </cfRule>
    <cfRule type="expression" dxfId="95" priority="97">
      <formula>AND(IF($Q37=3,1,0),IF($X37&lt;30,1,0))</formula>
    </cfRule>
    <cfRule type="expression" dxfId="94" priority="98">
      <formula>AND(IF($Q37=3,1,IF($Q37=4,1,0)),IF($F37&lt;=85,1,0))</formula>
    </cfRule>
  </conditionalFormatting>
  <conditionalFormatting sqref="AI37">
    <cfRule type="expression" dxfId="93" priority="91">
      <formula>AND(IF(OR($Q37=1,$Q37=2),1,0),IF($X37&lt;=20,1,0))</formula>
    </cfRule>
    <cfRule type="expression" dxfId="92" priority="92">
      <formula>AND(IF($Q37=2,1,0),IF($X37&lt;30,1,0))</formula>
    </cfRule>
    <cfRule type="expression" dxfId="91" priority="93">
      <formula>AND(IF($Q37=3,1,0),IF($X37&lt;30,1,0))</formula>
    </cfRule>
    <cfRule type="expression" dxfId="90" priority="94">
      <formula>AND(IF($Q37=3,1,IF($Q37=4,1,0)),IF($F37&lt;=85,1,0))</formula>
    </cfRule>
  </conditionalFormatting>
  <conditionalFormatting sqref="AV38">
    <cfRule type="expression" dxfId="89" priority="89">
      <formula>AV38="X"</formula>
    </cfRule>
    <cfRule type="expression" dxfId="88" priority="90">
      <formula>AV38="후보"</formula>
    </cfRule>
  </conditionalFormatting>
  <conditionalFormatting sqref="AC38">
    <cfRule type="cellIs" dxfId="87" priority="87" operator="greaterThan">
      <formula>0.9</formula>
    </cfRule>
    <cfRule type="cellIs" dxfId="86" priority="88" operator="greaterThan">
      <formula>0.85</formula>
    </cfRule>
  </conditionalFormatting>
  <conditionalFormatting sqref="N38">
    <cfRule type="cellIs" dxfId="85" priority="85" operator="greaterThan">
      <formula>0.9</formula>
    </cfRule>
    <cfRule type="cellIs" dxfId="84" priority="86" operator="greaterThan">
      <formula>0.85</formula>
    </cfRule>
  </conditionalFormatting>
  <conditionalFormatting sqref="E38">
    <cfRule type="expression" dxfId="83" priority="81">
      <formula>AND(IF(OR($Q38=1,$Q38=2),1,0),IF($X38&lt;=20,1,0))</formula>
    </cfRule>
    <cfRule type="expression" dxfId="82" priority="82">
      <formula>AND(IF($Q38=2,1,0),IF($X38&lt;30,1,0))</formula>
    </cfRule>
    <cfRule type="expression" dxfId="81" priority="83">
      <formula>AND(IF($Q38=3,1,0),IF($X38&lt;30,1,0))</formula>
    </cfRule>
    <cfRule type="expression" dxfId="80" priority="84">
      <formula>AND(IF($Q38=3,1,IF($Q38=4,1,0)),IF($F38&lt;=85,1,0))</formula>
    </cfRule>
  </conditionalFormatting>
  <conditionalFormatting sqref="X38">
    <cfRule type="expression" dxfId="79" priority="77">
      <formula>AND(IF(OR($Q38=1,$Q38=2),1,0),IF($X38&lt;=20,1,0))</formula>
    </cfRule>
    <cfRule type="expression" dxfId="78" priority="78">
      <formula>AND(IF($Q38=2,1,0),IF($X38&lt;30,1,0))</formula>
    </cfRule>
    <cfRule type="expression" dxfId="77" priority="79">
      <formula>AND(IF($Q38=3,1,0),IF($X38&lt;30,1,0))</formula>
    </cfRule>
    <cfRule type="expression" dxfId="76" priority="80">
      <formula>AND(IF($Q38=3,1,IF($Q38=4,1,0)),IF($F38&lt;=85,1,0))</formula>
    </cfRule>
  </conditionalFormatting>
  <conditionalFormatting sqref="AI38">
    <cfRule type="expression" dxfId="75" priority="73">
      <formula>AND(IF(OR($Q38=1,$Q38=2),1,0),IF($X38&lt;=20,1,0))</formula>
    </cfRule>
    <cfRule type="expression" dxfId="74" priority="74">
      <formula>AND(IF($Q38=2,1,0),IF($X38&lt;30,1,0))</formula>
    </cfRule>
    <cfRule type="expression" dxfId="73" priority="75">
      <formula>AND(IF($Q38=3,1,0),IF($X38&lt;30,1,0))</formula>
    </cfRule>
    <cfRule type="expression" dxfId="72" priority="76">
      <formula>AND(IF($Q38=3,1,IF($Q38=4,1,0)),IF($F38&lt;=85,1,0))</formula>
    </cfRule>
  </conditionalFormatting>
  <conditionalFormatting sqref="AV39">
    <cfRule type="expression" dxfId="71" priority="71">
      <formula>AV39="X"</formula>
    </cfRule>
    <cfRule type="expression" dxfId="70" priority="72">
      <formula>AV39="후보"</formula>
    </cfRule>
  </conditionalFormatting>
  <conditionalFormatting sqref="AC39">
    <cfRule type="cellIs" dxfId="69" priority="69" operator="greaterThan">
      <formula>0.9</formula>
    </cfRule>
    <cfRule type="cellIs" dxfId="68" priority="70" operator="greaterThan">
      <formula>0.85</formula>
    </cfRule>
  </conditionalFormatting>
  <conditionalFormatting sqref="N39">
    <cfRule type="cellIs" dxfId="67" priority="67" operator="greaterThan">
      <formula>0.9</formula>
    </cfRule>
    <cfRule type="cellIs" dxfId="66" priority="68" operator="greaterThan">
      <formula>0.85</formula>
    </cfRule>
  </conditionalFormatting>
  <conditionalFormatting sqref="E39">
    <cfRule type="expression" dxfId="65" priority="63">
      <formula>AND(IF(OR($Q39=1,$Q39=2),1,0),IF($X39&lt;=20,1,0))</formula>
    </cfRule>
    <cfRule type="expression" dxfId="64" priority="64">
      <formula>AND(IF($Q39=2,1,0),IF($X39&lt;30,1,0))</formula>
    </cfRule>
    <cfRule type="expression" dxfId="63" priority="65">
      <formula>AND(IF($Q39=3,1,0),IF($X39&lt;30,1,0))</formula>
    </cfRule>
    <cfRule type="expression" dxfId="62" priority="66">
      <formula>AND(IF($Q39=3,1,IF($Q39=4,1,0)),IF($F39&lt;=85,1,0))</formula>
    </cfRule>
  </conditionalFormatting>
  <conditionalFormatting sqref="X39">
    <cfRule type="expression" dxfId="61" priority="59">
      <formula>AND(IF(OR($Q39=1,$Q39=2),1,0),IF($X39&lt;=20,1,0))</formula>
    </cfRule>
    <cfRule type="expression" dxfId="60" priority="60">
      <formula>AND(IF($Q39=2,1,0),IF($X39&lt;30,1,0))</formula>
    </cfRule>
    <cfRule type="expression" dxfId="59" priority="61">
      <formula>AND(IF($Q39=3,1,0),IF($X39&lt;30,1,0))</formula>
    </cfRule>
    <cfRule type="expression" dxfId="58" priority="62">
      <formula>AND(IF($Q39=3,1,IF($Q39=4,1,0)),IF($F39&lt;=85,1,0))</formula>
    </cfRule>
  </conditionalFormatting>
  <conditionalFormatting sqref="AI39">
    <cfRule type="expression" dxfId="57" priority="55">
      <formula>AND(IF(OR($Q39=1,$Q39=2),1,0),IF($X39&lt;=20,1,0))</formula>
    </cfRule>
    <cfRule type="expression" dxfId="56" priority="56">
      <formula>AND(IF($Q39=2,1,0),IF($X39&lt;30,1,0))</formula>
    </cfRule>
    <cfRule type="expression" dxfId="55" priority="57">
      <formula>AND(IF($Q39=3,1,0),IF($X39&lt;30,1,0))</formula>
    </cfRule>
    <cfRule type="expression" dxfId="54" priority="58">
      <formula>AND(IF($Q39=3,1,IF($Q39=4,1,0)),IF($F39&lt;=85,1,0))</formula>
    </cfRule>
  </conditionalFormatting>
  <conditionalFormatting sqref="AV40">
    <cfRule type="expression" dxfId="53" priority="53">
      <formula>AV40="X"</formula>
    </cfRule>
    <cfRule type="expression" dxfId="52" priority="54">
      <formula>AV40="후보"</formula>
    </cfRule>
  </conditionalFormatting>
  <conditionalFormatting sqref="AC40">
    <cfRule type="cellIs" dxfId="51" priority="51" operator="greaterThan">
      <formula>0.9</formula>
    </cfRule>
    <cfRule type="cellIs" dxfId="50" priority="52" operator="greaterThan">
      <formula>0.85</formula>
    </cfRule>
  </conditionalFormatting>
  <conditionalFormatting sqref="N40">
    <cfRule type="cellIs" dxfId="49" priority="49" operator="greaterThan">
      <formula>0.9</formula>
    </cfRule>
    <cfRule type="cellIs" dxfId="48" priority="50" operator="greaterThan">
      <formula>0.85</formula>
    </cfRule>
  </conditionalFormatting>
  <conditionalFormatting sqref="E40">
    <cfRule type="expression" dxfId="47" priority="45">
      <formula>AND(IF(OR($Q40=1,$Q40=2),1,0),IF($X40&lt;=20,1,0))</formula>
    </cfRule>
    <cfRule type="expression" dxfId="46" priority="46">
      <formula>AND(IF($Q40=2,1,0),IF($X40&lt;30,1,0))</formula>
    </cfRule>
    <cfRule type="expression" dxfId="45" priority="47">
      <formula>AND(IF($Q40=3,1,0),IF($X40&lt;30,1,0))</formula>
    </cfRule>
    <cfRule type="expression" dxfId="44" priority="48">
      <formula>AND(IF($Q40=3,1,IF($Q40=4,1,0)),IF($F40&lt;=85,1,0))</formula>
    </cfRule>
  </conditionalFormatting>
  <conditionalFormatting sqref="X40">
    <cfRule type="expression" dxfId="43" priority="41">
      <formula>AND(IF(OR($Q40=1,$Q40=2),1,0),IF($X40&lt;=20,1,0))</formula>
    </cfRule>
    <cfRule type="expression" dxfId="42" priority="42">
      <formula>AND(IF($Q40=2,1,0),IF($X40&lt;30,1,0))</formula>
    </cfRule>
    <cfRule type="expression" dxfId="41" priority="43">
      <formula>AND(IF($Q40=3,1,0),IF($X40&lt;30,1,0))</formula>
    </cfRule>
    <cfRule type="expression" dxfId="40" priority="44">
      <formula>AND(IF($Q40=3,1,IF($Q40=4,1,0)),IF($F40&lt;=85,1,0))</formula>
    </cfRule>
  </conditionalFormatting>
  <conditionalFormatting sqref="AI40">
    <cfRule type="expression" dxfId="39" priority="37">
      <formula>AND(IF(OR($Q40=1,$Q40=2),1,0),IF($X40&lt;=20,1,0))</formula>
    </cfRule>
    <cfRule type="expression" dxfId="38" priority="38">
      <formula>AND(IF($Q40=2,1,0),IF($X40&lt;30,1,0))</formula>
    </cfRule>
    <cfRule type="expression" dxfId="37" priority="39">
      <formula>AND(IF($Q40=3,1,0),IF($X40&lt;30,1,0))</formula>
    </cfRule>
    <cfRule type="expression" dxfId="36" priority="40">
      <formula>AND(IF($Q40=3,1,IF($Q40=4,1,0)),IF($F40&lt;=85,1,0))</formula>
    </cfRule>
  </conditionalFormatting>
  <conditionalFormatting sqref="AV41">
    <cfRule type="expression" dxfId="35" priority="35">
      <formula>AV41="X"</formula>
    </cfRule>
    <cfRule type="expression" dxfId="34" priority="36">
      <formula>AV41="후보"</formula>
    </cfRule>
  </conditionalFormatting>
  <conditionalFormatting sqref="AC41">
    <cfRule type="cellIs" dxfId="33" priority="33" operator="greaterThan">
      <formula>0.9</formula>
    </cfRule>
    <cfRule type="cellIs" dxfId="32" priority="34" operator="greaterThan">
      <formula>0.85</formula>
    </cfRule>
  </conditionalFormatting>
  <conditionalFormatting sqref="N41">
    <cfRule type="cellIs" dxfId="31" priority="31" operator="greaterThan">
      <formula>0.9</formula>
    </cfRule>
    <cfRule type="cellIs" dxfId="30" priority="32" operator="greaterThan">
      <formula>0.85</formula>
    </cfRule>
  </conditionalFormatting>
  <conditionalFormatting sqref="E41">
    <cfRule type="expression" dxfId="29" priority="27">
      <formula>AND(IF(OR($Q41=1,$Q41=2),1,0),IF($X41&lt;=20,1,0))</formula>
    </cfRule>
    <cfRule type="expression" dxfId="28" priority="28">
      <formula>AND(IF($Q41=2,1,0),IF($X41&lt;30,1,0))</formula>
    </cfRule>
    <cfRule type="expression" dxfId="27" priority="29">
      <formula>AND(IF($Q41=3,1,0),IF($X41&lt;30,1,0))</formula>
    </cfRule>
    <cfRule type="expression" dxfId="26" priority="30">
      <formula>AND(IF($Q41=3,1,IF($Q41=4,1,0)),IF($F41&lt;=85,1,0))</formula>
    </cfRule>
  </conditionalFormatting>
  <conditionalFormatting sqref="X41">
    <cfRule type="expression" dxfId="25" priority="23">
      <formula>AND(IF(OR($Q41=1,$Q41=2),1,0),IF($X41&lt;=20,1,0))</formula>
    </cfRule>
    <cfRule type="expression" dxfId="24" priority="24">
      <formula>AND(IF($Q41=2,1,0),IF($X41&lt;30,1,0))</formula>
    </cfRule>
    <cfRule type="expression" dxfId="23" priority="25">
      <formula>AND(IF($Q41=3,1,0),IF($X41&lt;30,1,0))</formula>
    </cfRule>
    <cfRule type="expression" dxfId="22" priority="26">
      <formula>AND(IF($Q41=3,1,IF($Q41=4,1,0)),IF($F41&lt;=85,1,0))</formula>
    </cfRule>
  </conditionalFormatting>
  <conditionalFormatting sqref="AI41">
    <cfRule type="expression" dxfId="21" priority="19">
      <formula>AND(IF(OR($Q41=1,$Q41=2),1,0),IF($X41&lt;=20,1,0))</formula>
    </cfRule>
    <cfRule type="expression" dxfId="20" priority="20">
      <formula>AND(IF($Q41=2,1,0),IF($X41&lt;30,1,0))</formula>
    </cfRule>
    <cfRule type="expression" dxfId="19" priority="21">
      <formula>AND(IF($Q41=3,1,0),IF($X41&lt;30,1,0))</formula>
    </cfRule>
    <cfRule type="expression" dxfId="18" priority="22">
      <formula>AND(IF($Q41=3,1,IF($Q41=4,1,0)),IF($F41&lt;=85,1,0))</formula>
    </cfRule>
  </conditionalFormatting>
  <conditionalFormatting sqref="AV42">
    <cfRule type="expression" dxfId="17" priority="17">
      <formula>AV42="X"</formula>
    </cfRule>
    <cfRule type="expression" dxfId="16" priority="18">
      <formula>AV42="후보"</formula>
    </cfRule>
  </conditionalFormatting>
  <conditionalFormatting sqref="AC42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42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42">
    <cfRule type="expression" dxfId="11" priority="9">
      <formula>AND(IF(OR($Q42=1,$Q42=2),1,0),IF($X42&lt;=20,1,0))</formula>
    </cfRule>
    <cfRule type="expression" dxfId="10" priority="10">
      <formula>AND(IF($Q42=2,1,0),IF($X42&lt;30,1,0))</formula>
    </cfRule>
    <cfRule type="expression" dxfId="9" priority="11">
      <formula>AND(IF($Q42=3,1,0),IF($X42&lt;30,1,0))</formula>
    </cfRule>
    <cfRule type="expression" dxfId="8" priority="12">
      <formula>AND(IF($Q42=3,1,IF($Q42=4,1,0)),IF($F42&lt;=85,1,0))</formula>
    </cfRule>
  </conditionalFormatting>
  <conditionalFormatting sqref="X42">
    <cfRule type="expression" dxfId="7" priority="5">
      <formula>AND(IF(OR($Q42=1,$Q42=2),1,0),IF($X42&lt;=20,1,0))</formula>
    </cfRule>
    <cfRule type="expression" dxfId="6" priority="6">
      <formula>AND(IF($Q42=2,1,0),IF($X42&lt;30,1,0))</formula>
    </cfRule>
    <cfRule type="expression" dxfId="5" priority="7">
      <formula>AND(IF($Q42=3,1,0),IF($X42&lt;30,1,0))</formula>
    </cfRule>
    <cfRule type="expression" dxfId="4" priority="8">
      <formula>AND(IF($Q42=3,1,IF($Q42=4,1,0)),IF($F42&lt;=85,1,0))</formula>
    </cfRule>
  </conditionalFormatting>
  <conditionalFormatting sqref="AI42">
    <cfRule type="expression" dxfId="3" priority="1">
      <formula>AND(IF(OR($Q42=1,$Q42=2),1,0),IF($X42&lt;=20,1,0))</formula>
    </cfRule>
    <cfRule type="expression" dxfId="2" priority="2">
      <formula>AND(IF($Q42=2,1,0),IF($X42&lt;30,1,0))</formula>
    </cfRule>
    <cfRule type="expression" dxfId="1" priority="3">
      <formula>AND(IF($Q42=3,1,0),IF($X42&lt;30,1,0))</formula>
    </cfRule>
    <cfRule type="expression" dxfId="0" priority="4">
      <formula>AND(IF($Q42=3,1,IF($Q42=4,1,0)),IF($F42&lt;=85,1,0))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G1" sqref="G1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9" style="73" customWidth="1"/>
    <col min="23" max="16384" width="9" style="25"/>
  </cols>
  <sheetData>
    <row r="1" spans="1:22" ht="17.25" customHeight="1" x14ac:dyDescent="0.3">
      <c r="A1" s="24" t="str">
        <f>단지추출!A1</f>
        <v>전북 군산시</v>
      </c>
      <c r="B1" s="25"/>
      <c r="C1" s="26"/>
      <c r="D1" s="25"/>
      <c r="E1" s="25"/>
      <c r="F1" s="25"/>
      <c r="G1" s="25"/>
      <c r="H1" s="26"/>
      <c r="I1" s="25"/>
      <c r="J1" s="117" t="s">
        <v>1</v>
      </c>
      <c r="K1" s="116"/>
      <c r="L1" s="43" t="s">
        <v>68</v>
      </c>
      <c r="M1" s="78"/>
      <c r="N1" s="117" t="s">
        <v>3</v>
      </c>
      <c r="O1" s="116"/>
      <c r="P1" s="79">
        <v>30</v>
      </c>
      <c r="Q1" s="118" t="s">
        <v>4</v>
      </c>
      <c r="R1" s="119"/>
      <c r="S1" s="116"/>
      <c r="T1" s="28"/>
      <c r="U1" s="25"/>
      <c r="V1" s="25"/>
    </row>
    <row r="2" spans="1:22" ht="12" customHeight="1" x14ac:dyDescent="0.3">
      <c r="A2" s="80">
        <f>단지추출!A2</f>
        <v>44630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4" t="s">
        <v>20</v>
      </c>
      <c r="B3" s="74" t="s">
        <v>21</v>
      </c>
      <c r="C3" s="74" t="s">
        <v>22</v>
      </c>
      <c r="D3" s="74" t="s">
        <v>23</v>
      </c>
      <c r="E3" s="74" t="s">
        <v>24</v>
      </c>
      <c r="F3" s="74" t="s">
        <v>25</v>
      </c>
      <c r="G3" s="74" t="s">
        <v>26</v>
      </c>
      <c r="H3" s="75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5" t="s">
        <v>31</v>
      </c>
      <c r="N3" s="74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4" t="s">
        <v>37</v>
      </c>
      <c r="T3" s="35" t="s">
        <v>38</v>
      </c>
      <c r="U3" s="75" t="s">
        <v>39</v>
      </c>
      <c r="V3" s="25"/>
    </row>
    <row r="4" spans="1:22" s="37" customFormat="1" ht="12" x14ac:dyDescent="0.3">
      <c r="A4" s="111" t="s">
        <v>1627</v>
      </c>
      <c r="B4" s="112" t="s">
        <v>1628</v>
      </c>
      <c r="C4" s="113">
        <v>1400</v>
      </c>
      <c r="D4" s="104">
        <v>134.69999999999999</v>
      </c>
      <c r="E4" s="106">
        <v>41</v>
      </c>
      <c r="F4" s="104">
        <v>99.5</v>
      </c>
      <c r="G4" s="17">
        <v>30</v>
      </c>
      <c r="H4" s="107">
        <v>49</v>
      </c>
      <c r="I4" s="108">
        <v>69000</v>
      </c>
      <c r="J4" s="108" t="s">
        <v>1250</v>
      </c>
      <c r="K4" s="108"/>
      <c r="L4" s="108"/>
      <c r="M4" s="109">
        <f t="shared" ref="M4:M67" si="0">I4-K4</f>
        <v>69000</v>
      </c>
      <c r="N4" s="4">
        <f t="shared" ref="N4:N67" si="1">IF(ISERROR(K4/I4),"",K4/I4)</f>
        <v>0</v>
      </c>
      <c r="O4" s="105">
        <f t="shared" ref="O4:O67" si="2">I4/E4</f>
        <v>1682.9268292682927</v>
      </c>
      <c r="P4" s="105">
        <f t="shared" ref="P4:P67" si="3">K4/E4</f>
        <v>0</v>
      </c>
      <c r="Q4" s="110">
        <v>4</v>
      </c>
      <c r="R4" s="110">
        <v>2</v>
      </c>
      <c r="S4" s="110" t="s">
        <v>1244</v>
      </c>
      <c r="T4" s="5">
        <v>134</v>
      </c>
      <c r="U4" s="9"/>
    </row>
    <row r="5" spans="1:22" s="37" customFormat="1" ht="12" x14ac:dyDescent="0.3">
      <c r="A5" s="111" t="s">
        <v>1584</v>
      </c>
      <c r="B5" s="112" t="s">
        <v>1583</v>
      </c>
      <c r="C5" s="113">
        <v>332</v>
      </c>
      <c r="D5" s="104">
        <v>189.5</v>
      </c>
      <c r="E5" s="106">
        <v>57</v>
      </c>
      <c r="F5" s="104">
        <v>155.9</v>
      </c>
      <c r="G5" s="17">
        <v>47</v>
      </c>
      <c r="H5" s="107">
        <v>71</v>
      </c>
      <c r="I5" s="108">
        <v>58000</v>
      </c>
      <c r="J5" s="108" t="s">
        <v>1294</v>
      </c>
      <c r="K5" s="108"/>
      <c r="L5" s="108"/>
      <c r="M5" s="109">
        <f t="shared" si="0"/>
        <v>58000</v>
      </c>
      <c r="N5" s="4">
        <f t="shared" si="1"/>
        <v>0</v>
      </c>
      <c r="O5" s="105">
        <f t="shared" si="2"/>
        <v>1017.5438596491229</v>
      </c>
      <c r="P5" s="105">
        <f t="shared" si="3"/>
        <v>0</v>
      </c>
      <c r="Q5" s="110">
        <v>4</v>
      </c>
      <c r="R5" s="110">
        <v>2</v>
      </c>
      <c r="S5" s="110" t="s">
        <v>1244</v>
      </c>
      <c r="T5" s="5">
        <v>189</v>
      </c>
      <c r="U5" s="9"/>
    </row>
    <row r="6" spans="1:22" s="37" customFormat="1" ht="12" x14ac:dyDescent="0.3">
      <c r="A6" s="111" t="s">
        <v>1514</v>
      </c>
      <c r="B6" s="112" t="s">
        <v>1515</v>
      </c>
      <c r="C6" s="113">
        <v>354</v>
      </c>
      <c r="D6" s="104">
        <v>215.8</v>
      </c>
      <c r="E6" s="106">
        <v>65</v>
      </c>
      <c r="F6" s="104">
        <v>181.1</v>
      </c>
      <c r="G6" s="17">
        <v>55</v>
      </c>
      <c r="H6" s="107">
        <v>60</v>
      </c>
      <c r="I6" s="108">
        <v>56000</v>
      </c>
      <c r="J6" s="108" t="s">
        <v>1268</v>
      </c>
      <c r="K6" s="108"/>
      <c r="L6" s="108"/>
      <c r="M6" s="109">
        <f t="shared" si="0"/>
        <v>56000</v>
      </c>
      <c r="N6" s="4">
        <f t="shared" si="1"/>
        <v>0</v>
      </c>
      <c r="O6" s="105">
        <f t="shared" si="2"/>
        <v>861.53846153846155</v>
      </c>
      <c r="P6" s="105">
        <f t="shared" si="3"/>
        <v>0</v>
      </c>
      <c r="Q6" s="110">
        <v>5</v>
      </c>
      <c r="R6" s="110">
        <v>2</v>
      </c>
      <c r="S6" s="110" t="s">
        <v>1244</v>
      </c>
      <c r="T6" s="5">
        <v>215</v>
      </c>
      <c r="U6" s="9"/>
    </row>
    <row r="7" spans="1:22" s="37" customFormat="1" ht="12" x14ac:dyDescent="0.3">
      <c r="A7" s="111" t="s">
        <v>1586</v>
      </c>
      <c r="B7" s="112" t="s">
        <v>1587</v>
      </c>
      <c r="C7" s="113">
        <v>566</v>
      </c>
      <c r="D7" s="104">
        <v>178.7</v>
      </c>
      <c r="E7" s="106">
        <v>54</v>
      </c>
      <c r="F7" s="104">
        <v>143.80000000000001</v>
      </c>
      <c r="G7" s="17">
        <v>44</v>
      </c>
      <c r="H7" s="107">
        <v>94</v>
      </c>
      <c r="I7" s="108">
        <v>55000</v>
      </c>
      <c r="J7" s="108" t="s">
        <v>1251</v>
      </c>
      <c r="K7" s="108"/>
      <c r="L7" s="108"/>
      <c r="M7" s="109">
        <f t="shared" si="0"/>
        <v>55000</v>
      </c>
      <c r="N7" s="4">
        <f t="shared" si="1"/>
        <v>0</v>
      </c>
      <c r="O7" s="105">
        <f t="shared" si="2"/>
        <v>1018.5185185185185</v>
      </c>
      <c r="P7" s="105">
        <f t="shared" si="3"/>
        <v>0</v>
      </c>
      <c r="Q7" s="110">
        <v>4</v>
      </c>
      <c r="R7" s="110">
        <v>2</v>
      </c>
      <c r="S7" s="110" t="s">
        <v>1244</v>
      </c>
      <c r="T7" s="5">
        <v>178</v>
      </c>
      <c r="U7" s="9"/>
    </row>
    <row r="8" spans="1:22" s="37" customFormat="1" ht="12" x14ac:dyDescent="0.3">
      <c r="A8" s="111" t="s">
        <v>1523</v>
      </c>
      <c r="B8" s="112" t="s">
        <v>1524</v>
      </c>
      <c r="C8" s="113">
        <v>805</v>
      </c>
      <c r="D8" s="104">
        <v>134.69999999999999</v>
      </c>
      <c r="E8" s="106">
        <v>41</v>
      </c>
      <c r="F8" s="104">
        <v>101.8</v>
      </c>
      <c r="G8" s="17">
        <v>31</v>
      </c>
      <c r="H8" s="107">
        <v>70</v>
      </c>
      <c r="I8" s="108">
        <v>51000</v>
      </c>
      <c r="J8" s="108" t="s">
        <v>1250</v>
      </c>
      <c r="K8" s="108"/>
      <c r="L8" s="108"/>
      <c r="M8" s="109">
        <f t="shared" si="0"/>
        <v>51000</v>
      </c>
      <c r="N8" s="4">
        <f t="shared" si="1"/>
        <v>0</v>
      </c>
      <c r="O8" s="105">
        <f t="shared" si="2"/>
        <v>1243.9024390243903</v>
      </c>
      <c r="P8" s="105">
        <f t="shared" si="3"/>
        <v>0</v>
      </c>
      <c r="Q8" s="110">
        <v>4</v>
      </c>
      <c r="R8" s="110">
        <v>2</v>
      </c>
      <c r="S8" s="110" t="s">
        <v>1244</v>
      </c>
      <c r="T8" s="5">
        <v>134</v>
      </c>
      <c r="U8" s="9"/>
    </row>
    <row r="9" spans="1:22" s="37" customFormat="1" ht="12" x14ac:dyDescent="0.3">
      <c r="A9" s="111" t="s">
        <v>1637</v>
      </c>
      <c r="B9" s="112" t="s">
        <v>1640</v>
      </c>
      <c r="C9" s="113">
        <v>854</v>
      </c>
      <c r="D9" s="104">
        <v>113.2</v>
      </c>
      <c r="E9" s="106">
        <v>34</v>
      </c>
      <c r="F9" s="104">
        <v>85</v>
      </c>
      <c r="G9" s="17">
        <v>26</v>
      </c>
      <c r="H9" s="107">
        <v>253</v>
      </c>
      <c r="I9" s="108">
        <v>50000</v>
      </c>
      <c r="J9" s="108" t="s">
        <v>1305</v>
      </c>
      <c r="K9" s="108">
        <v>35000</v>
      </c>
      <c r="L9" s="108" t="s">
        <v>1294</v>
      </c>
      <c r="M9" s="109">
        <f t="shared" si="0"/>
        <v>15000</v>
      </c>
      <c r="N9" s="4">
        <f t="shared" si="1"/>
        <v>0.7</v>
      </c>
      <c r="O9" s="105">
        <f t="shared" si="2"/>
        <v>1470.5882352941176</v>
      </c>
      <c r="P9" s="105">
        <f t="shared" si="3"/>
        <v>1029.4117647058824</v>
      </c>
      <c r="Q9" s="110">
        <v>3</v>
      </c>
      <c r="R9" s="110">
        <v>2</v>
      </c>
      <c r="S9" s="110" t="s">
        <v>1244</v>
      </c>
      <c r="T9" s="5" t="s">
        <v>727</v>
      </c>
      <c r="U9" s="9"/>
    </row>
    <row r="10" spans="1:22" s="37" customFormat="1" ht="12" x14ac:dyDescent="0.3">
      <c r="A10" s="111" t="s">
        <v>1622</v>
      </c>
      <c r="B10" s="112" t="s">
        <v>1626</v>
      </c>
      <c r="C10" s="113">
        <v>1400</v>
      </c>
      <c r="D10" s="104">
        <v>114.5</v>
      </c>
      <c r="E10" s="106">
        <v>35</v>
      </c>
      <c r="F10" s="104">
        <v>84.7</v>
      </c>
      <c r="G10" s="17">
        <v>26</v>
      </c>
      <c r="H10" s="107">
        <v>215</v>
      </c>
      <c r="I10" s="108">
        <v>49500</v>
      </c>
      <c r="J10" s="108" t="s">
        <v>1343</v>
      </c>
      <c r="K10" s="108"/>
      <c r="L10" s="108"/>
      <c r="M10" s="109">
        <f t="shared" si="0"/>
        <v>49500</v>
      </c>
      <c r="N10" s="4">
        <f t="shared" si="1"/>
        <v>0</v>
      </c>
      <c r="O10" s="105">
        <f t="shared" si="2"/>
        <v>1414.2857142857142</v>
      </c>
      <c r="P10" s="105">
        <f t="shared" si="3"/>
        <v>0</v>
      </c>
      <c r="Q10" s="110">
        <v>3</v>
      </c>
      <c r="R10" s="110">
        <v>2</v>
      </c>
      <c r="S10" s="110" t="s">
        <v>1244</v>
      </c>
      <c r="T10" s="5" t="s">
        <v>978</v>
      </c>
      <c r="U10" s="9"/>
    </row>
    <row r="11" spans="1:22" s="37" customFormat="1" ht="12" x14ac:dyDescent="0.3">
      <c r="A11" s="111" t="s">
        <v>1510</v>
      </c>
      <c r="B11" s="112" t="s">
        <v>1511</v>
      </c>
      <c r="C11" s="113">
        <v>540</v>
      </c>
      <c r="D11" s="104">
        <v>130.4</v>
      </c>
      <c r="E11" s="106">
        <v>39</v>
      </c>
      <c r="F11" s="104">
        <v>101.8</v>
      </c>
      <c r="G11" s="17">
        <v>31</v>
      </c>
      <c r="H11" s="107">
        <v>166</v>
      </c>
      <c r="I11" s="108">
        <v>49000</v>
      </c>
      <c r="J11" s="108" t="s">
        <v>1280</v>
      </c>
      <c r="K11" s="108">
        <v>39000</v>
      </c>
      <c r="L11" s="108" t="s">
        <v>1271</v>
      </c>
      <c r="M11" s="109">
        <f t="shared" si="0"/>
        <v>10000</v>
      </c>
      <c r="N11" s="4">
        <f t="shared" si="1"/>
        <v>0.79591836734693877</v>
      </c>
      <c r="O11" s="105">
        <f t="shared" si="2"/>
        <v>1256.4102564102564</v>
      </c>
      <c r="P11" s="105">
        <f t="shared" si="3"/>
        <v>1000</v>
      </c>
      <c r="Q11" s="110">
        <v>3</v>
      </c>
      <c r="R11" s="110">
        <v>2</v>
      </c>
      <c r="S11" s="110" t="s">
        <v>1244</v>
      </c>
      <c r="T11" s="5">
        <v>130</v>
      </c>
      <c r="U11" s="9"/>
    </row>
    <row r="12" spans="1:22" s="37" customFormat="1" ht="12" x14ac:dyDescent="0.3">
      <c r="A12" s="111" t="s">
        <v>1586</v>
      </c>
      <c r="B12" s="112" t="s">
        <v>1587</v>
      </c>
      <c r="C12" s="113">
        <v>566</v>
      </c>
      <c r="D12" s="104">
        <v>153.9</v>
      </c>
      <c r="E12" s="106">
        <v>47</v>
      </c>
      <c r="F12" s="104">
        <v>119.9</v>
      </c>
      <c r="G12" s="17">
        <v>36</v>
      </c>
      <c r="H12" s="107">
        <v>328</v>
      </c>
      <c r="I12" s="108">
        <v>46000</v>
      </c>
      <c r="J12" s="108" t="s">
        <v>1272</v>
      </c>
      <c r="K12" s="108">
        <v>35000</v>
      </c>
      <c r="L12" s="108" t="s">
        <v>1250</v>
      </c>
      <c r="M12" s="109">
        <f t="shared" si="0"/>
        <v>11000</v>
      </c>
      <c r="N12" s="4">
        <f t="shared" si="1"/>
        <v>0.76086956521739135</v>
      </c>
      <c r="O12" s="105">
        <f t="shared" si="2"/>
        <v>978.72340425531911</v>
      </c>
      <c r="P12" s="105">
        <f t="shared" si="3"/>
        <v>744.68085106382978</v>
      </c>
      <c r="Q12" s="110">
        <v>4</v>
      </c>
      <c r="R12" s="110">
        <v>2</v>
      </c>
      <c r="S12" s="110" t="s">
        <v>1244</v>
      </c>
      <c r="T12" s="5">
        <v>153</v>
      </c>
      <c r="U12" s="9"/>
    </row>
    <row r="13" spans="1:22" s="37" customFormat="1" ht="12" x14ac:dyDescent="0.3">
      <c r="A13" s="111" t="s">
        <v>1488</v>
      </c>
      <c r="B13" s="112" t="s">
        <v>1489</v>
      </c>
      <c r="C13" s="113">
        <v>950</v>
      </c>
      <c r="D13" s="104">
        <v>203.2</v>
      </c>
      <c r="E13" s="106">
        <v>61</v>
      </c>
      <c r="F13" s="104">
        <v>172.2</v>
      </c>
      <c r="G13" s="17">
        <v>52</v>
      </c>
      <c r="H13" s="107">
        <v>40</v>
      </c>
      <c r="I13" s="108">
        <v>45000</v>
      </c>
      <c r="J13" s="108" t="s">
        <v>1248</v>
      </c>
      <c r="K13" s="108"/>
      <c r="L13" s="108"/>
      <c r="M13" s="109">
        <f t="shared" si="0"/>
        <v>45000</v>
      </c>
      <c r="N13" s="4">
        <f t="shared" si="1"/>
        <v>0</v>
      </c>
      <c r="O13" s="105">
        <f t="shared" si="2"/>
        <v>737.70491803278685</v>
      </c>
      <c r="P13" s="105">
        <f t="shared" si="3"/>
        <v>0</v>
      </c>
      <c r="Q13" s="110">
        <v>4</v>
      </c>
      <c r="R13" s="110">
        <v>2</v>
      </c>
      <c r="S13" s="110" t="s">
        <v>1241</v>
      </c>
      <c r="T13" s="5" t="s">
        <v>628</v>
      </c>
      <c r="U13" s="9"/>
    </row>
    <row r="14" spans="1:22" s="37" customFormat="1" ht="12" x14ac:dyDescent="0.3">
      <c r="A14" s="111" t="s">
        <v>1516</v>
      </c>
      <c r="B14" s="112" t="s">
        <v>1517</v>
      </c>
      <c r="C14" s="113">
        <v>654</v>
      </c>
      <c r="D14" s="104">
        <v>181.8</v>
      </c>
      <c r="E14" s="106">
        <v>55</v>
      </c>
      <c r="F14" s="104">
        <v>149.9</v>
      </c>
      <c r="G14" s="17">
        <v>45</v>
      </c>
      <c r="H14" s="107">
        <v>57</v>
      </c>
      <c r="I14" s="108">
        <v>45000</v>
      </c>
      <c r="J14" s="108" t="s">
        <v>1251</v>
      </c>
      <c r="K14" s="108"/>
      <c r="L14" s="108"/>
      <c r="M14" s="109">
        <f t="shared" si="0"/>
        <v>45000</v>
      </c>
      <c r="N14" s="4">
        <f t="shared" si="1"/>
        <v>0</v>
      </c>
      <c r="O14" s="105">
        <f t="shared" si="2"/>
        <v>818.18181818181813</v>
      </c>
      <c r="P14" s="105">
        <f t="shared" si="3"/>
        <v>0</v>
      </c>
      <c r="Q14" s="110">
        <v>4</v>
      </c>
      <c r="R14" s="110">
        <v>2</v>
      </c>
      <c r="S14" s="110" t="s">
        <v>1244</v>
      </c>
      <c r="T14" s="5">
        <v>181</v>
      </c>
      <c r="U14" s="9"/>
    </row>
    <row r="15" spans="1:22" s="37" customFormat="1" ht="12" x14ac:dyDescent="0.3">
      <c r="A15" s="111" t="s">
        <v>1624</v>
      </c>
      <c r="B15" s="112" t="s">
        <v>1625</v>
      </c>
      <c r="C15" s="113">
        <v>1400</v>
      </c>
      <c r="D15" s="104">
        <v>101.7</v>
      </c>
      <c r="E15" s="106">
        <v>31</v>
      </c>
      <c r="F15" s="104">
        <v>74.900000000000006</v>
      </c>
      <c r="G15" s="17">
        <v>23</v>
      </c>
      <c r="H15" s="107">
        <v>279</v>
      </c>
      <c r="I15" s="108">
        <v>44000</v>
      </c>
      <c r="J15" s="108" t="s">
        <v>1342</v>
      </c>
      <c r="K15" s="108"/>
      <c r="L15" s="108"/>
      <c r="M15" s="109">
        <f t="shared" si="0"/>
        <v>44000</v>
      </c>
      <c r="N15" s="4">
        <f t="shared" si="1"/>
        <v>0</v>
      </c>
      <c r="O15" s="105">
        <f t="shared" si="2"/>
        <v>1419.3548387096773</v>
      </c>
      <c r="P15" s="105">
        <f t="shared" si="3"/>
        <v>0</v>
      </c>
      <c r="Q15" s="110">
        <v>3</v>
      </c>
      <c r="R15" s="110">
        <v>2</v>
      </c>
      <c r="S15" s="110" t="s">
        <v>1244</v>
      </c>
      <c r="T15" s="5" t="s">
        <v>468</v>
      </c>
      <c r="U15" s="9"/>
    </row>
    <row r="16" spans="1:22" s="37" customFormat="1" ht="12" x14ac:dyDescent="0.3">
      <c r="A16" s="111" t="s">
        <v>1601</v>
      </c>
      <c r="B16" s="112" t="s">
        <v>1602</v>
      </c>
      <c r="C16" s="113">
        <v>656</v>
      </c>
      <c r="D16" s="104">
        <v>140.69999999999999</v>
      </c>
      <c r="E16" s="106">
        <v>43</v>
      </c>
      <c r="F16" s="104">
        <v>110.2</v>
      </c>
      <c r="G16" s="17">
        <v>33</v>
      </c>
      <c r="H16" s="107">
        <v>132</v>
      </c>
      <c r="I16" s="108">
        <v>42000</v>
      </c>
      <c r="J16" s="108" t="s">
        <v>1287</v>
      </c>
      <c r="K16" s="108"/>
      <c r="L16" s="108"/>
      <c r="M16" s="109">
        <f t="shared" si="0"/>
        <v>42000</v>
      </c>
      <c r="N16" s="4">
        <f t="shared" si="1"/>
        <v>0</v>
      </c>
      <c r="O16" s="105">
        <f t="shared" si="2"/>
        <v>976.74418604651157</v>
      </c>
      <c r="P16" s="105">
        <f t="shared" si="3"/>
        <v>0</v>
      </c>
      <c r="Q16" s="110">
        <v>4</v>
      </c>
      <c r="R16" s="110">
        <v>2</v>
      </c>
      <c r="S16" s="110" t="s">
        <v>1244</v>
      </c>
      <c r="T16" s="5">
        <v>140</v>
      </c>
      <c r="U16" s="9"/>
    </row>
    <row r="17" spans="1:21" s="37" customFormat="1" ht="12" x14ac:dyDescent="0.3">
      <c r="A17" s="111" t="s">
        <v>1510</v>
      </c>
      <c r="B17" s="112" t="s">
        <v>1511</v>
      </c>
      <c r="C17" s="113">
        <v>540</v>
      </c>
      <c r="D17" s="104">
        <v>100.5</v>
      </c>
      <c r="E17" s="106">
        <v>30</v>
      </c>
      <c r="F17" s="104">
        <v>75</v>
      </c>
      <c r="G17" s="17">
        <v>23</v>
      </c>
      <c r="H17" s="107">
        <v>188</v>
      </c>
      <c r="I17" s="108">
        <v>40000</v>
      </c>
      <c r="J17" s="108" t="s">
        <v>1265</v>
      </c>
      <c r="K17" s="108"/>
      <c r="L17" s="108"/>
      <c r="M17" s="109">
        <f t="shared" si="0"/>
        <v>40000</v>
      </c>
      <c r="N17" s="4">
        <f t="shared" si="1"/>
        <v>0</v>
      </c>
      <c r="O17" s="105">
        <f t="shared" si="2"/>
        <v>1333.3333333333333</v>
      </c>
      <c r="P17" s="105">
        <f t="shared" si="3"/>
        <v>0</v>
      </c>
      <c r="Q17" s="110">
        <v>3</v>
      </c>
      <c r="R17" s="110">
        <v>2</v>
      </c>
      <c r="S17" s="110" t="s">
        <v>1244</v>
      </c>
      <c r="T17" s="5" t="s">
        <v>702</v>
      </c>
      <c r="U17" s="9"/>
    </row>
    <row r="18" spans="1:21" s="37" customFormat="1" ht="12" x14ac:dyDescent="0.3">
      <c r="A18" s="111" t="s">
        <v>1637</v>
      </c>
      <c r="B18" s="112" t="s">
        <v>1639</v>
      </c>
      <c r="C18" s="113">
        <v>854</v>
      </c>
      <c r="D18" s="104">
        <v>100.4</v>
      </c>
      <c r="E18" s="106">
        <v>30</v>
      </c>
      <c r="F18" s="104">
        <v>75</v>
      </c>
      <c r="G18" s="17">
        <v>23</v>
      </c>
      <c r="H18" s="107">
        <v>174</v>
      </c>
      <c r="I18" s="108">
        <v>40000</v>
      </c>
      <c r="J18" s="108" t="s">
        <v>1251</v>
      </c>
      <c r="K18" s="108"/>
      <c r="L18" s="108"/>
      <c r="M18" s="109">
        <f t="shared" si="0"/>
        <v>40000</v>
      </c>
      <c r="N18" s="4">
        <f t="shared" si="1"/>
        <v>0</v>
      </c>
      <c r="O18" s="105">
        <f t="shared" si="2"/>
        <v>1333.3333333333333</v>
      </c>
      <c r="P18" s="105">
        <f t="shared" si="3"/>
        <v>0</v>
      </c>
      <c r="Q18" s="110">
        <v>3</v>
      </c>
      <c r="R18" s="110">
        <v>2</v>
      </c>
      <c r="S18" s="110" t="s">
        <v>1244</v>
      </c>
      <c r="T18" s="5" t="s">
        <v>467</v>
      </c>
      <c r="U18" s="9"/>
    </row>
    <row r="19" spans="1:21" s="37" customFormat="1" ht="12" x14ac:dyDescent="0.3">
      <c r="A19" s="111" t="s">
        <v>1586</v>
      </c>
      <c r="B19" s="112" t="s">
        <v>1587</v>
      </c>
      <c r="C19" s="113">
        <v>566</v>
      </c>
      <c r="D19" s="104">
        <v>130.69999999999999</v>
      </c>
      <c r="E19" s="106">
        <v>40</v>
      </c>
      <c r="F19" s="104">
        <v>100.1</v>
      </c>
      <c r="G19" s="17">
        <v>30</v>
      </c>
      <c r="H19" s="107">
        <v>87</v>
      </c>
      <c r="I19" s="108">
        <v>39000</v>
      </c>
      <c r="J19" s="108" t="s">
        <v>1256</v>
      </c>
      <c r="K19" s="108">
        <v>34000</v>
      </c>
      <c r="L19" s="108" t="s">
        <v>1253</v>
      </c>
      <c r="M19" s="109">
        <f t="shared" si="0"/>
        <v>5000</v>
      </c>
      <c r="N19" s="4">
        <f t="shared" si="1"/>
        <v>0.87179487179487181</v>
      </c>
      <c r="O19" s="105">
        <f t="shared" si="2"/>
        <v>975</v>
      </c>
      <c r="P19" s="105">
        <f t="shared" si="3"/>
        <v>850</v>
      </c>
      <c r="Q19" s="110">
        <v>3</v>
      </c>
      <c r="R19" s="110">
        <v>2</v>
      </c>
      <c r="S19" s="110" t="s">
        <v>1244</v>
      </c>
      <c r="T19" s="5">
        <v>130</v>
      </c>
      <c r="U19" s="9"/>
    </row>
    <row r="20" spans="1:21" s="37" customFormat="1" ht="12" x14ac:dyDescent="0.3">
      <c r="A20" s="111" t="s">
        <v>1516</v>
      </c>
      <c r="B20" s="112" t="s">
        <v>1517</v>
      </c>
      <c r="C20" s="113">
        <v>654</v>
      </c>
      <c r="D20" s="104">
        <v>152</v>
      </c>
      <c r="E20" s="106">
        <v>46</v>
      </c>
      <c r="F20" s="104">
        <v>121.3</v>
      </c>
      <c r="G20" s="17">
        <v>37</v>
      </c>
      <c r="H20" s="107">
        <v>52</v>
      </c>
      <c r="I20" s="108">
        <v>38500</v>
      </c>
      <c r="J20" s="108" t="s">
        <v>1251</v>
      </c>
      <c r="K20" s="108"/>
      <c r="L20" s="108"/>
      <c r="M20" s="109">
        <f t="shared" si="0"/>
        <v>38500</v>
      </c>
      <c r="N20" s="4">
        <f t="shared" si="1"/>
        <v>0</v>
      </c>
      <c r="O20" s="105">
        <f t="shared" si="2"/>
        <v>836.95652173913038</v>
      </c>
      <c r="P20" s="105">
        <f t="shared" si="3"/>
        <v>0</v>
      </c>
      <c r="Q20" s="110">
        <v>4</v>
      </c>
      <c r="R20" s="110">
        <v>2</v>
      </c>
      <c r="S20" s="110" t="s">
        <v>1244</v>
      </c>
      <c r="T20" s="5">
        <v>151</v>
      </c>
      <c r="U20" s="9"/>
    </row>
    <row r="21" spans="1:21" s="37" customFormat="1" ht="12" x14ac:dyDescent="0.3">
      <c r="A21" s="111" t="s">
        <v>1516</v>
      </c>
      <c r="B21" s="112" t="s">
        <v>1517</v>
      </c>
      <c r="C21" s="113">
        <v>654</v>
      </c>
      <c r="D21" s="104">
        <v>135.30000000000001</v>
      </c>
      <c r="E21" s="106">
        <v>41</v>
      </c>
      <c r="F21" s="104">
        <v>103.8</v>
      </c>
      <c r="G21" s="17">
        <v>31</v>
      </c>
      <c r="H21" s="107">
        <v>163</v>
      </c>
      <c r="I21" s="108">
        <v>37000</v>
      </c>
      <c r="J21" s="108" t="s">
        <v>1256</v>
      </c>
      <c r="K21" s="108">
        <v>31000</v>
      </c>
      <c r="L21" s="108" t="s">
        <v>1250</v>
      </c>
      <c r="M21" s="109">
        <f t="shared" si="0"/>
        <v>6000</v>
      </c>
      <c r="N21" s="4">
        <f t="shared" si="1"/>
        <v>0.83783783783783783</v>
      </c>
      <c r="O21" s="105">
        <f t="shared" si="2"/>
        <v>902.43902439024396</v>
      </c>
      <c r="P21" s="105">
        <f t="shared" si="3"/>
        <v>756.09756097560978</v>
      </c>
      <c r="Q21" s="110">
        <v>3</v>
      </c>
      <c r="R21" s="110">
        <v>2</v>
      </c>
      <c r="S21" s="110" t="s">
        <v>1244</v>
      </c>
      <c r="T21" s="5" t="s">
        <v>731</v>
      </c>
      <c r="U21" s="9"/>
    </row>
    <row r="22" spans="1:21" s="37" customFormat="1" ht="12" x14ac:dyDescent="0.3">
      <c r="A22" s="111" t="s">
        <v>1522</v>
      </c>
      <c r="B22" s="112" t="s">
        <v>1519</v>
      </c>
      <c r="C22" s="113">
        <v>805</v>
      </c>
      <c r="D22" s="104">
        <v>112.4</v>
      </c>
      <c r="E22" s="106">
        <v>34</v>
      </c>
      <c r="F22" s="104">
        <v>84.9</v>
      </c>
      <c r="G22" s="17">
        <v>26</v>
      </c>
      <c r="H22" s="107">
        <v>274</v>
      </c>
      <c r="I22" s="108">
        <v>37000</v>
      </c>
      <c r="J22" s="108" t="s">
        <v>1256</v>
      </c>
      <c r="K22" s="108"/>
      <c r="L22" s="108"/>
      <c r="M22" s="109">
        <f t="shared" si="0"/>
        <v>37000</v>
      </c>
      <c r="N22" s="4">
        <f t="shared" si="1"/>
        <v>0</v>
      </c>
      <c r="O22" s="105">
        <f t="shared" si="2"/>
        <v>1088.2352941176471</v>
      </c>
      <c r="P22" s="105">
        <f t="shared" si="3"/>
        <v>0</v>
      </c>
      <c r="Q22" s="110">
        <v>4</v>
      </c>
      <c r="R22" s="110">
        <v>2</v>
      </c>
      <c r="S22" s="110" t="s">
        <v>1244</v>
      </c>
      <c r="T22" s="5">
        <v>112</v>
      </c>
      <c r="U22" s="9"/>
    </row>
    <row r="23" spans="1:21" s="37" customFormat="1" ht="12" x14ac:dyDescent="0.3">
      <c r="A23" s="111" t="s">
        <v>1512</v>
      </c>
      <c r="B23" s="112" t="s">
        <v>1513</v>
      </c>
      <c r="C23" s="113">
        <v>1078</v>
      </c>
      <c r="D23" s="104">
        <v>111.3</v>
      </c>
      <c r="E23" s="106">
        <v>34</v>
      </c>
      <c r="F23" s="104">
        <v>85</v>
      </c>
      <c r="G23" s="17">
        <v>26</v>
      </c>
      <c r="H23" s="107">
        <v>435</v>
      </c>
      <c r="I23" s="108">
        <v>35500</v>
      </c>
      <c r="J23" s="108" t="s">
        <v>1245</v>
      </c>
      <c r="K23" s="108">
        <v>28000</v>
      </c>
      <c r="L23" s="108" t="s">
        <v>1248</v>
      </c>
      <c r="M23" s="109">
        <f t="shared" si="0"/>
        <v>7500</v>
      </c>
      <c r="N23" s="4">
        <f t="shared" si="1"/>
        <v>0.78873239436619713</v>
      </c>
      <c r="O23" s="105">
        <f t="shared" si="2"/>
        <v>1044.1176470588234</v>
      </c>
      <c r="P23" s="105">
        <f t="shared" si="3"/>
        <v>823.52941176470586</v>
      </c>
      <c r="Q23" s="110">
        <v>3</v>
      </c>
      <c r="R23" s="110">
        <v>2</v>
      </c>
      <c r="S23" s="110" t="s">
        <v>1244</v>
      </c>
      <c r="T23" s="5" t="s">
        <v>709</v>
      </c>
      <c r="U23" s="9"/>
    </row>
    <row r="24" spans="1:21" s="37" customFormat="1" ht="12" x14ac:dyDescent="0.3">
      <c r="A24" s="111" t="s">
        <v>1488</v>
      </c>
      <c r="B24" s="112" t="s">
        <v>1489</v>
      </c>
      <c r="C24" s="113">
        <v>950</v>
      </c>
      <c r="D24" s="104">
        <v>176.6</v>
      </c>
      <c r="E24" s="106">
        <v>53</v>
      </c>
      <c r="F24" s="104">
        <v>139.80000000000001</v>
      </c>
      <c r="G24" s="17">
        <v>42</v>
      </c>
      <c r="H24" s="107">
        <v>160</v>
      </c>
      <c r="I24" s="108">
        <v>35000</v>
      </c>
      <c r="J24" s="108" t="s">
        <v>1272</v>
      </c>
      <c r="K24" s="108"/>
      <c r="L24" s="108"/>
      <c r="M24" s="109">
        <f t="shared" si="0"/>
        <v>35000</v>
      </c>
      <c r="N24" s="4">
        <f t="shared" si="1"/>
        <v>0</v>
      </c>
      <c r="O24" s="105">
        <f t="shared" si="2"/>
        <v>660.37735849056605</v>
      </c>
      <c r="P24" s="105">
        <f t="shared" si="3"/>
        <v>0</v>
      </c>
      <c r="Q24" s="110">
        <v>4</v>
      </c>
      <c r="R24" s="110">
        <v>2</v>
      </c>
      <c r="S24" s="110" t="s">
        <v>1241</v>
      </c>
      <c r="T24" s="5">
        <v>176</v>
      </c>
      <c r="U24" s="9"/>
    </row>
    <row r="25" spans="1:21" s="37" customFormat="1" ht="12" x14ac:dyDescent="0.3">
      <c r="A25" s="111" t="s">
        <v>1520</v>
      </c>
      <c r="B25" s="112" t="s">
        <v>1521</v>
      </c>
      <c r="C25" s="113">
        <v>805</v>
      </c>
      <c r="D25" s="104">
        <v>100</v>
      </c>
      <c r="E25" s="106">
        <v>30</v>
      </c>
      <c r="F25" s="104">
        <v>74.900000000000006</v>
      </c>
      <c r="G25" s="17">
        <v>23</v>
      </c>
      <c r="H25" s="107">
        <v>186</v>
      </c>
      <c r="I25" s="108">
        <v>34500</v>
      </c>
      <c r="J25" s="108" t="s">
        <v>1265</v>
      </c>
      <c r="K25" s="108">
        <v>27000</v>
      </c>
      <c r="L25" s="108" t="s">
        <v>1262</v>
      </c>
      <c r="M25" s="109">
        <f t="shared" si="0"/>
        <v>7500</v>
      </c>
      <c r="N25" s="4">
        <f t="shared" si="1"/>
        <v>0.78260869565217395</v>
      </c>
      <c r="O25" s="105">
        <f t="shared" si="2"/>
        <v>1150</v>
      </c>
      <c r="P25" s="105">
        <f t="shared" si="3"/>
        <v>900</v>
      </c>
      <c r="Q25" s="110">
        <v>3</v>
      </c>
      <c r="R25" s="110">
        <v>2</v>
      </c>
      <c r="S25" s="110" t="s">
        <v>1244</v>
      </c>
      <c r="T25" s="5" t="s">
        <v>461</v>
      </c>
      <c r="U25" s="9"/>
    </row>
    <row r="26" spans="1:21" s="37" customFormat="1" ht="12" x14ac:dyDescent="0.3">
      <c r="A26" s="111" t="s">
        <v>1488</v>
      </c>
      <c r="B26" s="112" t="s">
        <v>1489</v>
      </c>
      <c r="C26" s="113">
        <v>950</v>
      </c>
      <c r="D26" s="104">
        <v>160</v>
      </c>
      <c r="E26" s="106">
        <v>48</v>
      </c>
      <c r="F26" s="104">
        <v>130.80000000000001</v>
      </c>
      <c r="G26" s="17">
        <v>40</v>
      </c>
      <c r="H26" s="107">
        <v>320</v>
      </c>
      <c r="I26" s="108">
        <v>34000</v>
      </c>
      <c r="J26" s="108" t="s">
        <v>1268</v>
      </c>
      <c r="K26" s="108"/>
      <c r="L26" s="108"/>
      <c r="M26" s="109">
        <f t="shared" si="0"/>
        <v>34000</v>
      </c>
      <c r="N26" s="4">
        <f t="shared" si="1"/>
        <v>0</v>
      </c>
      <c r="O26" s="105">
        <f t="shared" si="2"/>
        <v>708.33333333333337</v>
      </c>
      <c r="P26" s="105">
        <f t="shared" si="3"/>
        <v>0</v>
      </c>
      <c r="Q26" s="110">
        <v>4</v>
      </c>
      <c r="R26" s="110">
        <v>2</v>
      </c>
      <c r="S26" s="110" t="s">
        <v>1241</v>
      </c>
      <c r="T26" s="5" t="s">
        <v>626</v>
      </c>
      <c r="U26" s="9"/>
    </row>
    <row r="27" spans="1:21" s="37" customFormat="1" ht="12" x14ac:dyDescent="0.3">
      <c r="A27" s="111" t="s">
        <v>1514</v>
      </c>
      <c r="B27" s="112" t="s">
        <v>1515</v>
      </c>
      <c r="C27" s="113">
        <v>354</v>
      </c>
      <c r="D27" s="104">
        <v>160.80000000000001</v>
      </c>
      <c r="E27" s="106">
        <v>49</v>
      </c>
      <c r="F27" s="104">
        <v>129.19999999999999</v>
      </c>
      <c r="G27" s="17">
        <v>39</v>
      </c>
      <c r="H27" s="107">
        <v>174</v>
      </c>
      <c r="I27" s="108">
        <v>34000</v>
      </c>
      <c r="J27" s="108" t="s">
        <v>1268</v>
      </c>
      <c r="K27" s="108"/>
      <c r="L27" s="108"/>
      <c r="M27" s="109">
        <f t="shared" si="0"/>
        <v>34000</v>
      </c>
      <c r="N27" s="4">
        <f t="shared" si="1"/>
        <v>0</v>
      </c>
      <c r="O27" s="105">
        <f t="shared" si="2"/>
        <v>693.87755102040819</v>
      </c>
      <c r="P27" s="105">
        <f t="shared" si="3"/>
        <v>0</v>
      </c>
      <c r="Q27" s="110">
        <v>4</v>
      </c>
      <c r="R27" s="110">
        <v>2</v>
      </c>
      <c r="S27" s="110" t="s">
        <v>1244</v>
      </c>
      <c r="T27" s="5">
        <v>160</v>
      </c>
      <c r="U27" s="9"/>
    </row>
    <row r="28" spans="1:21" s="37" customFormat="1" ht="12" x14ac:dyDescent="0.3">
      <c r="A28" s="111" t="s">
        <v>1498</v>
      </c>
      <c r="B28" s="112" t="s">
        <v>1499</v>
      </c>
      <c r="C28" s="113">
        <v>317</v>
      </c>
      <c r="D28" s="104">
        <v>159.69999999999999</v>
      </c>
      <c r="E28" s="106">
        <v>48</v>
      </c>
      <c r="F28" s="104">
        <v>132.4</v>
      </c>
      <c r="G28" s="17">
        <v>40</v>
      </c>
      <c r="H28" s="107">
        <v>84</v>
      </c>
      <c r="I28" s="108">
        <v>33500</v>
      </c>
      <c r="J28" s="108" t="s">
        <v>1287</v>
      </c>
      <c r="K28" s="108"/>
      <c r="L28" s="108"/>
      <c r="M28" s="109">
        <f t="shared" si="0"/>
        <v>33500</v>
      </c>
      <c r="N28" s="4">
        <f t="shared" si="1"/>
        <v>0</v>
      </c>
      <c r="O28" s="105">
        <f t="shared" si="2"/>
        <v>697.91666666666663</v>
      </c>
      <c r="P28" s="105">
        <f t="shared" si="3"/>
        <v>0</v>
      </c>
      <c r="Q28" s="110">
        <v>4</v>
      </c>
      <c r="R28" s="110">
        <v>2</v>
      </c>
      <c r="S28" s="110" t="s">
        <v>1244</v>
      </c>
      <c r="T28" s="5">
        <v>159</v>
      </c>
      <c r="U28" s="9"/>
    </row>
    <row r="29" spans="1:21" s="37" customFormat="1" ht="12" x14ac:dyDescent="0.3">
      <c r="A29" s="111" t="s">
        <v>1601</v>
      </c>
      <c r="B29" s="112" t="s">
        <v>1602</v>
      </c>
      <c r="C29" s="113">
        <v>656</v>
      </c>
      <c r="D29" s="104">
        <v>125.6</v>
      </c>
      <c r="E29" s="106">
        <v>38</v>
      </c>
      <c r="F29" s="104">
        <v>92.7</v>
      </c>
      <c r="G29" s="17">
        <v>28</v>
      </c>
      <c r="H29" s="107">
        <v>274</v>
      </c>
      <c r="I29" s="108">
        <v>33500</v>
      </c>
      <c r="J29" s="108" t="s">
        <v>1248</v>
      </c>
      <c r="K29" s="108"/>
      <c r="L29" s="108"/>
      <c r="M29" s="109">
        <f t="shared" si="0"/>
        <v>33500</v>
      </c>
      <c r="N29" s="4">
        <f t="shared" si="1"/>
        <v>0</v>
      </c>
      <c r="O29" s="105">
        <f t="shared" si="2"/>
        <v>881.57894736842104</v>
      </c>
      <c r="P29" s="105">
        <f t="shared" si="3"/>
        <v>0</v>
      </c>
      <c r="Q29" s="110">
        <v>3</v>
      </c>
      <c r="R29" s="110">
        <v>2</v>
      </c>
      <c r="S29" s="110" t="s">
        <v>1244</v>
      </c>
      <c r="T29" s="5">
        <v>125</v>
      </c>
      <c r="U29" s="9"/>
    </row>
    <row r="30" spans="1:21" s="37" customFormat="1" ht="12" x14ac:dyDescent="0.3">
      <c r="A30" s="111" t="s">
        <v>1622</v>
      </c>
      <c r="B30" s="112" t="s">
        <v>1623</v>
      </c>
      <c r="C30" s="113">
        <v>1400</v>
      </c>
      <c r="D30" s="104">
        <v>82</v>
      </c>
      <c r="E30" s="106">
        <v>25</v>
      </c>
      <c r="F30" s="104">
        <v>60</v>
      </c>
      <c r="G30" s="17">
        <v>18</v>
      </c>
      <c r="H30" s="107">
        <v>189</v>
      </c>
      <c r="I30" s="108">
        <v>33000</v>
      </c>
      <c r="J30" s="108" t="s">
        <v>1311</v>
      </c>
      <c r="K30" s="108">
        <v>25000</v>
      </c>
      <c r="L30" s="108" t="s">
        <v>1253</v>
      </c>
      <c r="M30" s="109">
        <f t="shared" si="0"/>
        <v>8000</v>
      </c>
      <c r="N30" s="4">
        <f t="shared" si="1"/>
        <v>0.75757575757575757</v>
      </c>
      <c r="O30" s="105">
        <f t="shared" si="2"/>
        <v>1320</v>
      </c>
      <c r="P30" s="105">
        <f t="shared" si="3"/>
        <v>1000</v>
      </c>
      <c r="Q30" s="110">
        <v>3</v>
      </c>
      <c r="R30" s="110">
        <v>2</v>
      </c>
      <c r="S30" s="110" t="s">
        <v>1244</v>
      </c>
      <c r="T30" s="5" t="s">
        <v>162</v>
      </c>
      <c r="U30" s="9"/>
    </row>
    <row r="31" spans="1:21" s="37" customFormat="1" ht="12" x14ac:dyDescent="0.3">
      <c r="A31" s="111" t="s">
        <v>1488</v>
      </c>
      <c r="B31" s="112" t="s">
        <v>1490</v>
      </c>
      <c r="C31" s="113">
        <v>950</v>
      </c>
      <c r="D31" s="104">
        <v>146.5</v>
      </c>
      <c r="E31" s="106">
        <v>44</v>
      </c>
      <c r="F31" s="104">
        <v>113.5</v>
      </c>
      <c r="G31" s="17">
        <v>34</v>
      </c>
      <c r="H31" s="107">
        <v>114</v>
      </c>
      <c r="I31" s="108">
        <v>32000</v>
      </c>
      <c r="J31" s="108" t="s">
        <v>1262</v>
      </c>
      <c r="K31" s="108"/>
      <c r="L31" s="108"/>
      <c r="M31" s="109">
        <f t="shared" si="0"/>
        <v>32000</v>
      </c>
      <c r="N31" s="4">
        <f t="shared" si="1"/>
        <v>0</v>
      </c>
      <c r="O31" s="105">
        <f t="shared" si="2"/>
        <v>727.27272727272725</v>
      </c>
      <c r="P31" s="105">
        <f t="shared" si="3"/>
        <v>0</v>
      </c>
      <c r="Q31" s="110">
        <v>3</v>
      </c>
      <c r="R31" s="110">
        <v>2</v>
      </c>
      <c r="S31" s="110" t="s">
        <v>1241</v>
      </c>
      <c r="T31" s="5">
        <v>146</v>
      </c>
      <c r="U31" s="9"/>
    </row>
    <row r="32" spans="1:21" s="37" customFormat="1" ht="12" x14ac:dyDescent="0.3">
      <c r="A32" s="111" t="s">
        <v>1491</v>
      </c>
      <c r="B32" s="112" t="s">
        <v>1493</v>
      </c>
      <c r="C32" s="113">
        <v>307</v>
      </c>
      <c r="D32" s="104">
        <v>158.30000000000001</v>
      </c>
      <c r="E32" s="106">
        <v>48</v>
      </c>
      <c r="F32" s="104">
        <v>127.2</v>
      </c>
      <c r="G32" s="17">
        <v>38</v>
      </c>
      <c r="H32" s="107">
        <v>77</v>
      </c>
      <c r="I32" s="108">
        <v>32000</v>
      </c>
      <c r="J32" s="108" t="s">
        <v>1245</v>
      </c>
      <c r="K32" s="108"/>
      <c r="L32" s="108"/>
      <c r="M32" s="109">
        <f t="shared" si="0"/>
        <v>32000</v>
      </c>
      <c r="N32" s="4">
        <f t="shared" si="1"/>
        <v>0</v>
      </c>
      <c r="O32" s="105">
        <f t="shared" si="2"/>
        <v>666.66666666666663</v>
      </c>
      <c r="P32" s="105">
        <f t="shared" si="3"/>
        <v>0</v>
      </c>
      <c r="Q32" s="110">
        <v>4</v>
      </c>
      <c r="R32" s="110">
        <v>2</v>
      </c>
      <c r="S32" s="110" t="s">
        <v>1241</v>
      </c>
      <c r="T32" s="5" t="s">
        <v>641</v>
      </c>
      <c r="U32" s="9"/>
    </row>
    <row r="33" spans="1:21" s="37" customFormat="1" ht="12" x14ac:dyDescent="0.3">
      <c r="A33" s="111" t="s">
        <v>1582</v>
      </c>
      <c r="B33" s="112" t="s">
        <v>1583</v>
      </c>
      <c r="C33" s="113">
        <v>782</v>
      </c>
      <c r="D33" s="104">
        <v>113.3</v>
      </c>
      <c r="E33" s="106">
        <v>34</v>
      </c>
      <c r="F33" s="104">
        <v>85</v>
      </c>
      <c r="G33" s="17">
        <v>26</v>
      </c>
      <c r="H33" s="107">
        <v>480</v>
      </c>
      <c r="I33" s="108">
        <v>32000</v>
      </c>
      <c r="J33" s="108" t="s">
        <v>1294</v>
      </c>
      <c r="K33" s="108">
        <v>27000</v>
      </c>
      <c r="L33" s="108" t="s">
        <v>1251</v>
      </c>
      <c r="M33" s="109">
        <f t="shared" si="0"/>
        <v>5000</v>
      </c>
      <c r="N33" s="4">
        <f t="shared" si="1"/>
        <v>0.84375</v>
      </c>
      <c r="O33" s="105">
        <f t="shared" si="2"/>
        <v>941.17647058823525</v>
      </c>
      <c r="P33" s="105">
        <f t="shared" si="3"/>
        <v>794.11764705882354</v>
      </c>
      <c r="Q33" s="110">
        <v>3</v>
      </c>
      <c r="R33" s="110">
        <v>2</v>
      </c>
      <c r="S33" s="110" t="s">
        <v>1244</v>
      </c>
      <c r="T33" s="5">
        <v>113</v>
      </c>
      <c r="U33" s="9"/>
    </row>
    <row r="34" spans="1:21" s="37" customFormat="1" ht="12" x14ac:dyDescent="0.3">
      <c r="A34" s="111" t="s">
        <v>1637</v>
      </c>
      <c r="B34" s="112" t="s">
        <v>1638</v>
      </c>
      <c r="C34" s="113">
        <v>854</v>
      </c>
      <c r="D34" s="104">
        <v>80.5</v>
      </c>
      <c r="E34" s="106">
        <v>24</v>
      </c>
      <c r="F34" s="104">
        <v>59.9</v>
      </c>
      <c r="G34" s="17">
        <v>18</v>
      </c>
      <c r="H34" s="107">
        <v>174</v>
      </c>
      <c r="I34" s="108">
        <v>32000</v>
      </c>
      <c r="J34" s="108" t="s">
        <v>1311</v>
      </c>
      <c r="K34" s="108">
        <v>25000</v>
      </c>
      <c r="L34" s="108" t="s">
        <v>1253</v>
      </c>
      <c r="M34" s="109">
        <f t="shared" si="0"/>
        <v>7000</v>
      </c>
      <c r="N34" s="4">
        <f t="shared" si="1"/>
        <v>0.78125</v>
      </c>
      <c r="O34" s="105">
        <f t="shared" si="2"/>
        <v>1333.3333333333333</v>
      </c>
      <c r="P34" s="105">
        <f t="shared" si="3"/>
        <v>1041.6666666666667</v>
      </c>
      <c r="Q34" s="110">
        <v>3</v>
      </c>
      <c r="R34" s="110">
        <v>2</v>
      </c>
      <c r="S34" s="110" t="s">
        <v>1244</v>
      </c>
      <c r="T34" s="5">
        <v>80</v>
      </c>
      <c r="U34" s="9"/>
    </row>
    <row r="35" spans="1:21" s="37" customFormat="1" ht="12" x14ac:dyDescent="0.3">
      <c r="A35" s="111" t="s">
        <v>1588</v>
      </c>
      <c r="B35" s="112" t="s">
        <v>1589</v>
      </c>
      <c r="C35" s="113">
        <v>1041</v>
      </c>
      <c r="D35" s="104">
        <v>114.2</v>
      </c>
      <c r="E35" s="106">
        <v>35</v>
      </c>
      <c r="F35" s="104">
        <v>85</v>
      </c>
      <c r="G35" s="17">
        <v>26</v>
      </c>
      <c r="H35" s="107">
        <v>466</v>
      </c>
      <c r="I35" s="108">
        <v>31700</v>
      </c>
      <c r="J35" s="108" t="s">
        <v>1250</v>
      </c>
      <c r="K35" s="108">
        <v>26000</v>
      </c>
      <c r="L35" s="108" t="s">
        <v>1305</v>
      </c>
      <c r="M35" s="109">
        <f t="shared" si="0"/>
        <v>5700</v>
      </c>
      <c r="N35" s="4">
        <f t="shared" si="1"/>
        <v>0.82018927444794953</v>
      </c>
      <c r="O35" s="105">
        <f t="shared" si="2"/>
        <v>905.71428571428567</v>
      </c>
      <c r="P35" s="105">
        <f t="shared" si="3"/>
        <v>742.85714285714289</v>
      </c>
      <c r="Q35" s="110">
        <v>3</v>
      </c>
      <c r="R35" s="110">
        <v>2</v>
      </c>
      <c r="S35" s="110" t="s">
        <v>1244</v>
      </c>
      <c r="T35" s="5" t="s">
        <v>978</v>
      </c>
      <c r="U35" s="9"/>
    </row>
    <row r="36" spans="1:21" s="37" customFormat="1" ht="12" x14ac:dyDescent="0.3">
      <c r="A36" s="111" t="s">
        <v>1516</v>
      </c>
      <c r="B36" s="112" t="s">
        <v>1517</v>
      </c>
      <c r="C36" s="113">
        <v>654</v>
      </c>
      <c r="D36" s="104">
        <v>113</v>
      </c>
      <c r="E36" s="106">
        <v>34</v>
      </c>
      <c r="F36" s="104">
        <v>84.4</v>
      </c>
      <c r="G36" s="17">
        <v>26</v>
      </c>
      <c r="H36" s="107">
        <v>205</v>
      </c>
      <c r="I36" s="108">
        <v>31000</v>
      </c>
      <c r="J36" s="108" t="s">
        <v>1287</v>
      </c>
      <c r="K36" s="108">
        <v>24000</v>
      </c>
      <c r="L36" s="108" t="s">
        <v>1245</v>
      </c>
      <c r="M36" s="109">
        <f t="shared" si="0"/>
        <v>7000</v>
      </c>
      <c r="N36" s="4">
        <f t="shared" si="1"/>
        <v>0.77419354838709675</v>
      </c>
      <c r="O36" s="105">
        <f t="shared" si="2"/>
        <v>911.76470588235293</v>
      </c>
      <c r="P36" s="105">
        <f t="shared" si="3"/>
        <v>705.88235294117646</v>
      </c>
      <c r="Q36" s="110">
        <v>3</v>
      </c>
      <c r="R36" s="110">
        <v>2</v>
      </c>
      <c r="S36" s="110" t="s">
        <v>1244</v>
      </c>
      <c r="T36" s="5" t="s">
        <v>727</v>
      </c>
      <c r="U36" s="9"/>
    </row>
    <row r="37" spans="1:21" s="37" customFormat="1" ht="12" x14ac:dyDescent="0.3">
      <c r="A37" s="111" t="s">
        <v>1611</v>
      </c>
      <c r="B37" s="112" t="s">
        <v>1612</v>
      </c>
      <c r="C37" s="113">
        <v>469</v>
      </c>
      <c r="D37" s="104">
        <v>109.8</v>
      </c>
      <c r="E37" s="106">
        <v>33</v>
      </c>
      <c r="F37" s="104">
        <v>85</v>
      </c>
      <c r="G37" s="17">
        <v>26</v>
      </c>
      <c r="H37" s="107">
        <v>380</v>
      </c>
      <c r="I37" s="108">
        <v>31000</v>
      </c>
      <c r="J37" s="108" t="s">
        <v>1262</v>
      </c>
      <c r="K37" s="108">
        <v>24000</v>
      </c>
      <c r="L37" s="108" t="s">
        <v>1311</v>
      </c>
      <c r="M37" s="109">
        <f t="shared" si="0"/>
        <v>7000</v>
      </c>
      <c r="N37" s="4">
        <f t="shared" si="1"/>
        <v>0.77419354838709675</v>
      </c>
      <c r="O37" s="105">
        <f t="shared" si="2"/>
        <v>939.39393939393938</v>
      </c>
      <c r="P37" s="105">
        <f t="shared" si="3"/>
        <v>727.27272727272725</v>
      </c>
      <c r="Q37" s="110">
        <v>3</v>
      </c>
      <c r="R37" s="110">
        <v>2</v>
      </c>
      <c r="S37" s="110" t="s">
        <v>1244</v>
      </c>
      <c r="T37" s="5" t="s">
        <v>1075</v>
      </c>
      <c r="U37" s="9"/>
    </row>
    <row r="38" spans="1:21" s="37" customFormat="1" ht="12" x14ac:dyDescent="0.3">
      <c r="A38" s="111" t="s">
        <v>1603</v>
      </c>
      <c r="B38" s="112" t="s">
        <v>1602</v>
      </c>
      <c r="C38" s="113">
        <v>724</v>
      </c>
      <c r="D38" s="104">
        <v>115.6</v>
      </c>
      <c r="E38" s="106">
        <v>35</v>
      </c>
      <c r="F38" s="104">
        <v>84.9</v>
      </c>
      <c r="G38" s="17">
        <v>26</v>
      </c>
      <c r="H38" s="107">
        <v>206</v>
      </c>
      <c r="I38" s="108">
        <v>30000</v>
      </c>
      <c r="J38" s="108" t="s">
        <v>1255</v>
      </c>
      <c r="K38" s="108">
        <v>28000</v>
      </c>
      <c r="L38" s="108" t="s">
        <v>1251</v>
      </c>
      <c r="M38" s="109">
        <f t="shared" si="0"/>
        <v>2000</v>
      </c>
      <c r="N38" s="4">
        <f t="shared" si="1"/>
        <v>0.93333333333333335</v>
      </c>
      <c r="O38" s="105">
        <f t="shared" si="2"/>
        <v>857.14285714285711</v>
      </c>
      <c r="P38" s="105">
        <f t="shared" si="3"/>
        <v>800</v>
      </c>
      <c r="Q38" s="110">
        <v>3</v>
      </c>
      <c r="R38" s="110">
        <v>2</v>
      </c>
      <c r="S38" s="110" t="s">
        <v>1244</v>
      </c>
      <c r="T38" s="5" t="s">
        <v>286</v>
      </c>
      <c r="U38" s="9"/>
    </row>
    <row r="39" spans="1:21" s="37" customFormat="1" ht="12" x14ac:dyDescent="0.3">
      <c r="A39" s="111" t="s">
        <v>1420</v>
      </c>
      <c r="B39" s="112" t="s">
        <v>1421</v>
      </c>
      <c r="C39" s="113">
        <v>437</v>
      </c>
      <c r="D39" s="104">
        <v>152.69999999999999</v>
      </c>
      <c r="E39" s="106">
        <v>46</v>
      </c>
      <c r="F39" s="104">
        <v>118.6</v>
      </c>
      <c r="G39" s="17">
        <v>36</v>
      </c>
      <c r="H39" s="107">
        <v>54</v>
      </c>
      <c r="I39" s="108">
        <v>29500</v>
      </c>
      <c r="J39" s="108" t="s">
        <v>1268</v>
      </c>
      <c r="K39" s="108"/>
      <c r="L39" s="108"/>
      <c r="M39" s="109">
        <f t="shared" si="0"/>
        <v>29500</v>
      </c>
      <c r="N39" s="4">
        <f t="shared" si="1"/>
        <v>0</v>
      </c>
      <c r="O39" s="105">
        <f t="shared" si="2"/>
        <v>641.304347826087</v>
      </c>
      <c r="P39" s="105">
        <f t="shared" si="3"/>
        <v>0</v>
      </c>
      <c r="Q39" s="110">
        <v>4</v>
      </c>
      <c r="R39" s="110">
        <v>2</v>
      </c>
      <c r="S39" s="110" t="s">
        <v>1244</v>
      </c>
      <c r="T39" s="5">
        <v>152</v>
      </c>
      <c r="U39" s="9"/>
    </row>
    <row r="40" spans="1:21" s="37" customFormat="1" ht="12" x14ac:dyDescent="0.3">
      <c r="A40" s="111" t="s">
        <v>1518</v>
      </c>
      <c r="B40" s="112" t="s">
        <v>1519</v>
      </c>
      <c r="C40" s="113">
        <v>805</v>
      </c>
      <c r="D40" s="104">
        <v>87.9</v>
      </c>
      <c r="E40" s="106">
        <v>27</v>
      </c>
      <c r="F40" s="104">
        <v>65.900000000000006</v>
      </c>
      <c r="G40" s="17">
        <v>20</v>
      </c>
      <c r="H40" s="107">
        <v>47</v>
      </c>
      <c r="I40" s="108">
        <v>29000</v>
      </c>
      <c r="J40" s="108" t="s">
        <v>1310</v>
      </c>
      <c r="K40" s="108"/>
      <c r="L40" s="108"/>
      <c r="M40" s="109">
        <f t="shared" si="0"/>
        <v>29000</v>
      </c>
      <c r="N40" s="4">
        <f t="shared" si="1"/>
        <v>0</v>
      </c>
      <c r="O40" s="105">
        <f t="shared" si="2"/>
        <v>1074.0740740740741</v>
      </c>
      <c r="P40" s="105">
        <f t="shared" si="3"/>
        <v>0</v>
      </c>
      <c r="Q40" s="110">
        <v>3</v>
      </c>
      <c r="R40" s="110">
        <v>2</v>
      </c>
      <c r="S40" s="110" t="s">
        <v>1244</v>
      </c>
      <c r="T40" s="5" t="s">
        <v>436</v>
      </c>
      <c r="U40" s="9"/>
    </row>
    <row r="41" spans="1:21" s="37" customFormat="1" ht="12" x14ac:dyDescent="0.3">
      <c r="A41" s="111" t="s">
        <v>1518</v>
      </c>
      <c r="B41" s="112" t="s">
        <v>1519</v>
      </c>
      <c r="C41" s="113">
        <v>805</v>
      </c>
      <c r="D41" s="104">
        <v>80.3</v>
      </c>
      <c r="E41" s="106">
        <v>24</v>
      </c>
      <c r="F41" s="104">
        <v>59.9</v>
      </c>
      <c r="G41" s="17">
        <v>18</v>
      </c>
      <c r="H41" s="107">
        <v>78</v>
      </c>
      <c r="I41" s="108">
        <v>28500</v>
      </c>
      <c r="J41" s="108" t="s">
        <v>1262</v>
      </c>
      <c r="K41" s="108"/>
      <c r="L41" s="108"/>
      <c r="M41" s="109">
        <f t="shared" si="0"/>
        <v>28500</v>
      </c>
      <c r="N41" s="4">
        <f t="shared" si="1"/>
        <v>0</v>
      </c>
      <c r="O41" s="105">
        <f t="shared" si="2"/>
        <v>1187.5</v>
      </c>
      <c r="P41" s="105">
        <f t="shared" si="3"/>
        <v>0</v>
      </c>
      <c r="Q41" s="110">
        <v>3</v>
      </c>
      <c r="R41" s="110">
        <v>1</v>
      </c>
      <c r="S41" s="110" t="s">
        <v>1244</v>
      </c>
      <c r="T41" s="5">
        <v>80</v>
      </c>
      <c r="U41" s="9"/>
    </row>
    <row r="42" spans="1:21" s="37" customFormat="1" ht="12" x14ac:dyDescent="0.3">
      <c r="A42" s="111" t="s">
        <v>1629</v>
      </c>
      <c r="B42" s="112" t="s">
        <v>1631</v>
      </c>
      <c r="C42" s="113">
        <v>770</v>
      </c>
      <c r="D42" s="104">
        <v>112.1</v>
      </c>
      <c r="E42" s="106">
        <v>34</v>
      </c>
      <c r="F42" s="104">
        <v>85</v>
      </c>
      <c r="G42" s="17">
        <v>26</v>
      </c>
      <c r="H42" s="107">
        <v>277</v>
      </c>
      <c r="I42" s="108">
        <v>28000</v>
      </c>
      <c r="J42" s="108" t="s">
        <v>1272</v>
      </c>
      <c r="K42" s="108">
        <v>20000</v>
      </c>
      <c r="L42" s="108" t="s">
        <v>1271</v>
      </c>
      <c r="M42" s="109">
        <f t="shared" si="0"/>
        <v>8000</v>
      </c>
      <c r="N42" s="4">
        <f t="shared" si="1"/>
        <v>0.7142857142857143</v>
      </c>
      <c r="O42" s="105">
        <f t="shared" si="2"/>
        <v>823.52941176470586</v>
      </c>
      <c r="P42" s="105">
        <f t="shared" si="3"/>
        <v>588.23529411764707</v>
      </c>
      <c r="Q42" s="110">
        <v>3</v>
      </c>
      <c r="R42" s="110">
        <v>2</v>
      </c>
      <c r="S42" s="110" t="s">
        <v>1244</v>
      </c>
      <c r="T42" s="5" t="s">
        <v>711</v>
      </c>
      <c r="U42" s="9"/>
    </row>
    <row r="43" spans="1:21" s="37" customFormat="1" ht="12" x14ac:dyDescent="0.3">
      <c r="A43" s="111" t="s">
        <v>1360</v>
      </c>
      <c r="B43" s="112" t="s">
        <v>1361</v>
      </c>
      <c r="C43" s="113">
        <v>352</v>
      </c>
      <c r="D43" s="104">
        <v>110.6</v>
      </c>
      <c r="E43" s="106">
        <v>33</v>
      </c>
      <c r="F43" s="104">
        <v>84.5</v>
      </c>
      <c r="G43" s="17">
        <v>26</v>
      </c>
      <c r="H43" s="107">
        <v>131</v>
      </c>
      <c r="I43" s="108">
        <v>27000</v>
      </c>
      <c r="J43" s="108" t="s">
        <v>1250</v>
      </c>
      <c r="K43" s="108"/>
      <c r="L43" s="108"/>
      <c r="M43" s="109">
        <f t="shared" si="0"/>
        <v>27000</v>
      </c>
      <c r="N43" s="4">
        <f t="shared" si="1"/>
        <v>0</v>
      </c>
      <c r="O43" s="105">
        <f t="shared" si="2"/>
        <v>818.18181818181813</v>
      </c>
      <c r="P43" s="105">
        <f t="shared" si="3"/>
        <v>0</v>
      </c>
      <c r="Q43" s="110">
        <v>3</v>
      </c>
      <c r="R43" s="110">
        <v>2</v>
      </c>
      <c r="S43" s="110" t="s">
        <v>1244</v>
      </c>
      <c r="T43" s="5" t="s">
        <v>101</v>
      </c>
      <c r="U43" s="9"/>
    </row>
    <row r="44" spans="1:21" s="37" customFormat="1" ht="12" x14ac:dyDescent="0.3">
      <c r="A44" s="111" t="s">
        <v>1603</v>
      </c>
      <c r="B44" s="112" t="s">
        <v>1602</v>
      </c>
      <c r="C44" s="113">
        <v>724</v>
      </c>
      <c r="D44" s="104">
        <v>99</v>
      </c>
      <c r="E44" s="106">
        <v>30</v>
      </c>
      <c r="F44" s="104">
        <v>69</v>
      </c>
      <c r="G44" s="17">
        <v>21</v>
      </c>
      <c r="H44" s="107">
        <v>212</v>
      </c>
      <c r="I44" s="108">
        <v>27000</v>
      </c>
      <c r="J44" s="108" t="s">
        <v>1250</v>
      </c>
      <c r="K44" s="108">
        <v>22500</v>
      </c>
      <c r="L44" s="108" t="s">
        <v>1268</v>
      </c>
      <c r="M44" s="109">
        <f t="shared" si="0"/>
        <v>4500</v>
      </c>
      <c r="N44" s="4">
        <f t="shared" si="1"/>
        <v>0.83333333333333337</v>
      </c>
      <c r="O44" s="105">
        <f t="shared" si="2"/>
        <v>900</v>
      </c>
      <c r="P44" s="105">
        <f t="shared" si="3"/>
        <v>750</v>
      </c>
      <c r="Q44" s="110">
        <v>3</v>
      </c>
      <c r="R44" s="110">
        <v>2</v>
      </c>
      <c r="S44" s="110" t="s">
        <v>1244</v>
      </c>
      <c r="T44" s="5">
        <v>99</v>
      </c>
      <c r="U44" s="9"/>
    </row>
    <row r="45" spans="1:21" s="37" customFormat="1" ht="12" x14ac:dyDescent="0.3">
      <c r="A45" s="111" t="s">
        <v>1609</v>
      </c>
      <c r="B45" s="112" t="s">
        <v>1610</v>
      </c>
      <c r="C45" s="113">
        <v>449</v>
      </c>
      <c r="D45" s="104">
        <v>110.9</v>
      </c>
      <c r="E45" s="106">
        <v>34</v>
      </c>
      <c r="F45" s="104">
        <v>85</v>
      </c>
      <c r="G45" s="17">
        <v>26</v>
      </c>
      <c r="H45" s="107">
        <v>449</v>
      </c>
      <c r="I45" s="108">
        <v>27000</v>
      </c>
      <c r="J45" s="108" t="s">
        <v>1294</v>
      </c>
      <c r="K45" s="108">
        <v>23000</v>
      </c>
      <c r="L45" s="108" t="s">
        <v>1248</v>
      </c>
      <c r="M45" s="109">
        <f t="shared" si="0"/>
        <v>4000</v>
      </c>
      <c r="N45" s="4">
        <f t="shared" si="1"/>
        <v>0.85185185185185186</v>
      </c>
      <c r="O45" s="105">
        <f t="shared" si="2"/>
        <v>794.11764705882354</v>
      </c>
      <c r="P45" s="105">
        <f t="shared" si="3"/>
        <v>676.47058823529414</v>
      </c>
      <c r="Q45" s="110">
        <v>3</v>
      </c>
      <c r="R45" s="110">
        <v>2</v>
      </c>
      <c r="S45" s="110" t="s">
        <v>1244</v>
      </c>
      <c r="T45" s="5">
        <v>110</v>
      </c>
      <c r="U45" s="9"/>
    </row>
    <row r="46" spans="1:21" s="37" customFormat="1" ht="12" x14ac:dyDescent="0.3">
      <c r="A46" s="111" t="s">
        <v>1649</v>
      </c>
      <c r="B46" s="112" t="s">
        <v>1650</v>
      </c>
      <c r="C46" s="113">
        <v>480</v>
      </c>
      <c r="D46" s="104">
        <v>110.7</v>
      </c>
      <c r="E46" s="106">
        <v>33</v>
      </c>
      <c r="F46" s="104">
        <v>84.9</v>
      </c>
      <c r="G46" s="17">
        <v>26</v>
      </c>
      <c r="H46" s="107">
        <v>251</v>
      </c>
      <c r="I46" s="108">
        <v>27000</v>
      </c>
      <c r="J46" s="108" t="s">
        <v>1248</v>
      </c>
      <c r="K46" s="108">
        <v>24000</v>
      </c>
      <c r="L46" s="108" t="s">
        <v>1350</v>
      </c>
      <c r="M46" s="109">
        <f t="shared" si="0"/>
        <v>3000</v>
      </c>
      <c r="N46" s="4">
        <f t="shared" si="1"/>
        <v>0.88888888888888884</v>
      </c>
      <c r="O46" s="105">
        <f t="shared" si="2"/>
        <v>818.18181818181813</v>
      </c>
      <c r="P46" s="105">
        <f t="shared" si="3"/>
        <v>727.27272727272725</v>
      </c>
      <c r="Q46" s="110">
        <v>3</v>
      </c>
      <c r="R46" s="110">
        <v>2</v>
      </c>
      <c r="S46" s="110" t="s">
        <v>1244</v>
      </c>
      <c r="T46" s="5" t="s">
        <v>102</v>
      </c>
      <c r="U46" s="9"/>
    </row>
    <row r="47" spans="1:21" s="37" customFormat="1" ht="12" x14ac:dyDescent="0.3">
      <c r="A47" s="111" t="s">
        <v>1512</v>
      </c>
      <c r="B47" s="112" t="s">
        <v>1513</v>
      </c>
      <c r="C47" s="113">
        <v>1078</v>
      </c>
      <c r="D47" s="104">
        <v>80.3</v>
      </c>
      <c r="E47" s="106">
        <v>24</v>
      </c>
      <c r="F47" s="104">
        <v>60</v>
      </c>
      <c r="G47" s="17">
        <v>18</v>
      </c>
      <c r="H47" s="107">
        <v>141</v>
      </c>
      <c r="I47" s="108">
        <v>24000</v>
      </c>
      <c r="J47" s="108" t="s">
        <v>1268</v>
      </c>
      <c r="K47" s="108"/>
      <c r="L47" s="108"/>
      <c r="M47" s="109">
        <f t="shared" si="0"/>
        <v>24000</v>
      </c>
      <c r="N47" s="4">
        <f t="shared" si="1"/>
        <v>0</v>
      </c>
      <c r="O47" s="105">
        <f t="shared" si="2"/>
        <v>1000</v>
      </c>
      <c r="P47" s="105">
        <f t="shared" si="3"/>
        <v>0</v>
      </c>
      <c r="Q47" s="110">
        <v>3</v>
      </c>
      <c r="R47" s="110">
        <v>2</v>
      </c>
      <c r="S47" s="110" t="s">
        <v>1244</v>
      </c>
      <c r="T47" s="5">
        <v>80</v>
      </c>
      <c r="U47" s="9"/>
    </row>
    <row r="48" spans="1:21" s="37" customFormat="1" ht="12" x14ac:dyDescent="0.3">
      <c r="A48" s="111" t="s">
        <v>1466</v>
      </c>
      <c r="B48" s="112" t="s">
        <v>1363</v>
      </c>
      <c r="C48" s="113">
        <v>636</v>
      </c>
      <c r="D48" s="104">
        <v>124.6</v>
      </c>
      <c r="E48" s="106">
        <v>38</v>
      </c>
      <c r="F48" s="104">
        <v>99.9</v>
      </c>
      <c r="G48" s="17">
        <v>30</v>
      </c>
      <c r="H48" s="107">
        <v>78</v>
      </c>
      <c r="I48" s="108">
        <v>23000</v>
      </c>
      <c r="J48" s="108" t="s">
        <v>1268</v>
      </c>
      <c r="K48" s="108"/>
      <c r="L48" s="108"/>
      <c r="M48" s="109">
        <f t="shared" si="0"/>
        <v>23000</v>
      </c>
      <c r="N48" s="4">
        <f t="shared" si="1"/>
        <v>0</v>
      </c>
      <c r="O48" s="105">
        <f t="shared" si="2"/>
        <v>605.26315789473688</v>
      </c>
      <c r="P48" s="105">
        <f t="shared" si="3"/>
        <v>0</v>
      </c>
      <c r="Q48" s="110">
        <v>3</v>
      </c>
      <c r="R48" s="110">
        <v>2</v>
      </c>
      <c r="S48" s="110" t="s">
        <v>1244</v>
      </c>
      <c r="T48" s="5">
        <v>124</v>
      </c>
      <c r="U48" s="9"/>
    </row>
    <row r="49" spans="1:21" s="37" customFormat="1" ht="12" x14ac:dyDescent="0.3">
      <c r="A49" s="111" t="s">
        <v>1415</v>
      </c>
      <c r="B49" s="112" t="s">
        <v>1414</v>
      </c>
      <c r="C49" s="113">
        <v>800</v>
      </c>
      <c r="D49" s="104">
        <v>66</v>
      </c>
      <c r="E49" s="106">
        <v>20</v>
      </c>
      <c r="F49" s="104">
        <v>66</v>
      </c>
      <c r="G49" s="17">
        <v>20</v>
      </c>
      <c r="H49" s="107">
        <v>125</v>
      </c>
      <c r="I49" s="108">
        <v>22000</v>
      </c>
      <c r="J49" s="108" t="s">
        <v>1265</v>
      </c>
      <c r="K49" s="108"/>
      <c r="L49" s="108"/>
      <c r="M49" s="109">
        <f t="shared" si="0"/>
        <v>22000</v>
      </c>
      <c r="N49" s="4">
        <f t="shared" si="1"/>
        <v>0</v>
      </c>
      <c r="O49" s="105">
        <f t="shared" si="2"/>
        <v>1100</v>
      </c>
      <c r="P49" s="105">
        <f t="shared" si="3"/>
        <v>0</v>
      </c>
      <c r="Q49" s="110">
        <v>3</v>
      </c>
      <c r="R49" s="110">
        <v>1</v>
      </c>
      <c r="S49" s="110" t="s">
        <v>1244</v>
      </c>
      <c r="T49" s="5" t="s">
        <v>228</v>
      </c>
      <c r="U49" s="9"/>
    </row>
    <row r="50" spans="1:21" s="37" customFormat="1" ht="12" x14ac:dyDescent="0.3">
      <c r="A50" s="111" t="s">
        <v>1472</v>
      </c>
      <c r="B50" s="112" t="s">
        <v>1473</v>
      </c>
      <c r="C50" s="113">
        <v>572</v>
      </c>
      <c r="D50" s="104">
        <v>153.4</v>
      </c>
      <c r="E50" s="106">
        <v>46</v>
      </c>
      <c r="F50" s="104">
        <v>131.80000000000001</v>
      </c>
      <c r="G50" s="17">
        <v>40</v>
      </c>
      <c r="H50" s="107">
        <v>52</v>
      </c>
      <c r="I50" s="108">
        <v>22000</v>
      </c>
      <c r="J50" s="108" t="s">
        <v>1280</v>
      </c>
      <c r="K50" s="108"/>
      <c r="L50" s="108"/>
      <c r="M50" s="109">
        <f t="shared" si="0"/>
        <v>22000</v>
      </c>
      <c r="N50" s="4">
        <f t="shared" si="1"/>
        <v>0</v>
      </c>
      <c r="O50" s="105">
        <f t="shared" si="2"/>
        <v>478.26086956521738</v>
      </c>
      <c r="P50" s="105">
        <f t="shared" si="3"/>
        <v>0</v>
      </c>
      <c r="Q50" s="110">
        <v>4</v>
      </c>
      <c r="R50" s="110">
        <v>2</v>
      </c>
      <c r="S50" s="110" t="s">
        <v>1244</v>
      </c>
      <c r="T50" s="5">
        <v>153</v>
      </c>
      <c r="U50" s="9"/>
    </row>
    <row r="51" spans="1:21" s="37" customFormat="1" ht="12" x14ac:dyDescent="0.3">
      <c r="A51" s="111" t="s">
        <v>1590</v>
      </c>
      <c r="B51" s="112" t="s">
        <v>1591</v>
      </c>
      <c r="C51" s="113">
        <v>570</v>
      </c>
      <c r="D51" s="104">
        <v>83</v>
      </c>
      <c r="E51" s="106">
        <v>25</v>
      </c>
      <c r="F51" s="104">
        <v>60</v>
      </c>
      <c r="G51" s="17">
        <v>18</v>
      </c>
      <c r="H51" s="107">
        <v>235</v>
      </c>
      <c r="I51" s="108">
        <v>21500</v>
      </c>
      <c r="J51" s="108" t="s">
        <v>1268</v>
      </c>
      <c r="K51" s="108">
        <v>18500</v>
      </c>
      <c r="L51" s="108" t="s">
        <v>1255</v>
      </c>
      <c r="M51" s="109">
        <f t="shared" si="0"/>
        <v>3000</v>
      </c>
      <c r="N51" s="4">
        <f t="shared" si="1"/>
        <v>0.86046511627906974</v>
      </c>
      <c r="O51" s="105">
        <f t="shared" si="2"/>
        <v>860</v>
      </c>
      <c r="P51" s="105">
        <f t="shared" si="3"/>
        <v>740</v>
      </c>
      <c r="Q51" s="110">
        <v>3</v>
      </c>
      <c r="R51" s="110">
        <v>2</v>
      </c>
      <c r="S51" s="110" t="s">
        <v>1244</v>
      </c>
      <c r="T51" s="5" t="s">
        <v>411</v>
      </c>
      <c r="U51" s="9"/>
    </row>
    <row r="52" spans="1:21" s="37" customFormat="1" ht="12" x14ac:dyDescent="0.3">
      <c r="A52" s="111" t="s">
        <v>1629</v>
      </c>
      <c r="B52" s="112" t="s">
        <v>1630</v>
      </c>
      <c r="C52" s="113">
        <v>770</v>
      </c>
      <c r="D52" s="104">
        <v>79.099999999999994</v>
      </c>
      <c r="E52" s="106">
        <v>24</v>
      </c>
      <c r="F52" s="104">
        <v>59.9</v>
      </c>
      <c r="G52" s="17">
        <v>18</v>
      </c>
      <c r="H52" s="107">
        <v>129</v>
      </c>
      <c r="I52" s="108">
        <v>21000</v>
      </c>
      <c r="J52" s="108" t="s">
        <v>1268</v>
      </c>
      <c r="K52" s="108">
        <v>17000</v>
      </c>
      <c r="L52" s="108" t="s">
        <v>1249</v>
      </c>
      <c r="M52" s="109">
        <f t="shared" si="0"/>
        <v>4000</v>
      </c>
      <c r="N52" s="4">
        <f t="shared" si="1"/>
        <v>0.80952380952380953</v>
      </c>
      <c r="O52" s="105">
        <f t="shared" si="2"/>
        <v>875</v>
      </c>
      <c r="P52" s="105">
        <f t="shared" si="3"/>
        <v>708.33333333333337</v>
      </c>
      <c r="Q52" s="110">
        <v>3</v>
      </c>
      <c r="R52" s="110">
        <v>1</v>
      </c>
      <c r="S52" s="110" t="s">
        <v>1244</v>
      </c>
      <c r="T52" s="5">
        <v>79</v>
      </c>
      <c r="U52" s="9"/>
    </row>
    <row r="53" spans="1:21" s="37" customFormat="1" ht="12" x14ac:dyDescent="0.3">
      <c r="A53" s="111" t="s">
        <v>1504</v>
      </c>
      <c r="B53" s="112" t="s">
        <v>1506</v>
      </c>
      <c r="C53" s="113">
        <v>351</v>
      </c>
      <c r="D53" s="104">
        <v>119.9</v>
      </c>
      <c r="E53" s="106">
        <v>36</v>
      </c>
      <c r="F53" s="104">
        <v>85</v>
      </c>
      <c r="G53" s="17">
        <v>26</v>
      </c>
      <c r="H53" s="107">
        <v>202</v>
      </c>
      <c r="I53" s="108">
        <v>20500</v>
      </c>
      <c r="J53" s="108" t="s">
        <v>1248</v>
      </c>
      <c r="K53" s="108">
        <v>19000</v>
      </c>
      <c r="L53" s="108" t="s">
        <v>1250</v>
      </c>
      <c r="M53" s="109">
        <f t="shared" si="0"/>
        <v>1500</v>
      </c>
      <c r="N53" s="4">
        <f t="shared" si="1"/>
        <v>0.92682926829268297</v>
      </c>
      <c r="O53" s="105">
        <f t="shared" si="2"/>
        <v>569.44444444444446</v>
      </c>
      <c r="P53" s="105">
        <f t="shared" si="3"/>
        <v>527.77777777777783</v>
      </c>
      <c r="Q53" s="110">
        <v>3</v>
      </c>
      <c r="R53" s="110">
        <v>2</v>
      </c>
      <c r="S53" s="110" t="s">
        <v>1241</v>
      </c>
      <c r="T53" s="5">
        <v>119</v>
      </c>
      <c r="U53" s="9"/>
    </row>
    <row r="54" spans="1:21" s="37" customFormat="1" ht="12" x14ac:dyDescent="0.3">
      <c r="A54" s="111" t="s">
        <v>1594</v>
      </c>
      <c r="B54" s="112" t="s">
        <v>1595</v>
      </c>
      <c r="C54" s="113">
        <v>657</v>
      </c>
      <c r="D54" s="104">
        <v>105.2</v>
      </c>
      <c r="E54" s="106">
        <v>32</v>
      </c>
      <c r="F54" s="104">
        <v>85</v>
      </c>
      <c r="G54" s="17">
        <v>26</v>
      </c>
      <c r="H54" s="107">
        <v>249</v>
      </c>
      <c r="I54" s="108">
        <v>20000</v>
      </c>
      <c r="J54" s="108" t="s">
        <v>1248</v>
      </c>
      <c r="K54" s="108">
        <v>18000</v>
      </c>
      <c r="L54" s="108" t="s">
        <v>1280</v>
      </c>
      <c r="M54" s="109">
        <f t="shared" si="0"/>
        <v>2000</v>
      </c>
      <c r="N54" s="4">
        <f t="shared" si="1"/>
        <v>0.9</v>
      </c>
      <c r="O54" s="105">
        <f t="shared" si="2"/>
        <v>625</v>
      </c>
      <c r="P54" s="105">
        <f t="shared" si="3"/>
        <v>562.5</v>
      </c>
      <c r="Q54" s="110">
        <v>3</v>
      </c>
      <c r="R54" s="110">
        <v>2</v>
      </c>
      <c r="S54" s="110" t="s">
        <v>1244</v>
      </c>
      <c r="T54" s="5">
        <v>105</v>
      </c>
      <c r="U54" s="9"/>
    </row>
    <row r="55" spans="1:21" s="37" customFormat="1" ht="12" x14ac:dyDescent="0.3">
      <c r="A55" s="111" t="s">
        <v>1377</v>
      </c>
      <c r="B55" s="112" t="s">
        <v>1378</v>
      </c>
      <c r="C55" s="113">
        <v>392</v>
      </c>
      <c r="D55" s="104">
        <v>87.1</v>
      </c>
      <c r="E55" s="106">
        <v>26</v>
      </c>
      <c r="F55" s="104">
        <v>59.6</v>
      </c>
      <c r="G55" s="17">
        <v>18</v>
      </c>
      <c r="H55" s="107">
        <v>392</v>
      </c>
      <c r="I55" s="108">
        <v>19800</v>
      </c>
      <c r="J55" s="108" t="s">
        <v>1262</v>
      </c>
      <c r="K55" s="108"/>
      <c r="L55" s="108"/>
      <c r="M55" s="109">
        <f t="shared" si="0"/>
        <v>19800</v>
      </c>
      <c r="N55" s="4">
        <f t="shared" si="1"/>
        <v>0</v>
      </c>
      <c r="O55" s="105">
        <f t="shared" si="2"/>
        <v>761.53846153846155</v>
      </c>
      <c r="P55" s="105">
        <f t="shared" si="3"/>
        <v>0</v>
      </c>
      <c r="Q55" s="110">
        <v>3</v>
      </c>
      <c r="R55" s="110">
        <v>2</v>
      </c>
      <c r="S55" s="110" t="s">
        <v>1244</v>
      </c>
      <c r="T55" s="5">
        <v>87</v>
      </c>
      <c r="U55" s="9"/>
    </row>
    <row r="56" spans="1:21" s="37" customFormat="1" ht="12" x14ac:dyDescent="0.3">
      <c r="A56" s="111" t="s">
        <v>1466</v>
      </c>
      <c r="B56" s="112" t="s">
        <v>1465</v>
      </c>
      <c r="C56" s="113">
        <v>636</v>
      </c>
      <c r="D56" s="104">
        <v>105.9</v>
      </c>
      <c r="E56" s="106">
        <v>32</v>
      </c>
      <c r="F56" s="104">
        <v>85</v>
      </c>
      <c r="G56" s="17">
        <v>26</v>
      </c>
      <c r="H56" s="107">
        <v>386</v>
      </c>
      <c r="I56" s="108">
        <v>19200</v>
      </c>
      <c r="J56" s="108" t="s">
        <v>1256</v>
      </c>
      <c r="K56" s="108"/>
      <c r="L56" s="108"/>
      <c r="M56" s="109">
        <f t="shared" si="0"/>
        <v>19200</v>
      </c>
      <c r="N56" s="4">
        <f t="shared" si="1"/>
        <v>0</v>
      </c>
      <c r="O56" s="105">
        <f t="shared" si="2"/>
        <v>600</v>
      </c>
      <c r="P56" s="105">
        <f t="shared" si="3"/>
        <v>0</v>
      </c>
      <c r="Q56" s="110">
        <v>3</v>
      </c>
      <c r="R56" s="110">
        <v>2</v>
      </c>
      <c r="S56" s="110" t="s">
        <v>1244</v>
      </c>
      <c r="T56" s="5">
        <v>105</v>
      </c>
      <c r="U56" s="9"/>
    </row>
    <row r="57" spans="1:21" s="37" customFormat="1" ht="12" x14ac:dyDescent="0.3">
      <c r="A57" s="111" t="s">
        <v>1596</v>
      </c>
      <c r="B57" s="112" t="s">
        <v>1597</v>
      </c>
      <c r="C57" s="113">
        <v>941</v>
      </c>
      <c r="D57" s="104">
        <v>111.5</v>
      </c>
      <c r="E57" s="106">
        <v>34</v>
      </c>
      <c r="F57" s="104">
        <v>84.7</v>
      </c>
      <c r="G57" s="17">
        <v>26</v>
      </c>
      <c r="H57" s="107">
        <v>729</v>
      </c>
      <c r="I57" s="108">
        <v>19000</v>
      </c>
      <c r="J57" s="108" t="s">
        <v>1247</v>
      </c>
      <c r="K57" s="108">
        <v>17000</v>
      </c>
      <c r="L57" s="108" t="s">
        <v>1287</v>
      </c>
      <c r="M57" s="109">
        <f t="shared" si="0"/>
        <v>2000</v>
      </c>
      <c r="N57" s="4">
        <f t="shared" si="1"/>
        <v>0.89473684210526316</v>
      </c>
      <c r="O57" s="105">
        <f t="shared" si="2"/>
        <v>558.82352941176475</v>
      </c>
      <c r="P57" s="105">
        <f t="shared" si="3"/>
        <v>500</v>
      </c>
      <c r="Q57" s="110">
        <v>3</v>
      </c>
      <c r="R57" s="110">
        <v>2</v>
      </c>
      <c r="S57" s="110" t="s">
        <v>1244</v>
      </c>
      <c r="T57" s="5" t="s">
        <v>709</v>
      </c>
      <c r="U57" s="9"/>
    </row>
    <row r="58" spans="1:21" s="37" customFormat="1" ht="12" x14ac:dyDescent="0.3">
      <c r="A58" s="111" t="s">
        <v>1413</v>
      </c>
      <c r="B58" s="112" t="s">
        <v>1414</v>
      </c>
      <c r="C58" s="113">
        <v>800</v>
      </c>
      <c r="D58" s="104">
        <v>54.1</v>
      </c>
      <c r="E58" s="106">
        <v>16</v>
      </c>
      <c r="F58" s="104">
        <v>54.1</v>
      </c>
      <c r="G58" s="17">
        <v>16</v>
      </c>
      <c r="H58" s="107">
        <v>115</v>
      </c>
      <c r="I58" s="108">
        <v>18000</v>
      </c>
      <c r="J58" s="108" t="s">
        <v>1268</v>
      </c>
      <c r="K58" s="108"/>
      <c r="L58" s="108"/>
      <c r="M58" s="109">
        <f t="shared" si="0"/>
        <v>18000</v>
      </c>
      <c r="N58" s="4">
        <f t="shared" si="1"/>
        <v>0</v>
      </c>
      <c r="O58" s="105">
        <f t="shared" si="2"/>
        <v>1125</v>
      </c>
      <c r="P58" s="105">
        <f t="shared" si="3"/>
        <v>0</v>
      </c>
      <c r="Q58" s="110">
        <v>2</v>
      </c>
      <c r="R58" s="110">
        <v>1</v>
      </c>
      <c r="S58" s="110" t="s">
        <v>1244</v>
      </c>
      <c r="T58" s="5" t="s">
        <v>335</v>
      </c>
      <c r="U58" s="9"/>
    </row>
    <row r="59" spans="1:21" s="37" customFormat="1" ht="12" x14ac:dyDescent="0.3">
      <c r="A59" s="111" t="s">
        <v>1422</v>
      </c>
      <c r="B59" s="112" t="s">
        <v>1423</v>
      </c>
      <c r="C59" s="113">
        <v>420</v>
      </c>
      <c r="D59" s="104">
        <v>112.4</v>
      </c>
      <c r="E59" s="106">
        <v>34</v>
      </c>
      <c r="F59" s="104">
        <v>92.3</v>
      </c>
      <c r="G59" s="17">
        <v>28</v>
      </c>
      <c r="H59" s="107">
        <v>270</v>
      </c>
      <c r="I59" s="108">
        <v>18000</v>
      </c>
      <c r="J59" s="108" t="s">
        <v>1255</v>
      </c>
      <c r="K59" s="108"/>
      <c r="L59" s="108"/>
      <c r="M59" s="109">
        <f t="shared" si="0"/>
        <v>18000</v>
      </c>
      <c r="N59" s="4">
        <f t="shared" si="1"/>
        <v>0</v>
      </c>
      <c r="O59" s="105">
        <f t="shared" si="2"/>
        <v>529.41176470588232</v>
      </c>
      <c r="P59" s="105">
        <f t="shared" si="3"/>
        <v>0</v>
      </c>
      <c r="Q59" s="110">
        <v>3</v>
      </c>
      <c r="R59" s="110">
        <v>2</v>
      </c>
      <c r="S59" s="110" t="s">
        <v>1244</v>
      </c>
      <c r="T59" s="5">
        <v>112</v>
      </c>
      <c r="U59" s="9"/>
    </row>
    <row r="60" spans="1:21" s="37" customFormat="1" ht="12" x14ac:dyDescent="0.3">
      <c r="A60" s="111" t="s">
        <v>1590</v>
      </c>
      <c r="B60" s="112" t="s">
        <v>1591</v>
      </c>
      <c r="C60" s="113">
        <v>570</v>
      </c>
      <c r="D60" s="104">
        <v>71.8</v>
      </c>
      <c r="E60" s="106">
        <v>22</v>
      </c>
      <c r="F60" s="104">
        <v>49.9</v>
      </c>
      <c r="G60" s="17">
        <v>15</v>
      </c>
      <c r="H60" s="107">
        <v>104</v>
      </c>
      <c r="I60" s="108">
        <v>18000</v>
      </c>
      <c r="J60" s="108" t="s">
        <v>1253</v>
      </c>
      <c r="K60" s="108">
        <v>16000</v>
      </c>
      <c r="L60" s="108" t="s">
        <v>1272</v>
      </c>
      <c r="M60" s="109">
        <f t="shared" si="0"/>
        <v>2000</v>
      </c>
      <c r="N60" s="4">
        <f t="shared" si="1"/>
        <v>0.88888888888888884</v>
      </c>
      <c r="O60" s="105">
        <f t="shared" si="2"/>
        <v>818.18181818181813</v>
      </c>
      <c r="P60" s="105">
        <f t="shared" si="3"/>
        <v>727.27272727272725</v>
      </c>
      <c r="Q60" s="110">
        <v>2</v>
      </c>
      <c r="R60" s="110">
        <v>1</v>
      </c>
      <c r="S60" s="110" t="s">
        <v>1244</v>
      </c>
      <c r="T60" s="5">
        <v>71</v>
      </c>
      <c r="U60" s="9"/>
    </row>
    <row r="61" spans="1:21" s="37" customFormat="1" ht="12" x14ac:dyDescent="0.3">
      <c r="A61" s="111" t="s">
        <v>1411</v>
      </c>
      <c r="B61" s="112" t="s">
        <v>1412</v>
      </c>
      <c r="C61" s="113">
        <v>800</v>
      </c>
      <c r="D61" s="104">
        <v>53.6</v>
      </c>
      <c r="E61" s="106">
        <v>16</v>
      </c>
      <c r="F61" s="104">
        <v>48.6</v>
      </c>
      <c r="G61" s="17">
        <v>15</v>
      </c>
      <c r="H61" s="107">
        <v>136</v>
      </c>
      <c r="I61" s="108">
        <v>17500</v>
      </c>
      <c r="J61" s="108" t="s">
        <v>1268</v>
      </c>
      <c r="K61" s="108"/>
      <c r="L61" s="108"/>
      <c r="M61" s="109">
        <f t="shared" si="0"/>
        <v>17500</v>
      </c>
      <c r="N61" s="4">
        <f t="shared" si="1"/>
        <v>0</v>
      </c>
      <c r="O61" s="105">
        <f t="shared" si="2"/>
        <v>1093.75</v>
      </c>
      <c r="P61" s="105">
        <f t="shared" si="3"/>
        <v>0</v>
      </c>
      <c r="Q61" s="110">
        <v>2</v>
      </c>
      <c r="R61" s="110">
        <v>1</v>
      </c>
      <c r="S61" s="110" t="s">
        <v>1244</v>
      </c>
      <c r="T61" s="5" t="s">
        <v>334</v>
      </c>
      <c r="U61" s="9"/>
    </row>
    <row r="62" spans="1:21" s="37" customFormat="1" ht="12" x14ac:dyDescent="0.3">
      <c r="A62" s="111" t="s">
        <v>1592</v>
      </c>
      <c r="B62" s="112" t="s">
        <v>1593</v>
      </c>
      <c r="C62" s="113">
        <v>657</v>
      </c>
      <c r="D62" s="104">
        <v>96.4</v>
      </c>
      <c r="E62" s="106">
        <v>29</v>
      </c>
      <c r="F62" s="104">
        <v>75.2</v>
      </c>
      <c r="G62" s="17">
        <v>23</v>
      </c>
      <c r="H62" s="107">
        <v>136</v>
      </c>
      <c r="I62" s="108">
        <v>17500</v>
      </c>
      <c r="J62" s="108" t="s">
        <v>1248</v>
      </c>
      <c r="K62" s="108"/>
      <c r="L62" s="108"/>
      <c r="M62" s="109">
        <f t="shared" si="0"/>
        <v>17500</v>
      </c>
      <c r="N62" s="4">
        <f t="shared" si="1"/>
        <v>0</v>
      </c>
      <c r="O62" s="105">
        <f t="shared" si="2"/>
        <v>603.44827586206895</v>
      </c>
      <c r="P62" s="105">
        <f t="shared" si="3"/>
        <v>0</v>
      </c>
      <c r="Q62" s="110">
        <v>3</v>
      </c>
      <c r="R62" s="110">
        <v>1</v>
      </c>
      <c r="S62" s="110" t="s">
        <v>1244</v>
      </c>
      <c r="T62" s="5">
        <v>96</v>
      </c>
      <c r="U62" s="9"/>
    </row>
    <row r="63" spans="1:21" s="37" customFormat="1" ht="12" x14ac:dyDescent="0.3">
      <c r="A63" s="111" t="s">
        <v>1379</v>
      </c>
      <c r="B63" s="112" t="s">
        <v>1380</v>
      </c>
      <c r="C63" s="113">
        <v>336</v>
      </c>
      <c r="D63" s="104">
        <v>103</v>
      </c>
      <c r="E63" s="106">
        <v>31</v>
      </c>
      <c r="F63" s="104">
        <v>84.8</v>
      </c>
      <c r="G63" s="17">
        <v>26</v>
      </c>
      <c r="H63" s="107">
        <v>120</v>
      </c>
      <c r="I63" s="108">
        <v>17300</v>
      </c>
      <c r="J63" s="108" t="s">
        <v>1245</v>
      </c>
      <c r="K63" s="108"/>
      <c r="L63" s="108"/>
      <c r="M63" s="109">
        <f t="shared" si="0"/>
        <v>17300</v>
      </c>
      <c r="N63" s="4">
        <f t="shared" si="1"/>
        <v>0</v>
      </c>
      <c r="O63" s="105">
        <f t="shared" si="2"/>
        <v>558.06451612903231</v>
      </c>
      <c r="P63" s="105">
        <f t="shared" si="3"/>
        <v>0</v>
      </c>
      <c r="Q63" s="110">
        <v>3</v>
      </c>
      <c r="R63" s="110">
        <v>2</v>
      </c>
      <c r="S63" s="110" t="s">
        <v>1244</v>
      </c>
      <c r="T63" s="5">
        <v>103</v>
      </c>
      <c r="U63" s="9"/>
    </row>
    <row r="64" spans="1:21" s="37" customFormat="1" ht="12" x14ac:dyDescent="0.3">
      <c r="A64" s="111" t="s">
        <v>1469</v>
      </c>
      <c r="B64" s="112" t="s">
        <v>1470</v>
      </c>
      <c r="C64" s="113">
        <v>670</v>
      </c>
      <c r="D64" s="104">
        <v>107.4</v>
      </c>
      <c r="E64" s="106">
        <v>32</v>
      </c>
      <c r="F64" s="104">
        <v>85</v>
      </c>
      <c r="G64" s="17">
        <v>26</v>
      </c>
      <c r="H64" s="107">
        <v>422</v>
      </c>
      <c r="I64" s="108">
        <v>17200</v>
      </c>
      <c r="J64" s="108" t="s">
        <v>1287</v>
      </c>
      <c r="K64" s="108"/>
      <c r="L64" s="108"/>
      <c r="M64" s="109">
        <f t="shared" si="0"/>
        <v>17200</v>
      </c>
      <c r="N64" s="4">
        <f t="shared" si="1"/>
        <v>0</v>
      </c>
      <c r="O64" s="105">
        <f t="shared" si="2"/>
        <v>537.5</v>
      </c>
      <c r="P64" s="105">
        <f t="shared" si="3"/>
        <v>0</v>
      </c>
      <c r="Q64" s="110">
        <v>3</v>
      </c>
      <c r="R64" s="110">
        <v>2</v>
      </c>
      <c r="S64" s="110" t="s">
        <v>1244</v>
      </c>
      <c r="T64" s="5">
        <v>107</v>
      </c>
      <c r="U64" s="9"/>
    </row>
    <row r="65" spans="1:21" s="37" customFormat="1" ht="12" x14ac:dyDescent="0.3">
      <c r="A65" s="111" t="s">
        <v>1407</v>
      </c>
      <c r="B65" s="112" t="s">
        <v>1359</v>
      </c>
      <c r="C65" s="113">
        <v>345</v>
      </c>
      <c r="D65" s="104">
        <v>120.2</v>
      </c>
      <c r="E65" s="106">
        <v>36</v>
      </c>
      <c r="F65" s="104">
        <v>100</v>
      </c>
      <c r="G65" s="17">
        <v>30</v>
      </c>
      <c r="H65" s="107">
        <v>270</v>
      </c>
      <c r="I65" s="108">
        <v>17000</v>
      </c>
      <c r="J65" s="108" t="s">
        <v>1272</v>
      </c>
      <c r="K65" s="108"/>
      <c r="L65" s="108"/>
      <c r="M65" s="109">
        <f t="shared" si="0"/>
        <v>17000</v>
      </c>
      <c r="N65" s="4">
        <f t="shared" si="1"/>
        <v>0</v>
      </c>
      <c r="O65" s="105">
        <f t="shared" si="2"/>
        <v>472.22222222222223</v>
      </c>
      <c r="P65" s="105">
        <f t="shared" si="3"/>
        <v>0</v>
      </c>
      <c r="Q65" s="110">
        <v>3</v>
      </c>
      <c r="R65" s="110">
        <v>2</v>
      </c>
      <c r="S65" s="110" t="s">
        <v>1244</v>
      </c>
      <c r="T65" s="5">
        <v>120</v>
      </c>
      <c r="U65" s="9"/>
    </row>
    <row r="66" spans="1:21" s="37" customFormat="1" ht="12" x14ac:dyDescent="0.3">
      <c r="A66" s="111" t="s">
        <v>1634</v>
      </c>
      <c r="B66" s="112" t="s">
        <v>1633</v>
      </c>
      <c r="C66" s="113">
        <v>306</v>
      </c>
      <c r="D66" s="104">
        <v>104.6</v>
      </c>
      <c r="E66" s="106">
        <v>32</v>
      </c>
      <c r="F66" s="104">
        <v>85</v>
      </c>
      <c r="G66" s="17">
        <v>26</v>
      </c>
      <c r="H66" s="107">
        <v>132</v>
      </c>
      <c r="I66" s="108">
        <v>16800</v>
      </c>
      <c r="J66" s="108" t="s">
        <v>1287</v>
      </c>
      <c r="K66" s="108"/>
      <c r="L66" s="108"/>
      <c r="M66" s="109">
        <f t="shared" si="0"/>
        <v>16800</v>
      </c>
      <c r="N66" s="4">
        <f t="shared" si="1"/>
        <v>0</v>
      </c>
      <c r="O66" s="105">
        <f t="shared" si="2"/>
        <v>525</v>
      </c>
      <c r="P66" s="105">
        <f t="shared" si="3"/>
        <v>0</v>
      </c>
      <c r="Q66" s="110">
        <v>3</v>
      </c>
      <c r="R66" s="110">
        <v>2</v>
      </c>
      <c r="S66" s="110" t="s">
        <v>1244</v>
      </c>
      <c r="T66" s="5">
        <v>104</v>
      </c>
      <c r="U66" s="9"/>
    </row>
    <row r="67" spans="1:21" s="37" customFormat="1" ht="12" x14ac:dyDescent="0.3">
      <c r="A67" s="111" t="s">
        <v>1653</v>
      </c>
      <c r="B67" s="112" t="s">
        <v>1652</v>
      </c>
      <c r="C67" s="113">
        <v>560</v>
      </c>
      <c r="D67" s="104">
        <v>103.9</v>
      </c>
      <c r="E67" s="106">
        <v>31</v>
      </c>
      <c r="F67" s="104">
        <v>85</v>
      </c>
      <c r="G67" s="17">
        <v>26</v>
      </c>
      <c r="H67" s="107">
        <v>420</v>
      </c>
      <c r="I67" s="108">
        <v>16500</v>
      </c>
      <c r="J67" s="108" t="s">
        <v>1251</v>
      </c>
      <c r="K67" s="108"/>
      <c r="L67" s="108"/>
      <c r="M67" s="109">
        <f t="shared" si="0"/>
        <v>16500</v>
      </c>
      <c r="N67" s="4">
        <f t="shared" si="1"/>
        <v>0</v>
      </c>
      <c r="O67" s="105">
        <f t="shared" si="2"/>
        <v>532.25806451612902</v>
      </c>
      <c r="P67" s="105">
        <f t="shared" si="3"/>
        <v>0</v>
      </c>
      <c r="Q67" s="110">
        <v>3</v>
      </c>
      <c r="R67" s="110">
        <v>2</v>
      </c>
      <c r="S67" s="110" t="s">
        <v>1244</v>
      </c>
      <c r="T67" s="5">
        <v>103</v>
      </c>
      <c r="U67" s="9"/>
    </row>
    <row r="68" spans="1:21" s="37" customFormat="1" ht="12" x14ac:dyDescent="0.3">
      <c r="A68" s="111" t="s">
        <v>1410</v>
      </c>
      <c r="B68" s="112" t="s">
        <v>1359</v>
      </c>
      <c r="C68" s="113">
        <v>490</v>
      </c>
      <c r="D68" s="104">
        <v>103.8</v>
      </c>
      <c r="E68" s="106">
        <v>31</v>
      </c>
      <c r="F68" s="104">
        <v>85</v>
      </c>
      <c r="G68" s="17">
        <v>26</v>
      </c>
      <c r="H68" s="107">
        <v>228</v>
      </c>
      <c r="I68" s="108">
        <v>15700</v>
      </c>
      <c r="J68" s="108" t="s">
        <v>1245</v>
      </c>
      <c r="K68" s="108">
        <v>14500</v>
      </c>
      <c r="L68" s="108" t="s">
        <v>1272</v>
      </c>
      <c r="M68" s="109">
        <f t="shared" ref="M68:M131" si="4">I68-K68</f>
        <v>1200</v>
      </c>
      <c r="N68" s="4">
        <f t="shared" ref="N68:N131" si="5">IF(ISERROR(K68/I68),"",K68/I68)</f>
        <v>0.92356687898089174</v>
      </c>
      <c r="O68" s="105">
        <f t="shared" ref="O68:O131" si="6">I68/E68</f>
        <v>506.45161290322579</v>
      </c>
      <c r="P68" s="105">
        <f t="shared" ref="P68:P131" si="7">K68/E68</f>
        <v>467.74193548387098</v>
      </c>
      <c r="Q68" s="110">
        <v>3</v>
      </c>
      <c r="R68" s="110">
        <v>2</v>
      </c>
      <c r="S68" s="110" t="s">
        <v>1244</v>
      </c>
      <c r="T68" s="5">
        <v>103</v>
      </c>
      <c r="U68" s="9"/>
    </row>
    <row r="69" spans="1:21" s="37" customFormat="1" ht="12" x14ac:dyDescent="0.3">
      <c r="A69" s="111" t="s">
        <v>1472</v>
      </c>
      <c r="B69" s="112" t="s">
        <v>1473</v>
      </c>
      <c r="C69" s="113">
        <v>572</v>
      </c>
      <c r="D69" s="104">
        <v>104.5</v>
      </c>
      <c r="E69" s="106">
        <v>32</v>
      </c>
      <c r="F69" s="104">
        <v>84.8</v>
      </c>
      <c r="G69" s="17">
        <v>26</v>
      </c>
      <c r="H69" s="107">
        <v>286</v>
      </c>
      <c r="I69" s="108">
        <v>15500</v>
      </c>
      <c r="J69" s="108" t="s">
        <v>1280</v>
      </c>
      <c r="K69" s="108"/>
      <c r="L69" s="108"/>
      <c r="M69" s="109">
        <f t="shared" si="4"/>
        <v>15500</v>
      </c>
      <c r="N69" s="4">
        <f t="shared" si="5"/>
        <v>0</v>
      </c>
      <c r="O69" s="105">
        <f t="shared" si="6"/>
        <v>484.375</v>
      </c>
      <c r="P69" s="105">
        <f t="shared" si="7"/>
        <v>0</v>
      </c>
      <c r="Q69" s="110">
        <v>3</v>
      </c>
      <c r="R69" s="110">
        <v>2</v>
      </c>
      <c r="S69" s="110" t="s">
        <v>1244</v>
      </c>
      <c r="T69" s="5">
        <v>104</v>
      </c>
      <c r="U69" s="9"/>
    </row>
    <row r="70" spans="1:21" s="37" customFormat="1" ht="12" x14ac:dyDescent="0.3">
      <c r="A70" s="111" t="s">
        <v>1507</v>
      </c>
      <c r="B70" s="112" t="s">
        <v>1508</v>
      </c>
      <c r="C70" s="113">
        <v>499</v>
      </c>
      <c r="D70" s="104">
        <v>80.099999999999994</v>
      </c>
      <c r="E70" s="106">
        <v>24</v>
      </c>
      <c r="F70" s="104">
        <v>60</v>
      </c>
      <c r="G70" s="17">
        <v>18</v>
      </c>
      <c r="H70" s="107">
        <v>139</v>
      </c>
      <c r="I70" s="108">
        <v>15500</v>
      </c>
      <c r="J70" s="108" t="s">
        <v>1272</v>
      </c>
      <c r="K70" s="108">
        <v>14000</v>
      </c>
      <c r="L70" s="108" t="s">
        <v>1253</v>
      </c>
      <c r="M70" s="109">
        <f t="shared" si="4"/>
        <v>1500</v>
      </c>
      <c r="N70" s="4">
        <f t="shared" si="5"/>
        <v>0.90322580645161288</v>
      </c>
      <c r="O70" s="105">
        <f t="shared" si="6"/>
        <v>645.83333333333337</v>
      </c>
      <c r="P70" s="105">
        <f t="shared" si="7"/>
        <v>583.33333333333337</v>
      </c>
      <c r="Q70" s="110">
        <v>3</v>
      </c>
      <c r="R70" s="110">
        <v>1</v>
      </c>
      <c r="S70" s="110" t="s">
        <v>1244</v>
      </c>
      <c r="T70" s="5">
        <v>80</v>
      </c>
      <c r="U70" s="9"/>
    </row>
    <row r="71" spans="1:21" s="37" customFormat="1" ht="12" x14ac:dyDescent="0.3">
      <c r="A71" s="111" t="s">
        <v>1441</v>
      </c>
      <c r="B71" s="112" t="s">
        <v>1442</v>
      </c>
      <c r="C71" s="113">
        <v>479</v>
      </c>
      <c r="D71" s="104">
        <v>105.3</v>
      </c>
      <c r="E71" s="106">
        <v>32</v>
      </c>
      <c r="F71" s="104">
        <v>85</v>
      </c>
      <c r="G71" s="17">
        <v>26</v>
      </c>
      <c r="H71" s="107">
        <v>199</v>
      </c>
      <c r="I71" s="108">
        <v>14500</v>
      </c>
      <c r="J71" s="108" t="s">
        <v>1272</v>
      </c>
      <c r="K71" s="108"/>
      <c r="L71" s="108"/>
      <c r="M71" s="109">
        <f t="shared" si="4"/>
        <v>14500</v>
      </c>
      <c r="N71" s="4">
        <f t="shared" si="5"/>
        <v>0</v>
      </c>
      <c r="O71" s="105">
        <f t="shared" si="6"/>
        <v>453.125</v>
      </c>
      <c r="P71" s="105">
        <f t="shared" si="7"/>
        <v>0</v>
      </c>
      <c r="Q71" s="110">
        <v>3</v>
      </c>
      <c r="R71" s="110">
        <v>2</v>
      </c>
      <c r="S71" s="110" t="s">
        <v>1244</v>
      </c>
      <c r="T71" s="5">
        <v>105</v>
      </c>
      <c r="U71" s="9"/>
    </row>
    <row r="72" spans="1:21" s="37" customFormat="1" ht="12" x14ac:dyDescent="0.3">
      <c r="A72" s="111" t="s">
        <v>1416</v>
      </c>
      <c r="B72" s="112" t="s">
        <v>1417</v>
      </c>
      <c r="C72" s="113">
        <v>437</v>
      </c>
      <c r="D72" s="104">
        <v>78</v>
      </c>
      <c r="E72" s="106">
        <v>24</v>
      </c>
      <c r="F72" s="104">
        <v>59.9</v>
      </c>
      <c r="G72" s="17">
        <v>18</v>
      </c>
      <c r="H72" s="107">
        <v>155</v>
      </c>
      <c r="I72" s="108">
        <v>14200</v>
      </c>
      <c r="J72" s="108" t="s">
        <v>1268</v>
      </c>
      <c r="K72" s="108">
        <v>13000</v>
      </c>
      <c r="L72" s="108" t="s">
        <v>1256</v>
      </c>
      <c r="M72" s="109">
        <f t="shared" si="4"/>
        <v>1200</v>
      </c>
      <c r="N72" s="4">
        <f t="shared" si="5"/>
        <v>0.91549295774647887</v>
      </c>
      <c r="O72" s="105">
        <f t="shared" si="6"/>
        <v>591.66666666666663</v>
      </c>
      <c r="P72" s="105">
        <f t="shared" si="7"/>
        <v>541.66666666666663</v>
      </c>
      <c r="Q72" s="110">
        <v>3</v>
      </c>
      <c r="R72" s="110">
        <v>2</v>
      </c>
      <c r="S72" s="110" t="s">
        <v>1244</v>
      </c>
      <c r="T72" s="5">
        <v>77</v>
      </c>
      <c r="U72" s="9"/>
    </row>
    <row r="73" spans="1:21" s="37" customFormat="1" ht="12" x14ac:dyDescent="0.3">
      <c r="A73" s="111" t="s">
        <v>1464</v>
      </c>
      <c r="B73" s="112" t="s">
        <v>1465</v>
      </c>
      <c r="C73" s="113">
        <v>636</v>
      </c>
      <c r="D73" s="104">
        <v>74.8</v>
      </c>
      <c r="E73" s="106">
        <v>23</v>
      </c>
      <c r="F73" s="104">
        <v>60</v>
      </c>
      <c r="G73" s="17">
        <v>18</v>
      </c>
      <c r="H73" s="107">
        <v>64</v>
      </c>
      <c r="I73" s="108">
        <v>14200</v>
      </c>
      <c r="J73" s="108" t="s">
        <v>1245</v>
      </c>
      <c r="K73" s="108"/>
      <c r="L73" s="108"/>
      <c r="M73" s="109">
        <f t="shared" si="4"/>
        <v>14200</v>
      </c>
      <c r="N73" s="4">
        <f t="shared" si="5"/>
        <v>0</v>
      </c>
      <c r="O73" s="105">
        <f t="shared" si="6"/>
        <v>617.39130434782612</v>
      </c>
      <c r="P73" s="105">
        <f t="shared" si="7"/>
        <v>0</v>
      </c>
      <c r="Q73" s="110">
        <v>3</v>
      </c>
      <c r="R73" s="110">
        <v>1</v>
      </c>
      <c r="S73" s="110" t="s">
        <v>1244</v>
      </c>
      <c r="T73" s="5">
        <v>74</v>
      </c>
      <c r="U73" s="9"/>
    </row>
    <row r="74" spans="1:21" s="37" customFormat="1" ht="12" x14ac:dyDescent="0.3">
      <c r="A74" s="111" t="s">
        <v>1381</v>
      </c>
      <c r="B74" s="112" t="s">
        <v>1382</v>
      </c>
      <c r="C74" s="113">
        <v>899</v>
      </c>
      <c r="D74" s="104">
        <v>105.9</v>
      </c>
      <c r="E74" s="106">
        <v>32</v>
      </c>
      <c r="F74" s="104">
        <v>84.7</v>
      </c>
      <c r="G74" s="17">
        <v>26</v>
      </c>
      <c r="H74" s="107">
        <v>377</v>
      </c>
      <c r="I74" s="108">
        <v>14000</v>
      </c>
      <c r="J74" s="108" t="s">
        <v>1251</v>
      </c>
      <c r="K74" s="108">
        <v>12000</v>
      </c>
      <c r="L74" s="108" t="s">
        <v>1265</v>
      </c>
      <c r="M74" s="109">
        <f t="shared" si="4"/>
        <v>2000</v>
      </c>
      <c r="N74" s="4">
        <f t="shared" si="5"/>
        <v>0.8571428571428571</v>
      </c>
      <c r="O74" s="105">
        <f t="shared" si="6"/>
        <v>437.5</v>
      </c>
      <c r="P74" s="105">
        <f t="shared" si="7"/>
        <v>375</v>
      </c>
      <c r="Q74" s="110">
        <v>3</v>
      </c>
      <c r="R74" s="110">
        <v>2</v>
      </c>
      <c r="S74" s="110" t="s">
        <v>1244</v>
      </c>
      <c r="T74" s="5">
        <v>105</v>
      </c>
      <c r="U74" s="9"/>
    </row>
    <row r="75" spans="1:21" s="37" customFormat="1" ht="12" x14ac:dyDescent="0.3">
      <c r="A75" s="111" t="s">
        <v>1408</v>
      </c>
      <c r="B75" s="112" t="s">
        <v>1409</v>
      </c>
      <c r="C75" s="113">
        <v>930</v>
      </c>
      <c r="D75" s="104">
        <v>101.7</v>
      </c>
      <c r="E75" s="106">
        <v>31</v>
      </c>
      <c r="F75" s="104">
        <v>84.8</v>
      </c>
      <c r="G75" s="17">
        <v>26</v>
      </c>
      <c r="H75" s="107">
        <v>600</v>
      </c>
      <c r="I75" s="108">
        <v>14000</v>
      </c>
      <c r="J75" s="108" t="s">
        <v>1248</v>
      </c>
      <c r="K75" s="108">
        <v>12000</v>
      </c>
      <c r="L75" s="108" t="s">
        <v>1248</v>
      </c>
      <c r="M75" s="109">
        <f t="shared" si="4"/>
        <v>2000</v>
      </c>
      <c r="N75" s="4">
        <f t="shared" si="5"/>
        <v>0.8571428571428571</v>
      </c>
      <c r="O75" s="105">
        <f t="shared" si="6"/>
        <v>451.61290322580646</v>
      </c>
      <c r="P75" s="105">
        <f t="shared" si="7"/>
        <v>387.09677419354841</v>
      </c>
      <c r="Q75" s="110">
        <v>3</v>
      </c>
      <c r="R75" s="110">
        <v>2</v>
      </c>
      <c r="S75" s="110" t="s">
        <v>1244</v>
      </c>
      <c r="T75" s="5">
        <v>101</v>
      </c>
      <c r="U75" s="9"/>
    </row>
    <row r="76" spans="1:21" s="37" customFormat="1" ht="12" x14ac:dyDescent="0.3">
      <c r="A76" s="111" t="s">
        <v>1585</v>
      </c>
      <c r="B76" s="112" t="s">
        <v>1409</v>
      </c>
      <c r="C76" s="113">
        <v>660</v>
      </c>
      <c r="D76" s="104">
        <v>105</v>
      </c>
      <c r="E76" s="106">
        <v>32</v>
      </c>
      <c r="F76" s="104">
        <v>84.8</v>
      </c>
      <c r="G76" s="17">
        <v>26</v>
      </c>
      <c r="H76" s="107">
        <v>240</v>
      </c>
      <c r="I76" s="108">
        <v>14000</v>
      </c>
      <c r="J76" s="108" t="s">
        <v>1253</v>
      </c>
      <c r="K76" s="108">
        <v>10500</v>
      </c>
      <c r="L76" s="108" t="s">
        <v>1255</v>
      </c>
      <c r="M76" s="109">
        <f t="shared" si="4"/>
        <v>3500</v>
      </c>
      <c r="N76" s="4">
        <f t="shared" si="5"/>
        <v>0.75</v>
      </c>
      <c r="O76" s="105">
        <f t="shared" si="6"/>
        <v>437.5</v>
      </c>
      <c r="P76" s="105">
        <f t="shared" si="7"/>
        <v>328.125</v>
      </c>
      <c r="Q76" s="110">
        <v>3</v>
      </c>
      <c r="R76" s="110">
        <v>2</v>
      </c>
      <c r="S76" s="110" t="s">
        <v>1241</v>
      </c>
      <c r="T76" s="5">
        <v>105</v>
      </c>
      <c r="U76" s="9"/>
    </row>
    <row r="77" spans="1:21" s="37" customFormat="1" ht="12" x14ac:dyDescent="0.3">
      <c r="A77" s="111" t="s">
        <v>1402</v>
      </c>
      <c r="B77" s="112" t="s">
        <v>1403</v>
      </c>
      <c r="C77" s="113">
        <v>460</v>
      </c>
      <c r="D77" s="104">
        <v>106</v>
      </c>
      <c r="E77" s="106">
        <v>32</v>
      </c>
      <c r="F77" s="104">
        <v>84.8</v>
      </c>
      <c r="G77" s="17">
        <v>26</v>
      </c>
      <c r="H77" s="107">
        <v>278</v>
      </c>
      <c r="I77" s="108">
        <v>13800</v>
      </c>
      <c r="J77" s="108" t="s">
        <v>1271</v>
      </c>
      <c r="K77" s="108"/>
      <c r="L77" s="108"/>
      <c r="M77" s="109">
        <f t="shared" si="4"/>
        <v>13800</v>
      </c>
      <c r="N77" s="4">
        <f t="shared" si="5"/>
        <v>0</v>
      </c>
      <c r="O77" s="105">
        <f t="shared" si="6"/>
        <v>431.25</v>
      </c>
      <c r="P77" s="105">
        <f t="shared" si="7"/>
        <v>0</v>
      </c>
      <c r="Q77" s="110">
        <v>3</v>
      </c>
      <c r="R77" s="110">
        <v>2</v>
      </c>
      <c r="S77" s="110" t="s">
        <v>1244</v>
      </c>
      <c r="T77" s="5">
        <v>105</v>
      </c>
      <c r="U77" s="9"/>
    </row>
    <row r="78" spans="1:21" s="37" customFormat="1" ht="12" x14ac:dyDescent="0.3">
      <c r="A78" s="111" t="s">
        <v>1431</v>
      </c>
      <c r="B78" s="112" t="s">
        <v>1432</v>
      </c>
      <c r="C78" s="113">
        <v>420</v>
      </c>
      <c r="D78" s="104">
        <v>105.9</v>
      </c>
      <c r="E78" s="106">
        <v>32</v>
      </c>
      <c r="F78" s="104">
        <v>84.8</v>
      </c>
      <c r="G78" s="17">
        <v>26</v>
      </c>
      <c r="H78" s="107">
        <v>182</v>
      </c>
      <c r="I78" s="108">
        <v>13500</v>
      </c>
      <c r="J78" s="108" t="s">
        <v>1251</v>
      </c>
      <c r="K78" s="108"/>
      <c r="L78" s="108"/>
      <c r="M78" s="109">
        <f t="shared" si="4"/>
        <v>13500</v>
      </c>
      <c r="N78" s="4">
        <f t="shared" si="5"/>
        <v>0</v>
      </c>
      <c r="O78" s="105">
        <f t="shared" si="6"/>
        <v>421.875</v>
      </c>
      <c r="P78" s="105">
        <f t="shared" si="7"/>
        <v>0</v>
      </c>
      <c r="Q78" s="110">
        <v>3</v>
      </c>
      <c r="R78" s="110">
        <v>2</v>
      </c>
      <c r="S78" s="110" t="s">
        <v>1244</v>
      </c>
      <c r="T78" s="5">
        <v>105</v>
      </c>
      <c r="U78" s="9"/>
    </row>
    <row r="79" spans="1:21" s="37" customFormat="1" ht="12" x14ac:dyDescent="0.3">
      <c r="A79" s="111" t="s">
        <v>1484</v>
      </c>
      <c r="B79" s="112" t="s">
        <v>1485</v>
      </c>
      <c r="C79" s="113">
        <v>716</v>
      </c>
      <c r="D79" s="104">
        <v>104</v>
      </c>
      <c r="E79" s="106">
        <v>31</v>
      </c>
      <c r="F79" s="104">
        <v>84.9</v>
      </c>
      <c r="G79" s="17">
        <v>26</v>
      </c>
      <c r="H79" s="107">
        <v>462</v>
      </c>
      <c r="I79" s="108">
        <v>13500</v>
      </c>
      <c r="J79" s="108" t="s">
        <v>1251</v>
      </c>
      <c r="K79" s="108">
        <v>14000</v>
      </c>
      <c r="L79" s="108" t="s">
        <v>1280</v>
      </c>
      <c r="M79" s="109">
        <f t="shared" si="4"/>
        <v>-500</v>
      </c>
      <c r="N79" s="4">
        <f t="shared" si="5"/>
        <v>1.037037037037037</v>
      </c>
      <c r="O79" s="105">
        <f t="shared" si="6"/>
        <v>435.48387096774195</v>
      </c>
      <c r="P79" s="105">
        <f t="shared" si="7"/>
        <v>451.61290322580646</v>
      </c>
      <c r="Q79" s="110">
        <v>3</v>
      </c>
      <c r="R79" s="110">
        <v>2</v>
      </c>
      <c r="S79" s="110" t="s">
        <v>1244</v>
      </c>
      <c r="T79" s="5">
        <v>104</v>
      </c>
      <c r="U79" s="9"/>
    </row>
    <row r="80" spans="1:21" s="37" customFormat="1" ht="12" x14ac:dyDescent="0.3">
      <c r="A80" s="111" t="s">
        <v>1364</v>
      </c>
      <c r="B80" s="112" t="s">
        <v>1365</v>
      </c>
      <c r="C80" s="113">
        <v>1084</v>
      </c>
      <c r="D80" s="104">
        <v>102.5</v>
      </c>
      <c r="E80" s="106">
        <v>31</v>
      </c>
      <c r="F80" s="104">
        <v>84.9</v>
      </c>
      <c r="G80" s="17">
        <v>26</v>
      </c>
      <c r="H80" s="107">
        <v>537</v>
      </c>
      <c r="I80" s="108">
        <v>13200</v>
      </c>
      <c r="J80" s="108" t="s">
        <v>1256</v>
      </c>
      <c r="K80" s="108"/>
      <c r="L80" s="108"/>
      <c r="M80" s="109">
        <f t="shared" si="4"/>
        <v>13200</v>
      </c>
      <c r="N80" s="4">
        <f t="shared" si="5"/>
        <v>0</v>
      </c>
      <c r="O80" s="105">
        <f t="shared" si="6"/>
        <v>425.80645161290323</v>
      </c>
      <c r="P80" s="105">
        <f t="shared" si="7"/>
        <v>0</v>
      </c>
      <c r="Q80" s="110">
        <v>3</v>
      </c>
      <c r="R80" s="110">
        <v>2</v>
      </c>
      <c r="S80" s="110" t="s">
        <v>1244</v>
      </c>
      <c r="T80" s="5">
        <v>102</v>
      </c>
      <c r="U80" s="9"/>
    </row>
    <row r="81" spans="1:21" s="37" customFormat="1" ht="12" x14ac:dyDescent="0.3">
      <c r="A81" s="111" t="s">
        <v>1484</v>
      </c>
      <c r="B81" s="112" t="s">
        <v>1485</v>
      </c>
      <c r="C81" s="113">
        <v>716</v>
      </c>
      <c r="D81" s="104">
        <v>93.1</v>
      </c>
      <c r="E81" s="106">
        <v>28</v>
      </c>
      <c r="F81" s="104">
        <v>76</v>
      </c>
      <c r="G81" s="17">
        <v>23</v>
      </c>
      <c r="H81" s="107">
        <v>198</v>
      </c>
      <c r="I81" s="108">
        <v>12800</v>
      </c>
      <c r="J81" s="108" t="s">
        <v>1251</v>
      </c>
      <c r="K81" s="108"/>
      <c r="L81" s="108"/>
      <c r="M81" s="109">
        <f t="shared" si="4"/>
        <v>12800</v>
      </c>
      <c r="N81" s="4">
        <f t="shared" si="5"/>
        <v>0</v>
      </c>
      <c r="O81" s="105">
        <f t="shared" si="6"/>
        <v>457.14285714285717</v>
      </c>
      <c r="P81" s="105">
        <f t="shared" si="7"/>
        <v>0</v>
      </c>
      <c r="Q81" s="110">
        <v>3</v>
      </c>
      <c r="R81" s="110">
        <v>1</v>
      </c>
      <c r="S81" s="110" t="s">
        <v>1244</v>
      </c>
      <c r="T81" s="5">
        <v>93</v>
      </c>
      <c r="U81" s="9"/>
    </row>
    <row r="82" spans="1:21" s="37" customFormat="1" ht="12" x14ac:dyDescent="0.3">
      <c r="A82" s="111" t="s">
        <v>1370</v>
      </c>
      <c r="B82" s="112" t="s">
        <v>1369</v>
      </c>
      <c r="C82" s="113">
        <v>437</v>
      </c>
      <c r="D82" s="104">
        <v>106</v>
      </c>
      <c r="E82" s="106">
        <v>32</v>
      </c>
      <c r="F82" s="104">
        <v>85</v>
      </c>
      <c r="G82" s="17">
        <v>26</v>
      </c>
      <c r="H82" s="107">
        <v>208</v>
      </c>
      <c r="I82" s="108">
        <v>12500</v>
      </c>
      <c r="J82" s="108" t="s">
        <v>1256</v>
      </c>
      <c r="K82" s="108"/>
      <c r="L82" s="108"/>
      <c r="M82" s="109">
        <f t="shared" si="4"/>
        <v>12500</v>
      </c>
      <c r="N82" s="4">
        <f t="shared" si="5"/>
        <v>0</v>
      </c>
      <c r="O82" s="105">
        <f t="shared" si="6"/>
        <v>390.625</v>
      </c>
      <c r="P82" s="105">
        <f t="shared" si="7"/>
        <v>0</v>
      </c>
      <c r="Q82" s="110">
        <v>3</v>
      </c>
      <c r="R82" s="110">
        <v>2</v>
      </c>
      <c r="S82" s="110" t="s">
        <v>1244</v>
      </c>
      <c r="T82" s="5" t="s">
        <v>134</v>
      </c>
      <c r="U82" s="9"/>
    </row>
    <row r="83" spans="1:21" s="37" customFormat="1" ht="12" x14ac:dyDescent="0.3">
      <c r="A83" s="111" t="s">
        <v>1408</v>
      </c>
      <c r="B83" s="112" t="s">
        <v>1409</v>
      </c>
      <c r="C83" s="113">
        <v>930</v>
      </c>
      <c r="D83" s="104">
        <v>89.1</v>
      </c>
      <c r="E83" s="106">
        <v>27</v>
      </c>
      <c r="F83" s="104">
        <v>73.099999999999994</v>
      </c>
      <c r="G83" s="17">
        <v>22</v>
      </c>
      <c r="H83" s="107">
        <v>330</v>
      </c>
      <c r="I83" s="108">
        <v>12500</v>
      </c>
      <c r="J83" s="108" t="s">
        <v>1255</v>
      </c>
      <c r="K83" s="108"/>
      <c r="L83" s="108"/>
      <c r="M83" s="109">
        <f t="shared" si="4"/>
        <v>12500</v>
      </c>
      <c r="N83" s="4">
        <f t="shared" si="5"/>
        <v>0</v>
      </c>
      <c r="O83" s="105">
        <f t="shared" si="6"/>
        <v>462.96296296296299</v>
      </c>
      <c r="P83" s="105">
        <f t="shared" si="7"/>
        <v>0</v>
      </c>
      <c r="Q83" s="110">
        <v>3</v>
      </c>
      <c r="R83" s="110">
        <v>2</v>
      </c>
      <c r="S83" s="110" t="s">
        <v>1244</v>
      </c>
      <c r="T83" s="5">
        <v>89</v>
      </c>
      <c r="U83" s="9"/>
    </row>
    <row r="84" spans="1:21" s="37" customFormat="1" ht="12" x14ac:dyDescent="0.3">
      <c r="A84" s="111" t="s">
        <v>1651</v>
      </c>
      <c r="B84" s="112" t="s">
        <v>1652</v>
      </c>
      <c r="C84" s="113">
        <v>560</v>
      </c>
      <c r="D84" s="104">
        <v>91.9</v>
      </c>
      <c r="E84" s="106">
        <v>28</v>
      </c>
      <c r="F84" s="104">
        <v>75.099999999999994</v>
      </c>
      <c r="G84" s="17">
        <v>23</v>
      </c>
      <c r="H84" s="107">
        <v>112</v>
      </c>
      <c r="I84" s="108">
        <v>12500</v>
      </c>
      <c r="J84" s="108" t="s">
        <v>1280</v>
      </c>
      <c r="K84" s="108"/>
      <c r="L84" s="108"/>
      <c r="M84" s="109">
        <f t="shared" si="4"/>
        <v>12500</v>
      </c>
      <c r="N84" s="4">
        <f t="shared" si="5"/>
        <v>0</v>
      </c>
      <c r="O84" s="105">
        <f t="shared" si="6"/>
        <v>446.42857142857144</v>
      </c>
      <c r="P84" s="105">
        <f t="shared" si="7"/>
        <v>0</v>
      </c>
      <c r="Q84" s="110">
        <v>3</v>
      </c>
      <c r="R84" s="110">
        <v>1</v>
      </c>
      <c r="S84" s="110" t="s">
        <v>1244</v>
      </c>
      <c r="T84" s="5">
        <v>91</v>
      </c>
      <c r="U84" s="9"/>
    </row>
    <row r="85" spans="1:21" s="37" customFormat="1" ht="12" x14ac:dyDescent="0.3">
      <c r="A85" s="111" t="s">
        <v>1429</v>
      </c>
      <c r="B85" s="112" t="s">
        <v>1430</v>
      </c>
      <c r="C85" s="113">
        <v>420</v>
      </c>
      <c r="D85" s="104">
        <v>91.9</v>
      </c>
      <c r="E85" s="106">
        <v>28</v>
      </c>
      <c r="F85" s="104">
        <v>74</v>
      </c>
      <c r="G85" s="17">
        <v>22</v>
      </c>
      <c r="H85" s="107">
        <v>104</v>
      </c>
      <c r="I85" s="108">
        <v>12200</v>
      </c>
      <c r="J85" s="108" t="s">
        <v>1250</v>
      </c>
      <c r="K85" s="108"/>
      <c r="L85" s="108"/>
      <c r="M85" s="109">
        <f t="shared" si="4"/>
        <v>12200</v>
      </c>
      <c r="N85" s="4">
        <f t="shared" si="5"/>
        <v>0</v>
      </c>
      <c r="O85" s="105">
        <f t="shared" si="6"/>
        <v>435.71428571428572</v>
      </c>
      <c r="P85" s="105">
        <f t="shared" si="7"/>
        <v>0</v>
      </c>
      <c r="Q85" s="110">
        <v>3</v>
      </c>
      <c r="R85" s="110">
        <v>1</v>
      </c>
      <c r="S85" s="110" t="s">
        <v>1244</v>
      </c>
      <c r="T85" s="5">
        <v>91</v>
      </c>
      <c r="U85" s="9"/>
    </row>
    <row r="86" spans="1:21" s="37" customFormat="1" ht="12" x14ac:dyDescent="0.3">
      <c r="A86" s="111" t="s">
        <v>1358</v>
      </c>
      <c r="B86" s="112" t="s">
        <v>1359</v>
      </c>
      <c r="C86" s="113">
        <v>304</v>
      </c>
      <c r="D86" s="104">
        <v>105.5</v>
      </c>
      <c r="E86" s="106">
        <v>32</v>
      </c>
      <c r="F86" s="104">
        <v>85</v>
      </c>
      <c r="G86" s="17">
        <v>26</v>
      </c>
      <c r="H86" s="107">
        <v>79</v>
      </c>
      <c r="I86" s="108">
        <v>12000</v>
      </c>
      <c r="J86" s="108" t="s">
        <v>1245</v>
      </c>
      <c r="K86" s="108"/>
      <c r="L86" s="108"/>
      <c r="M86" s="109">
        <f t="shared" si="4"/>
        <v>12000</v>
      </c>
      <c r="N86" s="4">
        <f t="shared" si="5"/>
        <v>0</v>
      </c>
      <c r="O86" s="105">
        <f t="shared" si="6"/>
        <v>375</v>
      </c>
      <c r="P86" s="105">
        <f t="shared" si="7"/>
        <v>0</v>
      </c>
      <c r="Q86" s="110">
        <v>3</v>
      </c>
      <c r="R86" s="110">
        <v>2</v>
      </c>
      <c r="S86" s="110" t="s">
        <v>1244</v>
      </c>
      <c r="T86" s="5">
        <v>105</v>
      </c>
      <c r="U86" s="9"/>
    </row>
    <row r="87" spans="1:21" s="37" customFormat="1" ht="12" x14ac:dyDescent="0.3">
      <c r="A87" s="111" t="s">
        <v>1392</v>
      </c>
      <c r="B87" s="112" t="s">
        <v>1393</v>
      </c>
      <c r="C87" s="113">
        <v>600</v>
      </c>
      <c r="D87" s="104">
        <v>75.099999999999994</v>
      </c>
      <c r="E87" s="106">
        <v>23</v>
      </c>
      <c r="F87" s="104">
        <v>59.9</v>
      </c>
      <c r="G87" s="17">
        <v>18</v>
      </c>
      <c r="H87" s="107">
        <v>600</v>
      </c>
      <c r="I87" s="108">
        <v>12000</v>
      </c>
      <c r="J87" s="108" t="s">
        <v>1255</v>
      </c>
      <c r="K87" s="108">
        <v>10500</v>
      </c>
      <c r="L87" s="108" t="s">
        <v>1268</v>
      </c>
      <c r="M87" s="109">
        <f t="shared" si="4"/>
        <v>1500</v>
      </c>
      <c r="N87" s="4">
        <f t="shared" si="5"/>
        <v>0.875</v>
      </c>
      <c r="O87" s="105">
        <f t="shared" si="6"/>
        <v>521.73913043478262</v>
      </c>
      <c r="P87" s="105">
        <f t="shared" si="7"/>
        <v>456.52173913043481</v>
      </c>
      <c r="Q87" s="110">
        <v>3</v>
      </c>
      <c r="R87" s="110">
        <v>1</v>
      </c>
      <c r="S87" s="110" t="s">
        <v>1244</v>
      </c>
      <c r="T87" s="5">
        <v>75</v>
      </c>
      <c r="U87" s="9"/>
    </row>
    <row r="88" spans="1:21" s="37" customFormat="1" ht="12" x14ac:dyDescent="0.3">
      <c r="A88" s="111" t="s">
        <v>1607</v>
      </c>
      <c r="B88" s="112" t="s">
        <v>1608</v>
      </c>
      <c r="C88" s="113">
        <v>892</v>
      </c>
      <c r="D88" s="104">
        <v>84.4</v>
      </c>
      <c r="E88" s="106">
        <v>26</v>
      </c>
      <c r="F88" s="104">
        <v>59.9</v>
      </c>
      <c r="G88" s="17">
        <v>18</v>
      </c>
      <c r="H88" s="107">
        <v>465</v>
      </c>
      <c r="I88" s="108">
        <v>12000</v>
      </c>
      <c r="J88" s="108" t="s">
        <v>1294</v>
      </c>
      <c r="K88" s="108">
        <v>8000</v>
      </c>
      <c r="L88" s="108" t="s">
        <v>1305</v>
      </c>
      <c r="M88" s="109">
        <f t="shared" si="4"/>
        <v>4000</v>
      </c>
      <c r="N88" s="4">
        <f t="shared" si="5"/>
        <v>0.66666666666666663</v>
      </c>
      <c r="O88" s="105">
        <f t="shared" si="6"/>
        <v>461.53846153846155</v>
      </c>
      <c r="P88" s="105">
        <f t="shared" si="7"/>
        <v>307.69230769230768</v>
      </c>
      <c r="Q88" s="110">
        <v>3</v>
      </c>
      <c r="R88" s="110">
        <v>2</v>
      </c>
      <c r="S88" s="110" t="s">
        <v>1244</v>
      </c>
      <c r="T88" s="5" t="s">
        <v>1066</v>
      </c>
      <c r="U88" s="9"/>
    </row>
    <row r="89" spans="1:21" s="37" customFormat="1" ht="12" x14ac:dyDescent="0.3">
      <c r="A89" s="111" t="s">
        <v>1410</v>
      </c>
      <c r="B89" s="112" t="s">
        <v>1359</v>
      </c>
      <c r="C89" s="113">
        <v>490</v>
      </c>
      <c r="D89" s="104">
        <v>83.8</v>
      </c>
      <c r="E89" s="106">
        <v>25</v>
      </c>
      <c r="F89" s="104">
        <v>67.900000000000006</v>
      </c>
      <c r="G89" s="17">
        <v>21</v>
      </c>
      <c r="H89" s="107">
        <v>262</v>
      </c>
      <c r="I89" s="108">
        <v>11500</v>
      </c>
      <c r="J89" s="108" t="s">
        <v>1268</v>
      </c>
      <c r="K89" s="108"/>
      <c r="L89" s="108"/>
      <c r="M89" s="109">
        <f t="shared" si="4"/>
        <v>11500</v>
      </c>
      <c r="N89" s="4">
        <f t="shared" si="5"/>
        <v>0</v>
      </c>
      <c r="O89" s="105">
        <f t="shared" si="6"/>
        <v>460</v>
      </c>
      <c r="P89" s="105">
        <f t="shared" si="7"/>
        <v>0</v>
      </c>
      <c r="Q89" s="110">
        <v>3</v>
      </c>
      <c r="R89" s="110">
        <v>1</v>
      </c>
      <c r="S89" s="110" t="s">
        <v>1244</v>
      </c>
      <c r="T89" s="5">
        <v>83</v>
      </c>
      <c r="U89" s="9"/>
    </row>
    <row r="90" spans="1:21" s="37" customFormat="1" ht="12" x14ac:dyDescent="0.3">
      <c r="A90" s="111" t="s">
        <v>1451</v>
      </c>
      <c r="B90" s="112" t="s">
        <v>1359</v>
      </c>
      <c r="C90" s="113">
        <v>765</v>
      </c>
      <c r="D90" s="104">
        <v>74.7</v>
      </c>
      <c r="E90" s="106">
        <v>23</v>
      </c>
      <c r="F90" s="104">
        <v>59.9</v>
      </c>
      <c r="G90" s="17">
        <v>18</v>
      </c>
      <c r="H90" s="107">
        <v>300</v>
      </c>
      <c r="I90" s="108">
        <v>11500</v>
      </c>
      <c r="J90" s="108" t="s">
        <v>1272</v>
      </c>
      <c r="K90" s="108"/>
      <c r="L90" s="108"/>
      <c r="M90" s="109">
        <f t="shared" si="4"/>
        <v>11500</v>
      </c>
      <c r="N90" s="4">
        <f t="shared" si="5"/>
        <v>0</v>
      </c>
      <c r="O90" s="105">
        <f t="shared" si="6"/>
        <v>500</v>
      </c>
      <c r="P90" s="105">
        <f t="shared" si="7"/>
        <v>0</v>
      </c>
      <c r="Q90" s="110">
        <v>3</v>
      </c>
      <c r="R90" s="110">
        <v>1</v>
      </c>
      <c r="S90" s="110" t="s">
        <v>1244</v>
      </c>
      <c r="T90" s="5">
        <v>74</v>
      </c>
      <c r="U90" s="9"/>
    </row>
    <row r="91" spans="1:21" s="37" customFormat="1" ht="12" x14ac:dyDescent="0.3">
      <c r="A91" s="111" t="s">
        <v>1502</v>
      </c>
      <c r="B91" s="112" t="s">
        <v>1503</v>
      </c>
      <c r="C91" s="113">
        <v>874</v>
      </c>
      <c r="D91" s="104">
        <v>80.7</v>
      </c>
      <c r="E91" s="106">
        <v>24</v>
      </c>
      <c r="F91" s="104">
        <v>59.4</v>
      </c>
      <c r="G91" s="17">
        <v>18</v>
      </c>
      <c r="H91" s="107">
        <v>267</v>
      </c>
      <c r="I91" s="108">
        <v>11500</v>
      </c>
      <c r="J91" s="108" t="s">
        <v>1250</v>
      </c>
      <c r="K91" s="108">
        <v>12500</v>
      </c>
      <c r="L91" s="108" t="s">
        <v>1245</v>
      </c>
      <c r="M91" s="109">
        <f t="shared" si="4"/>
        <v>-1000</v>
      </c>
      <c r="N91" s="4">
        <f t="shared" si="5"/>
        <v>1.0869565217391304</v>
      </c>
      <c r="O91" s="105">
        <f t="shared" si="6"/>
        <v>479.16666666666669</v>
      </c>
      <c r="P91" s="105">
        <f t="shared" si="7"/>
        <v>520.83333333333337</v>
      </c>
      <c r="Q91" s="110">
        <v>3</v>
      </c>
      <c r="R91" s="110">
        <v>1</v>
      </c>
      <c r="S91" s="110" t="s">
        <v>1244</v>
      </c>
      <c r="T91" s="5" t="s">
        <v>176</v>
      </c>
      <c r="U91" s="9"/>
    </row>
    <row r="92" spans="1:21" s="37" customFormat="1" ht="12" x14ac:dyDescent="0.3">
      <c r="A92" s="111" t="s">
        <v>1494</v>
      </c>
      <c r="B92" s="112" t="s">
        <v>1495</v>
      </c>
      <c r="C92" s="113">
        <v>1460</v>
      </c>
      <c r="D92" s="104">
        <v>77.900000000000006</v>
      </c>
      <c r="E92" s="106">
        <v>24</v>
      </c>
      <c r="F92" s="104">
        <v>59.4</v>
      </c>
      <c r="G92" s="17">
        <v>18</v>
      </c>
      <c r="H92" s="107">
        <v>759</v>
      </c>
      <c r="I92" s="108">
        <v>11400</v>
      </c>
      <c r="J92" s="108" t="s">
        <v>1294</v>
      </c>
      <c r="K92" s="108">
        <v>12000</v>
      </c>
      <c r="L92" s="108" t="s">
        <v>1280</v>
      </c>
      <c r="M92" s="109">
        <f t="shared" si="4"/>
        <v>-600</v>
      </c>
      <c r="N92" s="4">
        <f t="shared" si="5"/>
        <v>1.0526315789473684</v>
      </c>
      <c r="O92" s="105">
        <f t="shared" si="6"/>
        <v>475</v>
      </c>
      <c r="P92" s="105">
        <f t="shared" si="7"/>
        <v>500</v>
      </c>
      <c r="Q92" s="110">
        <v>3</v>
      </c>
      <c r="R92" s="110">
        <v>1</v>
      </c>
      <c r="S92" s="110" t="s">
        <v>1244</v>
      </c>
      <c r="T92" s="5" t="s">
        <v>654</v>
      </c>
      <c r="U92" s="9"/>
    </row>
    <row r="93" spans="1:21" s="37" customFormat="1" ht="12" x14ac:dyDescent="0.3">
      <c r="A93" s="111" t="s">
        <v>1400</v>
      </c>
      <c r="B93" s="112" t="s">
        <v>1401</v>
      </c>
      <c r="C93" s="113">
        <v>460</v>
      </c>
      <c r="D93" s="104">
        <v>92</v>
      </c>
      <c r="E93" s="106">
        <v>28</v>
      </c>
      <c r="F93" s="104">
        <v>74</v>
      </c>
      <c r="G93" s="17">
        <v>22</v>
      </c>
      <c r="H93" s="107">
        <v>104</v>
      </c>
      <c r="I93" s="108">
        <v>10500</v>
      </c>
      <c r="J93" s="108" t="s">
        <v>1253</v>
      </c>
      <c r="K93" s="108"/>
      <c r="L93" s="108"/>
      <c r="M93" s="109">
        <f t="shared" si="4"/>
        <v>10500</v>
      </c>
      <c r="N93" s="4">
        <f t="shared" si="5"/>
        <v>0</v>
      </c>
      <c r="O93" s="105">
        <f t="shared" si="6"/>
        <v>375</v>
      </c>
      <c r="P93" s="105">
        <f t="shared" si="7"/>
        <v>0</v>
      </c>
      <c r="Q93" s="110">
        <v>3</v>
      </c>
      <c r="R93" s="110">
        <v>1</v>
      </c>
      <c r="S93" s="110" t="s">
        <v>1244</v>
      </c>
      <c r="T93" s="5">
        <v>91</v>
      </c>
      <c r="U93" s="9"/>
    </row>
    <row r="94" spans="1:21" s="37" customFormat="1" ht="12" x14ac:dyDescent="0.3">
      <c r="A94" s="111" t="s">
        <v>1560</v>
      </c>
      <c r="B94" s="112" t="s">
        <v>1561</v>
      </c>
      <c r="C94" s="113">
        <v>675</v>
      </c>
      <c r="D94" s="104">
        <v>106.8</v>
      </c>
      <c r="E94" s="106">
        <v>32</v>
      </c>
      <c r="F94" s="104">
        <v>85</v>
      </c>
      <c r="G94" s="17">
        <v>26</v>
      </c>
      <c r="H94" s="107">
        <v>405</v>
      </c>
      <c r="I94" s="108">
        <v>10500</v>
      </c>
      <c r="J94" s="108" t="s">
        <v>1251</v>
      </c>
      <c r="K94" s="108">
        <v>9500</v>
      </c>
      <c r="L94" s="108" t="s">
        <v>1272</v>
      </c>
      <c r="M94" s="109">
        <f t="shared" si="4"/>
        <v>1000</v>
      </c>
      <c r="N94" s="4">
        <f t="shared" si="5"/>
        <v>0.90476190476190477</v>
      </c>
      <c r="O94" s="105">
        <f t="shared" si="6"/>
        <v>328.125</v>
      </c>
      <c r="P94" s="105">
        <f t="shared" si="7"/>
        <v>296.875</v>
      </c>
      <c r="Q94" s="110">
        <v>3</v>
      </c>
      <c r="R94" s="110">
        <v>2</v>
      </c>
      <c r="S94" s="110" t="s">
        <v>1244</v>
      </c>
      <c r="T94" s="5">
        <v>106</v>
      </c>
      <c r="U94" s="9"/>
    </row>
    <row r="95" spans="1:21" s="37" customFormat="1" ht="12" x14ac:dyDescent="0.3">
      <c r="A95" s="111" t="s">
        <v>1437</v>
      </c>
      <c r="B95" s="112" t="s">
        <v>1438</v>
      </c>
      <c r="C95" s="113">
        <v>840</v>
      </c>
      <c r="D95" s="104">
        <v>76.099999999999994</v>
      </c>
      <c r="E95" s="106">
        <v>23</v>
      </c>
      <c r="F95" s="104">
        <v>59.7</v>
      </c>
      <c r="G95" s="17">
        <v>18</v>
      </c>
      <c r="H95" s="107">
        <v>477</v>
      </c>
      <c r="I95" s="108">
        <v>10100</v>
      </c>
      <c r="J95" s="108" t="s">
        <v>1272</v>
      </c>
      <c r="K95" s="108">
        <v>10000</v>
      </c>
      <c r="L95" s="108" t="s">
        <v>1248</v>
      </c>
      <c r="M95" s="109">
        <f t="shared" si="4"/>
        <v>100</v>
      </c>
      <c r="N95" s="4">
        <f t="shared" si="5"/>
        <v>0.99009900990099009</v>
      </c>
      <c r="O95" s="105">
        <f t="shared" si="6"/>
        <v>439.13043478260869</v>
      </c>
      <c r="P95" s="105">
        <f t="shared" si="7"/>
        <v>434.78260869565219</v>
      </c>
      <c r="Q95" s="110">
        <v>3</v>
      </c>
      <c r="R95" s="110">
        <v>1</v>
      </c>
      <c r="S95" s="110" t="s">
        <v>1244</v>
      </c>
      <c r="T95" s="5" t="s">
        <v>384</v>
      </c>
      <c r="U95" s="9"/>
    </row>
    <row r="96" spans="1:21" s="37" customFormat="1" ht="12" x14ac:dyDescent="0.3">
      <c r="A96" s="111" t="s">
        <v>1444</v>
      </c>
      <c r="B96" s="112" t="s">
        <v>1446</v>
      </c>
      <c r="C96" s="113">
        <v>498</v>
      </c>
      <c r="D96" s="104">
        <v>95.8</v>
      </c>
      <c r="E96" s="106">
        <v>29</v>
      </c>
      <c r="F96" s="104">
        <v>84.6</v>
      </c>
      <c r="G96" s="17">
        <v>26</v>
      </c>
      <c r="H96" s="107">
        <v>384</v>
      </c>
      <c r="I96" s="108">
        <v>10000</v>
      </c>
      <c r="J96" s="108" t="s">
        <v>1253</v>
      </c>
      <c r="K96" s="108"/>
      <c r="L96" s="108"/>
      <c r="M96" s="109">
        <f t="shared" si="4"/>
        <v>10000</v>
      </c>
      <c r="N96" s="4">
        <f t="shared" si="5"/>
        <v>0</v>
      </c>
      <c r="O96" s="105">
        <f t="shared" si="6"/>
        <v>344.82758620689657</v>
      </c>
      <c r="P96" s="105">
        <f t="shared" si="7"/>
        <v>0</v>
      </c>
      <c r="Q96" s="110">
        <v>3</v>
      </c>
      <c r="R96" s="110">
        <v>2</v>
      </c>
      <c r="S96" s="110" t="s">
        <v>1244</v>
      </c>
      <c r="T96" s="5" t="s">
        <v>404</v>
      </c>
      <c r="U96" s="9"/>
    </row>
    <row r="97" spans="1:21" s="37" customFormat="1" ht="12" x14ac:dyDescent="0.3">
      <c r="A97" s="111" t="s">
        <v>1560</v>
      </c>
      <c r="B97" s="112" t="s">
        <v>1561</v>
      </c>
      <c r="C97" s="113">
        <v>675</v>
      </c>
      <c r="D97" s="104">
        <v>75</v>
      </c>
      <c r="E97" s="106">
        <v>23</v>
      </c>
      <c r="F97" s="104">
        <v>59.7</v>
      </c>
      <c r="G97" s="17">
        <v>18</v>
      </c>
      <c r="H97" s="107">
        <v>270</v>
      </c>
      <c r="I97" s="108">
        <v>10000</v>
      </c>
      <c r="J97" s="108" t="s">
        <v>1268</v>
      </c>
      <c r="K97" s="108"/>
      <c r="L97" s="108"/>
      <c r="M97" s="109">
        <f t="shared" si="4"/>
        <v>10000</v>
      </c>
      <c r="N97" s="4">
        <f t="shared" si="5"/>
        <v>0</v>
      </c>
      <c r="O97" s="105">
        <f t="shared" si="6"/>
        <v>434.78260869565219</v>
      </c>
      <c r="P97" s="105">
        <f t="shared" si="7"/>
        <v>0</v>
      </c>
      <c r="Q97" s="110">
        <v>3</v>
      </c>
      <c r="R97" s="110">
        <v>1</v>
      </c>
      <c r="S97" s="110" t="s">
        <v>1244</v>
      </c>
      <c r="T97" s="5">
        <v>75</v>
      </c>
      <c r="U97" s="9"/>
    </row>
    <row r="98" spans="1:21" s="37" customFormat="1" ht="12" x14ac:dyDescent="0.3">
      <c r="A98" s="111" t="s">
        <v>1576</v>
      </c>
      <c r="B98" s="112" t="s">
        <v>1506</v>
      </c>
      <c r="C98" s="113">
        <v>972</v>
      </c>
      <c r="D98" s="104">
        <v>78.8</v>
      </c>
      <c r="E98" s="106">
        <v>24</v>
      </c>
      <c r="F98" s="104">
        <v>60</v>
      </c>
      <c r="G98" s="17">
        <v>18</v>
      </c>
      <c r="H98" s="107">
        <v>252</v>
      </c>
      <c r="I98" s="108">
        <v>9700</v>
      </c>
      <c r="J98" s="108" t="s">
        <v>1245</v>
      </c>
      <c r="K98" s="108"/>
      <c r="L98" s="108"/>
      <c r="M98" s="109">
        <f t="shared" si="4"/>
        <v>9700</v>
      </c>
      <c r="N98" s="4">
        <f t="shared" si="5"/>
        <v>0</v>
      </c>
      <c r="O98" s="105">
        <f t="shared" si="6"/>
        <v>404.16666666666669</v>
      </c>
      <c r="P98" s="105">
        <f t="shared" si="7"/>
        <v>0</v>
      </c>
      <c r="Q98" s="110">
        <v>2</v>
      </c>
      <c r="R98" s="110">
        <v>1</v>
      </c>
      <c r="S98" s="110" t="s">
        <v>1244</v>
      </c>
      <c r="T98" s="5" t="s">
        <v>950</v>
      </c>
      <c r="U98" s="9"/>
    </row>
    <row r="99" spans="1:21" s="37" customFormat="1" ht="12" x14ac:dyDescent="0.3">
      <c r="A99" s="111" t="s">
        <v>1566</v>
      </c>
      <c r="B99" s="112" t="s">
        <v>1567</v>
      </c>
      <c r="C99" s="113">
        <v>702</v>
      </c>
      <c r="D99" s="104">
        <v>103.9</v>
      </c>
      <c r="E99" s="106">
        <v>31</v>
      </c>
      <c r="F99" s="104">
        <v>84.9</v>
      </c>
      <c r="G99" s="17">
        <v>26</v>
      </c>
      <c r="H99" s="107">
        <v>210</v>
      </c>
      <c r="I99" s="108">
        <v>9500</v>
      </c>
      <c r="J99" s="108" t="s">
        <v>1280</v>
      </c>
      <c r="K99" s="108"/>
      <c r="L99" s="108"/>
      <c r="M99" s="109">
        <f t="shared" si="4"/>
        <v>9500</v>
      </c>
      <c r="N99" s="4">
        <f t="shared" si="5"/>
        <v>0</v>
      </c>
      <c r="O99" s="105">
        <f t="shared" si="6"/>
        <v>306.45161290322579</v>
      </c>
      <c r="P99" s="105">
        <f t="shared" si="7"/>
        <v>0</v>
      </c>
      <c r="Q99" s="110">
        <v>3</v>
      </c>
      <c r="R99" s="110">
        <v>2</v>
      </c>
      <c r="S99" s="110" t="s">
        <v>1244</v>
      </c>
      <c r="T99" s="5">
        <v>103</v>
      </c>
      <c r="U99" s="9"/>
    </row>
    <row r="100" spans="1:21" s="37" customFormat="1" ht="12" x14ac:dyDescent="0.3">
      <c r="A100" s="111" t="s">
        <v>1379</v>
      </c>
      <c r="B100" s="112" t="s">
        <v>1380</v>
      </c>
      <c r="C100" s="113">
        <v>336</v>
      </c>
      <c r="D100" s="104">
        <v>83.8</v>
      </c>
      <c r="E100" s="106">
        <v>25</v>
      </c>
      <c r="F100" s="104">
        <v>59.9</v>
      </c>
      <c r="G100" s="17">
        <v>18</v>
      </c>
      <c r="H100" s="107">
        <v>120</v>
      </c>
      <c r="I100" s="108">
        <v>9300</v>
      </c>
      <c r="J100" s="108" t="s">
        <v>1251</v>
      </c>
      <c r="K100" s="108"/>
      <c r="L100" s="108"/>
      <c r="M100" s="109">
        <f t="shared" si="4"/>
        <v>9300</v>
      </c>
      <c r="N100" s="4">
        <f t="shared" si="5"/>
        <v>0</v>
      </c>
      <c r="O100" s="105">
        <f t="shared" si="6"/>
        <v>372</v>
      </c>
      <c r="P100" s="105">
        <f t="shared" si="7"/>
        <v>0</v>
      </c>
      <c r="Q100" s="110">
        <v>2</v>
      </c>
      <c r="R100" s="110">
        <v>1</v>
      </c>
      <c r="S100" s="110" t="s">
        <v>1244</v>
      </c>
      <c r="T100" s="5">
        <v>83</v>
      </c>
      <c r="U100" s="9"/>
    </row>
    <row r="101" spans="1:21" s="37" customFormat="1" ht="12" x14ac:dyDescent="0.3">
      <c r="A101" s="111" t="s">
        <v>1439</v>
      </c>
      <c r="B101" s="112" t="s">
        <v>1440</v>
      </c>
      <c r="C101" s="113">
        <v>479</v>
      </c>
      <c r="D101" s="104">
        <v>74.3</v>
      </c>
      <c r="E101" s="106">
        <v>22</v>
      </c>
      <c r="F101" s="104">
        <v>60</v>
      </c>
      <c r="G101" s="17">
        <v>18</v>
      </c>
      <c r="H101" s="107">
        <v>180</v>
      </c>
      <c r="I101" s="108">
        <v>9300</v>
      </c>
      <c r="J101" s="108" t="s">
        <v>1280</v>
      </c>
      <c r="K101" s="108">
        <v>9300</v>
      </c>
      <c r="L101" s="108" t="s">
        <v>1281</v>
      </c>
      <c r="M101" s="109">
        <f t="shared" si="4"/>
        <v>0</v>
      </c>
      <c r="N101" s="4">
        <f t="shared" si="5"/>
        <v>1</v>
      </c>
      <c r="O101" s="105">
        <f t="shared" si="6"/>
        <v>422.72727272727275</v>
      </c>
      <c r="P101" s="105">
        <f t="shared" si="7"/>
        <v>422.72727272727275</v>
      </c>
      <c r="Q101" s="110">
        <v>3</v>
      </c>
      <c r="R101" s="110">
        <v>1</v>
      </c>
      <c r="S101" s="110" t="s">
        <v>1241</v>
      </c>
      <c r="T101" s="5">
        <v>74</v>
      </c>
      <c r="U101" s="9"/>
    </row>
    <row r="102" spans="1:21" s="37" customFormat="1" ht="12" x14ac:dyDescent="0.3">
      <c r="A102" s="111" t="s">
        <v>1543</v>
      </c>
      <c r="B102" s="112" t="s">
        <v>1544</v>
      </c>
      <c r="C102" s="113">
        <v>380</v>
      </c>
      <c r="D102" s="104">
        <v>75.900000000000006</v>
      </c>
      <c r="E102" s="106">
        <v>23</v>
      </c>
      <c r="F102" s="104">
        <v>59.4</v>
      </c>
      <c r="G102" s="17">
        <v>18</v>
      </c>
      <c r="H102" s="107">
        <v>254</v>
      </c>
      <c r="I102" s="108">
        <v>9000</v>
      </c>
      <c r="J102" s="108" t="s">
        <v>1280</v>
      </c>
      <c r="K102" s="108"/>
      <c r="L102" s="108"/>
      <c r="M102" s="109">
        <f t="shared" si="4"/>
        <v>9000</v>
      </c>
      <c r="N102" s="4">
        <f t="shared" si="5"/>
        <v>0</v>
      </c>
      <c r="O102" s="105">
        <f t="shared" si="6"/>
        <v>391.30434782608694</v>
      </c>
      <c r="P102" s="105">
        <f t="shared" si="7"/>
        <v>0</v>
      </c>
      <c r="Q102" s="110">
        <v>3</v>
      </c>
      <c r="R102" s="110">
        <v>1</v>
      </c>
      <c r="S102" s="110" t="s">
        <v>1244</v>
      </c>
      <c r="T102" s="5">
        <v>75</v>
      </c>
      <c r="U102" s="9"/>
    </row>
    <row r="103" spans="1:21" s="37" customFormat="1" ht="12" x14ac:dyDescent="0.3">
      <c r="A103" s="111" t="s">
        <v>1647</v>
      </c>
      <c r="B103" s="112" t="s">
        <v>1648</v>
      </c>
      <c r="C103" s="113">
        <v>383</v>
      </c>
      <c r="D103" s="104">
        <v>76</v>
      </c>
      <c r="E103" s="106">
        <v>23</v>
      </c>
      <c r="F103" s="104">
        <v>59.8</v>
      </c>
      <c r="G103" s="17">
        <v>18</v>
      </c>
      <c r="H103" s="107">
        <v>263</v>
      </c>
      <c r="I103" s="108">
        <v>9000</v>
      </c>
      <c r="J103" s="108" t="s">
        <v>1250</v>
      </c>
      <c r="K103" s="108"/>
      <c r="L103" s="108"/>
      <c r="M103" s="109">
        <f t="shared" si="4"/>
        <v>9000</v>
      </c>
      <c r="N103" s="4">
        <f t="shared" si="5"/>
        <v>0</v>
      </c>
      <c r="O103" s="105">
        <f t="shared" si="6"/>
        <v>391.30434782608694</v>
      </c>
      <c r="P103" s="105">
        <f t="shared" si="7"/>
        <v>0</v>
      </c>
      <c r="Q103" s="110">
        <v>3</v>
      </c>
      <c r="R103" s="110">
        <v>1</v>
      </c>
      <c r="S103" s="110" t="s">
        <v>1244</v>
      </c>
      <c r="T103" s="5">
        <v>76</v>
      </c>
      <c r="U103" s="9"/>
    </row>
    <row r="104" spans="1:21" s="37" customFormat="1" ht="12" x14ac:dyDescent="0.3">
      <c r="A104" s="111" t="s">
        <v>1381</v>
      </c>
      <c r="B104" s="112" t="s">
        <v>1382</v>
      </c>
      <c r="C104" s="113">
        <v>899</v>
      </c>
      <c r="D104" s="104">
        <v>74.2</v>
      </c>
      <c r="E104" s="106">
        <v>22</v>
      </c>
      <c r="F104" s="104">
        <v>59.4</v>
      </c>
      <c r="G104" s="17">
        <v>18</v>
      </c>
      <c r="H104" s="107">
        <v>344</v>
      </c>
      <c r="I104" s="108">
        <v>8700</v>
      </c>
      <c r="J104" s="108" t="s">
        <v>1253</v>
      </c>
      <c r="K104" s="108">
        <v>7900</v>
      </c>
      <c r="L104" s="108" t="s">
        <v>1251</v>
      </c>
      <c r="M104" s="109">
        <f t="shared" si="4"/>
        <v>800</v>
      </c>
      <c r="N104" s="4">
        <f t="shared" si="5"/>
        <v>0.90804597701149425</v>
      </c>
      <c r="O104" s="105">
        <f t="shared" si="6"/>
        <v>395.45454545454544</v>
      </c>
      <c r="P104" s="105">
        <f t="shared" si="7"/>
        <v>359.09090909090907</v>
      </c>
      <c r="Q104" s="110">
        <v>3</v>
      </c>
      <c r="R104" s="110">
        <v>1</v>
      </c>
      <c r="S104" s="110" t="s">
        <v>1244</v>
      </c>
      <c r="T104" s="5">
        <v>74</v>
      </c>
      <c r="U104" s="9"/>
    </row>
    <row r="105" spans="1:21" s="37" customFormat="1" ht="12" x14ac:dyDescent="0.3">
      <c r="A105" s="111" t="s">
        <v>1545</v>
      </c>
      <c r="B105" s="112" t="s">
        <v>1546</v>
      </c>
      <c r="C105" s="113">
        <v>750</v>
      </c>
      <c r="D105" s="104">
        <v>57.9</v>
      </c>
      <c r="E105" s="106">
        <v>18</v>
      </c>
      <c r="F105" s="104">
        <v>47</v>
      </c>
      <c r="G105" s="17">
        <v>14</v>
      </c>
      <c r="H105" s="107">
        <v>290</v>
      </c>
      <c r="I105" s="108">
        <v>8500</v>
      </c>
      <c r="J105" s="108" t="s">
        <v>1268</v>
      </c>
      <c r="K105" s="108"/>
      <c r="L105" s="108"/>
      <c r="M105" s="109">
        <f t="shared" si="4"/>
        <v>8500</v>
      </c>
      <c r="N105" s="4">
        <f t="shared" si="5"/>
        <v>0</v>
      </c>
      <c r="O105" s="105">
        <f t="shared" si="6"/>
        <v>472.22222222222223</v>
      </c>
      <c r="P105" s="105">
        <f t="shared" si="7"/>
        <v>0</v>
      </c>
      <c r="Q105" s="110">
        <v>2</v>
      </c>
      <c r="R105" s="110">
        <v>1</v>
      </c>
      <c r="S105" s="110" t="s">
        <v>1244</v>
      </c>
      <c r="T105" s="5">
        <v>57</v>
      </c>
      <c r="U105" s="9"/>
    </row>
    <row r="106" spans="1:21" s="37" customFormat="1" ht="12" x14ac:dyDescent="0.3">
      <c r="A106" s="111" t="s">
        <v>1555</v>
      </c>
      <c r="B106" s="112" t="s">
        <v>1556</v>
      </c>
      <c r="C106" s="113">
        <v>381</v>
      </c>
      <c r="D106" s="104">
        <v>81.099999999999994</v>
      </c>
      <c r="E106" s="106">
        <v>25</v>
      </c>
      <c r="F106" s="104">
        <v>59.9</v>
      </c>
      <c r="G106" s="17">
        <v>18</v>
      </c>
      <c r="H106" s="107">
        <v>159</v>
      </c>
      <c r="I106" s="108">
        <v>8500</v>
      </c>
      <c r="J106" s="108" t="s">
        <v>1265</v>
      </c>
      <c r="K106" s="108"/>
      <c r="L106" s="108"/>
      <c r="M106" s="109">
        <f t="shared" si="4"/>
        <v>8500</v>
      </c>
      <c r="N106" s="4">
        <f t="shared" si="5"/>
        <v>0</v>
      </c>
      <c r="O106" s="105">
        <f t="shared" si="6"/>
        <v>340</v>
      </c>
      <c r="P106" s="105">
        <f t="shared" si="7"/>
        <v>0</v>
      </c>
      <c r="Q106" s="110">
        <v>3</v>
      </c>
      <c r="R106" s="110">
        <v>1</v>
      </c>
      <c r="S106" s="110" t="s">
        <v>1241</v>
      </c>
      <c r="T106" s="5">
        <v>81</v>
      </c>
      <c r="U106" s="9"/>
    </row>
    <row r="107" spans="1:21" s="37" customFormat="1" ht="12" x14ac:dyDescent="0.3">
      <c r="A107" s="111" t="s">
        <v>1564</v>
      </c>
      <c r="B107" s="112" t="s">
        <v>1565</v>
      </c>
      <c r="C107" s="113">
        <v>350</v>
      </c>
      <c r="D107" s="104">
        <v>103.5</v>
      </c>
      <c r="E107" s="106">
        <v>31</v>
      </c>
      <c r="F107" s="104">
        <v>84.9</v>
      </c>
      <c r="G107" s="17">
        <v>26</v>
      </c>
      <c r="H107" s="107">
        <v>52</v>
      </c>
      <c r="I107" s="108">
        <v>8500</v>
      </c>
      <c r="J107" s="108" t="s">
        <v>1256</v>
      </c>
      <c r="K107" s="108"/>
      <c r="L107" s="108"/>
      <c r="M107" s="109">
        <f t="shared" si="4"/>
        <v>8500</v>
      </c>
      <c r="N107" s="4">
        <f t="shared" si="5"/>
        <v>0</v>
      </c>
      <c r="O107" s="105">
        <f t="shared" si="6"/>
        <v>274.19354838709677</v>
      </c>
      <c r="P107" s="105">
        <f t="shared" si="7"/>
        <v>0</v>
      </c>
      <c r="Q107" s="110">
        <v>3</v>
      </c>
      <c r="R107" s="110">
        <v>2</v>
      </c>
      <c r="S107" s="110" t="s">
        <v>1244</v>
      </c>
      <c r="T107" s="5" t="s">
        <v>913</v>
      </c>
      <c r="U107" s="9"/>
    </row>
    <row r="108" spans="1:21" s="37" customFormat="1" ht="12" x14ac:dyDescent="0.3">
      <c r="A108" s="111" t="s">
        <v>1460</v>
      </c>
      <c r="B108" s="112" t="s">
        <v>1463</v>
      </c>
      <c r="C108" s="113">
        <v>1541</v>
      </c>
      <c r="D108" s="104">
        <v>79.2</v>
      </c>
      <c r="E108" s="106">
        <v>24</v>
      </c>
      <c r="F108" s="104">
        <v>58.1</v>
      </c>
      <c r="G108" s="17">
        <v>18</v>
      </c>
      <c r="H108" s="107">
        <v>1243</v>
      </c>
      <c r="I108" s="108">
        <v>8300</v>
      </c>
      <c r="J108" s="108" t="s">
        <v>1245</v>
      </c>
      <c r="K108" s="108">
        <v>7500</v>
      </c>
      <c r="L108" s="108" t="s">
        <v>1248</v>
      </c>
      <c r="M108" s="109">
        <f t="shared" si="4"/>
        <v>800</v>
      </c>
      <c r="N108" s="4">
        <f t="shared" si="5"/>
        <v>0.90361445783132532</v>
      </c>
      <c r="O108" s="105">
        <f t="shared" si="6"/>
        <v>345.83333333333331</v>
      </c>
      <c r="P108" s="105">
        <f t="shared" si="7"/>
        <v>312.5</v>
      </c>
      <c r="Q108" s="110">
        <v>3</v>
      </c>
      <c r="R108" s="110">
        <v>1</v>
      </c>
      <c r="S108" s="110" t="s">
        <v>1241</v>
      </c>
      <c r="T108" s="5">
        <v>79</v>
      </c>
      <c r="U108" s="9"/>
    </row>
    <row r="109" spans="1:21" s="37" customFormat="1" ht="12" x14ac:dyDescent="0.3">
      <c r="A109" s="111" t="s">
        <v>1455</v>
      </c>
      <c r="B109" s="112" t="s">
        <v>1456</v>
      </c>
      <c r="C109" s="113">
        <v>458</v>
      </c>
      <c r="D109" s="104">
        <v>81.3</v>
      </c>
      <c r="E109" s="106">
        <v>25</v>
      </c>
      <c r="F109" s="104">
        <v>65.099999999999994</v>
      </c>
      <c r="G109" s="17">
        <v>20</v>
      </c>
      <c r="H109" s="107">
        <v>144</v>
      </c>
      <c r="I109" s="108">
        <v>8000</v>
      </c>
      <c r="J109" s="108" t="s">
        <v>1280</v>
      </c>
      <c r="K109" s="108">
        <v>7000</v>
      </c>
      <c r="L109" s="108" t="s">
        <v>1265</v>
      </c>
      <c r="M109" s="109">
        <f t="shared" si="4"/>
        <v>1000</v>
      </c>
      <c r="N109" s="4">
        <f t="shared" si="5"/>
        <v>0.875</v>
      </c>
      <c r="O109" s="105">
        <f t="shared" si="6"/>
        <v>320</v>
      </c>
      <c r="P109" s="105">
        <f t="shared" si="7"/>
        <v>280</v>
      </c>
      <c r="Q109" s="110">
        <v>3</v>
      </c>
      <c r="R109" s="110">
        <v>1</v>
      </c>
      <c r="S109" s="110" t="s">
        <v>1244</v>
      </c>
      <c r="T109" s="5">
        <v>81</v>
      </c>
      <c r="U109" s="9"/>
    </row>
    <row r="110" spans="1:21" s="37" customFormat="1" ht="12" x14ac:dyDescent="0.3">
      <c r="A110" s="111" t="s">
        <v>1460</v>
      </c>
      <c r="B110" s="112" t="s">
        <v>1462</v>
      </c>
      <c r="C110" s="113">
        <v>1541</v>
      </c>
      <c r="D110" s="104">
        <v>69.8</v>
      </c>
      <c r="E110" s="106">
        <v>21</v>
      </c>
      <c r="F110" s="104">
        <v>49.7</v>
      </c>
      <c r="G110" s="17">
        <v>15</v>
      </c>
      <c r="H110" s="107">
        <v>149</v>
      </c>
      <c r="I110" s="108">
        <v>8000</v>
      </c>
      <c r="J110" s="108" t="s">
        <v>1245</v>
      </c>
      <c r="K110" s="108"/>
      <c r="L110" s="108"/>
      <c r="M110" s="109">
        <f t="shared" si="4"/>
        <v>8000</v>
      </c>
      <c r="N110" s="4">
        <f t="shared" si="5"/>
        <v>0</v>
      </c>
      <c r="O110" s="105">
        <f t="shared" si="6"/>
        <v>380.95238095238096</v>
      </c>
      <c r="P110" s="105">
        <f t="shared" si="7"/>
        <v>0</v>
      </c>
      <c r="Q110" s="110">
        <v>2</v>
      </c>
      <c r="R110" s="110">
        <v>1</v>
      </c>
      <c r="S110" s="110" t="s">
        <v>1241</v>
      </c>
      <c r="T110" s="5">
        <v>69</v>
      </c>
      <c r="U110" s="9"/>
    </row>
    <row r="111" spans="1:21" s="37" customFormat="1" ht="12" x14ac:dyDescent="0.3">
      <c r="A111" s="111" t="s">
        <v>1494</v>
      </c>
      <c r="B111" s="112" t="s">
        <v>1495</v>
      </c>
      <c r="C111" s="113">
        <v>1460</v>
      </c>
      <c r="D111" s="104">
        <v>65.400000000000006</v>
      </c>
      <c r="E111" s="106">
        <v>20</v>
      </c>
      <c r="F111" s="104">
        <v>49.9</v>
      </c>
      <c r="G111" s="17">
        <v>15</v>
      </c>
      <c r="H111" s="107">
        <v>529</v>
      </c>
      <c r="I111" s="108">
        <v>8000</v>
      </c>
      <c r="J111" s="108" t="s">
        <v>1255</v>
      </c>
      <c r="K111" s="108">
        <v>7500</v>
      </c>
      <c r="L111" s="108" t="s">
        <v>1294</v>
      </c>
      <c r="M111" s="109">
        <f t="shared" si="4"/>
        <v>500</v>
      </c>
      <c r="N111" s="4">
        <f t="shared" si="5"/>
        <v>0.9375</v>
      </c>
      <c r="O111" s="105">
        <f t="shared" si="6"/>
        <v>400</v>
      </c>
      <c r="P111" s="105">
        <f t="shared" si="7"/>
        <v>375</v>
      </c>
      <c r="Q111" s="110">
        <v>2</v>
      </c>
      <c r="R111" s="110">
        <v>1</v>
      </c>
      <c r="S111" s="110" t="s">
        <v>1244</v>
      </c>
      <c r="T111" s="5" t="s">
        <v>653</v>
      </c>
      <c r="U111" s="9"/>
    </row>
    <row r="112" spans="1:21" s="37" customFormat="1" ht="12" x14ac:dyDescent="0.3">
      <c r="A112" s="111" t="s">
        <v>1502</v>
      </c>
      <c r="B112" s="112" t="s">
        <v>1503</v>
      </c>
      <c r="C112" s="113">
        <v>874</v>
      </c>
      <c r="D112" s="104">
        <v>68.3</v>
      </c>
      <c r="E112" s="106">
        <v>21</v>
      </c>
      <c r="F112" s="104">
        <v>50.3</v>
      </c>
      <c r="G112" s="17">
        <v>15</v>
      </c>
      <c r="H112" s="107">
        <v>288</v>
      </c>
      <c r="I112" s="108">
        <v>8000</v>
      </c>
      <c r="J112" s="108" t="s">
        <v>1272</v>
      </c>
      <c r="K112" s="108"/>
      <c r="L112" s="108"/>
      <c r="M112" s="109">
        <f t="shared" si="4"/>
        <v>8000</v>
      </c>
      <c r="N112" s="4">
        <f t="shared" si="5"/>
        <v>0</v>
      </c>
      <c r="O112" s="105">
        <f t="shared" si="6"/>
        <v>380.95238095238096</v>
      </c>
      <c r="P112" s="105">
        <f t="shared" si="7"/>
        <v>0</v>
      </c>
      <c r="Q112" s="110">
        <v>2</v>
      </c>
      <c r="R112" s="110">
        <v>1</v>
      </c>
      <c r="S112" s="110" t="s">
        <v>1241</v>
      </c>
      <c r="T112" s="5" t="s">
        <v>678</v>
      </c>
      <c r="U112" s="9"/>
    </row>
    <row r="113" spans="1:21" s="37" customFormat="1" ht="12" x14ac:dyDescent="0.3">
      <c r="A113" s="111" t="s">
        <v>1451</v>
      </c>
      <c r="B113" s="112" t="s">
        <v>1452</v>
      </c>
      <c r="C113" s="113">
        <v>765</v>
      </c>
      <c r="D113" s="104">
        <v>71.5</v>
      </c>
      <c r="E113" s="106">
        <v>22</v>
      </c>
      <c r="F113" s="104">
        <v>49.8</v>
      </c>
      <c r="G113" s="17">
        <v>15</v>
      </c>
      <c r="H113" s="107">
        <v>120</v>
      </c>
      <c r="I113" s="108">
        <v>7500</v>
      </c>
      <c r="J113" s="108" t="s">
        <v>1253</v>
      </c>
      <c r="K113" s="108">
        <v>6500</v>
      </c>
      <c r="L113" s="108" t="s">
        <v>1256</v>
      </c>
      <c r="M113" s="109">
        <f t="shared" si="4"/>
        <v>1000</v>
      </c>
      <c r="N113" s="4">
        <f t="shared" si="5"/>
        <v>0.8666666666666667</v>
      </c>
      <c r="O113" s="105">
        <f t="shared" si="6"/>
        <v>340.90909090909093</v>
      </c>
      <c r="P113" s="105">
        <f t="shared" si="7"/>
        <v>295.45454545454544</v>
      </c>
      <c r="Q113" s="110">
        <v>2</v>
      </c>
      <c r="R113" s="110">
        <v>1</v>
      </c>
      <c r="S113" s="110" t="s">
        <v>1241</v>
      </c>
      <c r="T113" s="5">
        <v>71</v>
      </c>
      <c r="U113" s="9"/>
    </row>
    <row r="114" spans="1:21" s="37" customFormat="1" ht="12" x14ac:dyDescent="0.3">
      <c r="A114" s="111" t="s">
        <v>1585</v>
      </c>
      <c r="B114" s="112" t="s">
        <v>1409</v>
      </c>
      <c r="C114" s="113">
        <v>660</v>
      </c>
      <c r="D114" s="104">
        <v>83.5</v>
      </c>
      <c r="E114" s="106">
        <v>25</v>
      </c>
      <c r="F114" s="104">
        <v>67.400000000000006</v>
      </c>
      <c r="G114" s="17">
        <v>20</v>
      </c>
      <c r="H114" s="107">
        <v>120</v>
      </c>
      <c r="I114" s="108">
        <v>7500</v>
      </c>
      <c r="J114" s="108" t="s">
        <v>1272</v>
      </c>
      <c r="K114" s="108"/>
      <c r="L114" s="108"/>
      <c r="M114" s="109">
        <f t="shared" si="4"/>
        <v>7500</v>
      </c>
      <c r="N114" s="4">
        <f t="shared" si="5"/>
        <v>0</v>
      </c>
      <c r="O114" s="105">
        <f t="shared" si="6"/>
        <v>300</v>
      </c>
      <c r="P114" s="105">
        <f t="shared" si="7"/>
        <v>0</v>
      </c>
      <c r="Q114" s="110">
        <v>3</v>
      </c>
      <c r="R114" s="110">
        <v>1</v>
      </c>
      <c r="S114" s="110" t="s">
        <v>1241</v>
      </c>
      <c r="T114" s="5">
        <v>83</v>
      </c>
      <c r="U114" s="9"/>
    </row>
    <row r="115" spans="1:21" s="37" customFormat="1" ht="12" x14ac:dyDescent="0.3">
      <c r="A115" s="111" t="s">
        <v>1364</v>
      </c>
      <c r="B115" s="112" t="s">
        <v>1365</v>
      </c>
      <c r="C115" s="113">
        <v>1084</v>
      </c>
      <c r="D115" s="104">
        <v>80.099999999999994</v>
      </c>
      <c r="E115" s="106">
        <v>24</v>
      </c>
      <c r="F115" s="104">
        <v>59.9</v>
      </c>
      <c r="G115" s="17">
        <v>18</v>
      </c>
      <c r="H115" s="107">
        <v>427</v>
      </c>
      <c r="I115" s="108">
        <v>7000</v>
      </c>
      <c r="J115" s="108" t="s">
        <v>1255</v>
      </c>
      <c r="K115" s="108"/>
      <c r="L115" s="108"/>
      <c r="M115" s="109">
        <f t="shared" si="4"/>
        <v>7000</v>
      </c>
      <c r="N115" s="4">
        <f t="shared" si="5"/>
        <v>0</v>
      </c>
      <c r="O115" s="105">
        <f t="shared" si="6"/>
        <v>291.66666666666669</v>
      </c>
      <c r="P115" s="105">
        <f t="shared" si="7"/>
        <v>0</v>
      </c>
      <c r="Q115" s="110">
        <v>3</v>
      </c>
      <c r="R115" s="110">
        <v>1</v>
      </c>
      <c r="S115" s="110" t="s">
        <v>1244</v>
      </c>
      <c r="T115" s="5">
        <v>80</v>
      </c>
      <c r="U115" s="9"/>
    </row>
    <row r="116" spans="1:21" s="37" customFormat="1" ht="12" x14ac:dyDescent="0.3">
      <c r="A116" s="111" t="s">
        <v>1573</v>
      </c>
      <c r="B116" s="112" t="s">
        <v>1569</v>
      </c>
      <c r="C116" s="113">
        <v>499</v>
      </c>
      <c r="D116" s="104">
        <v>88.3</v>
      </c>
      <c r="E116" s="106">
        <v>27</v>
      </c>
      <c r="F116" s="104">
        <v>72</v>
      </c>
      <c r="G116" s="17">
        <v>22</v>
      </c>
      <c r="H116" s="107">
        <v>128</v>
      </c>
      <c r="I116" s="108">
        <v>6700</v>
      </c>
      <c r="J116" s="108" t="s">
        <v>1280</v>
      </c>
      <c r="K116" s="108"/>
      <c r="L116" s="108"/>
      <c r="M116" s="109">
        <f t="shared" si="4"/>
        <v>6700</v>
      </c>
      <c r="N116" s="4">
        <f t="shared" si="5"/>
        <v>0</v>
      </c>
      <c r="O116" s="105">
        <f t="shared" si="6"/>
        <v>248.14814814814815</v>
      </c>
      <c r="P116" s="105">
        <f t="shared" si="7"/>
        <v>0</v>
      </c>
      <c r="Q116" s="110">
        <v>3</v>
      </c>
      <c r="R116" s="110">
        <v>2</v>
      </c>
      <c r="S116" s="110" t="s">
        <v>1244</v>
      </c>
      <c r="T116" s="5">
        <v>88</v>
      </c>
      <c r="U116" s="9"/>
    </row>
    <row r="117" spans="1:21" s="37" customFormat="1" ht="12" x14ac:dyDescent="0.3">
      <c r="A117" s="111" t="s">
        <v>1645</v>
      </c>
      <c r="B117" s="112" t="s">
        <v>1646</v>
      </c>
      <c r="C117" s="113">
        <v>383</v>
      </c>
      <c r="D117" s="104">
        <v>60.5</v>
      </c>
      <c r="E117" s="106">
        <v>18</v>
      </c>
      <c r="F117" s="104">
        <v>47.6</v>
      </c>
      <c r="G117" s="17">
        <v>14</v>
      </c>
      <c r="H117" s="107">
        <v>120</v>
      </c>
      <c r="I117" s="108">
        <v>6400</v>
      </c>
      <c r="J117" s="108" t="s">
        <v>1253</v>
      </c>
      <c r="K117" s="108"/>
      <c r="L117" s="108"/>
      <c r="M117" s="109">
        <f t="shared" si="4"/>
        <v>6400</v>
      </c>
      <c r="N117" s="4">
        <f t="shared" si="5"/>
        <v>0</v>
      </c>
      <c r="O117" s="105">
        <f t="shared" si="6"/>
        <v>355.55555555555554</v>
      </c>
      <c r="P117" s="105">
        <f t="shared" si="7"/>
        <v>0</v>
      </c>
      <c r="Q117" s="110">
        <v>3</v>
      </c>
      <c r="R117" s="110">
        <v>1</v>
      </c>
      <c r="S117" s="110" t="s">
        <v>1244</v>
      </c>
      <c r="T117" s="5">
        <v>60</v>
      </c>
      <c r="U117" s="9"/>
    </row>
    <row r="118" spans="1:21" s="37" customFormat="1" ht="12" x14ac:dyDescent="0.3">
      <c r="A118" s="111" t="s">
        <v>1566</v>
      </c>
      <c r="B118" s="112" t="s">
        <v>1567</v>
      </c>
      <c r="C118" s="113">
        <v>702</v>
      </c>
      <c r="D118" s="104">
        <v>79.5</v>
      </c>
      <c r="E118" s="106">
        <v>24</v>
      </c>
      <c r="F118" s="104">
        <v>60.5</v>
      </c>
      <c r="G118" s="17">
        <v>18</v>
      </c>
      <c r="H118" s="107">
        <v>251</v>
      </c>
      <c r="I118" s="108">
        <v>6000</v>
      </c>
      <c r="J118" s="108" t="s">
        <v>1256</v>
      </c>
      <c r="K118" s="108"/>
      <c r="L118" s="108"/>
      <c r="M118" s="109">
        <f t="shared" si="4"/>
        <v>6000</v>
      </c>
      <c r="N118" s="4">
        <f t="shared" si="5"/>
        <v>0</v>
      </c>
      <c r="O118" s="105">
        <f t="shared" si="6"/>
        <v>250</v>
      </c>
      <c r="P118" s="105">
        <f t="shared" si="7"/>
        <v>0</v>
      </c>
      <c r="Q118" s="110">
        <v>3</v>
      </c>
      <c r="R118" s="110">
        <v>1</v>
      </c>
      <c r="S118" s="110" t="s">
        <v>1244</v>
      </c>
      <c r="T118" s="5" t="s">
        <v>282</v>
      </c>
      <c r="U118" s="9"/>
    </row>
    <row r="119" spans="1:21" s="37" customFormat="1" ht="12" x14ac:dyDescent="0.3">
      <c r="A119" s="111" t="s">
        <v>1375</v>
      </c>
      <c r="B119" s="112" t="s">
        <v>1376</v>
      </c>
      <c r="C119" s="113">
        <v>1186</v>
      </c>
      <c r="D119" s="104">
        <v>69</v>
      </c>
      <c r="E119" s="106">
        <v>21</v>
      </c>
      <c r="F119" s="104">
        <v>53.8</v>
      </c>
      <c r="G119" s="17">
        <v>16</v>
      </c>
      <c r="H119" s="107">
        <v>941</v>
      </c>
      <c r="I119" s="108">
        <v>5700</v>
      </c>
      <c r="J119" s="108" t="s">
        <v>1255</v>
      </c>
      <c r="K119" s="108"/>
      <c r="L119" s="108"/>
      <c r="M119" s="109">
        <f t="shared" si="4"/>
        <v>5700</v>
      </c>
      <c r="N119" s="4">
        <f t="shared" si="5"/>
        <v>0</v>
      </c>
      <c r="O119" s="105">
        <f t="shared" si="6"/>
        <v>271.42857142857144</v>
      </c>
      <c r="P119" s="105">
        <f t="shared" si="7"/>
        <v>0</v>
      </c>
      <c r="Q119" s="110">
        <v>2</v>
      </c>
      <c r="R119" s="110">
        <v>1</v>
      </c>
      <c r="S119" s="110" t="s">
        <v>1241</v>
      </c>
      <c r="T119" s="5">
        <v>68</v>
      </c>
      <c r="U119" s="9"/>
    </row>
    <row r="120" spans="1:21" s="37" customFormat="1" ht="12" x14ac:dyDescent="0.3">
      <c r="A120" s="111" t="s">
        <v>1571</v>
      </c>
      <c r="B120" s="112" t="s">
        <v>1572</v>
      </c>
      <c r="C120" s="113">
        <v>499</v>
      </c>
      <c r="D120" s="104">
        <v>78.400000000000006</v>
      </c>
      <c r="E120" s="106">
        <v>24</v>
      </c>
      <c r="F120" s="104">
        <v>59.8</v>
      </c>
      <c r="G120" s="17">
        <v>18</v>
      </c>
      <c r="H120" s="107">
        <v>48</v>
      </c>
      <c r="I120" s="108">
        <v>5350</v>
      </c>
      <c r="J120" s="108" t="s">
        <v>1250</v>
      </c>
      <c r="K120" s="108"/>
      <c r="L120" s="108"/>
      <c r="M120" s="109">
        <f t="shared" si="4"/>
        <v>5350</v>
      </c>
      <c r="N120" s="4">
        <f t="shared" si="5"/>
        <v>0</v>
      </c>
      <c r="O120" s="105">
        <f t="shared" si="6"/>
        <v>222.91666666666666</v>
      </c>
      <c r="P120" s="105">
        <f t="shared" si="7"/>
        <v>0</v>
      </c>
      <c r="Q120" s="110">
        <v>3</v>
      </c>
      <c r="R120" s="110">
        <v>1</v>
      </c>
      <c r="S120" s="110" t="s">
        <v>1241</v>
      </c>
      <c r="T120" s="5" t="s">
        <v>724</v>
      </c>
      <c r="U120" s="9"/>
    </row>
    <row r="121" spans="1:21" s="37" customFormat="1" ht="12" x14ac:dyDescent="0.3">
      <c r="A121" s="111" t="s">
        <v>1451</v>
      </c>
      <c r="B121" s="112" t="s">
        <v>1452</v>
      </c>
      <c r="C121" s="113">
        <v>765</v>
      </c>
      <c r="D121" s="104">
        <v>56.5</v>
      </c>
      <c r="E121" s="106">
        <v>17</v>
      </c>
      <c r="F121" s="104">
        <v>39.299999999999997</v>
      </c>
      <c r="G121" s="17">
        <v>12</v>
      </c>
      <c r="H121" s="107">
        <v>60</v>
      </c>
      <c r="I121" s="108">
        <v>5000</v>
      </c>
      <c r="J121" s="108" t="s">
        <v>1256</v>
      </c>
      <c r="K121" s="108"/>
      <c r="L121" s="108"/>
      <c r="M121" s="109">
        <f t="shared" si="4"/>
        <v>5000</v>
      </c>
      <c r="N121" s="4">
        <f t="shared" si="5"/>
        <v>0</v>
      </c>
      <c r="O121" s="105">
        <f t="shared" si="6"/>
        <v>294.11764705882354</v>
      </c>
      <c r="P121" s="105">
        <f t="shared" si="7"/>
        <v>0</v>
      </c>
      <c r="Q121" s="110">
        <v>2</v>
      </c>
      <c r="R121" s="110">
        <v>1</v>
      </c>
      <c r="S121" s="110" t="s">
        <v>1241</v>
      </c>
      <c r="T121" s="5">
        <v>56</v>
      </c>
      <c r="U121" s="9"/>
    </row>
    <row r="122" spans="1:21" s="37" customFormat="1" ht="12" x14ac:dyDescent="0.3">
      <c r="A122" s="111" t="s">
        <v>1577</v>
      </c>
      <c r="B122" s="112" t="s">
        <v>1578</v>
      </c>
      <c r="C122" s="113">
        <v>720</v>
      </c>
      <c r="D122" s="104">
        <v>63</v>
      </c>
      <c r="E122" s="106">
        <v>19</v>
      </c>
      <c r="F122" s="104">
        <v>45.4</v>
      </c>
      <c r="G122" s="17">
        <v>14</v>
      </c>
      <c r="H122" s="107">
        <v>416</v>
      </c>
      <c r="I122" s="108">
        <v>4700</v>
      </c>
      <c r="J122" s="108" t="s">
        <v>1305</v>
      </c>
      <c r="K122" s="108"/>
      <c r="L122" s="108"/>
      <c r="M122" s="109">
        <f t="shared" si="4"/>
        <v>4700</v>
      </c>
      <c r="N122" s="4">
        <f t="shared" si="5"/>
        <v>0</v>
      </c>
      <c r="O122" s="105">
        <f t="shared" si="6"/>
        <v>247.36842105263159</v>
      </c>
      <c r="P122" s="105">
        <f t="shared" si="7"/>
        <v>0</v>
      </c>
      <c r="Q122" s="110">
        <v>2</v>
      </c>
      <c r="R122" s="110">
        <v>1</v>
      </c>
      <c r="S122" s="110" t="s">
        <v>1241</v>
      </c>
      <c r="T122" s="5" t="s">
        <v>957</v>
      </c>
      <c r="U122" s="9"/>
    </row>
    <row r="123" spans="1:21" s="37" customFormat="1" ht="12" x14ac:dyDescent="0.3">
      <c r="A123" s="111" t="s">
        <v>1375</v>
      </c>
      <c r="B123" s="112" t="s">
        <v>1376</v>
      </c>
      <c r="C123" s="113">
        <v>1186</v>
      </c>
      <c r="D123" s="104">
        <v>51.7</v>
      </c>
      <c r="E123" s="106">
        <v>16</v>
      </c>
      <c r="F123" s="104">
        <v>40.299999999999997</v>
      </c>
      <c r="G123" s="17">
        <v>12</v>
      </c>
      <c r="H123" s="107">
        <v>230</v>
      </c>
      <c r="I123" s="108">
        <v>4500</v>
      </c>
      <c r="J123" s="108" t="s">
        <v>1250</v>
      </c>
      <c r="K123" s="108"/>
      <c r="L123" s="108"/>
      <c r="M123" s="109">
        <f t="shared" si="4"/>
        <v>4500</v>
      </c>
      <c r="N123" s="4">
        <f t="shared" si="5"/>
        <v>0</v>
      </c>
      <c r="O123" s="105">
        <f t="shared" si="6"/>
        <v>281.25</v>
      </c>
      <c r="P123" s="105">
        <f t="shared" si="7"/>
        <v>0</v>
      </c>
      <c r="Q123" s="110">
        <v>1</v>
      </c>
      <c r="R123" s="110">
        <v>1</v>
      </c>
      <c r="S123" s="110" t="s">
        <v>1241</v>
      </c>
      <c r="T123" s="5">
        <v>51</v>
      </c>
      <c r="U123" s="9"/>
    </row>
    <row r="124" spans="1:21" s="37" customFormat="1" ht="12" x14ac:dyDescent="0.3">
      <c r="A124" s="111" t="s">
        <v>1362</v>
      </c>
      <c r="B124" s="112" t="s">
        <v>1363</v>
      </c>
      <c r="C124" s="113">
        <v>880</v>
      </c>
      <c r="D124" s="104">
        <v>55</v>
      </c>
      <c r="E124" s="106">
        <v>17</v>
      </c>
      <c r="F124" s="104">
        <v>40</v>
      </c>
      <c r="G124" s="17">
        <v>12</v>
      </c>
      <c r="H124" s="107">
        <v>163</v>
      </c>
      <c r="I124" s="108">
        <v>4400</v>
      </c>
      <c r="J124" s="108" t="s">
        <v>1253</v>
      </c>
      <c r="K124" s="108"/>
      <c r="L124" s="108"/>
      <c r="M124" s="109">
        <f t="shared" si="4"/>
        <v>4400</v>
      </c>
      <c r="N124" s="4">
        <f t="shared" si="5"/>
        <v>0</v>
      </c>
      <c r="O124" s="105">
        <f t="shared" si="6"/>
        <v>258.8235294117647</v>
      </c>
      <c r="P124" s="105">
        <f t="shared" si="7"/>
        <v>0</v>
      </c>
      <c r="Q124" s="110">
        <v>3</v>
      </c>
      <c r="R124" s="110">
        <v>1</v>
      </c>
      <c r="S124" s="110" t="s">
        <v>1244</v>
      </c>
      <c r="T124" s="5">
        <v>54</v>
      </c>
      <c r="U124" s="9"/>
    </row>
    <row r="125" spans="1:21" s="37" customFormat="1" ht="12" x14ac:dyDescent="0.3">
      <c r="A125" s="111" t="s">
        <v>1570</v>
      </c>
      <c r="B125" s="112" t="s">
        <v>1569</v>
      </c>
      <c r="C125" s="113">
        <v>499</v>
      </c>
      <c r="D125" s="104">
        <v>63.4</v>
      </c>
      <c r="E125" s="106">
        <v>19</v>
      </c>
      <c r="F125" s="104">
        <v>49.3</v>
      </c>
      <c r="G125" s="17">
        <v>15</v>
      </c>
      <c r="H125" s="107">
        <v>50</v>
      </c>
      <c r="I125" s="108">
        <v>3800</v>
      </c>
      <c r="J125" s="108" t="s">
        <v>1250</v>
      </c>
      <c r="K125" s="108"/>
      <c r="L125" s="108"/>
      <c r="M125" s="109">
        <f t="shared" si="4"/>
        <v>3800</v>
      </c>
      <c r="N125" s="4">
        <f t="shared" si="5"/>
        <v>0</v>
      </c>
      <c r="O125" s="105">
        <f t="shared" si="6"/>
        <v>200</v>
      </c>
      <c r="P125" s="105">
        <f t="shared" si="7"/>
        <v>0</v>
      </c>
      <c r="Q125" s="110">
        <v>2</v>
      </c>
      <c r="R125" s="110">
        <v>1</v>
      </c>
      <c r="S125" s="110" t="s">
        <v>1244</v>
      </c>
      <c r="T125" s="5">
        <v>63</v>
      </c>
      <c r="U125" s="9"/>
    </row>
    <row r="126" spans="1:21" s="37" customFormat="1" ht="12" x14ac:dyDescent="0.3">
      <c r="A126" s="111" t="s">
        <v>1486</v>
      </c>
      <c r="B126" s="112" t="s">
        <v>1487</v>
      </c>
      <c r="C126" s="113">
        <v>498</v>
      </c>
      <c r="D126" s="104">
        <v>53.9</v>
      </c>
      <c r="E126" s="106">
        <v>16</v>
      </c>
      <c r="F126" s="104">
        <v>40</v>
      </c>
      <c r="G126" s="17">
        <v>12</v>
      </c>
      <c r="H126" s="107">
        <v>498</v>
      </c>
      <c r="I126" s="108">
        <v>3600</v>
      </c>
      <c r="J126" s="108" t="s">
        <v>1294</v>
      </c>
      <c r="K126" s="108">
        <v>4500</v>
      </c>
      <c r="L126" s="108" t="s">
        <v>1287</v>
      </c>
      <c r="M126" s="109">
        <f t="shared" si="4"/>
        <v>-900</v>
      </c>
      <c r="N126" s="4">
        <f t="shared" si="5"/>
        <v>1.25</v>
      </c>
      <c r="O126" s="105">
        <f t="shared" si="6"/>
        <v>225</v>
      </c>
      <c r="P126" s="105">
        <f t="shared" si="7"/>
        <v>281.25</v>
      </c>
      <c r="Q126" s="110">
        <v>2</v>
      </c>
      <c r="R126" s="110">
        <v>1</v>
      </c>
      <c r="S126" s="110" t="s">
        <v>1244</v>
      </c>
      <c r="T126" s="5">
        <v>53</v>
      </c>
      <c r="U126" s="9"/>
    </row>
    <row r="127" spans="1:21" s="37" customFormat="1" ht="12" x14ac:dyDescent="0.3">
      <c r="A127" s="111" t="s">
        <v>1553</v>
      </c>
      <c r="B127" s="112" t="s">
        <v>1554</v>
      </c>
      <c r="C127" s="113">
        <v>349</v>
      </c>
      <c r="D127" s="104">
        <v>51.5</v>
      </c>
      <c r="E127" s="106">
        <v>16</v>
      </c>
      <c r="F127" s="104">
        <v>39</v>
      </c>
      <c r="G127" s="17">
        <v>12</v>
      </c>
      <c r="H127" s="107">
        <v>295</v>
      </c>
      <c r="I127" s="108">
        <v>2100</v>
      </c>
      <c r="J127" s="108" t="s">
        <v>1272</v>
      </c>
      <c r="K127" s="108"/>
      <c r="L127" s="108"/>
      <c r="M127" s="109">
        <f t="shared" si="4"/>
        <v>2100</v>
      </c>
      <c r="N127" s="4">
        <f t="shared" si="5"/>
        <v>0</v>
      </c>
      <c r="O127" s="105">
        <f t="shared" si="6"/>
        <v>131.25</v>
      </c>
      <c r="P127" s="105">
        <f t="shared" si="7"/>
        <v>0</v>
      </c>
      <c r="Q127" s="110">
        <v>2</v>
      </c>
      <c r="R127" s="110">
        <v>1</v>
      </c>
      <c r="S127" s="110" t="s">
        <v>1241</v>
      </c>
      <c r="T127" s="5">
        <v>51</v>
      </c>
      <c r="U127" s="9"/>
    </row>
    <row r="128" spans="1:21" s="37" customFormat="1" ht="12" x14ac:dyDescent="0.3">
      <c r="A128" s="111" t="s">
        <v>1551</v>
      </c>
      <c r="B128" s="112" t="s">
        <v>1552</v>
      </c>
      <c r="C128" s="113">
        <v>404</v>
      </c>
      <c r="D128" s="104">
        <v>52.1</v>
      </c>
      <c r="E128" s="106">
        <v>16</v>
      </c>
      <c r="F128" s="104">
        <v>39.1</v>
      </c>
      <c r="G128" s="17">
        <v>12</v>
      </c>
      <c r="H128" s="107">
        <v>105</v>
      </c>
      <c r="I128" s="108">
        <v>1900</v>
      </c>
      <c r="J128" s="108" t="s">
        <v>1287</v>
      </c>
      <c r="K128" s="108"/>
      <c r="L128" s="108"/>
      <c r="M128" s="109">
        <f t="shared" si="4"/>
        <v>1900</v>
      </c>
      <c r="N128" s="4">
        <f t="shared" si="5"/>
        <v>0</v>
      </c>
      <c r="O128" s="105">
        <f t="shared" si="6"/>
        <v>118.75</v>
      </c>
      <c r="P128" s="105">
        <f t="shared" si="7"/>
        <v>0</v>
      </c>
      <c r="Q128" s="110">
        <v>1</v>
      </c>
      <c r="R128" s="110">
        <v>1</v>
      </c>
      <c r="S128" s="110" t="s">
        <v>1244</v>
      </c>
      <c r="T128" s="5">
        <v>52</v>
      </c>
      <c r="U128" s="9"/>
    </row>
    <row r="129" spans="1:21" s="37" customFormat="1" ht="12" x14ac:dyDescent="0.3">
      <c r="A129" s="111" t="s">
        <v>1356</v>
      </c>
      <c r="B129" s="112" t="s">
        <v>1357</v>
      </c>
      <c r="C129" s="113">
        <v>304</v>
      </c>
      <c r="D129" s="104">
        <v>76.8</v>
      </c>
      <c r="E129" s="106">
        <v>23</v>
      </c>
      <c r="F129" s="104">
        <v>59.3</v>
      </c>
      <c r="G129" s="17">
        <v>18</v>
      </c>
      <c r="H129" s="107">
        <v>138</v>
      </c>
      <c r="I129" s="108"/>
      <c r="J129" s="108"/>
      <c r="K129" s="108"/>
      <c r="L129" s="108"/>
      <c r="M129" s="109">
        <f t="shared" si="4"/>
        <v>0</v>
      </c>
      <c r="N129" s="4" t="str">
        <f t="shared" si="5"/>
        <v/>
      </c>
      <c r="O129" s="105">
        <f t="shared" si="6"/>
        <v>0</v>
      </c>
      <c r="P129" s="105">
        <f t="shared" si="7"/>
        <v>0</v>
      </c>
      <c r="Q129" s="110">
        <v>3</v>
      </c>
      <c r="R129" s="110">
        <v>1</v>
      </c>
      <c r="S129" s="110" t="s">
        <v>1241</v>
      </c>
      <c r="T129" s="5">
        <v>76</v>
      </c>
      <c r="U129" s="9"/>
    </row>
    <row r="130" spans="1:21" s="37" customFormat="1" ht="12" x14ac:dyDescent="0.3">
      <c r="A130" s="111" t="s">
        <v>1358</v>
      </c>
      <c r="B130" s="112" t="s">
        <v>1359</v>
      </c>
      <c r="C130" s="113">
        <v>304</v>
      </c>
      <c r="D130" s="104">
        <v>91.1</v>
      </c>
      <c r="E130" s="106">
        <v>28</v>
      </c>
      <c r="F130" s="104">
        <v>74.099999999999994</v>
      </c>
      <c r="G130" s="17">
        <v>22</v>
      </c>
      <c r="H130" s="107">
        <v>87</v>
      </c>
      <c r="I130" s="108"/>
      <c r="J130" s="108"/>
      <c r="K130" s="108"/>
      <c r="L130" s="108"/>
      <c r="M130" s="109">
        <f t="shared" si="4"/>
        <v>0</v>
      </c>
      <c r="N130" s="4" t="str">
        <f t="shared" si="5"/>
        <v/>
      </c>
      <c r="O130" s="105">
        <f t="shared" si="6"/>
        <v>0</v>
      </c>
      <c r="P130" s="105">
        <f t="shared" si="7"/>
        <v>0</v>
      </c>
      <c r="Q130" s="110">
        <v>3</v>
      </c>
      <c r="R130" s="110">
        <v>2</v>
      </c>
      <c r="S130" s="110" t="s">
        <v>1244</v>
      </c>
      <c r="T130" s="5">
        <v>91</v>
      </c>
      <c r="U130" s="9"/>
    </row>
    <row r="131" spans="1:21" s="37" customFormat="1" ht="12" x14ac:dyDescent="0.3">
      <c r="A131" s="111" t="s">
        <v>1366</v>
      </c>
      <c r="B131" s="112" t="s">
        <v>1367</v>
      </c>
      <c r="C131" s="113">
        <v>1084</v>
      </c>
      <c r="D131" s="104">
        <v>146.30000000000001</v>
      </c>
      <c r="E131" s="106">
        <v>44</v>
      </c>
      <c r="F131" s="104">
        <v>125.9</v>
      </c>
      <c r="G131" s="17">
        <v>38</v>
      </c>
      <c r="H131" s="107">
        <v>120</v>
      </c>
      <c r="I131" s="108"/>
      <c r="J131" s="108"/>
      <c r="K131" s="108"/>
      <c r="L131" s="108"/>
      <c r="M131" s="109">
        <f t="shared" si="4"/>
        <v>0</v>
      </c>
      <c r="N131" s="4" t="str">
        <f t="shared" si="5"/>
        <v/>
      </c>
      <c r="O131" s="105">
        <f t="shared" si="6"/>
        <v>0</v>
      </c>
      <c r="P131" s="105">
        <f t="shared" si="7"/>
        <v>0</v>
      </c>
      <c r="Q131" s="110">
        <v>4</v>
      </c>
      <c r="R131" s="110">
        <v>2</v>
      </c>
      <c r="S131" s="110" t="s">
        <v>1244</v>
      </c>
      <c r="T131" s="5">
        <v>146</v>
      </c>
      <c r="U131" s="9"/>
    </row>
    <row r="132" spans="1:21" s="37" customFormat="1" ht="12" x14ac:dyDescent="0.3">
      <c r="A132" s="111" t="s">
        <v>1368</v>
      </c>
      <c r="B132" s="112" t="s">
        <v>1369</v>
      </c>
      <c r="C132" s="113">
        <v>437</v>
      </c>
      <c r="D132" s="104">
        <v>74.7</v>
      </c>
      <c r="E132" s="106">
        <v>23</v>
      </c>
      <c r="F132" s="104">
        <v>59.9</v>
      </c>
      <c r="G132" s="17">
        <v>18</v>
      </c>
      <c r="H132" s="107">
        <v>164</v>
      </c>
      <c r="I132" s="108"/>
      <c r="J132" s="108"/>
      <c r="K132" s="108"/>
      <c r="L132" s="108"/>
      <c r="M132" s="109">
        <f t="shared" ref="M132:M195" si="8">I132-K132</f>
        <v>0</v>
      </c>
      <c r="N132" s="4" t="str">
        <f t="shared" ref="N132:N195" si="9">IF(ISERROR(K132/I132),"",K132/I132)</f>
        <v/>
      </c>
      <c r="O132" s="105">
        <f t="shared" ref="O132:O195" si="10">I132/E132</f>
        <v>0</v>
      </c>
      <c r="P132" s="105">
        <f t="shared" ref="P132:P195" si="11">K132/E132</f>
        <v>0</v>
      </c>
      <c r="Q132" s="110">
        <v>3</v>
      </c>
      <c r="R132" s="110">
        <v>1</v>
      </c>
      <c r="S132" s="110" t="s">
        <v>1244</v>
      </c>
      <c r="T132" s="5" t="s">
        <v>129</v>
      </c>
      <c r="U132" s="9"/>
    </row>
    <row r="133" spans="1:21" s="37" customFormat="1" ht="12" x14ac:dyDescent="0.3">
      <c r="A133" s="111" t="s">
        <v>1371</v>
      </c>
      <c r="B133" s="112" t="s">
        <v>1372</v>
      </c>
      <c r="C133" s="113">
        <v>424</v>
      </c>
      <c r="D133" s="104">
        <v>106.7</v>
      </c>
      <c r="E133" s="106">
        <v>32</v>
      </c>
      <c r="F133" s="104">
        <v>84.9</v>
      </c>
      <c r="G133" s="17">
        <v>26</v>
      </c>
      <c r="H133" s="107">
        <v>192</v>
      </c>
      <c r="I133" s="108"/>
      <c r="J133" s="108"/>
      <c r="K133" s="108"/>
      <c r="L133" s="108"/>
      <c r="M133" s="109">
        <f t="shared" si="8"/>
        <v>0</v>
      </c>
      <c r="N133" s="4" t="str">
        <f t="shared" si="9"/>
        <v/>
      </c>
      <c r="O133" s="105">
        <f t="shared" si="10"/>
        <v>0</v>
      </c>
      <c r="P133" s="105">
        <f t="shared" si="11"/>
        <v>0</v>
      </c>
      <c r="Q133" s="110">
        <v>3</v>
      </c>
      <c r="R133" s="110">
        <v>2</v>
      </c>
      <c r="S133" s="110" t="s">
        <v>1244</v>
      </c>
      <c r="T133" s="5" t="s">
        <v>134</v>
      </c>
      <c r="U133" s="9"/>
    </row>
    <row r="134" spans="1:21" s="37" customFormat="1" ht="12" x14ac:dyDescent="0.3">
      <c r="A134" s="111" t="s">
        <v>1371</v>
      </c>
      <c r="B134" s="112" t="s">
        <v>1372</v>
      </c>
      <c r="C134" s="113">
        <v>424</v>
      </c>
      <c r="D134" s="104">
        <v>155.4</v>
      </c>
      <c r="E134" s="106">
        <v>47</v>
      </c>
      <c r="F134" s="104">
        <v>128.5</v>
      </c>
      <c r="G134" s="17">
        <v>39</v>
      </c>
      <c r="H134" s="107">
        <v>88</v>
      </c>
      <c r="I134" s="108"/>
      <c r="J134" s="108"/>
      <c r="K134" s="108"/>
      <c r="L134" s="108"/>
      <c r="M134" s="109">
        <f t="shared" si="8"/>
        <v>0</v>
      </c>
      <c r="N134" s="4" t="str">
        <f t="shared" si="9"/>
        <v/>
      </c>
      <c r="O134" s="105">
        <f t="shared" si="10"/>
        <v>0</v>
      </c>
      <c r="P134" s="105">
        <f t="shared" si="11"/>
        <v>0</v>
      </c>
      <c r="Q134" s="110">
        <v>4</v>
      </c>
      <c r="R134" s="110">
        <v>2</v>
      </c>
      <c r="S134" s="110" t="s">
        <v>1241</v>
      </c>
      <c r="T134" s="5">
        <v>155</v>
      </c>
      <c r="U134" s="9"/>
    </row>
    <row r="135" spans="1:21" s="37" customFormat="1" ht="12" x14ac:dyDescent="0.3">
      <c r="A135" s="111" t="s">
        <v>1373</v>
      </c>
      <c r="B135" s="112" t="s">
        <v>1374</v>
      </c>
      <c r="C135" s="113">
        <v>993</v>
      </c>
      <c r="D135" s="104">
        <v>80.5</v>
      </c>
      <c r="E135" s="106">
        <v>24</v>
      </c>
      <c r="F135" s="104">
        <v>59.8</v>
      </c>
      <c r="G135" s="17">
        <v>18</v>
      </c>
      <c r="H135" s="107">
        <v>178</v>
      </c>
      <c r="I135" s="108"/>
      <c r="J135" s="108"/>
      <c r="K135" s="108"/>
      <c r="L135" s="108"/>
      <c r="M135" s="109">
        <f t="shared" si="8"/>
        <v>0</v>
      </c>
      <c r="N135" s="4" t="str">
        <f t="shared" si="9"/>
        <v/>
      </c>
      <c r="O135" s="105">
        <f t="shared" si="10"/>
        <v>0</v>
      </c>
      <c r="P135" s="105">
        <f t="shared" si="11"/>
        <v>0</v>
      </c>
      <c r="Q135" s="110">
        <v>3</v>
      </c>
      <c r="R135" s="110">
        <v>2</v>
      </c>
      <c r="S135" s="110" t="s">
        <v>1244</v>
      </c>
      <c r="T135" s="5" t="s">
        <v>171</v>
      </c>
      <c r="U135" s="9"/>
    </row>
    <row r="136" spans="1:21" s="37" customFormat="1" ht="12" x14ac:dyDescent="0.3">
      <c r="A136" s="111" t="s">
        <v>1373</v>
      </c>
      <c r="B136" s="112" t="s">
        <v>1374</v>
      </c>
      <c r="C136" s="113">
        <v>993</v>
      </c>
      <c r="D136" s="104">
        <v>98.3</v>
      </c>
      <c r="E136" s="106">
        <v>30</v>
      </c>
      <c r="F136" s="104">
        <v>73.400000000000006</v>
      </c>
      <c r="G136" s="17">
        <v>22</v>
      </c>
      <c r="H136" s="107">
        <v>86</v>
      </c>
      <c r="I136" s="108"/>
      <c r="J136" s="108"/>
      <c r="K136" s="108"/>
      <c r="L136" s="108"/>
      <c r="M136" s="109">
        <f t="shared" si="8"/>
        <v>0</v>
      </c>
      <c r="N136" s="4" t="str">
        <f t="shared" si="9"/>
        <v/>
      </c>
      <c r="O136" s="105">
        <f t="shared" si="10"/>
        <v>0</v>
      </c>
      <c r="P136" s="105">
        <f t="shared" si="11"/>
        <v>0</v>
      </c>
      <c r="Q136" s="110">
        <v>3</v>
      </c>
      <c r="R136" s="110">
        <v>2</v>
      </c>
      <c r="S136" s="110" t="s">
        <v>1244</v>
      </c>
      <c r="T136" s="5">
        <v>98</v>
      </c>
      <c r="U136" s="9"/>
    </row>
    <row r="137" spans="1:21" s="37" customFormat="1" ht="12" x14ac:dyDescent="0.3">
      <c r="A137" s="111" t="s">
        <v>1373</v>
      </c>
      <c r="B137" s="112" t="s">
        <v>1374</v>
      </c>
      <c r="C137" s="113">
        <v>993</v>
      </c>
      <c r="D137" s="104">
        <v>112.4</v>
      </c>
      <c r="E137" s="106">
        <v>34</v>
      </c>
      <c r="F137" s="104">
        <v>85</v>
      </c>
      <c r="G137" s="17">
        <v>26</v>
      </c>
      <c r="H137" s="107">
        <v>36</v>
      </c>
      <c r="I137" s="108"/>
      <c r="J137" s="108"/>
      <c r="K137" s="108"/>
      <c r="L137" s="108"/>
      <c r="M137" s="109">
        <f t="shared" si="8"/>
        <v>0</v>
      </c>
      <c r="N137" s="4" t="str">
        <f t="shared" si="9"/>
        <v/>
      </c>
      <c r="O137" s="105">
        <f t="shared" si="10"/>
        <v>0</v>
      </c>
      <c r="P137" s="105">
        <f t="shared" si="11"/>
        <v>0</v>
      </c>
      <c r="Q137" s="110">
        <v>3</v>
      </c>
      <c r="R137" s="110">
        <v>2</v>
      </c>
      <c r="S137" s="110" t="s">
        <v>1244</v>
      </c>
      <c r="T137" s="5" t="s">
        <v>177</v>
      </c>
      <c r="U137" s="9"/>
    </row>
    <row r="138" spans="1:21" s="37" customFormat="1" ht="12" x14ac:dyDescent="0.3">
      <c r="A138" s="111" t="s">
        <v>1379</v>
      </c>
      <c r="B138" s="112" t="s">
        <v>1380</v>
      </c>
      <c r="C138" s="113">
        <v>336</v>
      </c>
      <c r="D138" s="104">
        <v>148.80000000000001</v>
      </c>
      <c r="E138" s="106">
        <v>45</v>
      </c>
      <c r="F138" s="104">
        <v>126.6</v>
      </c>
      <c r="G138" s="17">
        <v>38</v>
      </c>
      <c r="H138" s="107">
        <v>96</v>
      </c>
      <c r="I138" s="108"/>
      <c r="J138" s="108"/>
      <c r="K138" s="108"/>
      <c r="L138" s="108"/>
      <c r="M138" s="109">
        <f t="shared" si="8"/>
        <v>0</v>
      </c>
      <c r="N138" s="4" t="str">
        <f t="shared" si="9"/>
        <v/>
      </c>
      <c r="O138" s="105">
        <f t="shared" si="10"/>
        <v>0</v>
      </c>
      <c r="P138" s="105">
        <f t="shared" si="11"/>
        <v>0</v>
      </c>
      <c r="Q138" s="110">
        <v>4</v>
      </c>
      <c r="R138" s="110">
        <v>2</v>
      </c>
      <c r="S138" s="110" t="s">
        <v>1244</v>
      </c>
      <c r="T138" s="5">
        <v>148</v>
      </c>
      <c r="U138" s="9"/>
    </row>
    <row r="139" spans="1:21" s="37" customFormat="1" ht="12" x14ac:dyDescent="0.3">
      <c r="A139" s="111" t="s">
        <v>1381</v>
      </c>
      <c r="B139" s="112" t="s">
        <v>1382</v>
      </c>
      <c r="C139" s="113">
        <v>899</v>
      </c>
      <c r="D139" s="104">
        <v>94.1</v>
      </c>
      <c r="E139" s="106">
        <v>28</v>
      </c>
      <c r="F139" s="104">
        <v>75.3</v>
      </c>
      <c r="G139" s="17">
        <v>23</v>
      </c>
      <c r="H139" s="107">
        <v>119</v>
      </c>
      <c r="I139" s="108"/>
      <c r="J139" s="108"/>
      <c r="K139" s="108"/>
      <c r="L139" s="108"/>
      <c r="M139" s="109">
        <f t="shared" si="8"/>
        <v>0</v>
      </c>
      <c r="N139" s="4" t="str">
        <f t="shared" si="9"/>
        <v/>
      </c>
      <c r="O139" s="105">
        <f t="shared" si="10"/>
        <v>0</v>
      </c>
      <c r="P139" s="105">
        <f t="shared" si="11"/>
        <v>0</v>
      </c>
      <c r="Q139" s="110">
        <v>3</v>
      </c>
      <c r="R139" s="110">
        <v>1</v>
      </c>
      <c r="S139" s="110" t="s">
        <v>1244</v>
      </c>
      <c r="T139" s="5">
        <v>94</v>
      </c>
      <c r="U139" s="9"/>
    </row>
    <row r="140" spans="1:21" s="37" customFormat="1" ht="12" x14ac:dyDescent="0.3">
      <c r="A140" s="111" t="s">
        <v>1383</v>
      </c>
      <c r="B140" s="112" t="s">
        <v>1382</v>
      </c>
      <c r="C140" s="113">
        <v>899</v>
      </c>
      <c r="D140" s="104">
        <v>168.1</v>
      </c>
      <c r="E140" s="106">
        <v>51</v>
      </c>
      <c r="F140" s="104">
        <v>134.6</v>
      </c>
      <c r="G140" s="17">
        <v>41</v>
      </c>
      <c r="H140" s="107">
        <v>59</v>
      </c>
      <c r="I140" s="108"/>
      <c r="J140" s="108"/>
      <c r="K140" s="108"/>
      <c r="L140" s="108"/>
      <c r="M140" s="109">
        <f t="shared" si="8"/>
        <v>0</v>
      </c>
      <c r="N140" s="4" t="str">
        <f t="shared" si="9"/>
        <v/>
      </c>
      <c r="O140" s="105">
        <f t="shared" si="10"/>
        <v>0</v>
      </c>
      <c r="P140" s="105">
        <f t="shared" si="11"/>
        <v>0</v>
      </c>
      <c r="Q140" s="110">
        <v>4</v>
      </c>
      <c r="R140" s="110">
        <v>2</v>
      </c>
      <c r="S140" s="110" t="s">
        <v>1244</v>
      </c>
      <c r="T140" s="5">
        <v>168</v>
      </c>
      <c r="U140" s="9"/>
    </row>
    <row r="141" spans="1:21" s="37" customFormat="1" ht="12" x14ac:dyDescent="0.3">
      <c r="A141" s="111" t="s">
        <v>1384</v>
      </c>
      <c r="B141" s="112" t="s">
        <v>1385</v>
      </c>
      <c r="C141" s="113">
        <v>498</v>
      </c>
      <c r="D141" s="104">
        <v>89.5</v>
      </c>
      <c r="E141" s="106">
        <v>27</v>
      </c>
      <c r="F141" s="104">
        <v>72.2</v>
      </c>
      <c r="G141" s="17">
        <v>22</v>
      </c>
      <c r="H141" s="107">
        <v>112</v>
      </c>
      <c r="I141" s="108"/>
      <c r="J141" s="108"/>
      <c r="K141" s="108"/>
      <c r="L141" s="108"/>
      <c r="M141" s="109">
        <f t="shared" si="8"/>
        <v>0</v>
      </c>
      <c r="N141" s="4" t="str">
        <f t="shared" si="9"/>
        <v/>
      </c>
      <c r="O141" s="105">
        <f t="shared" si="10"/>
        <v>0</v>
      </c>
      <c r="P141" s="105">
        <f t="shared" si="11"/>
        <v>0</v>
      </c>
      <c r="Q141" s="110">
        <v>3</v>
      </c>
      <c r="R141" s="110">
        <v>1</v>
      </c>
      <c r="S141" s="110" t="s">
        <v>1244</v>
      </c>
      <c r="T141" s="5">
        <v>89</v>
      </c>
      <c r="U141" s="9"/>
    </row>
    <row r="142" spans="1:21" s="37" customFormat="1" ht="12" x14ac:dyDescent="0.3">
      <c r="A142" s="111" t="s">
        <v>1386</v>
      </c>
      <c r="B142" s="112" t="s">
        <v>1387</v>
      </c>
      <c r="C142" s="113">
        <v>498</v>
      </c>
      <c r="D142" s="104">
        <v>104.1</v>
      </c>
      <c r="E142" s="106">
        <v>31</v>
      </c>
      <c r="F142" s="104">
        <v>84.7</v>
      </c>
      <c r="G142" s="17">
        <v>26</v>
      </c>
      <c r="H142" s="107">
        <v>330</v>
      </c>
      <c r="I142" s="108"/>
      <c r="J142" s="108"/>
      <c r="K142" s="108"/>
      <c r="L142" s="108"/>
      <c r="M142" s="109">
        <f t="shared" si="8"/>
        <v>0</v>
      </c>
      <c r="N142" s="4" t="str">
        <f t="shared" si="9"/>
        <v/>
      </c>
      <c r="O142" s="105">
        <f t="shared" si="10"/>
        <v>0</v>
      </c>
      <c r="P142" s="105">
        <f t="shared" si="11"/>
        <v>0</v>
      </c>
      <c r="Q142" s="110">
        <v>3</v>
      </c>
      <c r="R142" s="110">
        <v>1</v>
      </c>
      <c r="S142" s="110" t="s">
        <v>1244</v>
      </c>
      <c r="T142" s="5">
        <v>104</v>
      </c>
      <c r="U142" s="9"/>
    </row>
    <row r="143" spans="1:21" s="37" customFormat="1" ht="12" x14ac:dyDescent="0.3">
      <c r="A143" s="111" t="s">
        <v>1388</v>
      </c>
      <c r="B143" s="112" t="s">
        <v>1389</v>
      </c>
      <c r="C143" s="113">
        <v>498</v>
      </c>
      <c r="D143" s="104">
        <v>149.30000000000001</v>
      </c>
      <c r="E143" s="106">
        <v>45</v>
      </c>
      <c r="F143" s="104">
        <v>126.2</v>
      </c>
      <c r="G143" s="17">
        <v>38</v>
      </c>
      <c r="H143" s="107">
        <v>56</v>
      </c>
      <c r="I143" s="108"/>
      <c r="J143" s="108"/>
      <c r="K143" s="108"/>
      <c r="L143" s="108"/>
      <c r="M143" s="109">
        <f t="shared" si="8"/>
        <v>0</v>
      </c>
      <c r="N143" s="4" t="str">
        <f t="shared" si="9"/>
        <v/>
      </c>
      <c r="O143" s="105">
        <f t="shared" si="10"/>
        <v>0</v>
      </c>
      <c r="P143" s="105">
        <f t="shared" si="11"/>
        <v>0</v>
      </c>
      <c r="Q143" s="110">
        <v>4</v>
      </c>
      <c r="R143" s="110">
        <v>2</v>
      </c>
      <c r="S143" s="110" t="s">
        <v>1244</v>
      </c>
      <c r="T143" s="5">
        <v>149</v>
      </c>
      <c r="U143" s="9"/>
    </row>
    <row r="144" spans="1:21" s="37" customFormat="1" ht="12" x14ac:dyDescent="0.3">
      <c r="A144" s="111" t="s">
        <v>1390</v>
      </c>
      <c r="B144" s="112" t="s">
        <v>1391</v>
      </c>
      <c r="C144" s="113">
        <v>495</v>
      </c>
      <c r="D144" s="104">
        <v>63.7</v>
      </c>
      <c r="E144" s="106">
        <v>19</v>
      </c>
      <c r="F144" s="104">
        <v>49.7</v>
      </c>
      <c r="G144" s="17">
        <v>15</v>
      </c>
      <c r="H144" s="107">
        <v>495</v>
      </c>
      <c r="I144" s="108"/>
      <c r="J144" s="108"/>
      <c r="K144" s="108"/>
      <c r="L144" s="108"/>
      <c r="M144" s="109">
        <f t="shared" si="8"/>
        <v>0</v>
      </c>
      <c r="N144" s="4" t="str">
        <f t="shared" si="9"/>
        <v/>
      </c>
      <c r="O144" s="105">
        <f t="shared" si="10"/>
        <v>0</v>
      </c>
      <c r="P144" s="105">
        <f t="shared" si="11"/>
        <v>0</v>
      </c>
      <c r="Q144" s="110">
        <v>2</v>
      </c>
      <c r="R144" s="110">
        <v>1</v>
      </c>
      <c r="S144" s="110" t="s">
        <v>1244</v>
      </c>
      <c r="T144" s="5">
        <v>63</v>
      </c>
      <c r="U144" s="9"/>
    </row>
    <row r="145" spans="1:21" s="37" customFormat="1" ht="12" x14ac:dyDescent="0.3">
      <c r="A145" s="111" t="s">
        <v>1394</v>
      </c>
      <c r="B145" s="112" t="s">
        <v>1395</v>
      </c>
      <c r="C145" s="113">
        <v>210</v>
      </c>
      <c r="D145" s="104">
        <v>122.5</v>
      </c>
      <c r="E145" s="106">
        <v>37</v>
      </c>
      <c r="F145" s="104">
        <v>99.9</v>
      </c>
      <c r="G145" s="17">
        <v>30</v>
      </c>
      <c r="H145" s="107">
        <v>90</v>
      </c>
      <c r="I145" s="108"/>
      <c r="J145" s="108"/>
      <c r="K145" s="108"/>
      <c r="L145" s="108"/>
      <c r="M145" s="109">
        <f t="shared" si="8"/>
        <v>0</v>
      </c>
      <c r="N145" s="4" t="str">
        <f t="shared" si="9"/>
        <v/>
      </c>
      <c r="O145" s="105">
        <f t="shared" si="10"/>
        <v>0</v>
      </c>
      <c r="P145" s="105">
        <f t="shared" si="11"/>
        <v>0</v>
      </c>
      <c r="Q145" s="110">
        <v>4</v>
      </c>
      <c r="R145" s="110">
        <v>2</v>
      </c>
      <c r="S145" s="110" t="s">
        <v>1244</v>
      </c>
      <c r="T145" s="5">
        <v>122</v>
      </c>
      <c r="U145" s="9"/>
    </row>
    <row r="146" spans="1:21" s="37" customFormat="1" ht="12" x14ac:dyDescent="0.3">
      <c r="A146" s="111" t="s">
        <v>1396</v>
      </c>
      <c r="B146" s="112" t="s">
        <v>1397</v>
      </c>
      <c r="C146" s="113">
        <v>210</v>
      </c>
      <c r="D146" s="104">
        <v>160</v>
      </c>
      <c r="E146" s="106">
        <v>48</v>
      </c>
      <c r="F146" s="104">
        <v>134.9</v>
      </c>
      <c r="G146" s="17">
        <v>41</v>
      </c>
      <c r="H146" s="107">
        <v>90</v>
      </c>
      <c r="I146" s="108"/>
      <c r="J146" s="108"/>
      <c r="K146" s="108"/>
      <c r="L146" s="108"/>
      <c r="M146" s="109">
        <f t="shared" si="8"/>
        <v>0</v>
      </c>
      <c r="N146" s="4" t="str">
        <f t="shared" si="9"/>
        <v/>
      </c>
      <c r="O146" s="105">
        <f t="shared" si="10"/>
        <v>0</v>
      </c>
      <c r="P146" s="105">
        <f t="shared" si="11"/>
        <v>0</v>
      </c>
      <c r="Q146" s="110">
        <v>4</v>
      </c>
      <c r="R146" s="110">
        <v>2</v>
      </c>
      <c r="S146" s="110" t="s">
        <v>1244</v>
      </c>
      <c r="T146" s="5">
        <v>160</v>
      </c>
      <c r="U146" s="9"/>
    </row>
    <row r="147" spans="1:21" s="37" customFormat="1" ht="12" x14ac:dyDescent="0.3">
      <c r="A147" s="111" t="s">
        <v>1398</v>
      </c>
      <c r="B147" s="112" t="s">
        <v>1399</v>
      </c>
      <c r="C147" s="113">
        <v>210</v>
      </c>
      <c r="D147" s="104">
        <v>197.4</v>
      </c>
      <c r="E147" s="106">
        <v>60</v>
      </c>
      <c r="F147" s="104">
        <v>164.9</v>
      </c>
      <c r="G147" s="17">
        <v>50</v>
      </c>
      <c r="H147" s="107">
        <v>30</v>
      </c>
      <c r="I147" s="108"/>
      <c r="J147" s="108"/>
      <c r="K147" s="108"/>
      <c r="L147" s="108"/>
      <c r="M147" s="109">
        <f t="shared" si="8"/>
        <v>0</v>
      </c>
      <c r="N147" s="4" t="str">
        <f t="shared" si="9"/>
        <v/>
      </c>
      <c r="O147" s="105">
        <f t="shared" si="10"/>
        <v>0</v>
      </c>
      <c r="P147" s="105">
        <f t="shared" si="11"/>
        <v>0</v>
      </c>
      <c r="Q147" s="110">
        <v>4</v>
      </c>
      <c r="R147" s="110">
        <v>2</v>
      </c>
      <c r="S147" s="110" t="s">
        <v>1244</v>
      </c>
      <c r="T147" s="5">
        <v>197</v>
      </c>
      <c r="U147" s="9"/>
    </row>
    <row r="148" spans="1:21" s="37" customFormat="1" ht="12" x14ac:dyDescent="0.3">
      <c r="A148" s="111" t="s">
        <v>1404</v>
      </c>
      <c r="B148" s="112" t="s">
        <v>1405</v>
      </c>
      <c r="C148" s="113">
        <v>460</v>
      </c>
      <c r="D148" s="104">
        <v>155.6</v>
      </c>
      <c r="E148" s="106">
        <v>47</v>
      </c>
      <c r="F148" s="104">
        <v>131.80000000000001</v>
      </c>
      <c r="G148" s="17">
        <v>40</v>
      </c>
      <c r="H148" s="107">
        <v>78</v>
      </c>
      <c r="I148" s="108"/>
      <c r="J148" s="108"/>
      <c r="K148" s="108"/>
      <c r="L148" s="108"/>
      <c r="M148" s="109">
        <f t="shared" si="8"/>
        <v>0</v>
      </c>
      <c r="N148" s="4" t="str">
        <f t="shared" si="9"/>
        <v/>
      </c>
      <c r="O148" s="105">
        <f t="shared" si="10"/>
        <v>0</v>
      </c>
      <c r="P148" s="105">
        <f t="shared" si="11"/>
        <v>0</v>
      </c>
      <c r="Q148" s="110">
        <v>4</v>
      </c>
      <c r="R148" s="110">
        <v>2</v>
      </c>
      <c r="S148" s="110" t="s">
        <v>1244</v>
      </c>
      <c r="T148" s="5">
        <v>155</v>
      </c>
      <c r="U148" s="9"/>
    </row>
    <row r="149" spans="1:21" s="37" customFormat="1" ht="12" x14ac:dyDescent="0.3">
      <c r="A149" s="111" t="s">
        <v>1406</v>
      </c>
      <c r="B149" s="112" t="s">
        <v>1359</v>
      </c>
      <c r="C149" s="113">
        <v>345</v>
      </c>
      <c r="D149" s="104">
        <v>115.7</v>
      </c>
      <c r="E149" s="106">
        <v>35</v>
      </c>
      <c r="F149" s="104">
        <v>93.6</v>
      </c>
      <c r="G149" s="17">
        <v>28</v>
      </c>
      <c r="H149" s="107">
        <v>75</v>
      </c>
      <c r="I149" s="108"/>
      <c r="J149" s="108"/>
      <c r="K149" s="108"/>
      <c r="L149" s="108"/>
      <c r="M149" s="109">
        <f t="shared" si="8"/>
        <v>0</v>
      </c>
      <c r="N149" s="4" t="str">
        <f t="shared" si="9"/>
        <v/>
      </c>
      <c r="O149" s="105">
        <f t="shared" si="10"/>
        <v>0</v>
      </c>
      <c r="P149" s="105">
        <f t="shared" si="11"/>
        <v>0</v>
      </c>
      <c r="Q149" s="110">
        <v>3</v>
      </c>
      <c r="R149" s="110">
        <v>2</v>
      </c>
      <c r="S149" s="110" t="s">
        <v>1244</v>
      </c>
      <c r="T149" s="5">
        <v>115</v>
      </c>
      <c r="U149" s="9"/>
    </row>
    <row r="150" spans="1:21" s="37" customFormat="1" ht="12" x14ac:dyDescent="0.3">
      <c r="A150" s="111" t="s">
        <v>1418</v>
      </c>
      <c r="B150" s="112" t="s">
        <v>1419</v>
      </c>
      <c r="C150" s="113">
        <v>437</v>
      </c>
      <c r="D150" s="104">
        <v>110.6</v>
      </c>
      <c r="E150" s="106">
        <v>33</v>
      </c>
      <c r="F150" s="104">
        <v>85</v>
      </c>
      <c r="G150" s="17">
        <v>26</v>
      </c>
      <c r="H150" s="107">
        <v>202</v>
      </c>
      <c r="I150" s="108"/>
      <c r="J150" s="108"/>
      <c r="K150" s="108"/>
      <c r="L150" s="108"/>
      <c r="M150" s="109">
        <f t="shared" si="8"/>
        <v>0</v>
      </c>
      <c r="N150" s="4" t="str">
        <f t="shared" si="9"/>
        <v/>
      </c>
      <c r="O150" s="105">
        <f t="shared" si="10"/>
        <v>0</v>
      </c>
      <c r="P150" s="105">
        <f t="shared" si="11"/>
        <v>0</v>
      </c>
      <c r="Q150" s="110">
        <v>3</v>
      </c>
      <c r="R150" s="110">
        <v>2</v>
      </c>
      <c r="S150" s="110" t="s">
        <v>1244</v>
      </c>
      <c r="T150" s="5" t="s">
        <v>102</v>
      </c>
      <c r="U150" s="9"/>
    </row>
    <row r="151" spans="1:21" s="37" customFormat="1" ht="12" x14ac:dyDescent="0.3">
      <c r="A151" s="111" t="s">
        <v>1424</v>
      </c>
      <c r="B151" s="112" t="s">
        <v>1425</v>
      </c>
      <c r="C151" s="113">
        <v>420</v>
      </c>
      <c r="D151" s="104">
        <v>136.5</v>
      </c>
      <c r="E151" s="106">
        <v>41</v>
      </c>
      <c r="F151" s="104">
        <v>114.6</v>
      </c>
      <c r="G151" s="17">
        <v>35</v>
      </c>
      <c r="H151" s="107">
        <v>150</v>
      </c>
      <c r="I151" s="108"/>
      <c r="J151" s="108"/>
      <c r="K151" s="108"/>
      <c r="L151" s="108"/>
      <c r="M151" s="109">
        <f t="shared" si="8"/>
        <v>0</v>
      </c>
      <c r="N151" s="4" t="str">
        <f t="shared" si="9"/>
        <v/>
      </c>
      <c r="O151" s="105">
        <f t="shared" si="10"/>
        <v>0</v>
      </c>
      <c r="P151" s="105">
        <f t="shared" si="11"/>
        <v>0</v>
      </c>
      <c r="Q151" s="110">
        <v>4</v>
      </c>
      <c r="R151" s="110">
        <v>2</v>
      </c>
      <c r="S151" s="110" t="s">
        <v>1244</v>
      </c>
      <c r="T151" s="5">
        <v>136</v>
      </c>
      <c r="U151" s="9"/>
    </row>
    <row r="152" spans="1:21" s="37" customFormat="1" ht="12" x14ac:dyDescent="0.3">
      <c r="A152" s="111" t="s">
        <v>1426</v>
      </c>
      <c r="B152" s="112" t="s">
        <v>1427</v>
      </c>
      <c r="C152" s="113">
        <v>260</v>
      </c>
      <c r="D152" s="104">
        <v>105.3</v>
      </c>
      <c r="E152" s="106">
        <v>32</v>
      </c>
      <c r="F152" s="104">
        <v>85</v>
      </c>
      <c r="G152" s="17">
        <v>26</v>
      </c>
      <c r="H152" s="107">
        <v>230</v>
      </c>
      <c r="I152" s="108"/>
      <c r="J152" s="108"/>
      <c r="K152" s="108"/>
      <c r="L152" s="108"/>
      <c r="M152" s="109">
        <f t="shared" si="8"/>
        <v>0</v>
      </c>
      <c r="N152" s="4" t="str">
        <f t="shared" si="9"/>
        <v/>
      </c>
      <c r="O152" s="105">
        <f t="shared" si="10"/>
        <v>0</v>
      </c>
      <c r="P152" s="105">
        <f t="shared" si="11"/>
        <v>0</v>
      </c>
      <c r="Q152" s="110">
        <v>3</v>
      </c>
      <c r="R152" s="110">
        <v>2</v>
      </c>
      <c r="S152" s="110" t="s">
        <v>1244</v>
      </c>
      <c r="T152" s="5">
        <v>105</v>
      </c>
      <c r="U152" s="9"/>
    </row>
    <row r="153" spans="1:21" s="37" customFormat="1" ht="12" x14ac:dyDescent="0.3">
      <c r="A153" s="111" t="s">
        <v>1426</v>
      </c>
      <c r="B153" s="112" t="s">
        <v>1428</v>
      </c>
      <c r="C153" s="113">
        <v>260</v>
      </c>
      <c r="D153" s="104">
        <v>225.8</v>
      </c>
      <c r="E153" s="106">
        <v>68</v>
      </c>
      <c r="F153" s="104">
        <v>187.1</v>
      </c>
      <c r="G153" s="17">
        <v>57</v>
      </c>
      <c r="H153" s="107">
        <v>30</v>
      </c>
      <c r="I153" s="108"/>
      <c r="J153" s="108"/>
      <c r="K153" s="108"/>
      <c r="L153" s="108"/>
      <c r="M153" s="109">
        <f t="shared" si="8"/>
        <v>0</v>
      </c>
      <c r="N153" s="4" t="str">
        <f t="shared" si="9"/>
        <v/>
      </c>
      <c r="O153" s="105">
        <f t="shared" si="10"/>
        <v>0</v>
      </c>
      <c r="P153" s="105">
        <f t="shared" si="11"/>
        <v>0</v>
      </c>
      <c r="Q153" s="110">
        <v>5</v>
      </c>
      <c r="R153" s="110">
        <v>2</v>
      </c>
      <c r="S153" s="110" t="s">
        <v>1244</v>
      </c>
      <c r="T153" s="5">
        <v>225</v>
      </c>
      <c r="U153" s="9"/>
    </row>
    <row r="154" spans="1:21" s="37" customFormat="1" ht="12" x14ac:dyDescent="0.3">
      <c r="A154" s="111" t="s">
        <v>1433</v>
      </c>
      <c r="B154" s="112" t="s">
        <v>1434</v>
      </c>
      <c r="C154" s="113">
        <v>420</v>
      </c>
      <c r="D154" s="104">
        <v>155.4</v>
      </c>
      <c r="E154" s="106">
        <v>47</v>
      </c>
      <c r="F154" s="104">
        <v>131.80000000000001</v>
      </c>
      <c r="G154" s="17">
        <v>40</v>
      </c>
      <c r="H154" s="107">
        <v>78</v>
      </c>
      <c r="I154" s="108"/>
      <c r="J154" s="108"/>
      <c r="K154" s="108"/>
      <c r="L154" s="108"/>
      <c r="M154" s="109">
        <f t="shared" si="8"/>
        <v>0</v>
      </c>
      <c r="N154" s="4" t="str">
        <f t="shared" si="9"/>
        <v/>
      </c>
      <c r="O154" s="105">
        <f t="shared" si="10"/>
        <v>0</v>
      </c>
      <c r="P154" s="105">
        <f t="shared" si="11"/>
        <v>0</v>
      </c>
      <c r="Q154" s="110">
        <v>4</v>
      </c>
      <c r="R154" s="110">
        <v>2</v>
      </c>
      <c r="S154" s="110" t="s">
        <v>1244</v>
      </c>
      <c r="T154" s="5">
        <v>155</v>
      </c>
      <c r="U154" s="9"/>
    </row>
    <row r="155" spans="1:21" s="37" customFormat="1" ht="12" x14ac:dyDescent="0.3">
      <c r="A155" s="111" t="s">
        <v>1435</v>
      </c>
      <c r="B155" s="112" t="s">
        <v>1436</v>
      </c>
      <c r="C155" s="113">
        <v>420</v>
      </c>
      <c r="D155" s="104">
        <v>191.8</v>
      </c>
      <c r="E155" s="106">
        <v>58</v>
      </c>
      <c r="F155" s="104">
        <v>162.9</v>
      </c>
      <c r="G155" s="17">
        <v>49</v>
      </c>
      <c r="H155" s="107">
        <v>56</v>
      </c>
      <c r="I155" s="108"/>
      <c r="J155" s="108"/>
      <c r="K155" s="108"/>
      <c r="L155" s="108"/>
      <c r="M155" s="109">
        <f t="shared" si="8"/>
        <v>0</v>
      </c>
      <c r="N155" s="4" t="str">
        <f t="shared" si="9"/>
        <v/>
      </c>
      <c r="O155" s="105">
        <f t="shared" si="10"/>
        <v>0</v>
      </c>
      <c r="P155" s="105">
        <f t="shared" si="11"/>
        <v>0</v>
      </c>
      <c r="Q155" s="110">
        <v>5</v>
      </c>
      <c r="R155" s="110">
        <v>2</v>
      </c>
      <c r="S155" s="110" t="s">
        <v>1244</v>
      </c>
      <c r="T155" s="5">
        <v>191</v>
      </c>
      <c r="U155" s="9"/>
    </row>
    <row r="156" spans="1:21" s="37" customFormat="1" ht="12" x14ac:dyDescent="0.3">
      <c r="A156" s="111" t="s">
        <v>1443</v>
      </c>
      <c r="B156" s="112" t="s">
        <v>1359</v>
      </c>
      <c r="C156" s="113">
        <v>479</v>
      </c>
      <c r="D156" s="104">
        <v>167.1</v>
      </c>
      <c r="E156" s="106">
        <v>51</v>
      </c>
      <c r="F156" s="104">
        <v>134.80000000000001</v>
      </c>
      <c r="G156" s="17">
        <v>41</v>
      </c>
      <c r="H156" s="107">
        <v>80</v>
      </c>
      <c r="I156" s="108"/>
      <c r="J156" s="108"/>
      <c r="K156" s="108"/>
      <c r="L156" s="108"/>
      <c r="M156" s="109">
        <f t="shared" si="8"/>
        <v>0</v>
      </c>
      <c r="N156" s="4" t="str">
        <f t="shared" si="9"/>
        <v/>
      </c>
      <c r="O156" s="105">
        <f t="shared" si="10"/>
        <v>0</v>
      </c>
      <c r="P156" s="105">
        <f t="shared" si="11"/>
        <v>0</v>
      </c>
      <c r="Q156" s="110">
        <v>4</v>
      </c>
      <c r="R156" s="110">
        <v>2</v>
      </c>
      <c r="S156" s="110" t="s">
        <v>1244</v>
      </c>
      <c r="T156" s="5">
        <v>167</v>
      </c>
      <c r="U156" s="9"/>
    </row>
    <row r="157" spans="1:21" s="37" customFormat="1" ht="12" x14ac:dyDescent="0.3">
      <c r="A157" s="111" t="s">
        <v>1444</v>
      </c>
      <c r="B157" s="112" t="s">
        <v>1445</v>
      </c>
      <c r="C157" s="113">
        <v>498</v>
      </c>
      <c r="D157" s="104">
        <v>84.4</v>
      </c>
      <c r="E157" s="106">
        <v>26</v>
      </c>
      <c r="F157" s="104">
        <v>73.2</v>
      </c>
      <c r="G157" s="17">
        <v>22</v>
      </c>
      <c r="H157" s="107">
        <v>84</v>
      </c>
      <c r="I157" s="108"/>
      <c r="J157" s="108"/>
      <c r="K157" s="108"/>
      <c r="L157" s="108"/>
      <c r="M157" s="109">
        <f t="shared" si="8"/>
        <v>0</v>
      </c>
      <c r="N157" s="4" t="str">
        <f t="shared" si="9"/>
        <v/>
      </c>
      <c r="O157" s="105">
        <f t="shared" si="10"/>
        <v>0</v>
      </c>
      <c r="P157" s="105">
        <f t="shared" si="11"/>
        <v>0</v>
      </c>
      <c r="Q157" s="110">
        <v>3</v>
      </c>
      <c r="R157" s="110">
        <v>1</v>
      </c>
      <c r="S157" s="110" t="s">
        <v>1244</v>
      </c>
      <c r="T157" s="5">
        <v>84</v>
      </c>
      <c r="U157" s="9"/>
    </row>
    <row r="158" spans="1:21" s="37" customFormat="1" ht="12" x14ac:dyDescent="0.3">
      <c r="A158" s="111" t="s">
        <v>1447</v>
      </c>
      <c r="B158" s="112" t="s">
        <v>1448</v>
      </c>
      <c r="C158" s="113">
        <v>246</v>
      </c>
      <c r="D158" s="104">
        <v>74.400000000000006</v>
      </c>
      <c r="E158" s="106">
        <v>23</v>
      </c>
      <c r="F158" s="104">
        <v>59.1</v>
      </c>
      <c r="G158" s="17">
        <v>18</v>
      </c>
      <c r="H158" s="107">
        <v>168</v>
      </c>
      <c r="I158" s="108"/>
      <c r="J158" s="108"/>
      <c r="K158" s="108"/>
      <c r="L158" s="108"/>
      <c r="M158" s="109">
        <f t="shared" si="8"/>
        <v>0</v>
      </c>
      <c r="N158" s="4" t="str">
        <f t="shared" si="9"/>
        <v/>
      </c>
      <c r="O158" s="105">
        <f t="shared" si="10"/>
        <v>0</v>
      </c>
      <c r="P158" s="105">
        <f t="shared" si="11"/>
        <v>0</v>
      </c>
      <c r="Q158" s="110">
        <v>3</v>
      </c>
      <c r="R158" s="110">
        <v>1</v>
      </c>
      <c r="S158" s="110" t="s">
        <v>1244</v>
      </c>
      <c r="T158" s="5">
        <v>74</v>
      </c>
      <c r="U158" s="9"/>
    </row>
    <row r="159" spans="1:21" s="37" customFormat="1" ht="12" x14ac:dyDescent="0.3">
      <c r="A159" s="111" t="s">
        <v>1447</v>
      </c>
      <c r="B159" s="112" t="s">
        <v>1448</v>
      </c>
      <c r="C159" s="113">
        <v>246</v>
      </c>
      <c r="D159" s="104">
        <v>103.7</v>
      </c>
      <c r="E159" s="106">
        <v>31</v>
      </c>
      <c r="F159" s="104">
        <v>84.7</v>
      </c>
      <c r="G159" s="17">
        <v>26</v>
      </c>
      <c r="H159" s="107">
        <v>48</v>
      </c>
      <c r="I159" s="108"/>
      <c r="J159" s="108"/>
      <c r="K159" s="108"/>
      <c r="L159" s="108"/>
      <c r="M159" s="109">
        <f t="shared" si="8"/>
        <v>0</v>
      </c>
      <c r="N159" s="4" t="str">
        <f t="shared" si="9"/>
        <v/>
      </c>
      <c r="O159" s="105">
        <f t="shared" si="10"/>
        <v>0</v>
      </c>
      <c r="P159" s="105">
        <f t="shared" si="11"/>
        <v>0</v>
      </c>
      <c r="Q159" s="110">
        <v>3</v>
      </c>
      <c r="R159" s="110">
        <v>2</v>
      </c>
      <c r="S159" s="110" t="s">
        <v>1244</v>
      </c>
      <c r="T159" s="5">
        <v>103</v>
      </c>
      <c r="U159" s="9"/>
    </row>
    <row r="160" spans="1:21" s="37" customFormat="1" ht="12" x14ac:dyDescent="0.3">
      <c r="A160" s="111" t="s">
        <v>1449</v>
      </c>
      <c r="B160" s="112" t="s">
        <v>1450</v>
      </c>
      <c r="C160" s="113">
        <v>773</v>
      </c>
      <c r="D160" s="104">
        <v>110.6</v>
      </c>
      <c r="E160" s="106">
        <v>33</v>
      </c>
      <c r="F160" s="104">
        <v>84.9</v>
      </c>
      <c r="G160" s="17">
        <v>26</v>
      </c>
      <c r="H160" s="107">
        <v>336</v>
      </c>
      <c r="I160" s="108"/>
      <c r="J160" s="108"/>
      <c r="K160" s="108"/>
      <c r="L160" s="108"/>
      <c r="M160" s="109">
        <f t="shared" si="8"/>
        <v>0</v>
      </c>
      <c r="N160" s="4" t="str">
        <f t="shared" si="9"/>
        <v/>
      </c>
      <c r="O160" s="105">
        <f t="shared" si="10"/>
        <v>0</v>
      </c>
      <c r="P160" s="105">
        <f t="shared" si="11"/>
        <v>0</v>
      </c>
      <c r="Q160" s="110">
        <v>3</v>
      </c>
      <c r="R160" s="110">
        <v>2</v>
      </c>
      <c r="S160" s="110" t="s">
        <v>1244</v>
      </c>
      <c r="T160" s="5" t="s">
        <v>102</v>
      </c>
      <c r="U160" s="9"/>
    </row>
    <row r="161" spans="1:21" s="37" customFormat="1" ht="12" x14ac:dyDescent="0.3">
      <c r="A161" s="111" t="s">
        <v>1453</v>
      </c>
      <c r="B161" s="112" t="s">
        <v>1454</v>
      </c>
      <c r="C161" s="113">
        <v>268</v>
      </c>
      <c r="D161" s="104">
        <v>78.2</v>
      </c>
      <c r="E161" s="106">
        <v>24</v>
      </c>
      <c r="F161" s="104">
        <v>59.9</v>
      </c>
      <c r="G161" s="17">
        <v>18</v>
      </c>
      <c r="H161" s="107">
        <v>268</v>
      </c>
      <c r="I161" s="108"/>
      <c r="J161" s="108"/>
      <c r="K161" s="108"/>
      <c r="L161" s="108"/>
      <c r="M161" s="109">
        <f t="shared" si="8"/>
        <v>0</v>
      </c>
      <c r="N161" s="4" t="str">
        <f t="shared" si="9"/>
        <v/>
      </c>
      <c r="O161" s="105">
        <f t="shared" si="10"/>
        <v>0</v>
      </c>
      <c r="P161" s="105">
        <f t="shared" si="11"/>
        <v>0</v>
      </c>
      <c r="Q161" s="110">
        <v>2</v>
      </c>
      <c r="R161" s="110">
        <v>1</v>
      </c>
      <c r="S161" s="110" t="s">
        <v>1244</v>
      </c>
      <c r="T161" s="5">
        <v>78</v>
      </c>
      <c r="U161" s="9"/>
    </row>
    <row r="162" spans="1:21" s="37" customFormat="1" ht="12" x14ac:dyDescent="0.3">
      <c r="A162" s="111" t="s">
        <v>1457</v>
      </c>
      <c r="B162" s="112" t="s">
        <v>1458</v>
      </c>
      <c r="C162" s="113">
        <v>458</v>
      </c>
      <c r="D162" s="104">
        <v>96.8</v>
      </c>
      <c r="E162" s="106">
        <v>29</v>
      </c>
      <c r="F162" s="104">
        <v>78.099999999999994</v>
      </c>
      <c r="G162" s="17">
        <v>24</v>
      </c>
      <c r="H162" s="107">
        <v>69</v>
      </c>
      <c r="I162" s="108"/>
      <c r="J162" s="108"/>
      <c r="K162" s="108"/>
      <c r="L162" s="108"/>
      <c r="M162" s="109">
        <f t="shared" si="8"/>
        <v>0</v>
      </c>
      <c r="N162" s="4" t="str">
        <f t="shared" si="9"/>
        <v/>
      </c>
      <c r="O162" s="105">
        <f t="shared" si="10"/>
        <v>0</v>
      </c>
      <c r="P162" s="105">
        <f t="shared" si="11"/>
        <v>0</v>
      </c>
      <c r="Q162" s="110">
        <v>3</v>
      </c>
      <c r="R162" s="110">
        <v>1</v>
      </c>
      <c r="S162" s="110" t="s">
        <v>1244</v>
      </c>
      <c r="T162" s="5">
        <v>96</v>
      </c>
      <c r="U162" s="9"/>
    </row>
    <row r="163" spans="1:21" s="37" customFormat="1" ht="12" x14ac:dyDescent="0.3">
      <c r="A163" s="111" t="s">
        <v>1459</v>
      </c>
      <c r="B163" s="112" t="s">
        <v>1372</v>
      </c>
      <c r="C163" s="113">
        <v>458</v>
      </c>
      <c r="D163" s="104">
        <v>104.1</v>
      </c>
      <c r="E163" s="106">
        <v>31</v>
      </c>
      <c r="F163" s="104">
        <v>85</v>
      </c>
      <c r="G163" s="17">
        <v>26</v>
      </c>
      <c r="H163" s="107">
        <v>245</v>
      </c>
      <c r="I163" s="108"/>
      <c r="J163" s="108"/>
      <c r="K163" s="108"/>
      <c r="L163" s="108"/>
      <c r="M163" s="109">
        <f t="shared" si="8"/>
        <v>0</v>
      </c>
      <c r="N163" s="4" t="str">
        <f t="shared" si="9"/>
        <v/>
      </c>
      <c r="O163" s="105">
        <f t="shared" si="10"/>
        <v>0</v>
      </c>
      <c r="P163" s="105">
        <f t="shared" si="11"/>
        <v>0</v>
      </c>
      <c r="Q163" s="110">
        <v>3</v>
      </c>
      <c r="R163" s="110">
        <v>2</v>
      </c>
      <c r="S163" s="110" t="s">
        <v>1244</v>
      </c>
      <c r="T163" s="5">
        <v>104</v>
      </c>
      <c r="U163" s="9"/>
    </row>
    <row r="164" spans="1:21" s="37" customFormat="1" ht="12" x14ac:dyDescent="0.3">
      <c r="A164" s="111" t="s">
        <v>1460</v>
      </c>
      <c r="B164" s="112" t="s">
        <v>1461</v>
      </c>
      <c r="C164" s="113">
        <v>1541</v>
      </c>
      <c r="D164" s="104">
        <v>54.8</v>
      </c>
      <c r="E164" s="106">
        <v>17</v>
      </c>
      <c r="F164" s="104">
        <v>37.700000000000003</v>
      </c>
      <c r="G164" s="17">
        <v>11</v>
      </c>
      <c r="H164" s="107">
        <v>149</v>
      </c>
      <c r="I164" s="108"/>
      <c r="J164" s="108"/>
      <c r="K164" s="108"/>
      <c r="L164" s="108"/>
      <c r="M164" s="109">
        <f t="shared" si="8"/>
        <v>0</v>
      </c>
      <c r="N164" s="4" t="str">
        <f t="shared" si="9"/>
        <v/>
      </c>
      <c r="O164" s="105">
        <f t="shared" si="10"/>
        <v>0</v>
      </c>
      <c r="P164" s="105">
        <f t="shared" si="11"/>
        <v>0</v>
      </c>
      <c r="Q164" s="110">
        <v>2</v>
      </c>
      <c r="R164" s="110">
        <v>1</v>
      </c>
      <c r="S164" s="110" t="s">
        <v>1241</v>
      </c>
      <c r="T164" s="5">
        <v>54</v>
      </c>
      <c r="U164" s="9"/>
    </row>
    <row r="165" spans="1:21" s="37" customFormat="1" ht="12" x14ac:dyDescent="0.3">
      <c r="A165" s="111" t="s">
        <v>1466</v>
      </c>
      <c r="B165" s="112" t="s">
        <v>1363</v>
      </c>
      <c r="C165" s="113">
        <v>636</v>
      </c>
      <c r="D165" s="104">
        <v>93.7</v>
      </c>
      <c r="E165" s="106">
        <v>28</v>
      </c>
      <c r="F165" s="104">
        <v>75.2</v>
      </c>
      <c r="G165" s="17">
        <v>23</v>
      </c>
      <c r="H165" s="107">
        <v>68</v>
      </c>
      <c r="I165" s="108"/>
      <c r="J165" s="108"/>
      <c r="K165" s="108"/>
      <c r="L165" s="108"/>
      <c r="M165" s="109">
        <f t="shared" si="8"/>
        <v>0</v>
      </c>
      <c r="N165" s="4" t="str">
        <f t="shared" si="9"/>
        <v/>
      </c>
      <c r="O165" s="105">
        <f t="shared" si="10"/>
        <v>0</v>
      </c>
      <c r="P165" s="105">
        <f t="shared" si="11"/>
        <v>0</v>
      </c>
      <c r="Q165" s="110">
        <v>3</v>
      </c>
      <c r="R165" s="110">
        <v>1</v>
      </c>
      <c r="S165" s="110" t="s">
        <v>1244</v>
      </c>
      <c r="T165" s="5">
        <v>93</v>
      </c>
      <c r="U165" s="9"/>
    </row>
    <row r="166" spans="1:21" s="37" customFormat="1" ht="12" x14ac:dyDescent="0.3">
      <c r="A166" s="111" t="s">
        <v>1466</v>
      </c>
      <c r="B166" s="112" t="s">
        <v>1465</v>
      </c>
      <c r="C166" s="113">
        <v>636</v>
      </c>
      <c r="D166" s="104">
        <v>147.30000000000001</v>
      </c>
      <c r="E166" s="106">
        <v>45</v>
      </c>
      <c r="F166" s="104">
        <v>118.2</v>
      </c>
      <c r="G166" s="17">
        <v>36</v>
      </c>
      <c r="H166" s="107">
        <v>40</v>
      </c>
      <c r="I166" s="108"/>
      <c r="J166" s="108"/>
      <c r="K166" s="108"/>
      <c r="L166" s="108"/>
      <c r="M166" s="109">
        <f t="shared" si="8"/>
        <v>0</v>
      </c>
      <c r="N166" s="4" t="str">
        <f t="shared" si="9"/>
        <v/>
      </c>
      <c r="O166" s="105">
        <f t="shared" si="10"/>
        <v>0</v>
      </c>
      <c r="P166" s="105">
        <f t="shared" si="11"/>
        <v>0</v>
      </c>
      <c r="Q166" s="110">
        <v>4</v>
      </c>
      <c r="R166" s="110">
        <v>2</v>
      </c>
      <c r="S166" s="110" t="s">
        <v>1244</v>
      </c>
      <c r="T166" s="5">
        <v>147</v>
      </c>
      <c r="U166" s="9"/>
    </row>
    <row r="167" spans="1:21" s="37" customFormat="1" ht="12" x14ac:dyDescent="0.3">
      <c r="A167" s="111" t="s">
        <v>1467</v>
      </c>
      <c r="B167" s="112" t="s">
        <v>1468</v>
      </c>
      <c r="C167" s="113">
        <v>670</v>
      </c>
      <c r="D167" s="104">
        <v>95.5</v>
      </c>
      <c r="E167" s="106">
        <v>29</v>
      </c>
      <c r="F167" s="104">
        <v>73.900000000000006</v>
      </c>
      <c r="G167" s="17">
        <v>22</v>
      </c>
      <c r="H167" s="107">
        <v>128</v>
      </c>
      <c r="I167" s="108"/>
      <c r="J167" s="108"/>
      <c r="K167" s="108"/>
      <c r="L167" s="108"/>
      <c r="M167" s="109">
        <f t="shared" si="8"/>
        <v>0</v>
      </c>
      <c r="N167" s="4" t="str">
        <f t="shared" si="9"/>
        <v/>
      </c>
      <c r="O167" s="105">
        <f t="shared" si="10"/>
        <v>0</v>
      </c>
      <c r="P167" s="105">
        <f t="shared" si="11"/>
        <v>0</v>
      </c>
      <c r="Q167" s="110">
        <v>3</v>
      </c>
      <c r="R167" s="110">
        <v>1</v>
      </c>
      <c r="S167" s="110" t="s">
        <v>1244</v>
      </c>
      <c r="T167" s="5">
        <v>95</v>
      </c>
      <c r="U167" s="9"/>
    </row>
    <row r="168" spans="1:21" s="37" customFormat="1" ht="12" x14ac:dyDescent="0.3">
      <c r="A168" s="111" t="s">
        <v>1467</v>
      </c>
      <c r="B168" s="112" t="s">
        <v>1471</v>
      </c>
      <c r="C168" s="113">
        <v>670</v>
      </c>
      <c r="D168" s="104">
        <v>139.69999999999999</v>
      </c>
      <c r="E168" s="106">
        <v>42</v>
      </c>
      <c r="F168" s="104">
        <v>115</v>
      </c>
      <c r="G168" s="17">
        <v>35</v>
      </c>
      <c r="H168" s="107">
        <v>40</v>
      </c>
      <c r="I168" s="108"/>
      <c r="J168" s="108"/>
      <c r="K168" s="108"/>
      <c r="L168" s="108"/>
      <c r="M168" s="109">
        <f t="shared" si="8"/>
        <v>0</v>
      </c>
      <c r="N168" s="4" t="str">
        <f t="shared" si="9"/>
        <v/>
      </c>
      <c r="O168" s="105">
        <f t="shared" si="10"/>
        <v>0</v>
      </c>
      <c r="P168" s="105">
        <f t="shared" si="11"/>
        <v>0</v>
      </c>
      <c r="Q168" s="110">
        <v>4</v>
      </c>
      <c r="R168" s="110">
        <v>2</v>
      </c>
      <c r="S168" s="110" t="s">
        <v>1244</v>
      </c>
      <c r="T168" s="5">
        <v>139</v>
      </c>
      <c r="U168" s="9"/>
    </row>
    <row r="169" spans="1:21" s="37" customFormat="1" ht="12" x14ac:dyDescent="0.3">
      <c r="A169" s="111" t="s">
        <v>1467</v>
      </c>
      <c r="B169" s="112" t="s">
        <v>1471</v>
      </c>
      <c r="C169" s="113">
        <v>670</v>
      </c>
      <c r="D169" s="104">
        <v>161.19999999999999</v>
      </c>
      <c r="E169" s="106">
        <v>49</v>
      </c>
      <c r="F169" s="104">
        <v>135</v>
      </c>
      <c r="G169" s="17">
        <v>41</v>
      </c>
      <c r="H169" s="107">
        <v>80</v>
      </c>
      <c r="I169" s="108"/>
      <c r="J169" s="108"/>
      <c r="K169" s="108"/>
      <c r="L169" s="108"/>
      <c r="M169" s="109">
        <f t="shared" si="8"/>
        <v>0</v>
      </c>
      <c r="N169" s="4" t="str">
        <f t="shared" si="9"/>
        <v/>
      </c>
      <c r="O169" s="105">
        <f t="shared" si="10"/>
        <v>0</v>
      </c>
      <c r="P169" s="105">
        <f t="shared" si="11"/>
        <v>0</v>
      </c>
      <c r="Q169" s="110">
        <v>4</v>
      </c>
      <c r="R169" s="110">
        <v>2</v>
      </c>
      <c r="S169" s="110" t="s">
        <v>1244</v>
      </c>
      <c r="T169" s="5">
        <v>161</v>
      </c>
      <c r="U169" s="9"/>
    </row>
    <row r="170" spans="1:21" s="37" customFormat="1" ht="12" x14ac:dyDescent="0.3">
      <c r="A170" s="111" t="s">
        <v>1472</v>
      </c>
      <c r="B170" s="112" t="s">
        <v>1473</v>
      </c>
      <c r="C170" s="113">
        <v>572</v>
      </c>
      <c r="D170" s="104">
        <v>90.6</v>
      </c>
      <c r="E170" s="106">
        <v>27</v>
      </c>
      <c r="F170" s="104">
        <v>74</v>
      </c>
      <c r="G170" s="17">
        <v>22</v>
      </c>
      <c r="H170" s="107">
        <v>234</v>
      </c>
      <c r="I170" s="108"/>
      <c r="J170" s="108"/>
      <c r="K170" s="108"/>
      <c r="L170" s="108"/>
      <c r="M170" s="109">
        <f t="shared" si="8"/>
        <v>0</v>
      </c>
      <c r="N170" s="4" t="str">
        <f t="shared" si="9"/>
        <v/>
      </c>
      <c r="O170" s="105">
        <f t="shared" si="10"/>
        <v>0</v>
      </c>
      <c r="P170" s="105">
        <f t="shared" si="11"/>
        <v>0</v>
      </c>
      <c r="Q170" s="110">
        <v>3</v>
      </c>
      <c r="R170" s="110">
        <v>1</v>
      </c>
      <c r="S170" s="110" t="s">
        <v>1244</v>
      </c>
      <c r="T170" s="5">
        <v>90</v>
      </c>
      <c r="U170" s="9"/>
    </row>
    <row r="171" spans="1:21" s="37" customFormat="1" ht="12" x14ac:dyDescent="0.3">
      <c r="A171" s="111" t="s">
        <v>1474</v>
      </c>
      <c r="B171" s="112" t="s">
        <v>1475</v>
      </c>
      <c r="C171" s="113">
        <v>390</v>
      </c>
      <c r="D171" s="104">
        <v>61.2</v>
      </c>
      <c r="E171" s="106">
        <v>19</v>
      </c>
      <c r="F171" s="104">
        <v>55.4</v>
      </c>
      <c r="G171" s="17">
        <v>17</v>
      </c>
      <c r="H171" s="107">
        <v>170</v>
      </c>
      <c r="I171" s="108"/>
      <c r="J171" s="108"/>
      <c r="K171" s="108"/>
      <c r="L171" s="108"/>
      <c r="M171" s="109">
        <f t="shared" si="8"/>
        <v>0</v>
      </c>
      <c r="N171" s="4" t="str">
        <f t="shared" si="9"/>
        <v/>
      </c>
      <c r="O171" s="105">
        <f t="shared" si="10"/>
        <v>0</v>
      </c>
      <c r="P171" s="105">
        <f t="shared" si="11"/>
        <v>0</v>
      </c>
      <c r="Q171" s="110">
        <v>2</v>
      </c>
      <c r="R171" s="110">
        <v>1</v>
      </c>
      <c r="S171" s="110" t="s">
        <v>1241</v>
      </c>
      <c r="T171" s="5">
        <v>61</v>
      </c>
      <c r="U171" s="9"/>
    </row>
    <row r="172" spans="1:21" s="37" customFormat="1" ht="12" x14ac:dyDescent="0.3">
      <c r="A172" s="111" t="s">
        <v>1474</v>
      </c>
      <c r="B172" s="112" t="s">
        <v>1475</v>
      </c>
      <c r="C172" s="113">
        <v>390</v>
      </c>
      <c r="D172" s="104">
        <v>72.7</v>
      </c>
      <c r="E172" s="106">
        <v>22</v>
      </c>
      <c r="F172" s="104">
        <v>65.8</v>
      </c>
      <c r="G172" s="17">
        <v>20</v>
      </c>
      <c r="H172" s="107">
        <v>120</v>
      </c>
      <c r="I172" s="108"/>
      <c r="J172" s="108"/>
      <c r="K172" s="108"/>
      <c r="L172" s="108"/>
      <c r="M172" s="109">
        <f t="shared" si="8"/>
        <v>0</v>
      </c>
      <c r="N172" s="4" t="str">
        <f t="shared" si="9"/>
        <v/>
      </c>
      <c r="O172" s="105">
        <f t="shared" si="10"/>
        <v>0</v>
      </c>
      <c r="P172" s="105">
        <f t="shared" si="11"/>
        <v>0</v>
      </c>
      <c r="Q172" s="110">
        <v>3</v>
      </c>
      <c r="R172" s="110">
        <v>1</v>
      </c>
      <c r="S172" s="110" t="s">
        <v>1244</v>
      </c>
      <c r="T172" s="5">
        <v>72</v>
      </c>
      <c r="U172" s="9"/>
    </row>
    <row r="173" spans="1:21" s="37" customFormat="1" ht="12" x14ac:dyDescent="0.3">
      <c r="A173" s="111" t="s">
        <v>1476</v>
      </c>
      <c r="B173" s="112" t="s">
        <v>1477</v>
      </c>
      <c r="C173" s="113">
        <v>942</v>
      </c>
      <c r="D173" s="104">
        <v>115.3</v>
      </c>
      <c r="E173" s="106">
        <v>35</v>
      </c>
      <c r="F173" s="104">
        <v>84.9</v>
      </c>
      <c r="G173" s="17">
        <v>26</v>
      </c>
      <c r="H173" s="107">
        <v>318</v>
      </c>
      <c r="I173" s="108"/>
      <c r="J173" s="108"/>
      <c r="K173" s="108"/>
      <c r="L173" s="108"/>
      <c r="M173" s="109">
        <f t="shared" si="8"/>
        <v>0</v>
      </c>
      <c r="N173" s="4" t="str">
        <f t="shared" si="9"/>
        <v/>
      </c>
      <c r="O173" s="105">
        <f t="shared" si="10"/>
        <v>0</v>
      </c>
      <c r="P173" s="105">
        <f t="shared" si="11"/>
        <v>0</v>
      </c>
      <c r="Q173" s="110">
        <v>3</v>
      </c>
      <c r="R173" s="110">
        <v>2</v>
      </c>
      <c r="S173" s="110" t="s">
        <v>1244</v>
      </c>
      <c r="T173" s="5" t="s">
        <v>179</v>
      </c>
      <c r="U173" s="9"/>
    </row>
    <row r="174" spans="1:21" s="37" customFormat="1" ht="12" x14ac:dyDescent="0.3">
      <c r="A174" s="111" t="s">
        <v>1478</v>
      </c>
      <c r="B174" s="112" t="s">
        <v>1479</v>
      </c>
      <c r="C174" s="113">
        <v>614</v>
      </c>
      <c r="D174" s="104">
        <v>108.7</v>
      </c>
      <c r="E174" s="106">
        <v>33</v>
      </c>
      <c r="F174" s="104">
        <v>76.3</v>
      </c>
      <c r="G174" s="17">
        <v>23</v>
      </c>
      <c r="H174" s="107">
        <v>248</v>
      </c>
      <c r="I174" s="108"/>
      <c r="J174" s="108"/>
      <c r="K174" s="108"/>
      <c r="L174" s="108"/>
      <c r="M174" s="109">
        <f t="shared" si="8"/>
        <v>0</v>
      </c>
      <c r="N174" s="4" t="str">
        <f t="shared" si="9"/>
        <v/>
      </c>
      <c r="O174" s="105">
        <f t="shared" si="10"/>
        <v>0</v>
      </c>
      <c r="P174" s="105">
        <f t="shared" si="11"/>
        <v>0</v>
      </c>
      <c r="Q174" s="110">
        <v>3</v>
      </c>
      <c r="R174" s="110">
        <v>2</v>
      </c>
      <c r="S174" s="110" t="s">
        <v>1244</v>
      </c>
      <c r="T174" s="5">
        <v>108</v>
      </c>
      <c r="U174" s="9"/>
    </row>
    <row r="175" spans="1:21" s="37" customFormat="1" ht="12" x14ac:dyDescent="0.3">
      <c r="A175" s="111" t="s">
        <v>1480</v>
      </c>
      <c r="B175" s="112" t="s">
        <v>1479</v>
      </c>
      <c r="C175" s="113">
        <v>614</v>
      </c>
      <c r="D175" s="104">
        <v>120.5</v>
      </c>
      <c r="E175" s="106">
        <v>36</v>
      </c>
      <c r="F175" s="104">
        <v>84.9</v>
      </c>
      <c r="G175" s="17">
        <v>26</v>
      </c>
      <c r="H175" s="107">
        <v>244</v>
      </c>
      <c r="I175" s="108"/>
      <c r="J175" s="108"/>
      <c r="K175" s="108"/>
      <c r="L175" s="108"/>
      <c r="M175" s="109">
        <f t="shared" si="8"/>
        <v>0</v>
      </c>
      <c r="N175" s="4" t="str">
        <f t="shared" si="9"/>
        <v/>
      </c>
      <c r="O175" s="105">
        <f t="shared" si="10"/>
        <v>0</v>
      </c>
      <c r="P175" s="105">
        <f t="shared" si="11"/>
        <v>0</v>
      </c>
      <c r="Q175" s="110">
        <v>3</v>
      </c>
      <c r="R175" s="110">
        <v>2</v>
      </c>
      <c r="S175" s="110" t="s">
        <v>1244</v>
      </c>
      <c r="T175" s="5">
        <v>120</v>
      </c>
      <c r="U175" s="9"/>
    </row>
    <row r="176" spans="1:21" s="37" customFormat="1" ht="12" x14ac:dyDescent="0.3">
      <c r="A176" s="111" t="s">
        <v>1481</v>
      </c>
      <c r="B176" s="112" t="s">
        <v>1482</v>
      </c>
      <c r="C176" s="113">
        <v>318</v>
      </c>
      <c r="D176" s="104">
        <v>94.9</v>
      </c>
      <c r="E176" s="106">
        <v>29</v>
      </c>
      <c r="F176" s="104">
        <v>75.3</v>
      </c>
      <c r="G176" s="17">
        <v>23</v>
      </c>
      <c r="H176" s="107">
        <v>90</v>
      </c>
      <c r="I176" s="108"/>
      <c r="J176" s="108"/>
      <c r="K176" s="108"/>
      <c r="L176" s="108"/>
      <c r="M176" s="109">
        <f t="shared" si="8"/>
        <v>0</v>
      </c>
      <c r="N176" s="4" t="str">
        <f t="shared" si="9"/>
        <v/>
      </c>
      <c r="O176" s="105">
        <f t="shared" si="10"/>
        <v>0</v>
      </c>
      <c r="P176" s="105">
        <f t="shared" si="11"/>
        <v>0</v>
      </c>
      <c r="Q176" s="110">
        <v>3</v>
      </c>
      <c r="R176" s="110">
        <v>2</v>
      </c>
      <c r="S176" s="110" t="s">
        <v>1244</v>
      </c>
      <c r="T176" s="5">
        <v>94</v>
      </c>
      <c r="U176" s="9"/>
    </row>
    <row r="177" spans="1:21" s="37" customFormat="1" ht="12" x14ac:dyDescent="0.3">
      <c r="A177" s="111" t="s">
        <v>1481</v>
      </c>
      <c r="B177" s="112" t="s">
        <v>1483</v>
      </c>
      <c r="C177" s="113">
        <v>318</v>
      </c>
      <c r="D177" s="104">
        <v>107.1</v>
      </c>
      <c r="E177" s="106">
        <v>32</v>
      </c>
      <c r="F177" s="104">
        <v>85</v>
      </c>
      <c r="G177" s="17">
        <v>26</v>
      </c>
      <c r="H177" s="107">
        <v>129</v>
      </c>
      <c r="I177" s="108"/>
      <c r="J177" s="108"/>
      <c r="K177" s="108"/>
      <c r="L177" s="108"/>
      <c r="M177" s="109">
        <f t="shared" si="8"/>
        <v>0</v>
      </c>
      <c r="N177" s="4" t="str">
        <f t="shared" si="9"/>
        <v/>
      </c>
      <c r="O177" s="105">
        <f t="shared" si="10"/>
        <v>0</v>
      </c>
      <c r="P177" s="105">
        <f t="shared" si="11"/>
        <v>0</v>
      </c>
      <c r="Q177" s="110">
        <v>3</v>
      </c>
      <c r="R177" s="110">
        <v>2</v>
      </c>
      <c r="S177" s="110" t="s">
        <v>1244</v>
      </c>
      <c r="T177" s="5" t="s">
        <v>588</v>
      </c>
      <c r="U177" s="9"/>
    </row>
    <row r="178" spans="1:21" s="37" customFormat="1" ht="12" x14ac:dyDescent="0.3">
      <c r="A178" s="111" t="s">
        <v>1484</v>
      </c>
      <c r="B178" s="112" t="s">
        <v>1485</v>
      </c>
      <c r="C178" s="113">
        <v>716</v>
      </c>
      <c r="D178" s="104">
        <v>79.7</v>
      </c>
      <c r="E178" s="106">
        <v>24</v>
      </c>
      <c r="F178" s="104">
        <v>65.2</v>
      </c>
      <c r="G178" s="17">
        <v>20</v>
      </c>
      <c r="H178" s="107">
        <v>56</v>
      </c>
      <c r="I178" s="108"/>
      <c r="J178" s="108"/>
      <c r="K178" s="108"/>
      <c r="L178" s="108"/>
      <c r="M178" s="109">
        <f t="shared" si="8"/>
        <v>0</v>
      </c>
      <c r="N178" s="4" t="str">
        <f t="shared" si="9"/>
        <v/>
      </c>
      <c r="O178" s="105">
        <f t="shared" si="10"/>
        <v>0</v>
      </c>
      <c r="P178" s="105">
        <f t="shared" si="11"/>
        <v>0</v>
      </c>
      <c r="Q178" s="110">
        <v>3</v>
      </c>
      <c r="R178" s="110">
        <v>1</v>
      </c>
      <c r="S178" s="110" t="s">
        <v>1244</v>
      </c>
      <c r="T178" s="5">
        <v>79</v>
      </c>
      <c r="U178" s="9"/>
    </row>
    <row r="179" spans="1:21" s="37" customFormat="1" ht="12" x14ac:dyDescent="0.3">
      <c r="A179" s="111" t="s">
        <v>1488</v>
      </c>
      <c r="B179" s="112" t="s">
        <v>1489</v>
      </c>
      <c r="C179" s="113">
        <v>950</v>
      </c>
      <c r="D179" s="104">
        <v>110.3</v>
      </c>
      <c r="E179" s="106">
        <v>33</v>
      </c>
      <c r="F179" s="104">
        <v>84.7</v>
      </c>
      <c r="G179" s="17">
        <v>26</v>
      </c>
      <c r="H179" s="107">
        <v>120</v>
      </c>
      <c r="I179" s="108"/>
      <c r="J179" s="108"/>
      <c r="K179" s="108"/>
      <c r="L179" s="108"/>
      <c r="M179" s="109">
        <f t="shared" si="8"/>
        <v>0</v>
      </c>
      <c r="N179" s="4" t="str">
        <f t="shared" si="9"/>
        <v/>
      </c>
      <c r="O179" s="105">
        <f t="shared" si="10"/>
        <v>0</v>
      </c>
      <c r="P179" s="105">
        <f t="shared" si="11"/>
        <v>0</v>
      </c>
      <c r="Q179" s="110">
        <v>3</v>
      </c>
      <c r="R179" s="110">
        <v>2</v>
      </c>
      <c r="S179" s="110" t="s">
        <v>1241</v>
      </c>
      <c r="T179" s="5" t="s">
        <v>102</v>
      </c>
      <c r="U179" s="9"/>
    </row>
    <row r="180" spans="1:21" s="37" customFormat="1" ht="12" x14ac:dyDescent="0.3">
      <c r="A180" s="111" t="s">
        <v>1491</v>
      </c>
      <c r="B180" s="112" t="s">
        <v>1492</v>
      </c>
      <c r="C180" s="113">
        <v>307</v>
      </c>
      <c r="D180" s="104">
        <v>109.8</v>
      </c>
      <c r="E180" s="106">
        <v>33</v>
      </c>
      <c r="F180" s="104">
        <v>85</v>
      </c>
      <c r="G180" s="17">
        <v>26</v>
      </c>
      <c r="H180" s="107">
        <v>50</v>
      </c>
      <c r="I180" s="108"/>
      <c r="J180" s="108"/>
      <c r="K180" s="108"/>
      <c r="L180" s="108"/>
      <c r="M180" s="109">
        <f t="shared" si="8"/>
        <v>0</v>
      </c>
      <c r="N180" s="4" t="str">
        <f t="shared" si="9"/>
        <v/>
      </c>
      <c r="O180" s="105">
        <f t="shared" si="10"/>
        <v>0</v>
      </c>
      <c r="P180" s="105">
        <f t="shared" si="11"/>
        <v>0</v>
      </c>
      <c r="Q180" s="110">
        <v>3</v>
      </c>
      <c r="R180" s="110">
        <v>2</v>
      </c>
      <c r="S180" s="110" t="s">
        <v>1241</v>
      </c>
      <c r="T180" s="5">
        <v>109</v>
      </c>
      <c r="U180" s="9"/>
    </row>
    <row r="181" spans="1:21" s="37" customFormat="1" ht="12" x14ac:dyDescent="0.3">
      <c r="A181" s="111" t="s">
        <v>1491</v>
      </c>
      <c r="B181" s="112" t="s">
        <v>1493</v>
      </c>
      <c r="C181" s="113">
        <v>307</v>
      </c>
      <c r="D181" s="104">
        <v>131.5</v>
      </c>
      <c r="E181" s="106">
        <v>40</v>
      </c>
      <c r="F181" s="104">
        <v>104.6</v>
      </c>
      <c r="G181" s="17">
        <v>32</v>
      </c>
      <c r="H181" s="107">
        <v>79</v>
      </c>
      <c r="I181" s="108"/>
      <c r="J181" s="108"/>
      <c r="K181" s="108"/>
      <c r="L181" s="108"/>
      <c r="M181" s="109">
        <f t="shared" si="8"/>
        <v>0</v>
      </c>
      <c r="N181" s="4" t="str">
        <f t="shared" si="9"/>
        <v/>
      </c>
      <c r="O181" s="105">
        <f t="shared" si="10"/>
        <v>0</v>
      </c>
      <c r="P181" s="105">
        <f t="shared" si="11"/>
        <v>0</v>
      </c>
      <c r="Q181" s="110">
        <v>3</v>
      </c>
      <c r="R181" s="110">
        <v>2</v>
      </c>
      <c r="S181" s="110" t="s">
        <v>1241</v>
      </c>
      <c r="T181" s="5" t="s">
        <v>640</v>
      </c>
      <c r="U181" s="9"/>
    </row>
    <row r="182" spans="1:21" s="37" customFormat="1" ht="12" x14ac:dyDescent="0.3">
      <c r="A182" s="111" t="s">
        <v>1496</v>
      </c>
      <c r="B182" s="112" t="s">
        <v>1497</v>
      </c>
      <c r="C182" s="113">
        <v>346</v>
      </c>
      <c r="D182" s="104">
        <v>55.1</v>
      </c>
      <c r="E182" s="106">
        <v>17</v>
      </c>
      <c r="F182" s="104">
        <v>40</v>
      </c>
      <c r="G182" s="17">
        <v>12</v>
      </c>
      <c r="H182" s="107">
        <v>334</v>
      </c>
      <c r="I182" s="108"/>
      <c r="J182" s="108"/>
      <c r="K182" s="108"/>
      <c r="L182" s="108"/>
      <c r="M182" s="109">
        <f t="shared" si="8"/>
        <v>0</v>
      </c>
      <c r="N182" s="4" t="str">
        <f t="shared" si="9"/>
        <v/>
      </c>
      <c r="O182" s="105">
        <f t="shared" si="10"/>
        <v>0</v>
      </c>
      <c r="P182" s="105">
        <f t="shared" si="11"/>
        <v>0</v>
      </c>
      <c r="Q182" s="110">
        <v>2</v>
      </c>
      <c r="R182" s="110">
        <v>1</v>
      </c>
      <c r="S182" s="110" t="s">
        <v>1244</v>
      </c>
      <c r="T182" s="5">
        <v>55</v>
      </c>
      <c r="U182" s="9"/>
    </row>
    <row r="183" spans="1:21" s="37" customFormat="1" ht="12" x14ac:dyDescent="0.3">
      <c r="A183" s="111" t="s">
        <v>1498</v>
      </c>
      <c r="B183" s="112" t="s">
        <v>1499</v>
      </c>
      <c r="C183" s="113">
        <v>317</v>
      </c>
      <c r="D183" s="104">
        <v>115.9</v>
      </c>
      <c r="E183" s="106">
        <v>35</v>
      </c>
      <c r="F183" s="104">
        <v>84.9</v>
      </c>
      <c r="G183" s="17">
        <v>26</v>
      </c>
      <c r="H183" s="107">
        <v>233</v>
      </c>
      <c r="I183" s="108"/>
      <c r="J183" s="108"/>
      <c r="K183" s="108"/>
      <c r="L183" s="108"/>
      <c r="M183" s="109">
        <f t="shared" si="8"/>
        <v>0</v>
      </c>
      <c r="N183" s="4" t="str">
        <f t="shared" si="9"/>
        <v/>
      </c>
      <c r="O183" s="105">
        <f t="shared" si="10"/>
        <v>0</v>
      </c>
      <c r="P183" s="105">
        <f t="shared" si="11"/>
        <v>0</v>
      </c>
      <c r="Q183" s="110">
        <v>3</v>
      </c>
      <c r="R183" s="110">
        <v>2</v>
      </c>
      <c r="S183" s="110" t="s">
        <v>1244</v>
      </c>
      <c r="T183" s="5">
        <v>115</v>
      </c>
      <c r="U183" s="9"/>
    </row>
    <row r="184" spans="1:21" s="37" customFormat="1" ht="12" x14ac:dyDescent="0.3">
      <c r="A184" s="111" t="s">
        <v>1500</v>
      </c>
      <c r="B184" s="112" t="s">
        <v>1501</v>
      </c>
      <c r="C184" s="113">
        <v>276</v>
      </c>
      <c r="D184" s="104">
        <v>69.3</v>
      </c>
      <c r="E184" s="106">
        <v>21</v>
      </c>
      <c r="F184" s="104">
        <v>49.1</v>
      </c>
      <c r="G184" s="17">
        <v>15</v>
      </c>
      <c r="H184" s="107">
        <v>198</v>
      </c>
      <c r="I184" s="108"/>
      <c r="J184" s="108"/>
      <c r="K184" s="108"/>
      <c r="L184" s="108"/>
      <c r="M184" s="109">
        <f t="shared" si="8"/>
        <v>0</v>
      </c>
      <c r="N184" s="4" t="str">
        <f t="shared" si="9"/>
        <v/>
      </c>
      <c r="O184" s="105">
        <f t="shared" si="10"/>
        <v>0</v>
      </c>
      <c r="P184" s="105">
        <f t="shared" si="11"/>
        <v>0</v>
      </c>
      <c r="Q184" s="110">
        <v>2</v>
      </c>
      <c r="R184" s="110">
        <v>1</v>
      </c>
      <c r="S184" s="110" t="s">
        <v>1244</v>
      </c>
      <c r="T184" s="5" t="s">
        <v>528</v>
      </c>
      <c r="U184" s="9"/>
    </row>
    <row r="185" spans="1:21" s="37" customFormat="1" ht="12" x14ac:dyDescent="0.3">
      <c r="A185" s="111" t="s">
        <v>1502</v>
      </c>
      <c r="B185" s="112" t="s">
        <v>1503</v>
      </c>
      <c r="C185" s="113">
        <v>874</v>
      </c>
      <c r="D185" s="104">
        <v>114.6</v>
      </c>
      <c r="E185" s="106">
        <v>35</v>
      </c>
      <c r="F185" s="104">
        <v>84.3</v>
      </c>
      <c r="G185" s="17">
        <v>26</v>
      </c>
      <c r="H185" s="107">
        <v>224</v>
      </c>
      <c r="I185" s="108"/>
      <c r="J185" s="108"/>
      <c r="K185" s="108"/>
      <c r="L185" s="108"/>
      <c r="M185" s="109">
        <f t="shared" si="8"/>
        <v>0</v>
      </c>
      <c r="N185" s="4" t="str">
        <f t="shared" si="9"/>
        <v/>
      </c>
      <c r="O185" s="105">
        <f t="shared" si="10"/>
        <v>0</v>
      </c>
      <c r="P185" s="105">
        <f t="shared" si="11"/>
        <v>0</v>
      </c>
      <c r="Q185" s="110">
        <v>3</v>
      </c>
      <c r="R185" s="110">
        <v>1</v>
      </c>
      <c r="S185" s="110" t="s">
        <v>1244</v>
      </c>
      <c r="T185" s="5">
        <v>114</v>
      </c>
      <c r="U185" s="9"/>
    </row>
    <row r="186" spans="1:21" s="37" customFormat="1" ht="12" x14ac:dyDescent="0.3">
      <c r="A186" s="111" t="s">
        <v>1504</v>
      </c>
      <c r="B186" s="112" t="s">
        <v>1505</v>
      </c>
      <c r="C186" s="113">
        <v>351</v>
      </c>
      <c r="D186" s="104">
        <v>80.599999999999994</v>
      </c>
      <c r="E186" s="106">
        <v>24</v>
      </c>
      <c r="F186" s="104">
        <v>59.9</v>
      </c>
      <c r="G186" s="17">
        <v>18</v>
      </c>
      <c r="H186" s="107">
        <v>149</v>
      </c>
      <c r="I186" s="108"/>
      <c r="J186" s="108"/>
      <c r="K186" s="108"/>
      <c r="L186" s="108"/>
      <c r="M186" s="109">
        <f t="shared" si="8"/>
        <v>0</v>
      </c>
      <c r="N186" s="4" t="str">
        <f t="shared" si="9"/>
        <v/>
      </c>
      <c r="O186" s="105">
        <f t="shared" si="10"/>
        <v>0</v>
      </c>
      <c r="P186" s="105">
        <f t="shared" si="11"/>
        <v>0</v>
      </c>
      <c r="Q186" s="110">
        <v>3</v>
      </c>
      <c r="R186" s="110">
        <v>2</v>
      </c>
      <c r="S186" s="110" t="s">
        <v>1244</v>
      </c>
      <c r="T186" s="5">
        <v>80</v>
      </c>
      <c r="U186" s="9"/>
    </row>
    <row r="187" spans="1:21" s="37" customFormat="1" ht="12" x14ac:dyDescent="0.3">
      <c r="A187" s="111" t="s">
        <v>1509</v>
      </c>
      <c r="B187" s="112" t="s">
        <v>1508</v>
      </c>
      <c r="C187" s="113">
        <v>499</v>
      </c>
      <c r="D187" s="104">
        <v>110.9</v>
      </c>
      <c r="E187" s="106">
        <v>34</v>
      </c>
      <c r="F187" s="104">
        <v>85</v>
      </c>
      <c r="G187" s="17">
        <v>26</v>
      </c>
      <c r="H187" s="107">
        <v>360</v>
      </c>
      <c r="I187" s="108"/>
      <c r="J187" s="108"/>
      <c r="K187" s="108"/>
      <c r="L187" s="108"/>
      <c r="M187" s="109">
        <f t="shared" si="8"/>
        <v>0</v>
      </c>
      <c r="N187" s="4" t="str">
        <f t="shared" si="9"/>
        <v/>
      </c>
      <c r="O187" s="105">
        <f t="shared" si="10"/>
        <v>0</v>
      </c>
      <c r="P187" s="105">
        <f t="shared" si="11"/>
        <v>0</v>
      </c>
      <c r="Q187" s="110">
        <v>3</v>
      </c>
      <c r="R187" s="110">
        <v>2</v>
      </c>
      <c r="S187" s="110" t="s">
        <v>1244</v>
      </c>
      <c r="T187" s="5">
        <v>110</v>
      </c>
      <c r="U187" s="9"/>
    </row>
    <row r="188" spans="1:21" s="37" customFormat="1" ht="12" x14ac:dyDescent="0.3">
      <c r="A188" s="111" t="s">
        <v>1512</v>
      </c>
      <c r="B188" s="112" t="s">
        <v>1513</v>
      </c>
      <c r="C188" s="113">
        <v>1078</v>
      </c>
      <c r="D188" s="104">
        <v>131.69999999999999</v>
      </c>
      <c r="E188" s="106">
        <v>40</v>
      </c>
      <c r="F188" s="104">
        <v>100.4</v>
      </c>
      <c r="G188" s="17">
        <v>30</v>
      </c>
      <c r="H188" s="107">
        <v>74</v>
      </c>
      <c r="I188" s="108"/>
      <c r="J188" s="108"/>
      <c r="K188" s="108">
        <v>35000</v>
      </c>
      <c r="L188" s="108" t="s">
        <v>1256</v>
      </c>
      <c r="M188" s="109">
        <f t="shared" si="8"/>
        <v>-35000</v>
      </c>
      <c r="N188" s="4" t="str">
        <f t="shared" si="9"/>
        <v/>
      </c>
      <c r="O188" s="105">
        <f t="shared" si="10"/>
        <v>0</v>
      </c>
      <c r="P188" s="105">
        <f t="shared" si="11"/>
        <v>875</v>
      </c>
      <c r="Q188" s="110">
        <v>4</v>
      </c>
      <c r="R188" s="110">
        <v>2</v>
      </c>
      <c r="S188" s="110" t="s">
        <v>1244</v>
      </c>
      <c r="T188" s="5">
        <v>131</v>
      </c>
      <c r="U188" s="9"/>
    </row>
    <row r="189" spans="1:21" s="37" customFormat="1" ht="12" x14ac:dyDescent="0.3">
      <c r="A189" s="111" t="s">
        <v>1514</v>
      </c>
      <c r="B189" s="112" t="s">
        <v>1515</v>
      </c>
      <c r="C189" s="113">
        <v>354</v>
      </c>
      <c r="D189" s="104">
        <v>185.7</v>
      </c>
      <c r="E189" s="106">
        <v>56</v>
      </c>
      <c r="F189" s="104">
        <v>152.69999999999999</v>
      </c>
      <c r="G189" s="17">
        <v>46</v>
      </c>
      <c r="H189" s="107">
        <v>120</v>
      </c>
      <c r="I189" s="108"/>
      <c r="J189" s="108"/>
      <c r="K189" s="108"/>
      <c r="L189" s="108"/>
      <c r="M189" s="109">
        <f t="shared" si="8"/>
        <v>0</v>
      </c>
      <c r="N189" s="4" t="str">
        <f t="shared" si="9"/>
        <v/>
      </c>
      <c r="O189" s="105">
        <f t="shared" si="10"/>
        <v>0</v>
      </c>
      <c r="P189" s="105">
        <f t="shared" si="11"/>
        <v>0</v>
      </c>
      <c r="Q189" s="110">
        <v>4</v>
      </c>
      <c r="R189" s="110">
        <v>2</v>
      </c>
      <c r="S189" s="110" t="s">
        <v>1244</v>
      </c>
      <c r="T189" s="5">
        <v>185</v>
      </c>
      <c r="U189" s="9"/>
    </row>
    <row r="190" spans="1:21" s="37" customFormat="1" ht="12" x14ac:dyDescent="0.3">
      <c r="A190" s="111" t="s">
        <v>1525</v>
      </c>
      <c r="B190" s="112" t="s">
        <v>1526</v>
      </c>
      <c r="C190" s="113">
        <v>358</v>
      </c>
      <c r="D190" s="104">
        <v>76.2</v>
      </c>
      <c r="E190" s="106">
        <v>23</v>
      </c>
      <c r="F190" s="104">
        <v>59.6</v>
      </c>
      <c r="G190" s="17">
        <v>18</v>
      </c>
      <c r="H190" s="107">
        <v>150</v>
      </c>
      <c r="I190" s="108"/>
      <c r="J190" s="108"/>
      <c r="K190" s="108"/>
      <c r="L190" s="108"/>
      <c r="M190" s="109">
        <f t="shared" si="8"/>
        <v>0</v>
      </c>
      <c r="N190" s="4" t="str">
        <f t="shared" si="9"/>
        <v/>
      </c>
      <c r="O190" s="105">
        <f t="shared" si="10"/>
        <v>0</v>
      </c>
      <c r="P190" s="105">
        <f t="shared" si="11"/>
        <v>0</v>
      </c>
      <c r="Q190" s="110">
        <v>3</v>
      </c>
      <c r="R190" s="110">
        <v>1</v>
      </c>
      <c r="S190" s="110" t="s">
        <v>1244</v>
      </c>
      <c r="T190" s="5">
        <v>76</v>
      </c>
      <c r="U190" s="9"/>
    </row>
    <row r="191" spans="1:21" s="37" customFormat="1" ht="12" x14ac:dyDescent="0.3">
      <c r="A191" s="111" t="s">
        <v>1527</v>
      </c>
      <c r="B191" s="112" t="s">
        <v>1528</v>
      </c>
      <c r="C191" s="113">
        <v>358</v>
      </c>
      <c r="D191" s="104">
        <v>103</v>
      </c>
      <c r="E191" s="106">
        <v>31</v>
      </c>
      <c r="F191" s="104">
        <v>84.6</v>
      </c>
      <c r="G191" s="17">
        <v>26</v>
      </c>
      <c r="H191" s="107">
        <v>208</v>
      </c>
      <c r="I191" s="108"/>
      <c r="J191" s="108"/>
      <c r="K191" s="108"/>
      <c r="L191" s="108"/>
      <c r="M191" s="109">
        <f t="shared" si="8"/>
        <v>0</v>
      </c>
      <c r="N191" s="4" t="str">
        <f t="shared" si="9"/>
        <v/>
      </c>
      <c r="O191" s="105">
        <f t="shared" si="10"/>
        <v>0</v>
      </c>
      <c r="P191" s="105">
        <f t="shared" si="11"/>
        <v>0</v>
      </c>
      <c r="Q191" s="110">
        <v>3</v>
      </c>
      <c r="R191" s="110">
        <v>2</v>
      </c>
      <c r="S191" s="110" t="s">
        <v>1244</v>
      </c>
      <c r="T191" s="5">
        <v>102</v>
      </c>
      <c r="U191" s="9"/>
    </row>
    <row r="192" spans="1:21" s="37" customFormat="1" ht="12" x14ac:dyDescent="0.3">
      <c r="A192" s="111" t="s">
        <v>1529</v>
      </c>
      <c r="B192" s="112" t="s">
        <v>1530</v>
      </c>
      <c r="C192" s="113">
        <v>342</v>
      </c>
      <c r="D192" s="104">
        <v>89.4</v>
      </c>
      <c r="E192" s="106">
        <v>27</v>
      </c>
      <c r="F192" s="104">
        <v>73.099999999999994</v>
      </c>
      <c r="G192" s="17">
        <v>22</v>
      </c>
      <c r="H192" s="107">
        <v>138</v>
      </c>
      <c r="I192" s="108"/>
      <c r="J192" s="108"/>
      <c r="K192" s="108"/>
      <c r="L192" s="108"/>
      <c r="M192" s="109">
        <f t="shared" si="8"/>
        <v>0</v>
      </c>
      <c r="N192" s="4" t="str">
        <f t="shared" si="9"/>
        <v/>
      </c>
      <c r="O192" s="105">
        <f t="shared" si="10"/>
        <v>0</v>
      </c>
      <c r="P192" s="105">
        <f t="shared" si="11"/>
        <v>0</v>
      </c>
      <c r="Q192" s="110">
        <v>3</v>
      </c>
      <c r="R192" s="110">
        <v>2</v>
      </c>
      <c r="S192" s="110" t="s">
        <v>1244</v>
      </c>
      <c r="T192" s="5">
        <v>89</v>
      </c>
      <c r="U192" s="9"/>
    </row>
    <row r="193" spans="1:21" s="37" customFormat="1" ht="12" x14ac:dyDescent="0.3">
      <c r="A193" s="111" t="s">
        <v>1531</v>
      </c>
      <c r="B193" s="112" t="s">
        <v>1532</v>
      </c>
      <c r="C193" s="113">
        <v>342</v>
      </c>
      <c r="D193" s="104">
        <v>102</v>
      </c>
      <c r="E193" s="106">
        <v>31</v>
      </c>
      <c r="F193" s="104">
        <v>84.8</v>
      </c>
      <c r="G193" s="17">
        <v>26</v>
      </c>
      <c r="H193" s="107">
        <v>204</v>
      </c>
      <c r="I193" s="108"/>
      <c r="J193" s="108"/>
      <c r="K193" s="108"/>
      <c r="L193" s="108"/>
      <c r="M193" s="109">
        <f t="shared" si="8"/>
        <v>0</v>
      </c>
      <c r="N193" s="4" t="str">
        <f t="shared" si="9"/>
        <v/>
      </c>
      <c r="O193" s="105">
        <f t="shared" si="10"/>
        <v>0</v>
      </c>
      <c r="P193" s="105">
        <f t="shared" si="11"/>
        <v>0</v>
      </c>
      <c r="Q193" s="110">
        <v>3</v>
      </c>
      <c r="R193" s="110">
        <v>2</v>
      </c>
      <c r="S193" s="110" t="s">
        <v>1244</v>
      </c>
      <c r="T193" s="5">
        <v>102</v>
      </c>
      <c r="U193" s="9"/>
    </row>
    <row r="194" spans="1:21" s="37" customFormat="1" ht="12" x14ac:dyDescent="0.3">
      <c r="A194" s="111" t="s">
        <v>1534</v>
      </c>
      <c r="B194" s="112" t="s">
        <v>1535</v>
      </c>
      <c r="C194" s="113">
        <v>280</v>
      </c>
      <c r="D194" s="104">
        <v>44.1</v>
      </c>
      <c r="E194" s="106">
        <v>13</v>
      </c>
      <c r="F194" s="104">
        <v>34.700000000000003</v>
      </c>
      <c r="G194" s="17">
        <v>10</v>
      </c>
      <c r="H194" s="107">
        <v>40</v>
      </c>
      <c r="I194" s="108"/>
      <c r="J194" s="108"/>
      <c r="K194" s="108"/>
      <c r="L194" s="108"/>
      <c r="M194" s="109">
        <f t="shared" si="8"/>
        <v>0</v>
      </c>
      <c r="N194" s="4" t="str">
        <f t="shared" si="9"/>
        <v/>
      </c>
      <c r="O194" s="105">
        <f t="shared" si="10"/>
        <v>0</v>
      </c>
      <c r="P194" s="105">
        <f t="shared" si="11"/>
        <v>0</v>
      </c>
      <c r="Q194" s="110">
        <v>2</v>
      </c>
      <c r="R194" s="110">
        <v>1</v>
      </c>
      <c r="S194" s="110" t="s">
        <v>1244</v>
      </c>
      <c r="T194" s="5" t="s">
        <v>765</v>
      </c>
      <c r="U194" s="9"/>
    </row>
    <row r="195" spans="1:21" s="37" customFormat="1" ht="12" x14ac:dyDescent="0.3">
      <c r="A195" s="111" t="s">
        <v>1536</v>
      </c>
      <c r="B195" s="112" t="s">
        <v>1533</v>
      </c>
      <c r="C195" s="113">
        <v>280</v>
      </c>
      <c r="D195" s="104">
        <v>53.4</v>
      </c>
      <c r="E195" s="106">
        <v>16</v>
      </c>
      <c r="F195" s="104">
        <v>43.5</v>
      </c>
      <c r="G195" s="17">
        <v>13</v>
      </c>
      <c r="H195" s="107">
        <v>150</v>
      </c>
      <c r="I195" s="108"/>
      <c r="J195" s="108"/>
      <c r="K195" s="108"/>
      <c r="L195" s="108"/>
      <c r="M195" s="109">
        <f t="shared" si="8"/>
        <v>0</v>
      </c>
      <c r="N195" s="4" t="str">
        <f t="shared" si="9"/>
        <v/>
      </c>
      <c r="O195" s="105">
        <f t="shared" si="10"/>
        <v>0</v>
      </c>
      <c r="P195" s="105">
        <f t="shared" si="11"/>
        <v>0</v>
      </c>
      <c r="Q195" s="110">
        <v>3</v>
      </c>
      <c r="R195" s="110">
        <v>1</v>
      </c>
      <c r="S195" s="110" t="s">
        <v>1244</v>
      </c>
      <c r="T195" s="5" t="s">
        <v>334</v>
      </c>
      <c r="U195" s="9"/>
    </row>
    <row r="196" spans="1:21" s="37" customFormat="1" ht="12" x14ac:dyDescent="0.3">
      <c r="A196" s="111" t="s">
        <v>1537</v>
      </c>
      <c r="B196" s="112" t="s">
        <v>1538</v>
      </c>
      <c r="C196" s="113">
        <v>225</v>
      </c>
      <c r="D196" s="104">
        <v>56.1</v>
      </c>
      <c r="E196" s="106">
        <v>17</v>
      </c>
      <c r="F196" s="104">
        <v>40</v>
      </c>
      <c r="G196" s="17">
        <v>12</v>
      </c>
      <c r="H196" s="107">
        <v>225</v>
      </c>
      <c r="I196" s="108"/>
      <c r="J196" s="108"/>
      <c r="K196" s="108"/>
      <c r="L196" s="108"/>
      <c r="M196" s="109">
        <f t="shared" ref="M196:M245" si="12">I196-K196</f>
        <v>0</v>
      </c>
      <c r="N196" s="4" t="str">
        <f t="shared" ref="N196:N245" si="13">IF(ISERROR(K196/I196),"",K196/I196)</f>
        <v/>
      </c>
      <c r="O196" s="105">
        <f t="shared" ref="O196:O245" si="14">I196/E196</f>
        <v>0</v>
      </c>
      <c r="P196" s="105">
        <f t="shared" ref="P196:P245" si="15">K196/E196</f>
        <v>0</v>
      </c>
      <c r="Q196" s="110">
        <v>2</v>
      </c>
      <c r="R196" s="110">
        <v>1</v>
      </c>
      <c r="S196" s="110" t="s">
        <v>1241</v>
      </c>
      <c r="T196" s="5">
        <v>56</v>
      </c>
      <c r="U196" s="9"/>
    </row>
    <row r="197" spans="1:21" s="37" customFormat="1" ht="12" x14ac:dyDescent="0.3">
      <c r="A197" s="111" t="s">
        <v>1539</v>
      </c>
      <c r="B197" s="112" t="s">
        <v>1540</v>
      </c>
      <c r="C197" s="113">
        <v>200</v>
      </c>
      <c r="D197" s="104">
        <v>44.5</v>
      </c>
      <c r="E197" s="106">
        <v>13</v>
      </c>
      <c r="F197" s="104">
        <v>35.4</v>
      </c>
      <c r="G197" s="17">
        <v>11</v>
      </c>
      <c r="H197" s="107">
        <v>100</v>
      </c>
      <c r="I197" s="108"/>
      <c r="J197" s="108"/>
      <c r="K197" s="108"/>
      <c r="L197" s="108"/>
      <c r="M197" s="109">
        <f t="shared" si="12"/>
        <v>0</v>
      </c>
      <c r="N197" s="4" t="str">
        <f t="shared" si="13"/>
        <v/>
      </c>
      <c r="O197" s="105">
        <f t="shared" si="14"/>
        <v>0</v>
      </c>
      <c r="P197" s="105">
        <f t="shared" si="15"/>
        <v>0</v>
      </c>
      <c r="Q197" s="110">
        <v>2</v>
      </c>
      <c r="R197" s="110">
        <v>1</v>
      </c>
      <c r="S197" s="110" t="s">
        <v>1244</v>
      </c>
      <c r="T197" s="5">
        <v>44</v>
      </c>
      <c r="U197" s="9"/>
    </row>
    <row r="198" spans="1:21" s="37" customFormat="1" ht="12" x14ac:dyDescent="0.3">
      <c r="A198" s="111" t="s">
        <v>1541</v>
      </c>
      <c r="B198" s="112" t="s">
        <v>1542</v>
      </c>
      <c r="C198" s="113">
        <v>200</v>
      </c>
      <c r="D198" s="104">
        <v>59.9</v>
      </c>
      <c r="E198" s="106">
        <v>18</v>
      </c>
      <c r="F198" s="104">
        <v>48.5</v>
      </c>
      <c r="G198" s="17">
        <v>15</v>
      </c>
      <c r="H198" s="107">
        <v>100</v>
      </c>
      <c r="I198" s="108"/>
      <c r="J198" s="108"/>
      <c r="K198" s="108"/>
      <c r="L198" s="108"/>
      <c r="M198" s="109">
        <f t="shared" si="12"/>
        <v>0</v>
      </c>
      <c r="N198" s="4" t="str">
        <f t="shared" si="13"/>
        <v/>
      </c>
      <c r="O198" s="105">
        <f t="shared" si="14"/>
        <v>0</v>
      </c>
      <c r="P198" s="105">
        <f t="shared" si="15"/>
        <v>0</v>
      </c>
      <c r="Q198" s="110">
        <v>3</v>
      </c>
      <c r="R198" s="110">
        <v>1</v>
      </c>
      <c r="S198" s="110" t="s">
        <v>1244</v>
      </c>
      <c r="T198" s="5">
        <v>59</v>
      </c>
      <c r="U198" s="9"/>
    </row>
    <row r="199" spans="1:21" s="37" customFormat="1" ht="12" x14ac:dyDescent="0.3">
      <c r="A199" s="111" t="s">
        <v>1543</v>
      </c>
      <c r="B199" s="112" t="s">
        <v>1544</v>
      </c>
      <c r="C199" s="113">
        <v>380</v>
      </c>
      <c r="D199" s="104">
        <v>102.9</v>
      </c>
      <c r="E199" s="106">
        <v>31</v>
      </c>
      <c r="F199" s="104">
        <v>84.5</v>
      </c>
      <c r="G199" s="17">
        <v>26</v>
      </c>
      <c r="H199" s="107">
        <v>126</v>
      </c>
      <c r="I199" s="108"/>
      <c r="J199" s="108"/>
      <c r="K199" s="108"/>
      <c r="L199" s="108"/>
      <c r="M199" s="109">
        <f t="shared" si="12"/>
        <v>0</v>
      </c>
      <c r="N199" s="4" t="str">
        <f t="shared" si="13"/>
        <v/>
      </c>
      <c r="O199" s="105">
        <f t="shared" si="14"/>
        <v>0</v>
      </c>
      <c r="P199" s="105">
        <f t="shared" si="15"/>
        <v>0</v>
      </c>
      <c r="Q199" s="110">
        <v>3</v>
      </c>
      <c r="R199" s="110">
        <v>2</v>
      </c>
      <c r="S199" s="110" t="s">
        <v>1244</v>
      </c>
      <c r="T199" s="5">
        <v>102</v>
      </c>
      <c r="U199" s="9"/>
    </row>
    <row r="200" spans="1:21" s="37" customFormat="1" ht="12" x14ac:dyDescent="0.3">
      <c r="A200" s="111" t="s">
        <v>1545</v>
      </c>
      <c r="B200" s="112" t="s">
        <v>1546</v>
      </c>
      <c r="C200" s="113">
        <v>750</v>
      </c>
      <c r="D200" s="104">
        <v>49.5</v>
      </c>
      <c r="E200" s="106">
        <v>15</v>
      </c>
      <c r="F200" s="104">
        <v>39.299999999999997</v>
      </c>
      <c r="G200" s="17">
        <v>12</v>
      </c>
      <c r="H200" s="107">
        <v>110</v>
      </c>
      <c r="I200" s="108"/>
      <c r="J200" s="108"/>
      <c r="K200" s="108"/>
      <c r="L200" s="108"/>
      <c r="M200" s="109">
        <f t="shared" si="12"/>
        <v>0</v>
      </c>
      <c r="N200" s="4" t="str">
        <f t="shared" si="13"/>
        <v/>
      </c>
      <c r="O200" s="105">
        <f t="shared" si="14"/>
        <v>0</v>
      </c>
      <c r="P200" s="105">
        <f t="shared" si="15"/>
        <v>0</v>
      </c>
      <c r="Q200" s="110">
        <v>2</v>
      </c>
      <c r="R200" s="110">
        <v>1</v>
      </c>
      <c r="S200" s="110" t="s">
        <v>1244</v>
      </c>
      <c r="T200" s="5" t="s">
        <v>800</v>
      </c>
      <c r="U200" s="9"/>
    </row>
    <row r="201" spans="1:21" s="37" customFormat="1" ht="12" x14ac:dyDescent="0.3">
      <c r="A201" s="111" t="s">
        <v>1547</v>
      </c>
      <c r="B201" s="112" t="s">
        <v>1548</v>
      </c>
      <c r="C201" s="113">
        <v>220</v>
      </c>
      <c r="D201" s="104">
        <v>49</v>
      </c>
      <c r="E201" s="106">
        <v>15</v>
      </c>
      <c r="F201" s="104">
        <v>35.9</v>
      </c>
      <c r="G201" s="17">
        <v>11</v>
      </c>
      <c r="H201" s="107">
        <v>220</v>
      </c>
      <c r="I201" s="108"/>
      <c r="J201" s="108"/>
      <c r="K201" s="108"/>
      <c r="L201" s="108"/>
      <c r="M201" s="109">
        <f t="shared" si="12"/>
        <v>0</v>
      </c>
      <c r="N201" s="4" t="str">
        <f t="shared" si="13"/>
        <v/>
      </c>
      <c r="O201" s="105">
        <f t="shared" si="14"/>
        <v>0</v>
      </c>
      <c r="P201" s="105">
        <f t="shared" si="15"/>
        <v>0</v>
      </c>
      <c r="Q201" s="110">
        <v>1</v>
      </c>
      <c r="R201" s="110">
        <v>1</v>
      </c>
      <c r="S201" s="110" t="s">
        <v>1244</v>
      </c>
      <c r="T201" s="5">
        <v>48</v>
      </c>
      <c r="U201" s="9"/>
    </row>
    <row r="202" spans="1:21" s="37" customFormat="1" ht="12" x14ac:dyDescent="0.3">
      <c r="A202" s="111" t="s">
        <v>1549</v>
      </c>
      <c r="B202" s="112" t="s">
        <v>1550</v>
      </c>
      <c r="C202" s="113">
        <v>221</v>
      </c>
      <c r="D202" s="104">
        <v>52</v>
      </c>
      <c r="E202" s="106">
        <v>16</v>
      </c>
      <c r="F202" s="104">
        <v>40</v>
      </c>
      <c r="G202" s="17">
        <v>12</v>
      </c>
      <c r="H202" s="107">
        <v>221</v>
      </c>
      <c r="I202" s="108"/>
      <c r="J202" s="108"/>
      <c r="K202" s="108"/>
      <c r="L202" s="108"/>
      <c r="M202" s="109">
        <f t="shared" si="12"/>
        <v>0</v>
      </c>
      <c r="N202" s="4" t="str">
        <f t="shared" si="13"/>
        <v/>
      </c>
      <c r="O202" s="105">
        <f t="shared" si="14"/>
        <v>0</v>
      </c>
      <c r="P202" s="105">
        <f t="shared" si="15"/>
        <v>0</v>
      </c>
      <c r="Q202" s="110">
        <v>2</v>
      </c>
      <c r="R202" s="110">
        <v>1</v>
      </c>
      <c r="S202" s="110" t="s">
        <v>1241</v>
      </c>
      <c r="T202" s="5">
        <v>52</v>
      </c>
      <c r="U202" s="9"/>
    </row>
    <row r="203" spans="1:21" s="37" customFormat="1" ht="12" x14ac:dyDescent="0.3">
      <c r="A203" s="111" t="s">
        <v>1553</v>
      </c>
      <c r="B203" s="112" t="s">
        <v>1554</v>
      </c>
      <c r="C203" s="113">
        <v>349</v>
      </c>
      <c r="D203" s="104">
        <v>35.6</v>
      </c>
      <c r="E203" s="106">
        <v>11</v>
      </c>
      <c r="F203" s="104">
        <v>27</v>
      </c>
      <c r="G203" s="17">
        <v>8</v>
      </c>
      <c r="H203" s="107">
        <v>54</v>
      </c>
      <c r="I203" s="108"/>
      <c r="J203" s="108"/>
      <c r="K203" s="108"/>
      <c r="L203" s="108"/>
      <c r="M203" s="109">
        <f t="shared" si="12"/>
        <v>0</v>
      </c>
      <c r="N203" s="4" t="str">
        <f t="shared" si="13"/>
        <v/>
      </c>
      <c r="O203" s="105">
        <f t="shared" si="14"/>
        <v>0</v>
      </c>
      <c r="P203" s="105">
        <f t="shared" si="15"/>
        <v>0</v>
      </c>
      <c r="Q203" s="110">
        <v>1</v>
      </c>
      <c r="R203" s="110">
        <v>1</v>
      </c>
      <c r="S203" s="110" t="s">
        <v>1241</v>
      </c>
      <c r="T203" s="5">
        <v>35</v>
      </c>
      <c r="U203" s="9"/>
    </row>
    <row r="204" spans="1:21" s="37" customFormat="1" ht="12" x14ac:dyDescent="0.3">
      <c r="A204" s="111" t="s">
        <v>1557</v>
      </c>
      <c r="B204" s="112" t="s">
        <v>1556</v>
      </c>
      <c r="C204" s="113">
        <v>381</v>
      </c>
      <c r="D204" s="104">
        <v>104.4</v>
      </c>
      <c r="E204" s="106">
        <v>32</v>
      </c>
      <c r="F204" s="104">
        <v>84.9</v>
      </c>
      <c r="G204" s="17">
        <v>26</v>
      </c>
      <c r="H204" s="107">
        <v>132</v>
      </c>
      <c r="I204" s="108"/>
      <c r="J204" s="108"/>
      <c r="K204" s="108"/>
      <c r="L204" s="108"/>
      <c r="M204" s="109">
        <f t="shared" si="12"/>
        <v>0</v>
      </c>
      <c r="N204" s="4" t="str">
        <f t="shared" si="13"/>
        <v/>
      </c>
      <c r="O204" s="105">
        <f t="shared" si="14"/>
        <v>0</v>
      </c>
      <c r="P204" s="105">
        <f t="shared" si="15"/>
        <v>0</v>
      </c>
      <c r="Q204" s="110">
        <v>3</v>
      </c>
      <c r="R204" s="110">
        <v>2</v>
      </c>
      <c r="S204" s="110" t="s">
        <v>1244</v>
      </c>
      <c r="T204" s="5">
        <v>104</v>
      </c>
      <c r="U204" s="9"/>
    </row>
    <row r="205" spans="1:21" s="37" customFormat="1" ht="12" x14ac:dyDescent="0.3">
      <c r="A205" s="111" t="s">
        <v>1555</v>
      </c>
      <c r="B205" s="112" t="s">
        <v>1556</v>
      </c>
      <c r="C205" s="113">
        <v>381</v>
      </c>
      <c r="D205" s="104">
        <v>155.19999999999999</v>
      </c>
      <c r="E205" s="106">
        <v>47</v>
      </c>
      <c r="F205" s="104">
        <v>131.4</v>
      </c>
      <c r="G205" s="17">
        <v>40</v>
      </c>
      <c r="H205" s="107">
        <v>90</v>
      </c>
      <c r="I205" s="108"/>
      <c r="J205" s="108"/>
      <c r="K205" s="108"/>
      <c r="L205" s="108"/>
      <c r="M205" s="109">
        <f t="shared" si="12"/>
        <v>0</v>
      </c>
      <c r="N205" s="4" t="str">
        <f t="shared" si="13"/>
        <v/>
      </c>
      <c r="O205" s="105">
        <f t="shared" si="14"/>
        <v>0</v>
      </c>
      <c r="P205" s="105">
        <f t="shared" si="15"/>
        <v>0</v>
      </c>
      <c r="Q205" s="110">
        <v>4</v>
      </c>
      <c r="R205" s="110">
        <v>2</v>
      </c>
      <c r="S205" s="110" t="s">
        <v>1244</v>
      </c>
      <c r="T205" s="5">
        <v>155</v>
      </c>
      <c r="U205" s="9"/>
    </row>
    <row r="206" spans="1:21" s="37" customFormat="1" ht="12" x14ac:dyDescent="0.3">
      <c r="A206" s="111" t="s">
        <v>1558</v>
      </c>
      <c r="B206" s="112" t="s">
        <v>1559</v>
      </c>
      <c r="C206" s="113">
        <v>226</v>
      </c>
      <c r="D206" s="104">
        <v>77.5</v>
      </c>
      <c r="E206" s="106">
        <v>23</v>
      </c>
      <c r="F206" s="104">
        <v>59.7</v>
      </c>
      <c r="G206" s="17">
        <v>18</v>
      </c>
      <c r="H206" s="107">
        <v>60</v>
      </c>
      <c r="I206" s="108"/>
      <c r="J206" s="108"/>
      <c r="K206" s="108"/>
      <c r="L206" s="108"/>
      <c r="M206" s="109">
        <f t="shared" si="12"/>
        <v>0</v>
      </c>
      <c r="N206" s="4" t="str">
        <f t="shared" si="13"/>
        <v/>
      </c>
      <c r="O206" s="105">
        <f t="shared" si="14"/>
        <v>0</v>
      </c>
      <c r="P206" s="105">
        <f t="shared" si="15"/>
        <v>0</v>
      </c>
      <c r="Q206" s="110">
        <v>3</v>
      </c>
      <c r="R206" s="110">
        <v>2</v>
      </c>
      <c r="S206" s="110" t="s">
        <v>1244</v>
      </c>
      <c r="T206" s="5" t="s">
        <v>655</v>
      </c>
      <c r="U206" s="9"/>
    </row>
    <row r="207" spans="1:21" s="37" customFormat="1" ht="12" x14ac:dyDescent="0.3">
      <c r="A207" s="111" t="s">
        <v>1562</v>
      </c>
      <c r="B207" s="112" t="s">
        <v>1563</v>
      </c>
      <c r="C207" s="113">
        <v>294</v>
      </c>
      <c r="D207" s="104">
        <v>113.6</v>
      </c>
      <c r="E207" s="106">
        <v>34</v>
      </c>
      <c r="F207" s="104">
        <v>84.7</v>
      </c>
      <c r="G207" s="17">
        <v>26</v>
      </c>
      <c r="H207" s="107">
        <v>294</v>
      </c>
      <c r="I207" s="108"/>
      <c r="J207" s="108"/>
      <c r="K207" s="108"/>
      <c r="L207" s="108"/>
      <c r="M207" s="109">
        <f t="shared" si="12"/>
        <v>0</v>
      </c>
      <c r="N207" s="4" t="str">
        <f t="shared" si="13"/>
        <v/>
      </c>
      <c r="O207" s="105">
        <f t="shared" si="14"/>
        <v>0</v>
      </c>
      <c r="P207" s="105">
        <f t="shared" si="15"/>
        <v>0</v>
      </c>
      <c r="Q207" s="110">
        <v>3</v>
      </c>
      <c r="R207" s="110">
        <v>2</v>
      </c>
      <c r="S207" s="110" t="s">
        <v>1244</v>
      </c>
      <c r="T207" s="5">
        <v>113</v>
      </c>
      <c r="U207" s="9"/>
    </row>
    <row r="208" spans="1:21" s="37" customFormat="1" ht="12" x14ac:dyDescent="0.3">
      <c r="A208" s="111" t="s">
        <v>1564</v>
      </c>
      <c r="B208" s="112" t="s">
        <v>1565</v>
      </c>
      <c r="C208" s="113">
        <v>350</v>
      </c>
      <c r="D208" s="104">
        <v>77.8</v>
      </c>
      <c r="E208" s="106">
        <v>24</v>
      </c>
      <c r="F208" s="104">
        <v>59.4</v>
      </c>
      <c r="G208" s="17">
        <v>18</v>
      </c>
      <c r="H208" s="107">
        <v>174</v>
      </c>
      <c r="I208" s="108"/>
      <c r="J208" s="108"/>
      <c r="K208" s="108"/>
      <c r="L208" s="108"/>
      <c r="M208" s="109">
        <f t="shared" si="12"/>
        <v>0</v>
      </c>
      <c r="N208" s="4" t="str">
        <f t="shared" si="13"/>
        <v/>
      </c>
      <c r="O208" s="105">
        <f t="shared" si="14"/>
        <v>0</v>
      </c>
      <c r="P208" s="105">
        <f t="shared" si="15"/>
        <v>0</v>
      </c>
      <c r="Q208" s="110">
        <v>3</v>
      </c>
      <c r="R208" s="110">
        <v>1</v>
      </c>
      <c r="S208" s="110" t="s">
        <v>1241</v>
      </c>
      <c r="T208" s="5" t="s">
        <v>654</v>
      </c>
      <c r="U208" s="9"/>
    </row>
    <row r="209" spans="1:21" s="37" customFormat="1" ht="12" x14ac:dyDescent="0.3">
      <c r="A209" s="111" t="s">
        <v>1564</v>
      </c>
      <c r="B209" s="112" t="s">
        <v>1565</v>
      </c>
      <c r="C209" s="113">
        <v>350</v>
      </c>
      <c r="D209" s="104">
        <v>91.4</v>
      </c>
      <c r="E209" s="106">
        <v>28</v>
      </c>
      <c r="F209" s="104">
        <v>75</v>
      </c>
      <c r="G209" s="17">
        <v>23</v>
      </c>
      <c r="H209" s="107">
        <v>59</v>
      </c>
      <c r="I209" s="108"/>
      <c r="J209" s="108"/>
      <c r="K209" s="108"/>
      <c r="L209" s="108"/>
      <c r="M209" s="109">
        <f t="shared" si="12"/>
        <v>0</v>
      </c>
      <c r="N209" s="4" t="str">
        <f t="shared" si="13"/>
        <v/>
      </c>
      <c r="O209" s="105">
        <f t="shared" si="14"/>
        <v>0</v>
      </c>
      <c r="P209" s="105">
        <f t="shared" si="15"/>
        <v>0</v>
      </c>
      <c r="Q209" s="110">
        <v>3</v>
      </c>
      <c r="R209" s="110">
        <v>1</v>
      </c>
      <c r="S209" s="110" t="s">
        <v>1244</v>
      </c>
      <c r="T209" s="5">
        <v>91</v>
      </c>
      <c r="U209" s="9"/>
    </row>
    <row r="210" spans="1:21" s="37" customFormat="1" ht="12" x14ac:dyDescent="0.3">
      <c r="A210" s="111" t="s">
        <v>1566</v>
      </c>
      <c r="B210" s="112" t="s">
        <v>1567</v>
      </c>
      <c r="C210" s="113">
        <v>702</v>
      </c>
      <c r="D210" s="104">
        <v>93.6</v>
      </c>
      <c r="E210" s="106">
        <v>28</v>
      </c>
      <c r="F210" s="104">
        <v>75.599999999999994</v>
      </c>
      <c r="G210" s="17">
        <v>23</v>
      </c>
      <c r="H210" s="107">
        <v>240</v>
      </c>
      <c r="I210" s="108"/>
      <c r="J210" s="108"/>
      <c r="K210" s="108"/>
      <c r="L210" s="108"/>
      <c r="M210" s="109">
        <f t="shared" si="12"/>
        <v>0</v>
      </c>
      <c r="N210" s="4" t="str">
        <f t="shared" si="13"/>
        <v/>
      </c>
      <c r="O210" s="105">
        <f t="shared" si="14"/>
        <v>0</v>
      </c>
      <c r="P210" s="105">
        <f t="shared" si="15"/>
        <v>0</v>
      </c>
      <c r="Q210" s="110">
        <v>3</v>
      </c>
      <c r="R210" s="110">
        <v>1</v>
      </c>
      <c r="S210" s="110" t="s">
        <v>1244</v>
      </c>
      <c r="T210" s="5">
        <v>93</v>
      </c>
      <c r="U210" s="9"/>
    </row>
    <row r="211" spans="1:21" s="37" customFormat="1" ht="12" x14ac:dyDescent="0.3">
      <c r="A211" s="111" t="s">
        <v>1568</v>
      </c>
      <c r="B211" s="112" t="s">
        <v>1569</v>
      </c>
      <c r="C211" s="113">
        <v>499</v>
      </c>
      <c r="D211" s="104">
        <v>57.5</v>
      </c>
      <c r="E211" s="106">
        <v>17</v>
      </c>
      <c r="F211" s="104">
        <v>43.7</v>
      </c>
      <c r="G211" s="17">
        <v>13</v>
      </c>
      <c r="H211" s="107">
        <v>123</v>
      </c>
      <c r="I211" s="108"/>
      <c r="J211" s="108"/>
      <c r="K211" s="108"/>
      <c r="L211" s="108"/>
      <c r="M211" s="109">
        <f t="shared" si="12"/>
        <v>0</v>
      </c>
      <c r="N211" s="4" t="str">
        <f t="shared" si="13"/>
        <v/>
      </c>
      <c r="O211" s="105">
        <f t="shared" si="14"/>
        <v>0</v>
      </c>
      <c r="P211" s="105">
        <f t="shared" si="15"/>
        <v>0</v>
      </c>
      <c r="Q211" s="110">
        <v>2</v>
      </c>
      <c r="R211" s="110">
        <v>1</v>
      </c>
      <c r="S211" s="110" t="s">
        <v>1244</v>
      </c>
      <c r="T211" s="5">
        <v>57</v>
      </c>
      <c r="U211" s="9"/>
    </row>
    <row r="212" spans="1:21" s="37" customFormat="1" ht="12" x14ac:dyDescent="0.3">
      <c r="A212" s="111" t="s">
        <v>1570</v>
      </c>
      <c r="B212" s="112" t="s">
        <v>1569</v>
      </c>
      <c r="C212" s="113">
        <v>499</v>
      </c>
      <c r="D212" s="104">
        <v>102.8</v>
      </c>
      <c r="E212" s="106">
        <v>31</v>
      </c>
      <c r="F212" s="104">
        <v>85</v>
      </c>
      <c r="G212" s="17">
        <v>26</v>
      </c>
      <c r="H212" s="107">
        <v>100</v>
      </c>
      <c r="I212" s="108"/>
      <c r="J212" s="108"/>
      <c r="K212" s="108"/>
      <c r="L212" s="108"/>
      <c r="M212" s="109">
        <f t="shared" si="12"/>
        <v>0</v>
      </c>
      <c r="N212" s="4" t="str">
        <f t="shared" si="13"/>
        <v/>
      </c>
      <c r="O212" s="105">
        <f t="shared" si="14"/>
        <v>0</v>
      </c>
      <c r="P212" s="105">
        <f t="shared" si="15"/>
        <v>0</v>
      </c>
      <c r="Q212" s="110">
        <v>3</v>
      </c>
      <c r="R212" s="110">
        <v>2</v>
      </c>
      <c r="S212" s="110" t="s">
        <v>1244</v>
      </c>
      <c r="T212" s="5">
        <v>102</v>
      </c>
      <c r="U212" s="9"/>
    </row>
    <row r="213" spans="1:21" s="37" customFormat="1" ht="12" x14ac:dyDescent="0.3">
      <c r="A213" s="111" t="s">
        <v>1574</v>
      </c>
      <c r="B213" s="112" t="s">
        <v>1575</v>
      </c>
      <c r="C213" s="113">
        <v>398</v>
      </c>
      <c r="D213" s="104">
        <v>41.3</v>
      </c>
      <c r="E213" s="106">
        <v>12</v>
      </c>
      <c r="F213" s="104">
        <v>31.8</v>
      </c>
      <c r="G213" s="17">
        <v>10</v>
      </c>
      <c r="H213" s="107">
        <v>390</v>
      </c>
      <c r="I213" s="108"/>
      <c r="J213" s="108"/>
      <c r="K213" s="108"/>
      <c r="L213" s="108"/>
      <c r="M213" s="109">
        <f t="shared" si="12"/>
        <v>0</v>
      </c>
      <c r="N213" s="4" t="str">
        <f t="shared" si="13"/>
        <v/>
      </c>
      <c r="O213" s="105">
        <f t="shared" si="14"/>
        <v>0</v>
      </c>
      <c r="P213" s="105">
        <f t="shared" si="15"/>
        <v>0</v>
      </c>
      <c r="Q213" s="110">
        <v>1</v>
      </c>
      <c r="R213" s="110">
        <v>1</v>
      </c>
      <c r="S213" s="110" t="s">
        <v>1241</v>
      </c>
      <c r="T213" s="5">
        <v>41</v>
      </c>
      <c r="U213" s="9"/>
    </row>
    <row r="214" spans="1:21" s="37" customFormat="1" ht="12" x14ac:dyDescent="0.3">
      <c r="A214" s="111" t="s">
        <v>1576</v>
      </c>
      <c r="B214" s="112" t="s">
        <v>1506</v>
      </c>
      <c r="C214" s="113">
        <v>972</v>
      </c>
      <c r="D214" s="104">
        <v>106.3</v>
      </c>
      <c r="E214" s="106">
        <v>32</v>
      </c>
      <c r="F214" s="104">
        <v>84.5</v>
      </c>
      <c r="G214" s="17">
        <v>26</v>
      </c>
      <c r="H214" s="107">
        <v>576</v>
      </c>
      <c r="I214" s="108"/>
      <c r="J214" s="108"/>
      <c r="K214" s="108"/>
      <c r="L214" s="108"/>
      <c r="M214" s="109">
        <f t="shared" si="12"/>
        <v>0</v>
      </c>
      <c r="N214" s="4" t="str">
        <f t="shared" si="13"/>
        <v/>
      </c>
      <c r="O214" s="105">
        <f t="shared" si="14"/>
        <v>0</v>
      </c>
      <c r="P214" s="105">
        <f t="shared" si="15"/>
        <v>0</v>
      </c>
      <c r="Q214" s="110">
        <v>3</v>
      </c>
      <c r="R214" s="110">
        <v>2</v>
      </c>
      <c r="S214" s="110" t="s">
        <v>1244</v>
      </c>
      <c r="T214" s="5">
        <v>106</v>
      </c>
      <c r="U214" s="9"/>
    </row>
    <row r="215" spans="1:21" s="37" customFormat="1" ht="12" x14ac:dyDescent="0.3">
      <c r="A215" s="111" t="s">
        <v>1579</v>
      </c>
      <c r="B215" s="112" t="s">
        <v>1580</v>
      </c>
      <c r="C215" s="113">
        <v>204</v>
      </c>
      <c r="D215" s="104">
        <v>58.6</v>
      </c>
      <c r="E215" s="106">
        <v>18</v>
      </c>
      <c r="F215" s="104">
        <v>44.8</v>
      </c>
      <c r="G215" s="17">
        <v>14</v>
      </c>
      <c r="H215" s="107">
        <v>60</v>
      </c>
      <c r="I215" s="108"/>
      <c r="J215" s="108"/>
      <c r="K215" s="108"/>
      <c r="L215" s="108"/>
      <c r="M215" s="109">
        <f t="shared" si="12"/>
        <v>0</v>
      </c>
      <c r="N215" s="4" t="str">
        <f t="shared" si="13"/>
        <v/>
      </c>
      <c r="O215" s="105">
        <f t="shared" si="14"/>
        <v>0</v>
      </c>
      <c r="P215" s="105">
        <f t="shared" si="15"/>
        <v>0</v>
      </c>
      <c r="Q215" s="110">
        <v>2</v>
      </c>
      <c r="R215" s="110">
        <v>1</v>
      </c>
      <c r="S215" s="110" t="s">
        <v>1244</v>
      </c>
      <c r="T215" s="5">
        <v>58</v>
      </c>
      <c r="U215" s="9"/>
    </row>
    <row r="216" spans="1:21" s="37" customFormat="1" ht="12" x14ac:dyDescent="0.3">
      <c r="A216" s="111" t="s">
        <v>1579</v>
      </c>
      <c r="B216" s="112" t="s">
        <v>1581</v>
      </c>
      <c r="C216" s="113">
        <v>204</v>
      </c>
      <c r="D216" s="104">
        <v>69.3</v>
      </c>
      <c r="E216" s="106">
        <v>21</v>
      </c>
      <c r="F216" s="104">
        <v>53.9</v>
      </c>
      <c r="G216" s="17">
        <v>16</v>
      </c>
      <c r="H216" s="107">
        <v>132</v>
      </c>
      <c r="I216" s="108"/>
      <c r="J216" s="108"/>
      <c r="K216" s="108"/>
      <c r="L216" s="108"/>
      <c r="M216" s="109">
        <f t="shared" si="12"/>
        <v>0</v>
      </c>
      <c r="N216" s="4" t="str">
        <f t="shared" si="13"/>
        <v/>
      </c>
      <c r="O216" s="105">
        <f t="shared" si="14"/>
        <v>0</v>
      </c>
      <c r="P216" s="105">
        <f t="shared" si="15"/>
        <v>0</v>
      </c>
      <c r="Q216" s="110">
        <v>3</v>
      </c>
      <c r="R216" s="110">
        <v>1</v>
      </c>
      <c r="S216" s="110" t="s">
        <v>1244</v>
      </c>
      <c r="T216" s="5">
        <v>69</v>
      </c>
      <c r="U216" s="9"/>
    </row>
    <row r="217" spans="1:21" s="37" customFormat="1" ht="12" x14ac:dyDescent="0.3">
      <c r="A217" s="111" t="s">
        <v>1584</v>
      </c>
      <c r="B217" s="112" t="s">
        <v>1583</v>
      </c>
      <c r="C217" s="113">
        <v>332</v>
      </c>
      <c r="D217" s="104">
        <v>133</v>
      </c>
      <c r="E217" s="106">
        <v>40</v>
      </c>
      <c r="F217" s="104">
        <v>100.4</v>
      </c>
      <c r="G217" s="17">
        <v>30</v>
      </c>
      <c r="H217" s="107">
        <v>59</v>
      </c>
      <c r="I217" s="108"/>
      <c r="J217" s="108"/>
      <c r="K217" s="108"/>
      <c r="L217" s="108"/>
      <c r="M217" s="109">
        <f t="shared" si="12"/>
        <v>0</v>
      </c>
      <c r="N217" s="4" t="str">
        <f t="shared" si="13"/>
        <v/>
      </c>
      <c r="O217" s="105">
        <f t="shared" si="14"/>
        <v>0</v>
      </c>
      <c r="P217" s="105">
        <f t="shared" si="15"/>
        <v>0</v>
      </c>
      <c r="Q217" s="110">
        <v>3</v>
      </c>
      <c r="R217" s="110">
        <v>2</v>
      </c>
      <c r="S217" s="110" t="s">
        <v>1244</v>
      </c>
      <c r="T217" s="5" t="s">
        <v>980</v>
      </c>
      <c r="U217" s="9"/>
    </row>
    <row r="218" spans="1:21" s="37" customFormat="1" ht="12" x14ac:dyDescent="0.3">
      <c r="A218" s="111" t="s">
        <v>1584</v>
      </c>
      <c r="B218" s="112" t="s">
        <v>1583</v>
      </c>
      <c r="C218" s="113">
        <v>332</v>
      </c>
      <c r="D218" s="104">
        <v>159.19999999999999</v>
      </c>
      <c r="E218" s="106">
        <v>48</v>
      </c>
      <c r="F218" s="104">
        <v>123.1</v>
      </c>
      <c r="G218" s="17">
        <v>37</v>
      </c>
      <c r="H218" s="107">
        <v>80</v>
      </c>
      <c r="I218" s="108"/>
      <c r="J218" s="108"/>
      <c r="K218" s="108"/>
      <c r="L218" s="108"/>
      <c r="M218" s="109">
        <f t="shared" si="12"/>
        <v>0</v>
      </c>
      <c r="N218" s="4" t="str">
        <f t="shared" si="13"/>
        <v/>
      </c>
      <c r="O218" s="105">
        <f t="shared" si="14"/>
        <v>0</v>
      </c>
      <c r="P218" s="105">
        <f t="shared" si="15"/>
        <v>0</v>
      </c>
      <c r="Q218" s="110">
        <v>4</v>
      </c>
      <c r="R218" s="110">
        <v>2</v>
      </c>
      <c r="S218" s="110" t="s">
        <v>1244</v>
      </c>
      <c r="T218" s="5" t="s">
        <v>984</v>
      </c>
      <c r="U218" s="9"/>
    </row>
    <row r="219" spans="1:21" s="37" customFormat="1" ht="12" x14ac:dyDescent="0.3">
      <c r="A219" s="111" t="s">
        <v>1584</v>
      </c>
      <c r="B219" s="112" t="s">
        <v>1583</v>
      </c>
      <c r="C219" s="113">
        <v>332</v>
      </c>
      <c r="D219" s="104">
        <v>161.5</v>
      </c>
      <c r="E219" s="106">
        <v>49</v>
      </c>
      <c r="F219" s="104">
        <v>132.30000000000001</v>
      </c>
      <c r="G219" s="17">
        <v>40</v>
      </c>
      <c r="H219" s="107">
        <v>79</v>
      </c>
      <c r="I219" s="108"/>
      <c r="J219" s="108"/>
      <c r="K219" s="108"/>
      <c r="L219" s="108"/>
      <c r="M219" s="109">
        <f t="shared" si="12"/>
        <v>0</v>
      </c>
      <c r="N219" s="4" t="str">
        <f t="shared" si="13"/>
        <v/>
      </c>
      <c r="O219" s="105">
        <f t="shared" si="14"/>
        <v>0</v>
      </c>
      <c r="P219" s="105">
        <f t="shared" si="15"/>
        <v>0</v>
      </c>
      <c r="Q219" s="110">
        <v>4</v>
      </c>
      <c r="R219" s="110">
        <v>2</v>
      </c>
      <c r="S219" s="110" t="s">
        <v>1244</v>
      </c>
      <c r="T219" s="5" t="s">
        <v>985</v>
      </c>
      <c r="U219" s="9"/>
    </row>
    <row r="220" spans="1:21" s="37" customFormat="1" ht="12" x14ac:dyDescent="0.3">
      <c r="A220" s="111" t="s">
        <v>1585</v>
      </c>
      <c r="B220" s="112" t="s">
        <v>1409</v>
      </c>
      <c r="C220" s="113">
        <v>660</v>
      </c>
      <c r="D220" s="104">
        <v>73.599999999999994</v>
      </c>
      <c r="E220" s="106">
        <v>22</v>
      </c>
      <c r="F220" s="104">
        <v>59.5</v>
      </c>
      <c r="G220" s="17">
        <v>18</v>
      </c>
      <c r="H220" s="107">
        <v>120</v>
      </c>
      <c r="I220" s="108"/>
      <c r="J220" s="108"/>
      <c r="K220" s="108"/>
      <c r="L220" s="108"/>
      <c r="M220" s="109">
        <f t="shared" si="12"/>
        <v>0</v>
      </c>
      <c r="N220" s="4" t="str">
        <f t="shared" si="13"/>
        <v/>
      </c>
      <c r="O220" s="105">
        <f t="shared" si="14"/>
        <v>0</v>
      </c>
      <c r="P220" s="105">
        <f t="shared" si="15"/>
        <v>0</v>
      </c>
      <c r="Q220" s="110">
        <v>2</v>
      </c>
      <c r="R220" s="110">
        <v>1</v>
      </c>
      <c r="S220" s="110" t="s">
        <v>1244</v>
      </c>
      <c r="T220" s="5">
        <v>73</v>
      </c>
      <c r="U220" s="9"/>
    </row>
    <row r="221" spans="1:21" s="37" customFormat="1" ht="12" x14ac:dyDescent="0.3">
      <c r="A221" s="111" t="s">
        <v>1585</v>
      </c>
      <c r="B221" s="112" t="s">
        <v>1409</v>
      </c>
      <c r="C221" s="113">
        <v>660</v>
      </c>
      <c r="D221" s="104">
        <v>97.2</v>
      </c>
      <c r="E221" s="106">
        <v>29</v>
      </c>
      <c r="F221" s="104">
        <v>78.5</v>
      </c>
      <c r="G221" s="17">
        <v>24</v>
      </c>
      <c r="H221" s="107">
        <v>120</v>
      </c>
      <c r="I221" s="108"/>
      <c r="J221" s="108"/>
      <c r="K221" s="108"/>
      <c r="L221" s="108"/>
      <c r="M221" s="109">
        <f t="shared" si="12"/>
        <v>0</v>
      </c>
      <c r="N221" s="4" t="str">
        <f t="shared" si="13"/>
        <v/>
      </c>
      <c r="O221" s="105">
        <f t="shared" si="14"/>
        <v>0</v>
      </c>
      <c r="P221" s="105">
        <f t="shared" si="15"/>
        <v>0</v>
      </c>
      <c r="Q221" s="110">
        <v>3</v>
      </c>
      <c r="R221" s="110">
        <v>2</v>
      </c>
      <c r="S221" s="110" t="s">
        <v>1244</v>
      </c>
      <c r="T221" s="5">
        <v>97</v>
      </c>
      <c r="U221" s="9"/>
    </row>
    <row r="222" spans="1:21" s="37" customFormat="1" ht="12" x14ac:dyDescent="0.3">
      <c r="A222" s="111" t="s">
        <v>1592</v>
      </c>
      <c r="B222" s="112" t="s">
        <v>1593</v>
      </c>
      <c r="C222" s="113">
        <v>657</v>
      </c>
      <c r="D222" s="104">
        <v>78.3</v>
      </c>
      <c r="E222" s="106">
        <v>24</v>
      </c>
      <c r="F222" s="104">
        <v>60</v>
      </c>
      <c r="G222" s="17">
        <v>18</v>
      </c>
      <c r="H222" s="107">
        <v>272</v>
      </c>
      <c r="I222" s="108"/>
      <c r="J222" s="108"/>
      <c r="K222" s="108"/>
      <c r="L222" s="108"/>
      <c r="M222" s="109">
        <f t="shared" si="12"/>
        <v>0</v>
      </c>
      <c r="N222" s="4" t="str">
        <f t="shared" si="13"/>
        <v/>
      </c>
      <c r="O222" s="105">
        <f t="shared" si="14"/>
        <v>0</v>
      </c>
      <c r="P222" s="105">
        <f t="shared" si="15"/>
        <v>0</v>
      </c>
      <c r="Q222" s="110">
        <v>3</v>
      </c>
      <c r="R222" s="110">
        <v>1</v>
      </c>
      <c r="S222" s="110" t="s">
        <v>1244</v>
      </c>
      <c r="T222" s="5">
        <v>78</v>
      </c>
      <c r="U222" s="9"/>
    </row>
    <row r="223" spans="1:21" s="37" customFormat="1" ht="12" x14ac:dyDescent="0.3">
      <c r="A223" s="111" t="s">
        <v>1598</v>
      </c>
      <c r="B223" s="112" t="s">
        <v>1599</v>
      </c>
      <c r="C223" s="113">
        <v>360</v>
      </c>
      <c r="D223" s="104">
        <v>46.9</v>
      </c>
      <c r="E223" s="106">
        <v>14</v>
      </c>
      <c r="F223" s="104">
        <v>39.5</v>
      </c>
      <c r="G223" s="17">
        <v>12</v>
      </c>
      <c r="H223" s="107">
        <v>205</v>
      </c>
      <c r="I223" s="108"/>
      <c r="J223" s="108"/>
      <c r="K223" s="108"/>
      <c r="L223" s="108"/>
      <c r="M223" s="109">
        <f t="shared" si="12"/>
        <v>0</v>
      </c>
      <c r="N223" s="4" t="str">
        <f t="shared" si="13"/>
        <v/>
      </c>
      <c r="O223" s="105">
        <f t="shared" si="14"/>
        <v>0</v>
      </c>
      <c r="P223" s="105">
        <f t="shared" si="15"/>
        <v>0</v>
      </c>
      <c r="Q223" s="110">
        <v>2</v>
      </c>
      <c r="R223" s="110">
        <v>1</v>
      </c>
      <c r="S223" s="110" t="s">
        <v>1244</v>
      </c>
      <c r="T223" s="5">
        <v>46</v>
      </c>
      <c r="U223" s="9"/>
    </row>
    <row r="224" spans="1:21" s="37" customFormat="1" ht="12" x14ac:dyDescent="0.3">
      <c r="A224" s="111" t="s">
        <v>1600</v>
      </c>
      <c r="B224" s="112" t="s">
        <v>1363</v>
      </c>
      <c r="C224" s="113">
        <v>360</v>
      </c>
      <c r="D224" s="104">
        <v>76</v>
      </c>
      <c r="E224" s="106">
        <v>23</v>
      </c>
      <c r="F224" s="104">
        <v>59.9</v>
      </c>
      <c r="G224" s="17">
        <v>18</v>
      </c>
      <c r="H224" s="107">
        <v>135</v>
      </c>
      <c r="I224" s="108"/>
      <c r="J224" s="108"/>
      <c r="K224" s="108"/>
      <c r="L224" s="108"/>
      <c r="M224" s="109">
        <f t="shared" si="12"/>
        <v>0</v>
      </c>
      <c r="N224" s="4" t="str">
        <f t="shared" si="13"/>
        <v/>
      </c>
      <c r="O224" s="105">
        <f t="shared" si="14"/>
        <v>0</v>
      </c>
      <c r="P224" s="105">
        <f t="shared" si="15"/>
        <v>0</v>
      </c>
      <c r="Q224" s="110">
        <v>3</v>
      </c>
      <c r="R224" s="110">
        <v>1</v>
      </c>
      <c r="S224" s="110" t="s">
        <v>1244</v>
      </c>
      <c r="T224" s="5" t="s">
        <v>388</v>
      </c>
      <c r="U224" s="9"/>
    </row>
    <row r="225" spans="1:21" s="37" customFormat="1" ht="12" x14ac:dyDescent="0.3">
      <c r="A225" s="111" t="s">
        <v>1604</v>
      </c>
      <c r="B225" s="112" t="s">
        <v>1605</v>
      </c>
      <c r="C225" s="113">
        <v>240</v>
      </c>
      <c r="D225" s="104">
        <v>62</v>
      </c>
      <c r="E225" s="106">
        <v>19</v>
      </c>
      <c r="F225" s="104">
        <v>62</v>
      </c>
      <c r="G225" s="17">
        <v>19</v>
      </c>
      <c r="H225" s="107">
        <v>30</v>
      </c>
      <c r="I225" s="108"/>
      <c r="J225" s="108"/>
      <c r="K225" s="108"/>
      <c r="L225" s="108"/>
      <c r="M225" s="109">
        <f t="shared" si="12"/>
        <v>0</v>
      </c>
      <c r="N225" s="4" t="str">
        <f t="shared" si="13"/>
        <v/>
      </c>
      <c r="O225" s="105">
        <f t="shared" si="14"/>
        <v>0</v>
      </c>
      <c r="P225" s="105">
        <f t="shared" si="15"/>
        <v>0</v>
      </c>
      <c r="Q225" s="110">
        <v>2</v>
      </c>
      <c r="R225" s="110">
        <v>1</v>
      </c>
      <c r="S225" s="110" t="s">
        <v>1244</v>
      </c>
      <c r="T225" s="5">
        <v>61</v>
      </c>
      <c r="U225" s="9"/>
    </row>
    <row r="226" spans="1:21" s="37" customFormat="1" ht="12" x14ac:dyDescent="0.3">
      <c r="A226" s="111" t="s">
        <v>1604</v>
      </c>
      <c r="B226" s="112" t="s">
        <v>1605</v>
      </c>
      <c r="C226" s="113">
        <v>240</v>
      </c>
      <c r="D226" s="104">
        <v>70.7</v>
      </c>
      <c r="E226" s="106">
        <v>21</v>
      </c>
      <c r="F226" s="104">
        <v>70.7</v>
      </c>
      <c r="G226" s="17">
        <v>21</v>
      </c>
      <c r="H226" s="107">
        <v>30</v>
      </c>
      <c r="I226" s="108"/>
      <c r="J226" s="108"/>
      <c r="K226" s="108"/>
      <c r="L226" s="108"/>
      <c r="M226" s="109">
        <f t="shared" si="12"/>
        <v>0</v>
      </c>
      <c r="N226" s="4" t="str">
        <f t="shared" si="13"/>
        <v/>
      </c>
      <c r="O226" s="105">
        <f t="shared" si="14"/>
        <v>0</v>
      </c>
      <c r="P226" s="105">
        <f t="shared" si="15"/>
        <v>0</v>
      </c>
      <c r="Q226" s="110">
        <v>2</v>
      </c>
      <c r="R226" s="110">
        <v>1</v>
      </c>
      <c r="S226" s="110" t="s">
        <v>1244</v>
      </c>
      <c r="T226" s="5">
        <v>70</v>
      </c>
      <c r="U226" s="9"/>
    </row>
    <row r="227" spans="1:21" s="37" customFormat="1" ht="12" x14ac:dyDescent="0.3">
      <c r="A227" s="111" t="s">
        <v>1604</v>
      </c>
      <c r="B227" s="112" t="s">
        <v>1606</v>
      </c>
      <c r="C227" s="113">
        <v>240</v>
      </c>
      <c r="D227" s="104">
        <v>78.5</v>
      </c>
      <c r="E227" s="106">
        <v>24</v>
      </c>
      <c r="F227" s="104">
        <v>78.5</v>
      </c>
      <c r="G227" s="17">
        <v>24</v>
      </c>
      <c r="H227" s="107">
        <v>60</v>
      </c>
      <c r="I227" s="108"/>
      <c r="J227" s="108"/>
      <c r="K227" s="108"/>
      <c r="L227" s="108"/>
      <c r="M227" s="109">
        <f t="shared" si="12"/>
        <v>0</v>
      </c>
      <c r="N227" s="4" t="str">
        <f t="shared" si="13"/>
        <v/>
      </c>
      <c r="O227" s="105">
        <f t="shared" si="14"/>
        <v>0</v>
      </c>
      <c r="P227" s="105">
        <f t="shared" si="15"/>
        <v>0</v>
      </c>
      <c r="Q227" s="110">
        <v>2</v>
      </c>
      <c r="R227" s="110">
        <v>1</v>
      </c>
      <c r="S227" s="110" t="s">
        <v>1244</v>
      </c>
      <c r="T227" s="5">
        <v>78</v>
      </c>
      <c r="U227" s="9"/>
    </row>
    <row r="228" spans="1:21" s="37" customFormat="1" ht="12" x14ac:dyDescent="0.3">
      <c r="A228" s="111" t="s">
        <v>1613</v>
      </c>
      <c r="B228" s="112" t="s">
        <v>1614</v>
      </c>
      <c r="C228" s="113">
        <v>210</v>
      </c>
      <c r="D228" s="104">
        <v>126.8</v>
      </c>
      <c r="E228" s="106">
        <v>38</v>
      </c>
      <c r="F228" s="104">
        <v>101.7</v>
      </c>
      <c r="G228" s="17">
        <v>31</v>
      </c>
      <c r="H228" s="107">
        <v>120</v>
      </c>
      <c r="I228" s="108"/>
      <c r="J228" s="108"/>
      <c r="K228" s="108"/>
      <c r="L228" s="108"/>
      <c r="M228" s="109">
        <f t="shared" si="12"/>
        <v>0</v>
      </c>
      <c r="N228" s="4" t="str">
        <f t="shared" si="13"/>
        <v/>
      </c>
      <c r="O228" s="105">
        <f t="shared" si="14"/>
        <v>0</v>
      </c>
      <c r="P228" s="105">
        <f t="shared" si="15"/>
        <v>0</v>
      </c>
      <c r="Q228" s="110">
        <v>3</v>
      </c>
      <c r="R228" s="110">
        <v>2</v>
      </c>
      <c r="S228" s="110" t="s">
        <v>1244</v>
      </c>
      <c r="T228" s="5">
        <v>126</v>
      </c>
      <c r="U228" s="9"/>
    </row>
    <row r="229" spans="1:21" s="37" customFormat="1" ht="12" x14ac:dyDescent="0.3">
      <c r="A229" s="111" t="s">
        <v>1615</v>
      </c>
      <c r="B229" s="112" t="s">
        <v>1616</v>
      </c>
      <c r="C229" s="113">
        <v>210</v>
      </c>
      <c r="D229" s="104">
        <v>165</v>
      </c>
      <c r="E229" s="106">
        <v>50</v>
      </c>
      <c r="F229" s="104">
        <v>142.1</v>
      </c>
      <c r="G229" s="17">
        <v>43</v>
      </c>
      <c r="H229" s="107">
        <v>30</v>
      </c>
      <c r="I229" s="108"/>
      <c r="J229" s="108"/>
      <c r="K229" s="108"/>
      <c r="L229" s="108"/>
      <c r="M229" s="109">
        <f t="shared" si="12"/>
        <v>0</v>
      </c>
      <c r="N229" s="4" t="str">
        <f t="shared" si="13"/>
        <v/>
      </c>
      <c r="O229" s="105">
        <f t="shared" si="14"/>
        <v>0</v>
      </c>
      <c r="P229" s="105">
        <f t="shared" si="15"/>
        <v>0</v>
      </c>
      <c r="Q229" s="110">
        <v>4</v>
      </c>
      <c r="R229" s="110">
        <v>2</v>
      </c>
      <c r="S229" s="110" t="s">
        <v>1244</v>
      </c>
      <c r="T229" s="5">
        <v>164</v>
      </c>
      <c r="U229" s="9"/>
    </row>
    <row r="230" spans="1:21" s="37" customFormat="1" ht="12" x14ac:dyDescent="0.3">
      <c r="A230" s="111" t="s">
        <v>1617</v>
      </c>
      <c r="B230" s="112" t="s">
        <v>1618</v>
      </c>
      <c r="C230" s="113">
        <v>210</v>
      </c>
      <c r="D230" s="104">
        <v>189.9</v>
      </c>
      <c r="E230" s="106">
        <v>57</v>
      </c>
      <c r="F230" s="104">
        <v>166.5</v>
      </c>
      <c r="G230" s="17">
        <v>50</v>
      </c>
      <c r="H230" s="107">
        <v>45</v>
      </c>
      <c r="I230" s="108"/>
      <c r="J230" s="108"/>
      <c r="K230" s="108"/>
      <c r="L230" s="108"/>
      <c r="M230" s="109">
        <f t="shared" si="12"/>
        <v>0</v>
      </c>
      <c r="N230" s="4" t="str">
        <f t="shared" si="13"/>
        <v/>
      </c>
      <c r="O230" s="105">
        <f t="shared" si="14"/>
        <v>0</v>
      </c>
      <c r="P230" s="105">
        <f t="shared" si="15"/>
        <v>0</v>
      </c>
      <c r="Q230" s="110">
        <v>4</v>
      </c>
      <c r="R230" s="110">
        <v>2</v>
      </c>
      <c r="S230" s="110" t="s">
        <v>1244</v>
      </c>
      <c r="T230" s="5">
        <v>189</v>
      </c>
      <c r="U230" s="9"/>
    </row>
    <row r="231" spans="1:21" s="37" customFormat="1" ht="12" x14ac:dyDescent="0.3">
      <c r="A231" s="111" t="s">
        <v>1621</v>
      </c>
      <c r="B231" s="112" t="s">
        <v>1620</v>
      </c>
      <c r="C231" s="113">
        <v>547</v>
      </c>
      <c r="D231" s="104">
        <v>82.5</v>
      </c>
      <c r="E231" s="106">
        <v>25</v>
      </c>
      <c r="F231" s="104">
        <v>60</v>
      </c>
      <c r="G231" s="17">
        <v>18</v>
      </c>
      <c r="H231" s="107">
        <v>259</v>
      </c>
      <c r="I231" s="108"/>
      <c r="J231" s="108"/>
      <c r="K231" s="108"/>
      <c r="L231" s="108"/>
      <c r="M231" s="109">
        <f t="shared" si="12"/>
        <v>0</v>
      </c>
      <c r="N231" s="4" t="str">
        <f t="shared" si="13"/>
        <v/>
      </c>
      <c r="O231" s="105">
        <f t="shared" si="14"/>
        <v>0</v>
      </c>
      <c r="P231" s="105">
        <f t="shared" si="15"/>
        <v>0</v>
      </c>
      <c r="Q231" s="110">
        <v>2</v>
      </c>
      <c r="R231" s="110">
        <v>1</v>
      </c>
      <c r="S231" s="110" t="s">
        <v>1244</v>
      </c>
      <c r="T231" s="5">
        <v>82</v>
      </c>
      <c r="U231" s="9"/>
    </row>
    <row r="232" spans="1:21" s="37" customFormat="1" ht="12" x14ac:dyDescent="0.3">
      <c r="A232" s="111" t="s">
        <v>1619</v>
      </c>
      <c r="B232" s="112" t="s">
        <v>1620</v>
      </c>
      <c r="C232" s="113">
        <v>547</v>
      </c>
      <c r="D232" s="104">
        <v>103.1</v>
      </c>
      <c r="E232" s="106">
        <v>31</v>
      </c>
      <c r="F232" s="104">
        <v>85</v>
      </c>
      <c r="G232" s="17">
        <v>26</v>
      </c>
      <c r="H232" s="107">
        <v>210</v>
      </c>
      <c r="I232" s="108"/>
      <c r="J232" s="108"/>
      <c r="K232" s="108"/>
      <c r="L232" s="108"/>
      <c r="M232" s="109">
        <f t="shared" si="12"/>
        <v>0</v>
      </c>
      <c r="N232" s="4" t="str">
        <f t="shared" si="13"/>
        <v/>
      </c>
      <c r="O232" s="105">
        <f t="shared" si="14"/>
        <v>0</v>
      </c>
      <c r="P232" s="105">
        <f t="shared" si="15"/>
        <v>0</v>
      </c>
      <c r="Q232" s="110">
        <v>3</v>
      </c>
      <c r="R232" s="110">
        <v>2</v>
      </c>
      <c r="S232" s="110" t="s">
        <v>1241</v>
      </c>
      <c r="T232" s="5" t="s">
        <v>1122</v>
      </c>
      <c r="U232" s="9"/>
    </row>
    <row r="233" spans="1:21" s="37" customFormat="1" ht="12" x14ac:dyDescent="0.3">
      <c r="A233" s="111" t="s">
        <v>1632</v>
      </c>
      <c r="B233" s="112" t="s">
        <v>1633</v>
      </c>
      <c r="C233" s="113">
        <v>306</v>
      </c>
      <c r="D233" s="104">
        <v>92.2</v>
      </c>
      <c r="E233" s="106">
        <v>28</v>
      </c>
      <c r="F233" s="104">
        <v>73.5</v>
      </c>
      <c r="G233" s="17">
        <v>22</v>
      </c>
      <c r="H233" s="107">
        <v>72</v>
      </c>
      <c r="I233" s="108"/>
      <c r="J233" s="108"/>
      <c r="K233" s="108"/>
      <c r="L233" s="108"/>
      <c r="M233" s="109">
        <f t="shared" si="12"/>
        <v>0</v>
      </c>
      <c r="N233" s="4" t="str">
        <f t="shared" si="13"/>
        <v/>
      </c>
      <c r="O233" s="105">
        <f t="shared" si="14"/>
        <v>0</v>
      </c>
      <c r="P233" s="105">
        <f t="shared" si="15"/>
        <v>0</v>
      </c>
      <c r="Q233" s="110">
        <v>3</v>
      </c>
      <c r="R233" s="110">
        <v>1</v>
      </c>
      <c r="S233" s="110" t="s">
        <v>1244</v>
      </c>
      <c r="T233" s="5" t="s">
        <v>1145</v>
      </c>
      <c r="U233" s="9"/>
    </row>
    <row r="234" spans="1:21" s="37" customFormat="1" ht="12" x14ac:dyDescent="0.3">
      <c r="A234" s="111" t="s">
        <v>1635</v>
      </c>
      <c r="B234" s="112" t="s">
        <v>1636</v>
      </c>
      <c r="C234" s="113">
        <v>402</v>
      </c>
      <c r="D234" s="104">
        <v>53.7</v>
      </c>
      <c r="E234" s="106">
        <v>16</v>
      </c>
      <c r="F234" s="104">
        <v>40</v>
      </c>
      <c r="G234" s="17">
        <v>12</v>
      </c>
      <c r="H234" s="107">
        <v>402</v>
      </c>
      <c r="I234" s="108"/>
      <c r="J234" s="108"/>
      <c r="K234" s="108"/>
      <c r="L234" s="108"/>
      <c r="M234" s="109">
        <f t="shared" si="12"/>
        <v>0</v>
      </c>
      <c r="N234" s="4" t="str">
        <f t="shared" si="13"/>
        <v/>
      </c>
      <c r="O234" s="105">
        <f t="shared" si="14"/>
        <v>0</v>
      </c>
      <c r="P234" s="105">
        <f t="shared" si="15"/>
        <v>0</v>
      </c>
      <c r="Q234" s="110">
        <v>2</v>
      </c>
      <c r="R234" s="110">
        <v>1</v>
      </c>
      <c r="S234" s="110" t="s">
        <v>1244</v>
      </c>
      <c r="T234" s="5">
        <v>53</v>
      </c>
      <c r="U234" s="9"/>
    </row>
    <row r="235" spans="1:21" s="37" customFormat="1" ht="12" x14ac:dyDescent="0.3">
      <c r="A235" s="111" t="s">
        <v>1637</v>
      </c>
      <c r="B235" s="112" t="s">
        <v>1640</v>
      </c>
      <c r="C235" s="113">
        <v>854</v>
      </c>
      <c r="D235" s="104">
        <v>140.30000000000001</v>
      </c>
      <c r="E235" s="106">
        <v>42</v>
      </c>
      <c r="F235" s="104">
        <v>106.4</v>
      </c>
      <c r="G235" s="17">
        <v>32</v>
      </c>
      <c r="H235" s="107">
        <v>87</v>
      </c>
      <c r="I235" s="108"/>
      <c r="J235" s="108"/>
      <c r="K235" s="108"/>
      <c r="L235" s="108"/>
      <c r="M235" s="109">
        <f t="shared" si="12"/>
        <v>0</v>
      </c>
      <c r="N235" s="4" t="str">
        <f t="shared" si="13"/>
        <v/>
      </c>
      <c r="O235" s="105">
        <f t="shared" si="14"/>
        <v>0</v>
      </c>
      <c r="P235" s="105">
        <f t="shared" si="15"/>
        <v>0</v>
      </c>
      <c r="Q235" s="110">
        <v>4</v>
      </c>
      <c r="R235" s="110">
        <v>2</v>
      </c>
      <c r="S235" s="110" t="s">
        <v>1244</v>
      </c>
      <c r="T235" s="5">
        <v>140</v>
      </c>
      <c r="U235" s="9"/>
    </row>
    <row r="236" spans="1:21" s="37" customFormat="1" ht="12" x14ac:dyDescent="0.3">
      <c r="A236" s="111" t="s">
        <v>1641</v>
      </c>
      <c r="B236" s="112" t="s">
        <v>1565</v>
      </c>
      <c r="C236" s="113">
        <v>270</v>
      </c>
      <c r="D236" s="104">
        <v>66.599999999999994</v>
      </c>
      <c r="E236" s="106">
        <v>20</v>
      </c>
      <c r="F236" s="104">
        <v>49.1</v>
      </c>
      <c r="G236" s="17">
        <v>15</v>
      </c>
      <c r="H236" s="107">
        <v>150</v>
      </c>
      <c r="I236" s="108"/>
      <c r="J236" s="108"/>
      <c r="K236" s="108"/>
      <c r="L236" s="108"/>
      <c r="M236" s="109">
        <f t="shared" si="12"/>
        <v>0</v>
      </c>
      <c r="N236" s="4" t="str">
        <f t="shared" si="13"/>
        <v/>
      </c>
      <c r="O236" s="105">
        <f t="shared" si="14"/>
        <v>0</v>
      </c>
      <c r="P236" s="105">
        <f t="shared" si="15"/>
        <v>0</v>
      </c>
      <c r="Q236" s="110">
        <v>2</v>
      </c>
      <c r="R236" s="110">
        <v>1</v>
      </c>
      <c r="S236" s="110" t="s">
        <v>1241</v>
      </c>
      <c r="T236" s="5">
        <v>66</v>
      </c>
      <c r="U236" s="9"/>
    </row>
    <row r="237" spans="1:21" s="37" customFormat="1" ht="12" x14ac:dyDescent="0.3">
      <c r="A237" s="111" t="s">
        <v>1642</v>
      </c>
      <c r="B237" s="112" t="s">
        <v>1565</v>
      </c>
      <c r="C237" s="113">
        <v>270</v>
      </c>
      <c r="D237" s="104">
        <v>79.400000000000006</v>
      </c>
      <c r="E237" s="106">
        <v>24</v>
      </c>
      <c r="F237" s="104">
        <v>59.4</v>
      </c>
      <c r="G237" s="17">
        <v>18</v>
      </c>
      <c r="H237" s="107">
        <v>120</v>
      </c>
      <c r="I237" s="108"/>
      <c r="J237" s="108"/>
      <c r="K237" s="108"/>
      <c r="L237" s="108"/>
      <c r="M237" s="109">
        <f t="shared" si="12"/>
        <v>0</v>
      </c>
      <c r="N237" s="4" t="str">
        <f t="shared" si="13"/>
        <v/>
      </c>
      <c r="O237" s="105">
        <f t="shared" si="14"/>
        <v>0</v>
      </c>
      <c r="P237" s="105">
        <f t="shared" si="15"/>
        <v>0</v>
      </c>
      <c r="Q237" s="110">
        <v>3</v>
      </c>
      <c r="R237" s="110">
        <v>1</v>
      </c>
      <c r="S237" s="110" t="s">
        <v>1241</v>
      </c>
      <c r="T237" s="5">
        <v>79</v>
      </c>
      <c r="U237" s="9"/>
    </row>
    <row r="238" spans="1:21" s="37" customFormat="1" ht="12" x14ac:dyDescent="0.3">
      <c r="A238" s="111" t="s">
        <v>1643</v>
      </c>
      <c r="B238" s="112" t="s">
        <v>1644</v>
      </c>
      <c r="C238" s="113">
        <v>771</v>
      </c>
      <c r="D238" s="104">
        <v>109.6</v>
      </c>
      <c r="E238" s="106">
        <v>33</v>
      </c>
      <c r="F238" s="104">
        <v>85</v>
      </c>
      <c r="G238" s="17">
        <v>26</v>
      </c>
      <c r="H238" s="107">
        <v>442</v>
      </c>
      <c r="I238" s="108"/>
      <c r="J238" s="108"/>
      <c r="K238" s="108"/>
      <c r="L238" s="108"/>
      <c r="M238" s="109">
        <f t="shared" si="12"/>
        <v>0</v>
      </c>
      <c r="N238" s="4" t="str">
        <f t="shared" si="13"/>
        <v/>
      </c>
      <c r="O238" s="105">
        <f t="shared" si="14"/>
        <v>0</v>
      </c>
      <c r="P238" s="105">
        <f t="shared" si="15"/>
        <v>0</v>
      </c>
      <c r="Q238" s="110">
        <v>3</v>
      </c>
      <c r="R238" s="110">
        <v>2</v>
      </c>
      <c r="S238" s="110" t="s">
        <v>1244</v>
      </c>
      <c r="T238" s="5" t="s">
        <v>1075</v>
      </c>
      <c r="U238" s="9"/>
    </row>
    <row r="239" spans="1:21" s="37" customFormat="1" ht="12" x14ac:dyDescent="0.3">
      <c r="A239" s="111" t="s">
        <v>1643</v>
      </c>
      <c r="B239" s="112" t="s">
        <v>1644</v>
      </c>
      <c r="C239" s="113">
        <v>771</v>
      </c>
      <c r="D239" s="104">
        <v>135.4</v>
      </c>
      <c r="E239" s="106">
        <v>41</v>
      </c>
      <c r="F239" s="104">
        <v>107</v>
      </c>
      <c r="G239" s="17">
        <v>32</v>
      </c>
      <c r="H239" s="107">
        <v>125</v>
      </c>
      <c r="I239" s="108"/>
      <c r="J239" s="108"/>
      <c r="K239" s="108"/>
      <c r="L239" s="108"/>
      <c r="M239" s="109">
        <f t="shared" si="12"/>
        <v>0</v>
      </c>
      <c r="N239" s="4" t="str">
        <f t="shared" si="13"/>
        <v/>
      </c>
      <c r="O239" s="105">
        <f t="shared" si="14"/>
        <v>0</v>
      </c>
      <c r="P239" s="105">
        <f t="shared" si="15"/>
        <v>0</v>
      </c>
      <c r="Q239" s="110">
        <v>4</v>
      </c>
      <c r="R239" s="110">
        <v>2</v>
      </c>
      <c r="S239" s="110" t="s">
        <v>1244</v>
      </c>
      <c r="T239" s="5">
        <v>135</v>
      </c>
      <c r="U239" s="9"/>
    </row>
    <row r="240" spans="1:21" s="37" customFormat="1" ht="12" x14ac:dyDescent="0.3">
      <c r="A240" s="111" t="s">
        <v>1643</v>
      </c>
      <c r="B240" s="112" t="s">
        <v>1644</v>
      </c>
      <c r="C240" s="113">
        <v>771</v>
      </c>
      <c r="D240" s="104">
        <v>158</v>
      </c>
      <c r="E240" s="106">
        <v>48</v>
      </c>
      <c r="F240" s="104">
        <v>124.9</v>
      </c>
      <c r="G240" s="17">
        <v>38</v>
      </c>
      <c r="H240" s="107">
        <v>54</v>
      </c>
      <c r="I240" s="108"/>
      <c r="J240" s="108"/>
      <c r="K240" s="108"/>
      <c r="L240" s="108"/>
      <c r="M240" s="109">
        <f t="shared" si="12"/>
        <v>0</v>
      </c>
      <c r="N240" s="4" t="str">
        <f t="shared" si="13"/>
        <v/>
      </c>
      <c r="O240" s="105">
        <f t="shared" si="14"/>
        <v>0</v>
      </c>
      <c r="P240" s="105">
        <f t="shared" si="15"/>
        <v>0</v>
      </c>
      <c r="Q240" s="110">
        <v>4</v>
      </c>
      <c r="R240" s="110">
        <v>2</v>
      </c>
      <c r="S240" s="110" t="s">
        <v>1244</v>
      </c>
      <c r="T240" s="5">
        <v>158</v>
      </c>
      <c r="U240" s="9"/>
    </row>
    <row r="241" spans="1:22" s="37" customFormat="1" ht="12" x14ac:dyDescent="0.3">
      <c r="A241" s="111" t="s">
        <v>1654</v>
      </c>
      <c r="B241" s="112" t="s">
        <v>1655</v>
      </c>
      <c r="C241" s="113">
        <v>973</v>
      </c>
      <c r="D241" s="104">
        <v>79.5</v>
      </c>
      <c r="E241" s="106">
        <v>24</v>
      </c>
      <c r="F241" s="104">
        <v>60</v>
      </c>
      <c r="G241" s="17">
        <v>18</v>
      </c>
      <c r="H241" s="107">
        <v>171</v>
      </c>
      <c r="I241" s="108"/>
      <c r="J241" s="108"/>
      <c r="K241" s="108">
        <v>25000</v>
      </c>
      <c r="L241" s="108" t="s">
        <v>1247</v>
      </c>
      <c r="M241" s="109">
        <f t="shared" si="12"/>
        <v>-25000</v>
      </c>
      <c r="N241" s="4" t="str">
        <f t="shared" si="13"/>
        <v/>
      </c>
      <c r="O241" s="105">
        <f t="shared" si="14"/>
        <v>0</v>
      </c>
      <c r="P241" s="105">
        <f t="shared" si="15"/>
        <v>1041.6666666666667</v>
      </c>
      <c r="Q241" s="110">
        <v>3</v>
      </c>
      <c r="R241" s="110">
        <v>2</v>
      </c>
      <c r="S241" s="110" t="s">
        <v>1244</v>
      </c>
      <c r="T241" s="5" t="s">
        <v>282</v>
      </c>
      <c r="U241" s="9"/>
    </row>
    <row r="242" spans="1:22" s="37" customFormat="1" ht="12" x14ac:dyDescent="0.3">
      <c r="A242" s="111" t="s">
        <v>1654</v>
      </c>
      <c r="B242" s="112" t="s">
        <v>1656</v>
      </c>
      <c r="C242" s="113">
        <v>973</v>
      </c>
      <c r="D242" s="104">
        <v>110.7</v>
      </c>
      <c r="E242" s="106">
        <v>33</v>
      </c>
      <c r="F242" s="104">
        <v>85</v>
      </c>
      <c r="G242" s="17">
        <v>26</v>
      </c>
      <c r="H242" s="107">
        <v>492</v>
      </c>
      <c r="I242" s="108"/>
      <c r="J242" s="108"/>
      <c r="K242" s="108">
        <v>30000</v>
      </c>
      <c r="L242" s="108" t="s">
        <v>1245</v>
      </c>
      <c r="M242" s="109">
        <f t="shared" si="12"/>
        <v>-30000</v>
      </c>
      <c r="N242" s="4" t="str">
        <f t="shared" si="13"/>
        <v/>
      </c>
      <c r="O242" s="105">
        <f t="shared" si="14"/>
        <v>0</v>
      </c>
      <c r="P242" s="105">
        <f t="shared" si="15"/>
        <v>909.09090909090912</v>
      </c>
      <c r="Q242" s="110">
        <v>3</v>
      </c>
      <c r="R242" s="110">
        <v>2</v>
      </c>
      <c r="S242" s="110" t="s">
        <v>1244</v>
      </c>
      <c r="T242" s="5" t="s">
        <v>102</v>
      </c>
      <c r="U242" s="9"/>
    </row>
    <row r="243" spans="1:22" s="37" customFormat="1" ht="12" x14ac:dyDescent="0.3">
      <c r="A243" s="111" t="s">
        <v>1654</v>
      </c>
      <c r="B243" s="112" t="s">
        <v>1656</v>
      </c>
      <c r="C243" s="113">
        <v>973</v>
      </c>
      <c r="D243" s="104">
        <v>134.19999999999999</v>
      </c>
      <c r="E243" s="106">
        <v>41</v>
      </c>
      <c r="F243" s="104">
        <v>104</v>
      </c>
      <c r="G243" s="17">
        <v>31</v>
      </c>
      <c r="H243" s="107">
        <v>112</v>
      </c>
      <c r="I243" s="108"/>
      <c r="J243" s="108"/>
      <c r="K243" s="108">
        <v>41000</v>
      </c>
      <c r="L243" s="108" t="s">
        <v>1310</v>
      </c>
      <c r="M243" s="109">
        <f t="shared" si="12"/>
        <v>-41000</v>
      </c>
      <c r="N243" s="4" t="str">
        <f t="shared" si="13"/>
        <v/>
      </c>
      <c r="O243" s="105">
        <f t="shared" si="14"/>
        <v>0</v>
      </c>
      <c r="P243" s="105">
        <f t="shared" si="15"/>
        <v>1000</v>
      </c>
      <c r="Q243" s="110">
        <v>4</v>
      </c>
      <c r="R243" s="110">
        <v>2</v>
      </c>
      <c r="S243" s="110" t="s">
        <v>1244</v>
      </c>
      <c r="T243" s="5">
        <v>134</v>
      </c>
      <c r="U243" s="9"/>
    </row>
    <row r="244" spans="1:22" s="37" customFormat="1" ht="12" x14ac:dyDescent="0.3">
      <c r="A244" s="111" t="s">
        <v>1654</v>
      </c>
      <c r="B244" s="112" t="s">
        <v>1655</v>
      </c>
      <c r="C244" s="113">
        <v>973</v>
      </c>
      <c r="D244" s="104">
        <v>153.19999999999999</v>
      </c>
      <c r="E244" s="106">
        <v>46</v>
      </c>
      <c r="F244" s="104">
        <v>119</v>
      </c>
      <c r="G244" s="17">
        <v>36</v>
      </c>
      <c r="H244" s="107">
        <v>56</v>
      </c>
      <c r="I244" s="108"/>
      <c r="J244" s="108"/>
      <c r="K244" s="108">
        <v>48000</v>
      </c>
      <c r="L244" s="108" t="s">
        <v>1312</v>
      </c>
      <c r="M244" s="109">
        <f t="shared" si="12"/>
        <v>-48000</v>
      </c>
      <c r="N244" s="4" t="str">
        <f t="shared" si="13"/>
        <v/>
      </c>
      <c r="O244" s="105">
        <f t="shared" si="14"/>
        <v>0</v>
      </c>
      <c r="P244" s="105">
        <f t="shared" si="15"/>
        <v>1043.4782608695652</v>
      </c>
      <c r="Q244" s="110">
        <v>4</v>
      </c>
      <c r="R244" s="110">
        <v>2</v>
      </c>
      <c r="S244" s="110" t="s">
        <v>1244</v>
      </c>
      <c r="T244" s="5">
        <v>153</v>
      </c>
      <c r="U244" s="9"/>
    </row>
    <row r="245" spans="1:22" s="37" customFormat="1" ht="12" x14ac:dyDescent="0.3">
      <c r="A245" s="111" t="s">
        <v>1657</v>
      </c>
      <c r="B245" s="112" t="s">
        <v>1625</v>
      </c>
      <c r="C245" s="113">
        <v>1400</v>
      </c>
      <c r="D245" s="104">
        <v>82</v>
      </c>
      <c r="E245" s="106">
        <v>25</v>
      </c>
      <c r="F245" s="104">
        <v>60</v>
      </c>
      <c r="G245" s="17">
        <v>18</v>
      </c>
      <c r="H245" s="107">
        <v>189</v>
      </c>
      <c r="I245" s="108"/>
      <c r="J245" s="108"/>
      <c r="K245" s="108"/>
      <c r="L245" s="108"/>
      <c r="M245" s="109">
        <f t="shared" si="12"/>
        <v>0</v>
      </c>
      <c r="N245" s="4" t="str">
        <f t="shared" si="13"/>
        <v/>
      </c>
      <c r="O245" s="105">
        <f t="shared" si="14"/>
        <v>0</v>
      </c>
      <c r="P245" s="105">
        <f t="shared" si="15"/>
        <v>0</v>
      </c>
      <c r="Q245" s="110">
        <v>3</v>
      </c>
      <c r="R245" s="110">
        <v>2</v>
      </c>
      <c r="S245" s="110" t="s">
        <v>1244</v>
      </c>
      <c r="T245" s="5" t="s">
        <v>162</v>
      </c>
      <c r="U245" s="9"/>
    </row>
    <row r="246" spans="1:22" s="37" customFormat="1" ht="16.5" customHeight="1" x14ac:dyDescent="0.3">
      <c r="A246" s="73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</row>
    <row r="247" spans="1:22" s="37" customFormat="1" ht="16.5" customHeight="1" x14ac:dyDescent="0.3">
      <c r="A247" s="73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</row>
    <row r="248" spans="1:22" s="37" customFormat="1" ht="16.5" customHeight="1" x14ac:dyDescent="0.3">
      <c r="A248" s="73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</row>
    <row r="249" spans="1:22" s="37" customFormat="1" ht="16.5" customHeight="1" x14ac:dyDescent="0.3">
      <c r="A249" s="73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</row>
    <row r="250" spans="1:22" s="37" customFormat="1" ht="16.5" customHeight="1" x14ac:dyDescent="0.3">
      <c r="A250" s="73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</row>
    <row r="251" spans="1:22" s="37" customFormat="1" ht="16.5" customHeight="1" x14ac:dyDescent="0.3">
      <c r="A251" s="73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</row>
    <row r="252" spans="1:22" s="37" customFormat="1" ht="16.5" customHeight="1" x14ac:dyDescent="0.3">
      <c r="A252" s="73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</row>
    <row r="253" spans="1:22" s="37" customFormat="1" ht="16.5" customHeight="1" x14ac:dyDescent="0.3">
      <c r="A253" s="73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</row>
    <row r="254" spans="1:22" s="37" customFormat="1" ht="16.5" customHeight="1" x14ac:dyDescent="0.3">
      <c r="A254" s="73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</row>
    <row r="255" spans="1:22" s="37" customFormat="1" ht="16.5" customHeight="1" x14ac:dyDescent="0.3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</row>
    <row r="256" spans="1:22" s="37" customFormat="1" ht="16.5" customHeight="1" x14ac:dyDescent="0.3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</row>
    <row r="257" spans="1:22" s="37" customFormat="1" ht="16.5" customHeight="1" x14ac:dyDescent="0.3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</row>
    <row r="258" spans="1:22" s="37" customFormat="1" ht="16.5" customHeight="1" x14ac:dyDescent="0.3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</row>
    <row r="259" spans="1:22" s="37" customFormat="1" ht="16.5" customHeight="1" x14ac:dyDescent="0.3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</row>
    <row r="260" spans="1:22" s="37" customFormat="1" ht="16.5" customHeight="1" x14ac:dyDescent="0.3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</row>
    <row r="261" spans="1:22" s="37" customFormat="1" ht="16.5" customHeight="1" x14ac:dyDescent="0.3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</row>
    <row r="262" spans="1:22" s="37" customFormat="1" ht="16.5" customHeight="1" x14ac:dyDescent="0.3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</row>
    <row r="263" spans="1:22" s="37" customFormat="1" ht="16.5" customHeight="1" x14ac:dyDescent="0.3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</row>
    <row r="264" spans="1:22" s="37" customFormat="1" ht="16.5" customHeight="1" x14ac:dyDescent="0.3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</row>
    <row r="265" spans="1:22" s="37" customFormat="1" ht="16.5" customHeight="1" x14ac:dyDescent="0.3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</row>
    <row r="266" spans="1:22" s="37" customFormat="1" ht="16.5" customHeight="1" x14ac:dyDescent="0.3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</row>
    <row r="267" spans="1:22" s="37" customFormat="1" ht="16.5" customHeight="1" x14ac:dyDescent="0.3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</row>
    <row r="268" spans="1:22" s="37" customFormat="1" ht="16.5" customHeight="1" x14ac:dyDescent="0.3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</row>
    <row r="269" spans="1:22" s="37" customFormat="1" ht="16.5" customHeight="1" x14ac:dyDescent="0.3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</row>
    <row r="270" spans="1:22" s="37" customFormat="1" ht="16.5" customHeight="1" x14ac:dyDescent="0.3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</row>
    <row r="271" spans="1:22" s="37" customFormat="1" ht="16.5" customHeight="1" x14ac:dyDescent="0.3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</row>
    <row r="272" spans="1:22" s="37" customFormat="1" ht="16.5" customHeight="1" x14ac:dyDescent="0.3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</row>
    <row r="273" spans="1:22" s="37" customFormat="1" ht="16.5" customHeight="1" x14ac:dyDescent="0.3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</row>
    <row r="274" spans="1:22" s="37" customFormat="1" ht="16.5" customHeight="1" x14ac:dyDescent="0.3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</row>
    <row r="275" spans="1:22" s="37" customFormat="1" ht="16.5" customHeight="1" x14ac:dyDescent="0.3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</row>
    <row r="276" spans="1:22" s="37" customFormat="1" ht="16.5" customHeight="1" x14ac:dyDescent="0.3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</row>
    <row r="277" spans="1:22" s="37" customFormat="1" ht="16.5" customHeight="1" x14ac:dyDescent="0.3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</row>
    <row r="278" spans="1:22" s="37" customFormat="1" ht="16.5" customHeight="1" x14ac:dyDescent="0.3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</row>
    <row r="279" spans="1:22" s="37" customFormat="1" ht="16.5" customHeight="1" x14ac:dyDescent="0.3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</row>
    <row r="280" spans="1:22" s="37" customFormat="1" ht="16.5" customHeight="1" x14ac:dyDescent="0.3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</row>
    <row r="281" spans="1:22" s="37" customFormat="1" ht="16.5" customHeight="1" x14ac:dyDescent="0.3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</row>
    <row r="282" spans="1:22" s="37" customFormat="1" ht="16.5" customHeight="1" x14ac:dyDescent="0.3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</row>
    <row r="283" spans="1:22" s="37" customFormat="1" ht="16.5" customHeight="1" x14ac:dyDescent="0.3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</row>
    <row r="284" spans="1:22" s="37" customFormat="1" ht="16.5" customHeight="1" x14ac:dyDescent="0.3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</row>
    <row r="285" spans="1:22" s="37" customFormat="1" ht="16.5" customHeight="1" x14ac:dyDescent="0.3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</row>
    <row r="286" spans="1:22" s="37" customFormat="1" ht="16.5" customHeight="1" x14ac:dyDescent="0.3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</row>
    <row r="287" spans="1:22" s="37" customFormat="1" ht="16.5" customHeight="1" x14ac:dyDescent="0.3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</row>
    <row r="288" spans="1:22" s="37" customFormat="1" ht="16.5" customHeight="1" x14ac:dyDescent="0.3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</row>
    <row r="289" spans="1:22" s="37" customFormat="1" ht="16.5" customHeight="1" x14ac:dyDescent="0.3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</row>
    <row r="290" spans="1:22" s="37" customFormat="1" ht="16.5" customHeight="1" x14ac:dyDescent="0.3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</row>
    <row r="291" spans="1:22" s="37" customFormat="1" ht="16.5" customHeight="1" x14ac:dyDescent="0.3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</row>
    <row r="292" spans="1:22" s="37" customFormat="1" ht="16.5" customHeight="1" x14ac:dyDescent="0.3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</row>
    <row r="293" spans="1:22" s="37" customFormat="1" ht="16.5" customHeight="1" x14ac:dyDescent="0.3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</row>
    <row r="294" spans="1:22" s="37" customFormat="1" ht="16.5" customHeight="1" x14ac:dyDescent="0.3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</row>
    <row r="295" spans="1:22" s="37" customFormat="1" ht="16.5" customHeight="1" x14ac:dyDescent="0.3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</row>
    <row r="296" spans="1:22" s="37" customFormat="1" ht="16.5" customHeight="1" x14ac:dyDescent="0.3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</row>
    <row r="297" spans="1:22" s="37" customFormat="1" ht="16.5" customHeight="1" x14ac:dyDescent="0.3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</row>
    <row r="298" spans="1:22" s="37" customFormat="1" ht="16.5" customHeight="1" x14ac:dyDescent="0.3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</row>
    <row r="299" spans="1:22" s="37" customFormat="1" ht="16.5" customHeight="1" x14ac:dyDescent="0.3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</row>
    <row r="300" spans="1:22" s="37" customFormat="1" ht="16.5" customHeight="1" x14ac:dyDescent="0.3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</row>
    <row r="301" spans="1:22" s="37" customFormat="1" ht="16.5" customHeight="1" x14ac:dyDescent="0.3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</row>
    <row r="302" spans="1:22" s="37" customFormat="1" ht="16.5" customHeight="1" x14ac:dyDescent="0.3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</row>
    <row r="303" spans="1:22" s="37" customFormat="1" ht="16.5" customHeight="1" x14ac:dyDescent="0.3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</row>
    <row r="304" spans="1:22" s="37" customFormat="1" ht="16.5" customHeight="1" x14ac:dyDescent="0.3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</row>
    <row r="305" spans="1:22" s="37" customFormat="1" ht="16.5" customHeight="1" x14ac:dyDescent="0.3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</row>
    <row r="306" spans="1:22" s="37" customFormat="1" ht="16.5" customHeight="1" x14ac:dyDescent="0.3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</row>
    <row r="307" spans="1:22" s="37" customFormat="1" ht="16.5" customHeight="1" x14ac:dyDescent="0.3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</row>
    <row r="308" spans="1:22" s="37" customFormat="1" ht="16.5" customHeight="1" x14ac:dyDescent="0.3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</row>
    <row r="309" spans="1:22" s="37" customFormat="1" ht="16.5" customHeight="1" x14ac:dyDescent="0.3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</row>
    <row r="310" spans="1:22" s="37" customFormat="1" ht="16.5" customHeight="1" x14ac:dyDescent="0.3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</row>
    <row r="311" spans="1:22" s="37" customFormat="1" ht="16.5" customHeight="1" x14ac:dyDescent="0.3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</row>
    <row r="312" spans="1:22" s="37" customFormat="1" ht="16.5" customHeight="1" x14ac:dyDescent="0.3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</row>
    <row r="313" spans="1:22" s="37" customFormat="1" ht="16.5" customHeight="1" x14ac:dyDescent="0.3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</row>
    <row r="314" spans="1:22" s="37" customFormat="1" ht="16.5" customHeight="1" x14ac:dyDescent="0.3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</row>
    <row r="315" spans="1:22" s="37" customFormat="1" ht="16.5" customHeight="1" x14ac:dyDescent="0.3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</row>
    <row r="316" spans="1:22" s="37" customFormat="1" ht="16.5" customHeight="1" x14ac:dyDescent="0.3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</row>
    <row r="317" spans="1:22" s="37" customFormat="1" ht="16.5" customHeight="1" x14ac:dyDescent="0.3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</row>
    <row r="318" spans="1:22" s="37" customFormat="1" ht="16.5" customHeight="1" x14ac:dyDescent="0.3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</row>
    <row r="319" spans="1:22" s="37" customFormat="1" ht="16.5" customHeight="1" x14ac:dyDescent="0.3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</row>
    <row r="320" spans="1:22" s="37" customFormat="1" ht="16.5" customHeight="1" x14ac:dyDescent="0.3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</row>
    <row r="321" spans="1:22" s="37" customFormat="1" ht="16.5" customHeight="1" x14ac:dyDescent="0.3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</row>
    <row r="322" spans="1:22" s="37" customFormat="1" ht="16.5" customHeight="1" x14ac:dyDescent="0.3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</row>
    <row r="323" spans="1:22" s="37" customFormat="1" ht="16.5" customHeight="1" x14ac:dyDescent="0.3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</row>
    <row r="324" spans="1:22" s="37" customFormat="1" ht="16.5" customHeight="1" x14ac:dyDescent="0.3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</row>
    <row r="325" spans="1:22" s="37" customFormat="1" ht="16.5" customHeight="1" x14ac:dyDescent="0.3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</row>
    <row r="326" spans="1:22" s="37" customFormat="1" ht="16.5" customHeight="1" x14ac:dyDescent="0.3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</row>
    <row r="327" spans="1:22" s="37" customFormat="1" ht="16.5" customHeight="1" x14ac:dyDescent="0.3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</row>
    <row r="328" spans="1:22" s="37" customFormat="1" ht="16.5" customHeight="1" x14ac:dyDescent="0.3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</row>
    <row r="329" spans="1:22" s="37" customFormat="1" ht="16.5" customHeight="1" x14ac:dyDescent="0.3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</row>
    <row r="330" spans="1:22" s="37" customFormat="1" ht="16.5" customHeight="1" x14ac:dyDescent="0.3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</row>
    <row r="331" spans="1:22" s="37" customFormat="1" ht="16.5" customHeight="1" x14ac:dyDescent="0.3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</row>
    <row r="332" spans="1:22" s="37" customFormat="1" ht="16.5" customHeight="1" x14ac:dyDescent="0.3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</row>
    <row r="333" spans="1:22" s="37" customFormat="1" ht="16.5" customHeight="1" x14ac:dyDescent="0.3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</row>
    <row r="334" spans="1:22" s="37" customFormat="1" ht="16.5" customHeight="1" x14ac:dyDescent="0.3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</row>
    <row r="335" spans="1:22" s="37" customFormat="1" ht="16.5" customHeight="1" x14ac:dyDescent="0.3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</row>
    <row r="336" spans="1:22" s="37" customFormat="1" ht="16.5" customHeight="1" x14ac:dyDescent="0.3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</row>
    <row r="337" spans="1:22" s="37" customFormat="1" ht="16.5" customHeight="1" x14ac:dyDescent="0.3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</row>
    <row r="338" spans="1:22" s="37" customFormat="1" ht="16.5" customHeight="1" x14ac:dyDescent="0.3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</row>
    <row r="339" spans="1:22" s="37" customFormat="1" ht="16.5" customHeight="1" x14ac:dyDescent="0.3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</row>
    <row r="340" spans="1:22" s="37" customFormat="1" ht="16.5" customHeight="1" x14ac:dyDescent="0.3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</row>
    <row r="341" spans="1:22" s="37" customFormat="1" ht="16.5" customHeight="1" x14ac:dyDescent="0.3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</row>
    <row r="342" spans="1:22" s="37" customFormat="1" ht="16.5" customHeight="1" x14ac:dyDescent="0.3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</row>
    <row r="343" spans="1:22" s="37" customFormat="1" ht="16.5" customHeight="1" x14ac:dyDescent="0.3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</row>
    <row r="344" spans="1:22" s="37" customFormat="1" ht="16.5" customHeight="1" x14ac:dyDescent="0.3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</row>
    <row r="345" spans="1:22" s="37" customFormat="1" ht="16.5" customHeight="1" x14ac:dyDescent="0.3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</row>
    <row r="346" spans="1:22" s="37" customFormat="1" ht="16.5" customHeight="1" x14ac:dyDescent="0.3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</row>
    <row r="347" spans="1:22" s="37" customFormat="1" ht="16.5" customHeight="1" x14ac:dyDescent="0.3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</row>
    <row r="348" spans="1:22" s="37" customFormat="1" ht="16.5" customHeight="1" x14ac:dyDescent="0.3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</row>
    <row r="349" spans="1:22" s="37" customFormat="1" ht="16.5" customHeight="1" x14ac:dyDescent="0.3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</row>
    <row r="350" spans="1:22" s="37" customFormat="1" ht="16.5" customHeight="1" x14ac:dyDescent="0.3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</row>
    <row r="351" spans="1:22" s="37" customFormat="1" ht="16.5" customHeight="1" x14ac:dyDescent="0.3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</row>
    <row r="352" spans="1:22" s="37" customFormat="1" ht="16.5" customHeight="1" x14ac:dyDescent="0.3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</row>
    <row r="353" spans="1:22" s="37" customFormat="1" ht="16.5" customHeight="1" x14ac:dyDescent="0.3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</row>
    <row r="354" spans="1:22" s="37" customFormat="1" ht="16.5" customHeight="1" x14ac:dyDescent="0.3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</row>
    <row r="355" spans="1:22" s="37" customFormat="1" ht="16.5" customHeight="1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</row>
    <row r="356" spans="1:22" s="37" customFormat="1" ht="16.5" customHeight="1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</row>
    <row r="357" spans="1:22" s="37" customFormat="1" ht="16.5" customHeight="1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</row>
    <row r="358" spans="1:22" s="37" customFormat="1" ht="16.5" customHeight="1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</row>
    <row r="359" spans="1:22" s="37" customFormat="1" ht="16.5" customHeight="1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</row>
    <row r="360" spans="1:22" s="37" customFormat="1" ht="16.5" customHeight="1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</row>
    <row r="361" spans="1:22" s="37" customFormat="1" ht="16.5" customHeight="1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</row>
    <row r="362" spans="1:22" s="37" customFormat="1" ht="16.5" customHeight="1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</row>
    <row r="363" spans="1:22" s="37" customFormat="1" ht="16.5" customHeight="1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</row>
    <row r="364" spans="1:22" s="37" customFormat="1" ht="16.5" customHeight="1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</row>
    <row r="365" spans="1:22" s="37" customFormat="1" ht="16.5" customHeight="1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</row>
    <row r="366" spans="1:22" s="37" customFormat="1" ht="16.5" customHeight="1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</row>
    <row r="367" spans="1:22" s="37" customFormat="1" ht="16.5" customHeight="1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</row>
    <row r="368" spans="1:22" s="37" customFormat="1" ht="16.5" customHeight="1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</row>
    <row r="369" spans="1:22" s="37" customFormat="1" ht="16.5" customHeight="1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</row>
    <row r="370" spans="1:22" s="37" customFormat="1" ht="16.5" customHeight="1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</row>
    <row r="371" spans="1:22" s="37" customFormat="1" ht="16.5" customHeight="1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</row>
    <row r="372" spans="1:22" s="37" customFormat="1" ht="16.5" customHeight="1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</row>
    <row r="373" spans="1:22" s="37" customFormat="1" ht="16.5" customHeight="1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</row>
    <row r="374" spans="1:22" s="37" customFormat="1" ht="16.5" customHeight="1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</row>
    <row r="375" spans="1:22" s="37" customFormat="1" ht="16.5" customHeight="1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</row>
    <row r="376" spans="1:22" s="37" customFormat="1" ht="16.5" customHeight="1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</row>
    <row r="377" spans="1:22" s="37" customFormat="1" ht="16.5" customHeight="1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</row>
    <row r="378" spans="1:22" s="37" customFormat="1" ht="16.5" customHeight="1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</row>
    <row r="379" spans="1:22" s="37" customFormat="1" ht="16.5" customHeight="1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</row>
    <row r="380" spans="1:22" s="37" customFormat="1" ht="16.5" customHeight="1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</row>
    <row r="381" spans="1:22" s="37" customFormat="1" ht="16.5" customHeight="1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</row>
    <row r="382" spans="1:22" s="37" customFormat="1" ht="16.5" customHeight="1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</row>
    <row r="383" spans="1:22" s="37" customFormat="1" ht="16.5" customHeight="1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</row>
    <row r="384" spans="1:22" s="37" customFormat="1" ht="16.5" customHeight="1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</row>
    <row r="385" spans="1:22" s="37" customFormat="1" ht="16.5" customHeight="1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</row>
    <row r="386" spans="1:22" s="37" customFormat="1" ht="16.5" customHeight="1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</row>
    <row r="387" spans="1:22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</row>
    <row r="388" spans="1:22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</row>
    <row r="389" spans="1:22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</row>
    <row r="390" spans="1:22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</row>
    <row r="391" spans="1:22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</row>
    <row r="392" spans="1:22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</row>
    <row r="393" spans="1:22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</row>
    <row r="394" spans="1:22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</row>
    <row r="395" spans="1:22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</row>
    <row r="396" spans="1:22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</row>
    <row r="397" spans="1:22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</row>
    <row r="398" spans="1:22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</row>
    <row r="399" spans="1:22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</row>
    <row r="400" spans="1:22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</row>
    <row r="401" spans="1:22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</row>
    <row r="402" spans="1:22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</row>
    <row r="403" spans="1:22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</row>
    <row r="404" spans="1:22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</row>
    <row r="405" spans="1:22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</row>
    <row r="406" spans="1:22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</row>
    <row r="407" spans="1:22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</row>
    <row r="408" spans="1:22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</row>
    <row r="409" spans="1:22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</row>
    <row r="410" spans="1:22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</row>
    <row r="411" spans="1:22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</row>
    <row r="412" spans="1:22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</row>
    <row r="413" spans="1:22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</row>
    <row r="414" spans="1:22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</row>
    <row r="415" spans="1:22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</row>
    <row r="416" spans="1:22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</row>
    <row r="417" spans="1:22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</row>
    <row r="418" spans="1:22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</row>
    <row r="419" spans="1:22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</row>
    <row r="420" spans="1:22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</row>
    <row r="421" spans="1:22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</row>
    <row r="422" spans="1:22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</row>
    <row r="423" spans="1:22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</row>
    <row r="424" spans="1:22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</row>
    <row r="425" spans="1:22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</row>
    <row r="426" spans="1:22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</row>
    <row r="427" spans="1:22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</row>
    <row r="428" spans="1:22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</row>
    <row r="429" spans="1:22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</row>
    <row r="430" spans="1:22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</row>
    <row r="431" spans="1:22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</row>
    <row r="432" spans="1:22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</row>
    <row r="433" spans="1:22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</row>
    <row r="434" spans="1:22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</row>
    <row r="435" spans="1:22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</row>
    <row r="436" spans="1:22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</row>
    <row r="437" spans="1:22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</row>
    <row r="438" spans="1:22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</row>
    <row r="439" spans="1:22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</row>
    <row r="440" spans="1:22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</row>
    <row r="441" spans="1:22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</row>
    <row r="442" spans="1:22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</row>
    <row r="443" spans="1:22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</row>
    <row r="444" spans="1:22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</row>
    <row r="445" spans="1:22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</row>
    <row r="446" spans="1:22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</row>
    <row r="447" spans="1:22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</row>
    <row r="448" spans="1:22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</row>
    <row r="449" spans="1:22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</row>
    <row r="450" spans="1:22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</row>
  </sheetData>
  <autoFilter ref="A3:U245">
    <sortState ref="A4:U245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23683" priority="39050" operator="greaterThan">
      <formula>0.9</formula>
    </cfRule>
    <cfRule type="cellIs" dxfId="23682" priority="39051" operator="greaterThan">
      <formula>0.85</formula>
    </cfRule>
  </conditionalFormatting>
  <conditionalFormatting sqref="N4">
    <cfRule type="cellIs" dxfId="23681" priority="4711" operator="greaterThan">
      <formula>0.9</formula>
    </cfRule>
    <cfRule type="cellIs" dxfId="23680" priority="4712" operator="greaterThan">
      <formula>0.85</formula>
    </cfRule>
  </conditionalFormatting>
  <conditionalFormatting sqref="N5">
    <cfRule type="cellIs" dxfId="23679" priority="4693" operator="greaterThan">
      <formula>0.9</formula>
    </cfRule>
    <cfRule type="cellIs" dxfId="23678" priority="4694" operator="greaterThan">
      <formula>0.85</formula>
    </cfRule>
  </conditionalFormatting>
  <conditionalFormatting sqref="N6">
    <cfRule type="cellIs" dxfId="23677" priority="4675" operator="greaterThan">
      <formula>0.9</formula>
    </cfRule>
    <cfRule type="cellIs" dxfId="23676" priority="4676" operator="greaterThan">
      <formula>0.85</formula>
    </cfRule>
  </conditionalFormatting>
  <conditionalFormatting sqref="N245">
    <cfRule type="cellIs" dxfId="23675" priority="13" operator="greaterThan">
      <formula>0.9</formula>
    </cfRule>
    <cfRule type="cellIs" dxfId="23674" priority="14" operator="greaterThan">
      <formula>0.85</formula>
    </cfRule>
  </conditionalFormatting>
  <conditionalFormatting sqref="N7">
    <cfRule type="cellIs" dxfId="23673" priority="4639" operator="greaterThan">
      <formula>0.9</formula>
    </cfRule>
    <cfRule type="cellIs" dxfId="23672" priority="4640" operator="greaterThan">
      <formula>0.85</formula>
    </cfRule>
  </conditionalFormatting>
  <conditionalFormatting sqref="N8">
    <cfRule type="cellIs" dxfId="23671" priority="4621" operator="greaterThan">
      <formula>0.9</formula>
    </cfRule>
    <cfRule type="cellIs" dxfId="23670" priority="4622" operator="greaterThan">
      <formula>0.85</formula>
    </cfRule>
  </conditionalFormatting>
  <conditionalFormatting sqref="N9">
    <cfRule type="cellIs" dxfId="23669" priority="4603" operator="greaterThan">
      <formula>0.9</formula>
    </cfRule>
    <cfRule type="cellIs" dxfId="23668" priority="4604" operator="greaterThan">
      <formula>0.85</formula>
    </cfRule>
  </conditionalFormatting>
  <conditionalFormatting sqref="N10">
    <cfRule type="cellIs" dxfId="23667" priority="4585" operator="greaterThan">
      <formula>0.9</formula>
    </cfRule>
    <cfRule type="cellIs" dxfId="23666" priority="4586" operator="greaterThan">
      <formula>0.85</formula>
    </cfRule>
  </conditionalFormatting>
  <conditionalFormatting sqref="N11">
    <cfRule type="cellIs" dxfId="23665" priority="4567" operator="greaterThan">
      <formula>0.9</formula>
    </cfRule>
    <cfRule type="cellIs" dxfId="23664" priority="4568" operator="greaterThan">
      <formula>0.85</formula>
    </cfRule>
  </conditionalFormatting>
  <conditionalFormatting sqref="N12">
    <cfRule type="cellIs" dxfId="23663" priority="4549" operator="greaterThan">
      <formula>0.9</formula>
    </cfRule>
    <cfRule type="cellIs" dxfId="23662" priority="4550" operator="greaterThan">
      <formula>0.85</formula>
    </cfRule>
  </conditionalFormatting>
  <conditionalFormatting sqref="N13">
    <cfRule type="cellIs" dxfId="23661" priority="4531" operator="greaterThan">
      <formula>0.9</formula>
    </cfRule>
    <cfRule type="cellIs" dxfId="23660" priority="4532" operator="greaterThan">
      <formula>0.85</formula>
    </cfRule>
  </conditionalFormatting>
  <conditionalFormatting sqref="N14">
    <cfRule type="cellIs" dxfId="23659" priority="4513" operator="greaterThan">
      <formula>0.9</formula>
    </cfRule>
    <cfRule type="cellIs" dxfId="23658" priority="4514" operator="greaterThan">
      <formula>0.85</formula>
    </cfRule>
  </conditionalFormatting>
  <conditionalFormatting sqref="N15">
    <cfRule type="cellIs" dxfId="23657" priority="4477" operator="greaterThan">
      <formula>0.9</formula>
    </cfRule>
    <cfRule type="cellIs" dxfId="23656" priority="4478" operator="greaterThan">
      <formula>0.85</formula>
    </cfRule>
  </conditionalFormatting>
  <conditionalFormatting sqref="N16">
    <cfRule type="cellIs" dxfId="23655" priority="4459" operator="greaterThan">
      <formula>0.9</formula>
    </cfRule>
    <cfRule type="cellIs" dxfId="23654" priority="4460" operator="greaterThan">
      <formula>0.85</formula>
    </cfRule>
  </conditionalFormatting>
  <conditionalFormatting sqref="N17">
    <cfRule type="cellIs" dxfId="23653" priority="4441" operator="greaterThan">
      <formula>0.9</formula>
    </cfRule>
    <cfRule type="cellIs" dxfId="23652" priority="4442" operator="greaterThan">
      <formula>0.85</formula>
    </cfRule>
  </conditionalFormatting>
  <conditionalFormatting sqref="N18">
    <cfRule type="cellIs" dxfId="23651" priority="4423" operator="greaterThan">
      <formula>0.9</formula>
    </cfRule>
    <cfRule type="cellIs" dxfId="23650" priority="4424" operator="greaterThan">
      <formula>0.85</formula>
    </cfRule>
  </conditionalFormatting>
  <conditionalFormatting sqref="N19">
    <cfRule type="cellIs" dxfId="23649" priority="4405" operator="greaterThan">
      <formula>0.9</formula>
    </cfRule>
    <cfRule type="cellIs" dxfId="23648" priority="4406" operator="greaterThan">
      <formula>0.85</formula>
    </cfRule>
  </conditionalFormatting>
  <conditionalFormatting sqref="N20">
    <cfRule type="cellIs" dxfId="23647" priority="4387" operator="greaterThan">
      <formula>0.9</formula>
    </cfRule>
    <cfRule type="cellIs" dxfId="23646" priority="4388" operator="greaterThan">
      <formula>0.85</formula>
    </cfRule>
  </conditionalFormatting>
  <conditionalFormatting sqref="N21">
    <cfRule type="cellIs" dxfId="23645" priority="4369" operator="greaterThan">
      <formula>0.9</formula>
    </cfRule>
    <cfRule type="cellIs" dxfId="23644" priority="4370" operator="greaterThan">
      <formula>0.85</formula>
    </cfRule>
  </conditionalFormatting>
  <conditionalFormatting sqref="N22">
    <cfRule type="cellIs" dxfId="23643" priority="4351" operator="greaterThan">
      <formula>0.9</formula>
    </cfRule>
    <cfRule type="cellIs" dxfId="23642" priority="4352" operator="greaterThan">
      <formula>0.85</formula>
    </cfRule>
  </conditionalFormatting>
  <conditionalFormatting sqref="N23">
    <cfRule type="cellIs" dxfId="23641" priority="4333" operator="greaterThan">
      <formula>0.9</formula>
    </cfRule>
    <cfRule type="cellIs" dxfId="23640" priority="4334" operator="greaterThan">
      <formula>0.85</formula>
    </cfRule>
  </conditionalFormatting>
  <conditionalFormatting sqref="N24">
    <cfRule type="cellIs" dxfId="23639" priority="4315" operator="greaterThan">
      <formula>0.9</formula>
    </cfRule>
    <cfRule type="cellIs" dxfId="23638" priority="4316" operator="greaterThan">
      <formula>0.85</formula>
    </cfRule>
  </conditionalFormatting>
  <conditionalFormatting sqref="N25">
    <cfRule type="cellIs" dxfId="23637" priority="4297" operator="greaterThan">
      <formula>0.9</formula>
    </cfRule>
    <cfRule type="cellIs" dxfId="23636" priority="4298" operator="greaterThan">
      <formula>0.85</formula>
    </cfRule>
  </conditionalFormatting>
  <conditionalFormatting sqref="N26">
    <cfRule type="cellIs" dxfId="23635" priority="4279" operator="greaterThan">
      <formula>0.9</formula>
    </cfRule>
    <cfRule type="cellIs" dxfId="23634" priority="4280" operator="greaterThan">
      <formula>0.85</formula>
    </cfRule>
  </conditionalFormatting>
  <conditionalFormatting sqref="N27">
    <cfRule type="cellIs" dxfId="23633" priority="4261" operator="greaterThan">
      <formula>0.9</formula>
    </cfRule>
    <cfRule type="cellIs" dxfId="23632" priority="4262" operator="greaterThan">
      <formula>0.85</formula>
    </cfRule>
  </conditionalFormatting>
  <conditionalFormatting sqref="N28">
    <cfRule type="cellIs" dxfId="23631" priority="4243" operator="greaterThan">
      <formula>0.9</formula>
    </cfRule>
    <cfRule type="cellIs" dxfId="23630" priority="4244" operator="greaterThan">
      <formula>0.85</formula>
    </cfRule>
  </conditionalFormatting>
  <conditionalFormatting sqref="N29">
    <cfRule type="cellIs" dxfId="23629" priority="4225" operator="greaterThan">
      <formula>0.9</formula>
    </cfRule>
    <cfRule type="cellIs" dxfId="23628" priority="4226" operator="greaterThan">
      <formula>0.85</formula>
    </cfRule>
  </conditionalFormatting>
  <conditionalFormatting sqref="N30">
    <cfRule type="cellIs" dxfId="23627" priority="4207" operator="greaterThan">
      <formula>0.9</formula>
    </cfRule>
    <cfRule type="cellIs" dxfId="23626" priority="4208" operator="greaterThan">
      <formula>0.85</formula>
    </cfRule>
  </conditionalFormatting>
  <conditionalFormatting sqref="N31">
    <cfRule type="cellIs" dxfId="23625" priority="4189" operator="greaterThan">
      <formula>0.9</formula>
    </cfRule>
    <cfRule type="cellIs" dxfId="23624" priority="4190" operator="greaterThan">
      <formula>0.85</formula>
    </cfRule>
  </conditionalFormatting>
  <conditionalFormatting sqref="N32">
    <cfRule type="cellIs" dxfId="23623" priority="4171" operator="greaterThan">
      <formula>0.9</formula>
    </cfRule>
    <cfRule type="cellIs" dxfId="23622" priority="4172" operator="greaterThan">
      <formula>0.85</formula>
    </cfRule>
  </conditionalFormatting>
  <conditionalFormatting sqref="N33">
    <cfRule type="cellIs" dxfId="23621" priority="4153" operator="greaterThan">
      <formula>0.9</formula>
    </cfRule>
    <cfRule type="cellIs" dxfId="23620" priority="4154" operator="greaterThan">
      <formula>0.85</formula>
    </cfRule>
  </conditionalFormatting>
  <conditionalFormatting sqref="N34">
    <cfRule type="cellIs" dxfId="23619" priority="4135" operator="greaterThan">
      <formula>0.9</formula>
    </cfRule>
    <cfRule type="cellIs" dxfId="23618" priority="4136" operator="greaterThan">
      <formula>0.85</formula>
    </cfRule>
  </conditionalFormatting>
  <conditionalFormatting sqref="N35">
    <cfRule type="cellIs" dxfId="23617" priority="4117" operator="greaterThan">
      <formula>0.9</formula>
    </cfRule>
    <cfRule type="cellIs" dxfId="23616" priority="4118" operator="greaterThan">
      <formula>0.85</formula>
    </cfRule>
  </conditionalFormatting>
  <conditionalFormatting sqref="N36">
    <cfRule type="cellIs" dxfId="23615" priority="4099" operator="greaterThan">
      <formula>0.9</formula>
    </cfRule>
    <cfRule type="cellIs" dxfId="23614" priority="4100" operator="greaterThan">
      <formula>0.85</formula>
    </cfRule>
  </conditionalFormatting>
  <conditionalFormatting sqref="N37">
    <cfRule type="cellIs" dxfId="23613" priority="4081" operator="greaterThan">
      <formula>0.9</formula>
    </cfRule>
    <cfRule type="cellIs" dxfId="23612" priority="4082" operator="greaterThan">
      <formula>0.85</formula>
    </cfRule>
  </conditionalFormatting>
  <conditionalFormatting sqref="N38">
    <cfRule type="cellIs" dxfId="23611" priority="4063" operator="greaterThan">
      <formula>0.9</formula>
    </cfRule>
    <cfRule type="cellIs" dxfId="23610" priority="4064" operator="greaterThan">
      <formula>0.85</formula>
    </cfRule>
  </conditionalFormatting>
  <conditionalFormatting sqref="N39">
    <cfRule type="cellIs" dxfId="23609" priority="4045" operator="greaterThan">
      <formula>0.9</formula>
    </cfRule>
    <cfRule type="cellIs" dxfId="23608" priority="4046" operator="greaterThan">
      <formula>0.85</formula>
    </cfRule>
  </conditionalFormatting>
  <conditionalFormatting sqref="N40">
    <cfRule type="cellIs" dxfId="23607" priority="4027" operator="greaterThan">
      <formula>0.9</formula>
    </cfRule>
    <cfRule type="cellIs" dxfId="23606" priority="4028" operator="greaterThan">
      <formula>0.85</formula>
    </cfRule>
  </conditionalFormatting>
  <conditionalFormatting sqref="N41">
    <cfRule type="cellIs" dxfId="23605" priority="4009" operator="greaterThan">
      <formula>0.9</formula>
    </cfRule>
    <cfRule type="cellIs" dxfId="23604" priority="4010" operator="greaterThan">
      <formula>0.85</formula>
    </cfRule>
  </conditionalFormatting>
  <conditionalFormatting sqref="N42">
    <cfRule type="cellIs" dxfId="23603" priority="3991" operator="greaterThan">
      <formula>0.9</formula>
    </cfRule>
    <cfRule type="cellIs" dxfId="23602" priority="3992" operator="greaterThan">
      <formula>0.85</formula>
    </cfRule>
  </conditionalFormatting>
  <conditionalFormatting sqref="N43">
    <cfRule type="cellIs" dxfId="23601" priority="3973" operator="greaterThan">
      <formula>0.9</formula>
    </cfRule>
    <cfRule type="cellIs" dxfId="23600" priority="3974" operator="greaterThan">
      <formula>0.85</formula>
    </cfRule>
  </conditionalFormatting>
  <conditionalFormatting sqref="N44">
    <cfRule type="cellIs" dxfId="23599" priority="3955" operator="greaterThan">
      <formula>0.9</formula>
    </cfRule>
    <cfRule type="cellIs" dxfId="23598" priority="3956" operator="greaterThan">
      <formula>0.85</formula>
    </cfRule>
  </conditionalFormatting>
  <conditionalFormatting sqref="N45">
    <cfRule type="cellIs" dxfId="23597" priority="3937" operator="greaterThan">
      <formula>0.9</formula>
    </cfRule>
    <cfRule type="cellIs" dxfId="23596" priority="3938" operator="greaterThan">
      <formula>0.85</formula>
    </cfRule>
  </conditionalFormatting>
  <conditionalFormatting sqref="N46">
    <cfRule type="cellIs" dxfId="23595" priority="3919" operator="greaterThan">
      <formula>0.9</formula>
    </cfRule>
    <cfRule type="cellIs" dxfId="23594" priority="3920" operator="greaterThan">
      <formula>0.85</formula>
    </cfRule>
  </conditionalFormatting>
  <conditionalFormatting sqref="N47">
    <cfRule type="cellIs" dxfId="23593" priority="3901" operator="greaterThan">
      <formula>0.9</formula>
    </cfRule>
    <cfRule type="cellIs" dxfId="23592" priority="3902" operator="greaterThan">
      <formula>0.85</formula>
    </cfRule>
  </conditionalFormatting>
  <conditionalFormatting sqref="N48">
    <cfRule type="cellIs" dxfId="23591" priority="3883" operator="greaterThan">
      <formula>0.9</formula>
    </cfRule>
    <cfRule type="cellIs" dxfId="23590" priority="3884" operator="greaterThan">
      <formula>0.85</formula>
    </cfRule>
  </conditionalFormatting>
  <conditionalFormatting sqref="N49">
    <cfRule type="cellIs" dxfId="23589" priority="3865" operator="greaterThan">
      <formula>0.9</formula>
    </cfRule>
    <cfRule type="cellIs" dxfId="23588" priority="3866" operator="greaterThan">
      <formula>0.85</formula>
    </cfRule>
  </conditionalFormatting>
  <conditionalFormatting sqref="N50">
    <cfRule type="cellIs" dxfId="23587" priority="3847" operator="greaterThan">
      <formula>0.9</formula>
    </cfRule>
    <cfRule type="cellIs" dxfId="23586" priority="3848" operator="greaterThan">
      <formula>0.85</formula>
    </cfRule>
  </conditionalFormatting>
  <conditionalFormatting sqref="N51">
    <cfRule type="cellIs" dxfId="23585" priority="3829" operator="greaterThan">
      <formula>0.9</formula>
    </cfRule>
    <cfRule type="cellIs" dxfId="23584" priority="3830" operator="greaterThan">
      <formula>0.85</formula>
    </cfRule>
  </conditionalFormatting>
  <conditionalFormatting sqref="N52">
    <cfRule type="cellIs" dxfId="23583" priority="3811" operator="greaterThan">
      <formula>0.9</formula>
    </cfRule>
    <cfRule type="cellIs" dxfId="23582" priority="3812" operator="greaterThan">
      <formula>0.85</formula>
    </cfRule>
  </conditionalFormatting>
  <conditionalFormatting sqref="N53">
    <cfRule type="cellIs" dxfId="23581" priority="3793" operator="greaterThan">
      <formula>0.9</formula>
    </cfRule>
    <cfRule type="cellIs" dxfId="23580" priority="3794" operator="greaterThan">
      <formula>0.85</formula>
    </cfRule>
  </conditionalFormatting>
  <conditionalFormatting sqref="N54">
    <cfRule type="cellIs" dxfId="23579" priority="3775" operator="greaterThan">
      <formula>0.9</formula>
    </cfRule>
    <cfRule type="cellIs" dxfId="23578" priority="3776" operator="greaterThan">
      <formula>0.85</formula>
    </cfRule>
  </conditionalFormatting>
  <conditionalFormatting sqref="N55">
    <cfRule type="cellIs" dxfId="23577" priority="3757" operator="greaterThan">
      <formula>0.9</formula>
    </cfRule>
    <cfRule type="cellIs" dxfId="23576" priority="3758" operator="greaterThan">
      <formula>0.85</formula>
    </cfRule>
  </conditionalFormatting>
  <conditionalFormatting sqref="N56">
    <cfRule type="cellIs" dxfId="23575" priority="3739" operator="greaterThan">
      <formula>0.9</formula>
    </cfRule>
    <cfRule type="cellIs" dxfId="23574" priority="3740" operator="greaterThan">
      <formula>0.85</formula>
    </cfRule>
  </conditionalFormatting>
  <conditionalFormatting sqref="N57">
    <cfRule type="cellIs" dxfId="23573" priority="3721" operator="greaterThan">
      <formula>0.9</formula>
    </cfRule>
    <cfRule type="cellIs" dxfId="23572" priority="3722" operator="greaterThan">
      <formula>0.85</formula>
    </cfRule>
  </conditionalFormatting>
  <conditionalFormatting sqref="N58">
    <cfRule type="cellIs" dxfId="23571" priority="3703" operator="greaterThan">
      <formula>0.9</formula>
    </cfRule>
    <cfRule type="cellIs" dxfId="23570" priority="3704" operator="greaterThan">
      <formula>0.85</formula>
    </cfRule>
  </conditionalFormatting>
  <conditionalFormatting sqref="N59">
    <cfRule type="cellIs" dxfId="23569" priority="3685" operator="greaterThan">
      <formula>0.9</formula>
    </cfRule>
    <cfRule type="cellIs" dxfId="23568" priority="3686" operator="greaterThan">
      <formula>0.85</formula>
    </cfRule>
  </conditionalFormatting>
  <conditionalFormatting sqref="N60">
    <cfRule type="cellIs" dxfId="23567" priority="3667" operator="greaterThan">
      <formula>0.9</formula>
    </cfRule>
    <cfRule type="cellIs" dxfId="23566" priority="3668" operator="greaterThan">
      <formula>0.85</formula>
    </cfRule>
  </conditionalFormatting>
  <conditionalFormatting sqref="N61">
    <cfRule type="cellIs" dxfId="23565" priority="3649" operator="greaterThan">
      <formula>0.9</formula>
    </cfRule>
    <cfRule type="cellIs" dxfId="23564" priority="3650" operator="greaterThan">
      <formula>0.85</formula>
    </cfRule>
  </conditionalFormatting>
  <conditionalFormatting sqref="N62">
    <cfRule type="cellIs" dxfId="23563" priority="3631" operator="greaterThan">
      <formula>0.9</formula>
    </cfRule>
    <cfRule type="cellIs" dxfId="23562" priority="3632" operator="greaterThan">
      <formula>0.85</formula>
    </cfRule>
  </conditionalFormatting>
  <conditionalFormatting sqref="N63">
    <cfRule type="cellIs" dxfId="23561" priority="3613" operator="greaterThan">
      <formula>0.9</formula>
    </cfRule>
    <cfRule type="cellIs" dxfId="23560" priority="3614" operator="greaterThan">
      <formula>0.85</formula>
    </cfRule>
  </conditionalFormatting>
  <conditionalFormatting sqref="N64">
    <cfRule type="cellIs" dxfId="23559" priority="3595" operator="greaterThan">
      <formula>0.9</formula>
    </cfRule>
    <cfRule type="cellIs" dxfId="23558" priority="3596" operator="greaterThan">
      <formula>0.85</formula>
    </cfRule>
  </conditionalFormatting>
  <conditionalFormatting sqref="N65">
    <cfRule type="cellIs" dxfId="23557" priority="3577" operator="greaterThan">
      <formula>0.9</formula>
    </cfRule>
    <cfRule type="cellIs" dxfId="23556" priority="3578" operator="greaterThan">
      <formula>0.85</formula>
    </cfRule>
  </conditionalFormatting>
  <conditionalFormatting sqref="N66">
    <cfRule type="cellIs" dxfId="23555" priority="3559" operator="greaterThan">
      <formula>0.9</formula>
    </cfRule>
    <cfRule type="cellIs" dxfId="23554" priority="3560" operator="greaterThan">
      <formula>0.85</formula>
    </cfRule>
  </conditionalFormatting>
  <conditionalFormatting sqref="N67">
    <cfRule type="cellIs" dxfId="23553" priority="3541" operator="greaterThan">
      <formula>0.9</formula>
    </cfRule>
    <cfRule type="cellIs" dxfId="23552" priority="3542" operator="greaterThan">
      <formula>0.85</formula>
    </cfRule>
  </conditionalFormatting>
  <conditionalFormatting sqref="N68">
    <cfRule type="cellIs" dxfId="23551" priority="3523" operator="greaterThan">
      <formula>0.9</formula>
    </cfRule>
    <cfRule type="cellIs" dxfId="23550" priority="3524" operator="greaterThan">
      <formula>0.85</formula>
    </cfRule>
  </conditionalFormatting>
  <conditionalFormatting sqref="N69">
    <cfRule type="cellIs" dxfId="23549" priority="3505" operator="greaterThan">
      <formula>0.9</formula>
    </cfRule>
    <cfRule type="cellIs" dxfId="23548" priority="3506" operator="greaterThan">
      <formula>0.85</formula>
    </cfRule>
  </conditionalFormatting>
  <conditionalFormatting sqref="N70">
    <cfRule type="cellIs" dxfId="23547" priority="3487" operator="greaterThan">
      <formula>0.9</formula>
    </cfRule>
    <cfRule type="cellIs" dxfId="23546" priority="3488" operator="greaterThan">
      <formula>0.85</formula>
    </cfRule>
  </conditionalFormatting>
  <conditionalFormatting sqref="N71">
    <cfRule type="cellIs" dxfId="23545" priority="3469" operator="greaterThan">
      <formula>0.9</formula>
    </cfRule>
    <cfRule type="cellIs" dxfId="23544" priority="3470" operator="greaterThan">
      <formula>0.85</formula>
    </cfRule>
  </conditionalFormatting>
  <conditionalFormatting sqref="N72">
    <cfRule type="cellIs" dxfId="23543" priority="3451" operator="greaterThan">
      <formula>0.9</formula>
    </cfRule>
    <cfRule type="cellIs" dxfId="23542" priority="3452" operator="greaterThan">
      <formula>0.85</formula>
    </cfRule>
  </conditionalFormatting>
  <conditionalFormatting sqref="N73">
    <cfRule type="cellIs" dxfId="23541" priority="3433" operator="greaterThan">
      <formula>0.9</formula>
    </cfRule>
    <cfRule type="cellIs" dxfId="23540" priority="3434" operator="greaterThan">
      <formula>0.85</formula>
    </cfRule>
  </conditionalFormatting>
  <conditionalFormatting sqref="N74">
    <cfRule type="cellIs" dxfId="23539" priority="3415" operator="greaterThan">
      <formula>0.9</formula>
    </cfRule>
    <cfRule type="cellIs" dxfId="23538" priority="3416" operator="greaterThan">
      <formula>0.85</formula>
    </cfRule>
  </conditionalFormatting>
  <conditionalFormatting sqref="N75">
    <cfRule type="cellIs" dxfId="23537" priority="3397" operator="greaterThan">
      <formula>0.9</formula>
    </cfRule>
    <cfRule type="cellIs" dxfId="23536" priority="3398" operator="greaterThan">
      <formula>0.85</formula>
    </cfRule>
  </conditionalFormatting>
  <conditionalFormatting sqref="N76">
    <cfRule type="cellIs" dxfId="23535" priority="3379" operator="greaterThan">
      <formula>0.9</formula>
    </cfRule>
    <cfRule type="cellIs" dxfId="23534" priority="3380" operator="greaterThan">
      <formula>0.85</formula>
    </cfRule>
  </conditionalFormatting>
  <conditionalFormatting sqref="N77">
    <cfRule type="cellIs" dxfId="23533" priority="3361" operator="greaterThan">
      <formula>0.9</formula>
    </cfRule>
    <cfRule type="cellIs" dxfId="23532" priority="3362" operator="greaterThan">
      <formula>0.85</formula>
    </cfRule>
  </conditionalFormatting>
  <conditionalFormatting sqref="N78">
    <cfRule type="cellIs" dxfId="23531" priority="3343" operator="greaterThan">
      <formula>0.9</formula>
    </cfRule>
    <cfRule type="cellIs" dxfId="23530" priority="3344" operator="greaterThan">
      <formula>0.85</formula>
    </cfRule>
  </conditionalFormatting>
  <conditionalFormatting sqref="N79">
    <cfRule type="cellIs" dxfId="23529" priority="3325" operator="greaterThan">
      <formula>0.9</formula>
    </cfRule>
    <cfRule type="cellIs" dxfId="23528" priority="3326" operator="greaterThan">
      <formula>0.85</formula>
    </cfRule>
  </conditionalFormatting>
  <conditionalFormatting sqref="N80">
    <cfRule type="cellIs" dxfId="23527" priority="3307" operator="greaterThan">
      <formula>0.9</formula>
    </cfRule>
    <cfRule type="cellIs" dxfId="23526" priority="3308" operator="greaterThan">
      <formula>0.85</formula>
    </cfRule>
  </conditionalFormatting>
  <conditionalFormatting sqref="N81">
    <cfRule type="cellIs" dxfId="23525" priority="3289" operator="greaterThan">
      <formula>0.9</formula>
    </cfRule>
    <cfRule type="cellIs" dxfId="23524" priority="3290" operator="greaterThan">
      <formula>0.85</formula>
    </cfRule>
  </conditionalFormatting>
  <conditionalFormatting sqref="N82">
    <cfRule type="cellIs" dxfId="23523" priority="3271" operator="greaterThan">
      <formula>0.9</formula>
    </cfRule>
    <cfRule type="cellIs" dxfId="23522" priority="3272" operator="greaterThan">
      <formula>0.85</formula>
    </cfRule>
  </conditionalFormatting>
  <conditionalFormatting sqref="N83">
    <cfRule type="cellIs" dxfId="23521" priority="3253" operator="greaterThan">
      <formula>0.9</formula>
    </cfRule>
    <cfRule type="cellIs" dxfId="23520" priority="3254" operator="greaterThan">
      <formula>0.85</formula>
    </cfRule>
  </conditionalFormatting>
  <conditionalFormatting sqref="N84">
    <cfRule type="cellIs" dxfId="23519" priority="3235" operator="greaterThan">
      <formula>0.9</formula>
    </cfRule>
    <cfRule type="cellIs" dxfId="23518" priority="3236" operator="greaterThan">
      <formula>0.85</formula>
    </cfRule>
  </conditionalFormatting>
  <conditionalFormatting sqref="N85">
    <cfRule type="cellIs" dxfId="23517" priority="3217" operator="greaterThan">
      <formula>0.9</formula>
    </cfRule>
    <cfRule type="cellIs" dxfId="23516" priority="3218" operator="greaterThan">
      <formula>0.85</formula>
    </cfRule>
  </conditionalFormatting>
  <conditionalFormatting sqref="N86">
    <cfRule type="cellIs" dxfId="23515" priority="3199" operator="greaterThan">
      <formula>0.9</formula>
    </cfRule>
    <cfRule type="cellIs" dxfId="23514" priority="3200" operator="greaterThan">
      <formula>0.85</formula>
    </cfRule>
  </conditionalFormatting>
  <conditionalFormatting sqref="N87">
    <cfRule type="cellIs" dxfId="23513" priority="3181" operator="greaterThan">
      <formula>0.9</formula>
    </cfRule>
    <cfRule type="cellIs" dxfId="23512" priority="3182" operator="greaterThan">
      <formula>0.85</formula>
    </cfRule>
  </conditionalFormatting>
  <conditionalFormatting sqref="N88">
    <cfRule type="cellIs" dxfId="23511" priority="3163" operator="greaterThan">
      <formula>0.9</formula>
    </cfRule>
    <cfRule type="cellIs" dxfId="23510" priority="3164" operator="greaterThan">
      <formula>0.85</formula>
    </cfRule>
  </conditionalFormatting>
  <conditionalFormatting sqref="N89">
    <cfRule type="cellIs" dxfId="23509" priority="3145" operator="greaterThan">
      <formula>0.9</formula>
    </cfRule>
    <cfRule type="cellIs" dxfId="23508" priority="3146" operator="greaterThan">
      <formula>0.85</formula>
    </cfRule>
  </conditionalFormatting>
  <conditionalFormatting sqref="N90">
    <cfRule type="cellIs" dxfId="23507" priority="3127" operator="greaterThan">
      <formula>0.9</formula>
    </cfRule>
    <cfRule type="cellIs" dxfId="23506" priority="3128" operator="greaterThan">
      <formula>0.85</formula>
    </cfRule>
  </conditionalFormatting>
  <conditionalFormatting sqref="N91">
    <cfRule type="cellIs" dxfId="23505" priority="3091" operator="greaterThan">
      <formula>0.9</formula>
    </cfRule>
    <cfRule type="cellIs" dxfId="23504" priority="3092" operator="greaterThan">
      <formula>0.85</formula>
    </cfRule>
  </conditionalFormatting>
  <conditionalFormatting sqref="N92">
    <cfRule type="cellIs" dxfId="23503" priority="3073" operator="greaterThan">
      <formula>0.9</formula>
    </cfRule>
    <cfRule type="cellIs" dxfId="23502" priority="3074" operator="greaterThan">
      <formula>0.85</formula>
    </cfRule>
  </conditionalFormatting>
  <conditionalFormatting sqref="N93">
    <cfRule type="cellIs" dxfId="23501" priority="3055" operator="greaterThan">
      <formula>0.9</formula>
    </cfRule>
    <cfRule type="cellIs" dxfId="23500" priority="3056" operator="greaterThan">
      <formula>0.85</formula>
    </cfRule>
  </conditionalFormatting>
  <conditionalFormatting sqref="N94">
    <cfRule type="cellIs" dxfId="23499" priority="3037" operator="greaterThan">
      <formula>0.9</formula>
    </cfRule>
    <cfRule type="cellIs" dxfId="23498" priority="3038" operator="greaterThan">
      <formula>0.85</formula>
    </cfRule>
  </conditionalFormatting>
  <conditionalFormatting sqref="N95">
    <cfRule type="cellIs" dxfId="23497" priority="3019" operator="greaterThan">
      <formula>0.9</formula>
    </cfRule>
    <cfRule type="cellIs" dxfId="23496" priority="3020" operator="greaterThan">
      <formula>0.85</formula>
    </cfRule>
  </conditionalFormatting>
  <conditionalFormatting sqref="N96">
    <cfRule type="cellIs" dxfId="23495" priority="3001" operator="greaterThan">
      <formula>0.9</formula>
    </cfRule>
    <cfRule type="cellIs" dxfId="23494" priority="3002" operator="greaterThan">
      <formula>0.85</formula>
    </cfRule>
  </conditionalFormatting>
  <conditionalFormatting sqref="N97">
    <cfRule type="cellIs" dxfId="23493" priority="2965" operator="greaterThan">
      <formula>0.9</formula>
    </cfRule>
    <cfRule type="cellIs" dxfId="23492" priority="2966" operator="greaterThan">
      <formula>0.85</formula>
    </cfRule>
  </conditionalFormatting>
  <conditionalFormatting sqref="N98">
    <cfRule type="cellIs" dxfId="23491" priority="2947" operator="greaterThan">
      <formula>0.9</formula>
    </cfRule>
    <cfRule type="cellIs" dxfId="23490" priority="2948" operator="greaterThan">
      <formula>0.85</formula>
    </cfRule>
  </conditionalFormatting>
  <conditionalFormatting sqref="N99">
    <cfRule type="cellIs" dxfId="23489" priority="2929" operator="greaterThan">
      <formula>0.9</formula>
    </cfRule>
    <cfRule type="cellIs" dxfId="23488" priority="2930" operator="greaterThan">
      <formula>0.85</formula>
    </cfRule>
  </conditionalFormatting>
  <conditionalFormatting sqref="N100">
    <cfRule type="cellIs" dxfId="23487" priority="2911" operator="greaterThan">
      <formula>0.9</formula>
    </cfRule>
    <cfRule type="cellIs" dxfId="23486" priority="2912" operator="greaterThan">
      <formula>0.85</formula>
    </cfRule>
  </conditionalFormatting>
  <conditionalFormatting sqref="N101">
    <cfRule type="cellIs" dxfId="23485" priority="2893" operator="greaterThan">
      <formula>0.9</formula>
    </cfRule>
    <cfRule type="cellIs" dxfId="23484" priority="2894" operator="greaterThan">
      <formula>0.85</formula>
    </cfRule>
  </conditionalFormatting>
  <conditionalFormatting sqref="N102">
    <cfRule type="cellIs" dxfId="23483" priority="2875" operator="greaterThan">
      <formula>0.9</formula>
    </cfRule>
    <cfRule type="cellIs" dxfId="23482" priority="2876" operator="greaterThan">
      <formula>0.85</formula>
    </cfRule>
  </conditionalFormatting>
  <conditionalFormatting sqref="N103">
    <cfRule type="cellIs" dxfId="23481" priority="2857" operator="greaterThan">
      <formula>0.9</formula>
    </cfRule>
    <cfRule type="cellIs" dxfId="23480" priority="2858" operator="greaterThan">
      <formula>0.85</formula>
    </cfRule>
  </conditionalFormatting>
  <conditionalFormatting sqref="N104">
    <cfRule type="cellIs" dxfId="23479" priority="2839" operator="greaterThan">
      <formula>0.9</formula>
    </cfRule>
    <cfRule type="cellIs" dxfId="23478" priority="2840" operator="greaterThan">
      <formula>0.85</formula>
    </cfRule>
  </conditionalFormatting>
  <conditionalFormatting sqref="N105">
    <cfRule type="cellIs" dxfId="23477" priority="2821" operator="greaterThan">
      <formula>0.9</formula>
    </cfRule>
    <cfRule type="cellIs" dxfId="23476" priority="2822" operator="greaterThan">
      <formula>0.85</formula>
    </cfRule>
  </conditionalFormatting>
  <conditionalFormatting sqref="N106">
    <cfRule type="cellIs" dxfId="23475" priority="2803" operator="greaterThan">
      <formula>0.9</formula>
    </cfRule>
    <cfRule type="cellIs" dxfId="23474" priority="2804" operator="greaterThan">
      <formula>0.85</formula>
    </cfRule>
  </conditionalFormatting>
  <conditionalFormatting sqref="N107">
    <cfRule type="cellIs" dxfId="23473" priority="2785" operator="greaterThan">
      <formula>0.9</formula>
    </cfRule>
    <cfRule type="cellIs" dxfId="23472" priority="2786" operator="greaterThan">
      <formula>0.85</formula>
    </cfRule>
  </conditionalFormatting>
  <conditionalFormatting sqref="N108">
    <cfRule type="cellIs" dxfId="23471" priority="2749" operator="greaterThan">
      <formula>0.9</formula>
    </cfRule>
    <cfRule type="cellIs" dxfId="23470" priority="2750" operator="greaterThan">
      <formula>0.85</formula>
    </cfRule>
  </conditionalFormatting>
  <conditionalFormatting sqref="N109">
    <cfRule type="cellIs" dxfId="23469" priority="2731" operator="greaterThan">
      <formula>0.9</formula>
    </cfRule>
    <cfRule type="cellIs" dxfId="23468" priority="2732" operator="greaterThan">
      <formula>0.85</formula>
    </cfRule>
  </conditionalFormatting>
  <conditionalFormatting sqref="N110">
    <cfRule type="cellIs" dxfId="23467" priority="2695" operator="greaterThan">
      <formula>0.9</formula>
    </cfRule>
    <cfRule type="cellIs" dxfId="23466" priority="2696" operator="greaterThan">
      <formula>0.85</formula>
    </cfRule>
  </conditionalFormatting>
  <conditionalFormatting sqref="N111">
    <cfRule type="cellIs" dxfId="23465" priority="2677" operator="greaterThan">
      <formula>0.9</formula>
    </cfRule>
    <cfRule type="cellIs" dxfId="23464" priority="2678" operator="greaterThan">
      <formula>0.85</formula>
    </cfRule>
  </conditionalFormatting>
  <conditionalFormatting sqref="N112">
    <cfRule type="cellIs" dxfId="23463" priority="2659" operator="greaterThan">
      <formula>0.9</formula>
    </cfRule>
    <cfRule type="cellIs" dxfId="23462" priority="2660" operator="greaterThan">
      <formula>0.85</formula>
    </cfRule>
  </conditionalFormatting>
  <conditionalFormatting sqref="N113">
    <cfRule type="cellIs" dxfId="23461" priority="2641" operator="greaterThan">
      <formula>0.9</formula>
    </cfRule>
    <cfRule type="cellIs" dxfId="23460" priority="2642" operator="greaterThan">
      <formula>0.85</formula>
    </cfRule>
  </conditionalFormatting>
  <conditionalFormatting sqref="N114">
    <cfRule type="cellIs" dxfId="23459" priority="2623" operator="greaterThan">
      <formula>0.9</formula>
    </cfRule>
    <cfRule type="cellIs" dxfId="23458" priority="2624" operator="greaterThan">
      <formula>0.85</formula>
    </cfRule>
  </conditionalFormatting>
  <conditionalFormatting sqref="N115">
    <cfRule type="cellIs" dxfId="23457" priority="2587" operator="greaterThan">
      <formula>0.9</formula>
    </cfRule>
    <cfRule type="cellIs" dxfId="23456" priority="2588" operator="greaterThan">
      <formula>0.85</formula>
    </cfRule>
  </conditionalFormatting>
  <conditionalFormatting sqref="N116">
    <cfRule type="cellIs" dxfId="23455" priority="2569" operator="greaterThan">
      <formula>0.9</formula>
    </cfRule>
    <cfRule type="cellIs" dxfId="23454" priority="2570" operator="greaterThan">
      <formula>0.85</formula>
    </cfRule>
  </conditionalFormatting>
  <conditionalFormatting sqref="N117">
    <cfRule type="cellIs" dxfId="23453" priority="2551" operator="greaterThan">
      <formula>0.9</formula>
    </cfRule>
    <cfRule type="cellIs" dxfId="23452" priority="2552" operator="greaterThan">
      <formula>0.85</formula>
    </cfRule>
  </conditionalFormatting>
  <conditionalFormatting sqref="N118">
    <cfRule type="cellIs" dxfId="23451" priority="2533" operator="greaterThan">
      <formula>0.9</formula>
    </cfRule>
    <cfRule type="cellIs" dxfId="23450" priority="2534" operator="greaterThan">
      <formula>0.85</formula>
    </cfRule>
  </conditionalFormatting>
  <conditionalFormatting sqref="N119">
    <cfRule type="cellIs" dxfId="23449" priority="2515" operator="greaterThan">
      <formula>0.9</formula>
    </cfRule>
    <cfRule type="cellIs" dxfId="23448" priority="2516" operator="greaterThan">
      <formula>0.85</formula>
    </cfRule>
  </conditionalFormatting>
  <conditionalFormatting sqref="N120">
    <cfRule type="cellIs" dxfId="23447" priority="2497" operator="greaterThan">
      <formula>0.9</formula>
    </cfRule>
    <cfRule type="cellIs" dxfId="23446" priority="2498" operator="greaterThan">
      <formula>0.85</formula>
    </cfRule>
  </conditionalFormatting>
  <conditionalFormatting sqref="N121">
    <cfRule type="cellIs" dxfId="23445" priority="2479" operator="greaterThan">
      <formula>0.9</formula>
    </cfRule>
    <cfRule type="cellIs" dxfId="23444" priority="2480" operator="greaterThan">
      <formula>0.85</formula>
    </cfRule>
  </conditionalFormatting>
  <conditionalFormatting sqref="N122">
    <cfRule type="cellIs" dxfId="23443" priority="2461" operator="greaterThan">
      <formula>0.9</formula>
    </cfRule>
    <cfRule type="cellIs" dxfId="23442" priority="2462" operator="greaterThan">
      <formula>0.85</formula>
    </cfRule>
  </conditionalFormatting>
  <conditionalFormatting sqref="N123">
    <cfRule type="cellIs" dxfId="23441" priority="2425" operator="greaterThan">
      <formula>0.9</formula>
    </cfRule>
    <cfRule type="cellIs" dxfId="23440" priority="2426" operator="greaterThan">
      <formula>0.85</formula>
    </cfRule>
  </conditionalFormatting>
  <conditionalFormatting sqref="N124">
    <cfRule type="cellIs" dxfId="23439" priority="2407" operator="greaterThan">
      <formula>0.9</formula>
    </cfRule>
    <cfRule type="cellIs" dxfId="23438" priority="2408" operator="greaterThan">
      <formula>0.85</formula>
    </cfRule>
  </conditionalFormatting>
  <conditionalFormatting sqref="N125">
    <cfRule type="cellIs" dxfId="23437" priority="2389" operator="greaterThan">
      <formula>0.9</formula>
    </cfRule>
    <cfRule type="cellIs" dxfId="23436" priority="2390" operator="greaterThan">
      <formula>0.85</formula>
    </cfRule>
  </conditionalFormatting>
  <conditionalFormatting sqref="N126">
    <cfRule type="cellIs" dxfId="23435" priority="2371" operator="greaterThan">
      <formula>0.9</formula>
    </cfRule>
    <cfRule type="cellIs" dxfId="23434" priority="2372" operator="greaterThan">
      <formula>0.85</formula>
    </cfRule>
  </conditionalFormatting>
  <conditionalFormatting sqref="N127">
    <cfRule type="cellIs" dxfId="23433" priority="2353" operator="greaterThan">
      <formula>0.9</formula>
    </cfRule>
    <cfRule type="cellIs" dxfId="23432" priority="2354" operator="greaterThan">
      <formula>0.85</formula>
    </cfRule>
  </conditionalFormatting>
  <conditionalFormatting sqref="N128">
    <cfRule type="cellIs" dxfId="23431" priority="2335" operator="greaterThan">
      <formula>0.9</formula>
    </cfRule>
    <cfRule type="cellIs" dxfId="23430" priority="2336" operator="greaterThan">
      <formula>0.85</formula>
    </cfRule>
  </conditionalFormatting>
  <conditionalFormatting sqref="N129">
    <cfRule type="cellIs" dxfId="23429" priority="2317" operator="greaterThan">
      <formula>0.9</formula>
    </cfRule>
    <cfRule type="cellIs" dxfId="23428" priority="2318" operator="greaterThan">
      <formula>0.85</formula>
    </cfRule>
  </conditionalFormatting>
  <conditionalFormatting sqref="N130">
    <cfRule type="cellIs" dxfId="23427" priority="2299" operator="greaterThan">
      <formula>0.9</formula>
    </cfRule>
    <cfRule type="cellIs" dxfId="23426" priority="2300" operator="greaterThan">
      <formula>0.85</formula>
    </cfRule>
  </conditionalFormatting>
  <conditionalFormatting sqref="N131">
    <cfRule type="cellIs" dxfId="23425" priority="2281" operator="greaterThan">
      <formula>0.9</formula>
    </cfRule>
    <cfRule type="cellIs" dxfId="23424" priority="2282" operator="greaterThan">
      <formula>0.85</formula>
    </cfRule>
  </conditionalFormatting>
  <conditionalFormatting sqref="N132">
    <cfRule type="cellIs" dxfId="23423" priority="2263" operator="greaterThan">
      <formula>0.9</formula>
    </cfRule>
    <cfRule type="cellIs" dxfId="23422" priority="2264" operator="greaterThan">
      <formula>0.85</formula>
    </cfRule>
  </conditionalFormatting>
  <conditionalFormatting sqref="N133">
    <cfRule type="cellIs" dxfId="23421" priority="2245" operator="greaterThan">
      <formula>0.9</formula>
    </cfRule>
    <cfRule type="cellIs" dxfId="23420" priority="2246" operator="greaterThan">
      <formula>0.85</formula>
    </cfRule>
  </conditionalFormatting>
  <conditionalFormatting sqref="N134">
    <cfRule type="cellIs" dxfId="23419" priority="2227" operator="greaterThan">
      <formula>0.9</formula>
    </cfRule>
    <cfRule type="cellIs" dxfId="23418" priority="2228" operator="greaterThan">
      <formula>0.85</formula>
    </cfRule>
  </conditionalFormatting>
  <conditionalFormatting sqref="N135">
    <cfRule type="cellIs" dxfId="23417" priority="2209" operator="greaterThan">
      <formula>0.9</formula>
    </cfRule>
    <cfRule type="cellIs" dxfId="23416" priority="2210" operator="greaterThan">
      <formula>0.85</formula>
    </cfRule>
  </conditionalFormatting>
  <conditionalFormatting sqref="N136">
    <cfRule type="cellIs" dxfId="23415" priority="2191" operator="greaterThan">
      <formula>0.9</formula>
    </cfRule>
    <cfRule type="cellIs" dxfId="23414" priority="2192" operator="greaterThan">
      <formula>0.85</formula>
    </cfRule>
  </conditionalFormatting>
  <conditionalFormatting sqref="N137">
    <cfRule type="cellIs" dxfId="23413" priority="2173" operator="greaterThan">
      <formula>0.9</formula>
    </cfRule>
    <cfRule type="cellIs" dxfId="23412" priority="2174" operator="greaterThan">
      <formula>0.85</formula>
    </cfRule>
  </conditionalFormatting>
  <conditionalFormatting sqref="N138">
    <cfRule type="cellIs" dxfId="23411" priority="2155" operator="greaterThan">
      <formula>0.9</formula>
    </cfRule>
    <cfRule type="cellIs" dxfId="23410" priority="2156" operator="greaterThan">
      <formula>0.85</formula>
    </cfRule>
  </conditionalFormatting>
  <conditionalFormatting sqref="N139">
    <cfRule type="cellIs" dxfId="23409" priority="2137" operator="greaterThan">
      <formula>0.9</formula>
    </cfRule>
    <cfRule type="cellIs" dxfId="23408" priority="2138" operator="greaterThan">
      <formula>0.85</formula>
    </cfRule>
  </conditionalFormatting>
  <conditionalFormatting sqref="N140">
    <cfRule type="cellIs" dxfId="23407" priority="2119" operator="greaterThan">
      <formula>0.9</formula>
    </cfRule>
    <cfRule type="cellIs" dxfId="23406" priority="2120" operator="greaterThan">
      <formula>0.85</formula>
    </cfRule>
  </conditionalFormatting>
  <conditionalFormatting sqref="N141">
    <cfRule type="cellIs" dxfId="23405" priority="2101" operator="greaterThan">
      <formula>0.9</formula>
    </cfRule>
    <cfRule type="cellIs" dxfId="23404" priority="2102" operator="greaterThan">
      <formula>0.85</formula>
    </cfRule>
  </conditionalFormatting>
  <conditionalFormatting sqref="N142">
    <cfRule type="cellIs" dxfId="23403" priority="2083" operator="greaterThan">
      <formula>0.9</formula>
    </cfRule>
    <cfRule type="cellIs" dxfId="23402" priority="2084" operator="greaterThan">
      <formula>0.85</formula>
    </cfRule>
  </conditionalFormatting>
  <conditionalFormatting sqref="N143">
    <cfRule type="cellIs" dxfId="23401" priority="2065" operator="greaterThan">
      <formula>0.9</formula>
    </cfRule>
    <cfRule type="cellIs" dxfId="23400" priority="2066" operator="greaterThan">
      <formula>0.85</formula>
    </cfRule>
  </conditionalFormatting>
  <conditionalFormatting sqref="N144">
    <cfRule type="cellIs" dxfId="23399" priority="2029" operator="greaterThan">
      <formula>0.9</formula>
    </cfRule>
    <cfRule type="cellIs" dxfId="23398" priority="2030" operator="greaterThan">
      <formula>0.85</formula>
    </cfRule>
  </conditionalFormatting>
  <conditionalFormatting sqref="N145">
    <cfRule type="cellIs" dxfId="23397" priority="2011" operator="greaterThan">
      <formula>0.9</formula>
    </cfRule>
    <cfRule type="cellIs" dxfId="23396" priority="2012" operator="greaterThan">
      <formula>0.85</formula>
    </cfRule>
  </conditionalFormatting>
  <conditionalFormatting sqref="N146">
    <cfRule type="cellIs" dxfId="23395" priority="1993" operator="greaterThan">
      <formula>0.9</formula>
    </cfRule>
    <cfRule type="cellIs" dxfId="23394" priority="1994" operator="greaterThan">
      <formula>0.85</formula>
    </cfRule>
  </conditionalFormatting>
  <conditionalFormatting sqref="N147">
    <cfRule type="cellIs" dxfId="23393" priority="1975" operator="greaterThan">
      <formula>0.9</formula>
    </cfRule>
    <cfRule type="cellIs" dxfId="23392" priority="1976" operator="greaterThan">
      <formula>0.85</formula>
    </cfRule>
  </conditionalFormatting>
  <conditionalFormatting sqref="N148">
    <cfRule type="cellIs" dxfId="23391" priority="1957" operator="greaterThan">
      <formula>0.9</formula>
    </cfRule>
    <cfRule type="cellIs" dxfId="23390" priority="1958" operator="greaterThan">
      <formula>0.85</formula>
    </cfRule>
  </conditionalFormatting>
  <conditionalFormatting sqref="N149">
    <cfRule type="cellIs" dxfId="23389" priority="1939" operator="greaterThan">
      <formula>0.9</formula>
    </cfRule>
    <cfRule type="cellIs" dxfId="23388" priority="1940" operator="greaterThan">
      <formula>0.85</formula>
    </cfRule>
  </conditionalFormatting>
  <conditionalFormatting sqref="N150">
    <cfRule type="cellIs" dxfId="23387" priority="1921" operator="greaterThan">
      <formula>0.9</formula>
    </cfRule>
    <cfRule type="cellIs" dxfId="23386" priority="1922" operator="greaterThan">
      <formula>0.85</formula>
    </cfRule>
  </conditionalFormatting>
  <conditionalFormatting sqref="N151">
    <cfRule type="cellIs" dxfId="23385" priority="1885" operator="greaterThan">
      <formula>0.9</formula>
    </cfRule>
    <cfRule type="cellIs" dxfId="23384" priority="1886" operator="greaterThan">
      <formula>0.85</formula>
    </cfRule>
  </conditionalFormatting>
  <conditionalFormatting sqref="N152">
    <cfRule type="cellIs" dxfId="23383" priority="1867" operator="greaterThan">
      <formula>0.9</formula>
    </cfRule>
    <cfRule type="cellIs" dxfId="23382" priority="1868" operator="greaterThan">
      <formula>0.85</formula>
    </cfRule>
  </conditionalFormatting>
  <conditionalFormatting sqref="N153">
    <cfRule type="cellIs" dxfId="23381" priority="1849" operator="greaterThan">
      <formula>0.9</formula>
    </cfRule>
    <cfRule type="cellIs" dxfId="23380" priority="1850" operator="greaterThan">
      <formula>0.85</formula>
    </cfRule>
  </conditionalFormatting>
  <conditionalFormatting sqref="N154">
    <cfRule type="cellIs" dxfId="23379" priority="1831" operator="greaterThan">
      <formula>0.9</formula>
    </cfRule>
    <cfRule type="cellIs" dxfId="23378" priority="1832" operator="greaterThan">
      <formula>0.85</formula>
    </cfRule>
  </conditionalFormatting>
  <conditionalFormatting sqref="N155">
    <cfRule type="cellIs" dxfId="23377" priority="1813" operator="greaterThan">
      <formula>0.9</formula>
    </cfRule>
    <cfRule type="cellIs" dxfId="23376" priority="1814" operator="greaterThan">
      <formula>0.85</formula>
    </cfRule>
  </conditionalFormatting>
  <conditionalFormatting sqref="N156">
    <cfRule type="cellIs" dxfId="23375" priority="1795" operator="greaterThan">
      <formula>0.9</formula>
    </cfRule>
    <cfRule type="cellIs" dxfId="23374" priority="1796" operator="greaterThan">
      <formula>0.85</formula>
    </cfRule>
  </conditionalFormatting>
  <conditionalFormatting sqref="N157">
    <cfRule type="cellIs" dxfId="23373" priority="1777" operator="greaterThan">
      <formula>0.9</formula>
    </cfRule>
    <cfRule type="cellIs" dxfId="23372" priority="1778" operator="greaterThan">
      <formula>0.85</formula>
    </cfRule>
  </conditionalFormatting>
  <conditionalFormatting sqref="N158">
    <cfRule type="cellIs" dxfId="23371" priority="1759" operator="greaterThan">
      <formula>0.9</formula>
    </cfRule>
    <cfRule type="cellIs" dxfId="23370" priority="1760" operator="greaterThan">
      <formula>0.85</formula>
    </cfRule>
  </conditionalFormatting>
  <conditionalFormatting sqref="N159">
    <cfRule type="cellIs" dxfId="23369" priority="1741" operator="greaterThan">
      <formula>0.9</formula>
    </cfRule>
    <cfRule type="cellIs" dxfId="23368" priority="1742" operator="greaterThan">
      <formula>0.85</formula>
    </cfRule>
  </conditionalFormatting>
  <conditionalFormatting sqref="N160">
    <cfRule type="cellIs" dxfId="23367" priority="1723" operator="greaterThan">
      <formula>0.9</formula>
    </cfRule>
    <cfRule type="cellIs" dxfId="23366" priority="1724" operator="greaterThan">
      <formula>0.85</formula>
    </cfRule>
  </conditionalFormatting>
  <conditionalFormatting sqref="N161">
    <cfRule type="cellIs" dxfId="23365" priority="1687" operator="greaterThan">
      <formula>0.9</formula>
    </cfRule>
    <cfRule type="cellIs" dxfId="23364" priority="1688" operator="greaterThan">
      <formula>0.85</formula>
    </cfRule>
  </conditionalFormatting>
  <conditionalFormatting sqref="N162">
    <cfRule type="cellIs" dxfId="23363" priority="1669" operator="greaterThan">
      <formula>0.9</formula>
    </cfRule>
    <cfRule type="cellIs" dxfId="23362" priority="1670" operator="greaterThan">
      <formula>0.85</formula>
    </cfRule>
  </conditionalFormatting>
  <conditionalFormatting sqref="N163">
    <cfRule type="cellIs" dxfId="23361" priority="1651" operator="greaterThan">
      <formula>0.9</formula>
    </cfRule>
    <cfRule type="cellIs" dxfId="23360" priority="1652" operator="greaterThan">
      <formula>0.85</formula>
    </cfRule>
  </conditionalFormatting>
  <conditionalFormatting sqref="N164">
    <cfRule type="cellIs" dxfId="23359" priority="1633" operator="greaterThan">
      <formula>0.9</formula>
    </cfRule>
    <cfRule type="cellIs" dxfId="23358" priority="1634" operator="greaterThan">
      <formula>0.85</formula>
    </cfRule>
  </conditionalFormatting>
  <conditionalFormatting sqref="N165">
    <cfRule type="cellIs" dxfId="23357" priority="1615" operator="greaterThan">
      <formula>0.9</formula>
    </cfRule>
    <cfRule type="cellIs" dxfId="23356" priority="1616" operator="greaterThan">
      <formula>0.85</formula>
    </cfRule>
  </conditionalFormatting>
  <conditionalFormatting sqref="N166">
    <cfRule type="cellIs" dxfId="23355" priority="1597" operator="greaterThan">
      <formula>0.9</formula>
    </cfRule>
    <cfRule type="cellIs" dxfId="23354" priority="1598" operator="greaterThan">
      <formula>0.85</formula>
    </cfRule>
  </conditionalFormatting>
  <conditionalFormatting sqref="N167">
    <cfRule type="cellIs" dxfId="23353" priority="1579" operator="greaterThan">
      <formula>0.9</formula>
    </cfRule>
    <cfRule type="cellIs" dxfId="23352" priority="1580" operator="greaterThan">
      <formula>0.85</formula>
    </cfRule>
  </conditionalFormatting>
  <conditionalFormatting sqref="N168">
    <cfRule type="cellIs" dxfId="23351" priority="1561" operator="greaterThan">
      <formula>0.9</formula>
    </cfRule>
    <cfRule type="cellIs" dxfId="23350" priority="1562" operator="greaterThan">
      <formula>0.85</formula>
    </cfRule>
  </conditionalFormatting>
  <conditionalFormatting sqref="N169">
    <cfRule type="cellIs" dxfId="23349" priority="1543" operator="greaterThan">
      <formula>0.9</formula>
    </cfRule>
    <cfRule type="cellIs" dxfId="23348" priority="1544" operator="greaterThan">
      <formula>0.85</formula>
    </cfRule>
  </conditionalFormatting>
  <conditionalFormatting sqref="N170">
    <cfRule type="cellIs" dxfId="23347" priority="1525" operator="greaterThan">
      <formula>0.9</formula>
    </cfRule>
    <cfRule type="cellIs" dxfId="23346" priority="1526" operator="greaterThan">
      <formula>0.85</formula>
    </cfRule>
  </conditionalFormatting>
  <conditionalFormatting sqref="N171">
    <cfRule type="cellIs" dxfId="23345" priority="1507" operator="greaterThan">
      <formula>0.9</formula>
    </cfRule>
    <cfRule type="cellIs" dxfId="23344" priority="1508" operator="greaterThan">
      <formula>0.85</formula>
    </cfRule>
  </conditionalFormatting>
  <conditionalFormatting sqref="N172">
    <cfRule type="cellIs" dxfId="23343" priority="1489" operator="greaterThan">
      <formula>0.9</formula>
    </cfRule>
    <cfRule type="cellIs" dxfId="23342" priority="1490" operator="greaterThan">
      <formula>0.85</formula>
    </cfRule>
  </conditionalFormatting>
  <conditionalFormatting sqref="N173">
    <cfRule type="cellIs" dxfId="23341" priority="1471" operator="greaterThan">
      <formula>0.9</formula>
    </cfRule>
    <cfRule type="cellIs" dxfId="23340" priority="1472" operator="greaterThan">
      <formula>0.85</formula>
    </cfRule>
  </conditionalFormatting>
  <conditionalFormatting sqref="N174">
    <cfRule type="cellIs" dxfId="23339" priority="1453" operator="greaterThan">
      <formula>0.9</formula>
    </cfRule>
    <cfRule type="cellIs" dxfId="23338" priority="1454" operator="greaterThan">
      <formula>0.85</formula>
    </cfRule>
  </conditionalFormatting>
  <conditionalFormatting sqref="N175">
    <cfRule type="cellIs" dxfId="23337" priority="1435" operator="greaterThan">
      <formula>0.9</formula>
    </cfRule>
    <cfRule type="cellIs" dxfId="23336" priority="1436" operator="greaterThan">
      <formula>0.85</formula>
    </cfRule>
  </conditionalFormatting>
  <conditionalFormatting sqref="N176">
    <cfRule type="cellIs" dxfId="23335" priority="1417" operator="greaterThan">
      <formula>0.9</formula>
    </cfRule>
    <cfRule type="cellIs" dxfId="23334" priority="1418" operator="greaterThan">
      <formula>0.85</formula>
    </cfRule>
  </conditionalFormatting>
  <conditionalFormatting sqref="N177">
    <cfRule type="cellIs" dxfId="23333" priority="1381" operator="greaterThan">
      <formula>0.9</formula>
    </cfRule>
    <cfRule type="cellIs" dxfId="23332" priority="1382" operator="greaterThan">
      <formula>0.85</formula>
    </cfRule>
  </conditionalFormatting>
  <conditionalFormatting sqref="N178">
    <cfRule type="cellIs" dxfId="23331" priority="1363" operator="greaterThan">
      <formula>0.9</formula>
    </cfRule>
    <cfRule type="cellIs" dxfId="23330" priority="1364" operator="greaterThan">
      <formula>0.85</formula>
    </cfRule>
  </conditionalFormatting>
  <conditionalFormatting sqref="N179">
    <cfRule type="cellIs" dxfId="23329" priority="1345" operator="greaterThan">
      <formula>0.9</formula>
    </cfRule>
    <cfRule type="cellIs" dxfId="23328" priority="1346" operator="greaterThan">
      <formula>0.85</formula>
    </cfRule>
  </conditionalFormatting>
  <conditionalFormatting sqref="N180">
    <cfRule type="cellIs" dxfId="23327" priority="1327" operator="greaterThan">
      <formula>0.9</formula>
    </cfRule>
    <cfRule type="cellIs" dxfId="23326" priority="1328" operator="greaterThan">
      <formula>0.85</formula>
    </cfRule>
  </conditionalFormatting>
  <conditionalFormatting sqref="N181">
    <cfRule type="cellIs" dxfId="23325" priority="1309" operator="greaterThan">
      <formula>0.9</formula>
    </cfRule>
    <cfRule type="cellIs" dxfId="23324" priority="1310" operator="greaterThan">
      <formula>0.85</formula>
    </cfRule>
  </conditionalFormatting>
  <conditionalFormatting sqref="N182">
    <cfRule type="cellIs" dxfId="23323" priority="1291" operator="greaterThan">
      <formula>0.9</formula>
    </cfRule>
    <cfRule type="cellIs" dxfId="23322" priority="1292" operator="greaterThan">
      <formula>0.85</formula>
    </cfRule>
  </conditionalFormatting>
  <conditionalFormatting sqref="N183">
    <cfRule type="cellIs" dxfId="23321" priority="1273" operator="greaterThan">
      <formula>0.9</formula>
    </cfRule>
    <cfRule type="cellIs" dxfId="23320" priority="1274" operator="greaterThan">
      <formula>0.85</formula>
    </cfRule>
  </conditionalFormatting>
  <conditionalFormatting sqref="N184">
    <cfRule type="cellIs" dxfId="23319" priority="1255" operator="greaterThan">
      <formula>0.9</formula>
    </cfRule>
    <cfRule type="cellIs" dxfId="23318" priority="1256" operator="greaterThan">
      <formula>0.85</formula>
    </cfRule>
  </conditionalFormatting>
  <conditionalFormatting sqref="N185">
    <cfRule type="cellIs" dxfId="23317" priority="1237" operator="greaterThan">
      <formula>0.9</formula>
    </cfRule>
    <cfRule type="cellIs" dxfId="23316" priority="1238" operator="greaterThan">
      <formula>0.85</formula>
    </cfRule>
  </conditionalFormatting>
  <conditionalFormatting sqref="N186">
    <cfRule type="cellIs" dxfId="23315" priority="1219" operator="greaterThan">
      <formula>0.9</formula>
    </cfRule>
    <cfRule type="cellIs" dxfId="23314" priority="1220" operator="greaterThan">
      <formula>0.85</formula>
    </cfRule>
  </conditionalFormatting>
  <conditionalFormatting sqref="N187">
    <cfRule type="cellIs" dxfId="23313" priority="1201" operator="greaterThan">
      <formula>0.9</formula>
    </cfRule>
    <cfRule type="cellIs" dxfId="23312" priority="1202" operator="greaterThan">
      <formula>0.85</formula>
    </cfRule>
  </conditionalFormatting>
  <conditionalFormatting sqref="N188">
    <cfRule type="cellIs" dxfId="23311" priority="1183" operator="greaterThan">
      <formula>0.9</formula>
    </cfRule>
    <cfRule type="cellIs" dxfId="23310" priority="1184" operator="greaterThan">
      <formula>0.85</formula>
    </cfRule>
  </conditionalFormatting>
  <conditionalFormatting sqref="N189">
    <cfRule type="cellIs" dxfId="23309" priority="1147" operator="greaterThan">
      <formula>0.9</formula>
    </cfRule>
    <cfRule type="cellIs" dxfId="23308" priority="1148" operator="greaterThan">
      <formula>0.85</formula>
    </cfRule>
  </conditionalFormatting>
  <conditionalFormatting sqref="N190">
    <cfRule type="cellIs" dxfId="23307" priority="1129" operator="greaterThan">
      <formula>0.9</formula>
    </cfRule>
    <cfRule type="cellIs" dxfId="23306" priority="1130" operator="greaterThan">
      <formula>0.85</formula>
    </cfRule>
  </conditionalFormatting>
  <conditionalFormatting sqref="N191">
    <cfRule type="cellIs" dxfId="23305" priority="1111" operator="greaterThan">
      <formula>0.9</formula>
    </cfRule>
    <cfRule type="cellIs" dxfId="23304" priority="1112" operator="greaterThan">
      <formula>0.85</formula>
    </cfRule>
  </conditionalFormatting>
  <conditionalFormatting sqref="N192">
    <cfRule type="cellIs" dxfId="23303" priority="1093" operator="greaterThan">
      <formula>0.9</formula>
    </cfRule>
    <cfRule type="cellIs" dxfId="23302" priority="1094" operator="greaterThan">
      <formula>0.85</formula>
    </cfRule>
  </conditionalFormatting>
  <conditionalFormatting sqref="N193">
    <cfRule type="cellIs" dxfId="23301" priority="1075" operator="greaterThan">
      <formula>0.9</formula>
    </cfRule>
    <cfRule type="cellIs" dxfId="23300" priority="1076" operator="greaterThan">
      <formula>0.85</formula>
    </cfRule>
  </conditionalFormatting>
  <conditionalFormatting sqref="N194">
    <cfRule type="cellIs" dxfId="23299" priority="1039" operator="greaterThan">
      <formula>0.9</formula>
    </cfRule>
    <cfRule type="cellIs" dxfId="23298" priority="1040" operator="greaterThan">
      <formula>0.85</formula>
    </cfRule>
  </conditionalFormatting>
  <conditionalFormatting sqref="N195">
    <cfRule type="cellIs" dxfId="23297" priority="1021" operator="greaterThan">
      <formula>0.9</formula>
    </cfRule>
    <cfRule type="cellIs" dxfId="23296" priority="1022" operator="greaterThan">
      <formula>0.85</formula>
    </cfRule>
  </conditionalFormatting>
  <conditionalFormatting sqref="N196">
    <cfRule type="cellIs" dxfId="23295" priority="1003" operator="greaterThan">
      <formula>0.9</formula>
    </cfRule>
    <cfRule type="cellIs" dxfId="23294" priority="1004" operator="greaterThan">
      <formula>0.85</formula>
    </cfRule>
  </conditionalFormatting>
  <conditionalFormatting sqref="N197">
    <cfRule type="cellIs" dxfId="23293" priority="985" operator="greaterThan">
      <formula>0.9</formula>
    </cfRule>
    <cfRule type="cellIs" dxfId="23292" priority="986" operator="greaterThan">
      <formula>0.85</formula>
    </cfRule>
  </conditionalFormatting>
  <conditionalFormatting sqref="N198">
    <cfRule type="cellIs" dxfId="23291" priority="967" operator="greaterThan">
      <formula>0.9</formula>
    </cfRule>
    <cfRule type="cellIs" dxfId="23290" priority="968" operator="greaterThan">
      <formula>0.85</formula>
    </cfRule>
  </conditionalFormatting>
  <conditionalFormatting sqref="N199">
    <cfRule type="cellIs" dxfId="23289" priority="949" operator="greaterThan">
      <formula>0.9</formula>
    </cfRule>
    <cfRule type="cellIs" dxfId="23288" priority="950" operator="greaterThan">
      <formula>0.85</formula>
    </cfRule>
  </conditionalFormatting>
  <conditionalFormatting sqref="N200">
    <cfRule type="cellIs" dxfId="23287" priority="931" operator="greaterThan">
      <formula>0.9</formula>
    </cfRule>
    <cfRule type="cellIs" dxfId="23286" priority="932" operator="greaterThan">
      <formula>0.85</formula>
    </cfRule>
  </conditionalFormatting>
  <conditionalFormatting sqref="N201">
    <cfRule type="cellIs" dxfId="23285" priority="913" operator="greaterThan">
      <formula>0.9</formula>
    </cfRule>
    <cfRule type="cellIs" dxfId="23284" priority="914" operator="greaterThan">
      <formula>0.85</formula>
    </cfRule>
  </conditionalFormatting>
  <conditionalFormatting sqref="N202">
    <cfRule type="cellIs" dxfId="23283" priority="895" operator="greaterThan">
      <formula>0.9</formula>
    </cfRule>
    <cfRule type="cellIs" dxfId="23282" priority="896" operator="greaterThan">
      <formula>0.85</formula>
    </cfRule>
  </conditionalFormatting>
  <conditionalFormatting sqref="N203">
    <cfRule type="cellIs" dxfId="23281" priority="841" operator="greaterThan">
      <formula>0.9</formula>
    </cfRule>
    <cfRule type="cellIs" dxfId="23280" priority="842" operator="greaterThan">
      <formula>0.85</formula>
    </cfRule>
  </conditionalFormatting>
  <conditionalFormatting sqref="N204">
    <cfRule type="cellIs" dxfId="23279" priority="823" operator="greaterThan">
      <formula>0.9</formula>
    </cfRule>
    <cfRule type="cellIs" dxfId="23278" priority="824" operator="greaterThan">
      <formula>0.85</formula>
    </cfRule>
  </conditionalFormatting>
  <conditionalFormatting sqref="N205">
    <cfRule type="cellIs" dxfId="23277" priority="805" operator="greaterThan">
      <formula>0.9</formula>
    </cfRule>
    <cfRule type="cellIs" dxfId="23276" priority="806" operator="greaterThan">
      <formula>0.85</formula>
    </cfRule>
  </conditionalFormatting>
  <conditionalFormatting sqref="N206">
    <cfRule type="cellIs" dxfId="23275" priority="787" operator="greaterThan">
      <formula>0.9</formula>
    </cfRule>
    <cfRule type="cellIs" dxfId="23274" priority="788" operator="greaterThan">
      <formula>0.85</formula>
    </cfRule>
  </conditionalFormatting>
  <conditionalFormatting sqref="N207">
    <cfRule type="cellIs" dxfId="23273" priority="769" operator="greaterThan">
      <formula>0.9</formula>
    </cfRule>
    <cfRule type="cellIs" dxfId="23272" priority="770" operator="greaterThan">
      <formula>0.85</formula>
    </cfRule>
  </conditionalFormatting>
  <conditionalFormatting sqref="N208">
    <cfRule type="cellIs" dxfId="23271" priority="751" operator="greaterThan">
      <formula>0.9</formula>
    </cfRule>
    <cfRule type="cellIs" dxfId="23270" priority="752" operator="greaterThan">
      <formula>0.85</formula>
    </cfRule>
  </conditionalFormatting>
  <conditionalFormatting sqref="N209">
    <cfRule type="cellIs" dxfId="23269" priority="715" operator="greaterThan">
      <formula>0.9</formula>
    </cfRule>
    <cfRule type="cellIs" dxfId="23268" priority="716" operator="greaterThan">
      <formula>0.85</formula>
    </cfRule>
  </conditionalFormatting>
  <conditionalFormatting sqref="N210">
    <cfRule type="cellIs" dxfId="23267" priority="679" operator="greaterThan">
      <formula>0.9</formula>
    </cfRule>
    <cfRule type="cellIs" dxfId="23266" priority="680" operator="greaterThan">
      <formula>0.85</formula>
    </cfRule>
  </conditionalFormatting>
  <conditionalFormatting sqref="N211">
    <cfRule type="cellIs" dxfId="23265" priority="661" operator="greaterThan">
      <formula>0.9</formula>
    </cfRule>
    <cfRule type="cellIs" dxfId="23264" priority="662" operator="greaterThan">
      <formula>0.85</formula>
    </cfRule>
  </conditionalFormatting>
  <conditionalFormatting sqref="N212">
    <cfRule type="cellIs" dxfId="23263" priority="643" operator="greaterThan">
      <formula>0.9</formula>
    </cfRule>
    <cfRule type="cellIs" dxfId="23262" priority="644" operator="greaterThan">
      <formula>0.85</formula>
    </cfRule>
  </conditionalFormatting>
  <conditionalFormatting sqref="N213">
    <cfRule type="cellIs" dxfId="23261" priority="625" operator="greaterThan">
      <formula>0.9</formula>
    </cfRule>
    <cfRule type="cellIs" dxfId="23260" priority="626" operator="greaterThan">
      <formula>0.85</formula>
    </cfRule>
  </conditionalFormatting>
  <conditionalFormatting sqref="N214">
    <cfRule type="cellIs" dxfId="23259" priority="607" operator="greaterThan">
      <formula>0.9</formula>
    </cfRule>
    <cfRule type="cellIs" dxfId="23258" priority="608" operator="greaterThan">
      <formula>0.85</formula>
    </cfRule>
  </conditionalFormatting>
  <conditionalFormatting sqref="N215">
    <cfRule type="cellIs" dxfId="23257" priority="589" operator="greaterThan">
      <formula>0.9</formula>
    </cfRule>
    <cfRule type="cellIs" dxfId="23256" priority="590" operator="greaterThan">
      <formula>0.85</formula>
    </cfRule>
  </conditionalFormatting>
  <conditionalFormatting sqref="N216">
    <cfRule type="cellIs" dxfId="23255" priority="553" operator="greaterThan">
      <formula>0.9</formula>
    </cfRule>
    <cfRule type="cellIs" dxfId="23254" priority="554" operator="greaterThan">
      <formula>0.85</formula>
    </cfRule>
  </conditionalFormatting>
  <conditionalFormatting sqref="N217">
    <cfRule type="cellIs" dxfId="23253" priority="535" operator="greaterThan">
      <formula>0.9</formula>
    </cfRule>
    <cfRule type="cellIs" dxfId="23252" priority="536" operator="greaterThan">
      <formula>0.85</formula>
    </cfRule>
  </conditionalFormatting>
  <conditionalFormatting sqref="N218">
    <cfRule type="cellIs" dxfId="23251" priority="517" operator="greaterThan">
      <formula>0.9</formula>
    </cfRule>
    <cfRule type="cellIs" dxfId="23250" priority="518" operator="greaterThan">
      <formula>0.85</formula>
    </cfRule>
  </conditionalFormatting>
  <conditionalFormatting sqref="N219">
    <cfRule type="cellIs" dxfId="23249" priority="499" operator="greaterThan">
      <formula>0.9</formula>
    </cfRule>
    <cfRule type="cellIs" dxfId="23248" priority="500" operator="greaterThan">
      <formula>0.85</formula>
    </cfRule>
  </conditionalFormatting>
  <conditionalFormatting sqref="N220">
    <cfRule type="cellIs" dxfId="23247" priority="481" operator="greaterThan">
      <formula>0.9</formula>
    </cfRule>
    <cfRule type="cellIs" dxfId="23246" priority="482" operator="greaterThan">
      <formula>0.85</formula>
    </cfRule>
  </conditionalFormatting>
  <conditionalFormatting sqref="N221">
    <cfRule type="cellIs" dxfId="23245" priority="463" operator="greaterThan">
      <formula>0.9</formula>
    </cfRule>
    <cfRule type="cellIs" dxfId="23244" priority="464" operator="greaterThan">
      <formula>0.85</formula>
    </cfRule>
  </conditionalFormatting>
  <conditionalFormatting sqref="N222">
    <cfRule type="cellIs" dxfId="23243" priority="445" operator="greaterThan">
      <formula>0.9</formula>
    </cfRule>
    <cfRule type="cellIs" dxfId="23242" priority="446" operator="greaterThan">
      <formula>0.85</formula>
    </cfRule>
  </conditionalFormatting>
  <conditionalFormatting sqref="N223">
    <cfRule type="cellIs" dxfId="23241" priority="427" operator="greaterThan">
      <formula>0.9</formula>
    </cfRule>
    <cfRule type="cellIs" dxfId="23240" priority="428" operator="greaterThan">
      <formula>0.85</formula>
    </cfRule>
  </conditionalFormatting>
  <conditionalFormatting sqref="N224">
    <cfRule type="cellIs" dxfId="23239" priority="391" operator="greaterThan">
      <formula>0.9</formula>
    </cfRule>
    <cfRule type="cellIs" dxfId="23238" priority="392" operator="greaterThan">
      <formula>0.85</formula>
    </cfRule>
  </conditionalFormatting>
  <conditionalFormatting sqref="N225">
    <cfRule type="cellIs" dxfId="23237" priority="373" operator="greaterThan">
      <formula>0.9</formula>
    </cfRule>
    <cfRule type="cellIs" dxfId="23236" priority="374" operator="greaterThan">
      <formula>0.85</formula>
    </cfRule>
  </conditionalFormatting>
  <conditionalFormatting sqref="N226">
    <cfRule type="cellIs" dxfId="23235" priority="355" operator="greaterThan">
      <formula>0.9</formula>
    </cfRule>
    <cfRule type="cellIs" dxfId="23234" priority="356" operator="greaterThan">
      <formula>0.85</formula>
    </cfRule>
  </conditionalFormatting>
  <conditionalFormatting sqref="N227">
    <cfRule type="cellIs" dxfId="23233" priority="337" operator="greaterThan">
      <formula>0.9</formula>
    </cfRule>
    <cfRule type="cellIs" dxfId="23232" priority="338" operator="greaterThan">
      <formula>0.85</formula>
    </cfRule>
  </conditionalFormatting>
  <conditionalFormatting sqref="N228">
    <cfRule type="cellIs" dxfId="23231" priority="319" operator="greaterThan">
      <formula>0.9</formula>
    </cfRule>
    <cfRule type="cellIs" dxfId="23230" priority="320" operator="greaterThan">
      <formula>0.85</formula>
    </cfRule>
  </conditionalFormatting>
  <conditionalFormatting sqref="N229">
    <cfRule type="cellIs" dxfId="23229" priority="301" operator="greaterThan">
      <formula>0.9</formula>
    </cfRule>
    <cfRule type="cellIs" dxfId="23228" priority="302" operator="greaterThan">
      <formula>0.85</formula>
    </cfRule>
  </conditionalFormatting>
  <conditionalFormatting sqref="N230">
    <cfRule type="cellIs" dxfId="23227" priority="283" operator="greaterThan">
      <formula>0.9</formula>
    </cfRule>
    <cfRule type="cellIs" dxfId="23226" priority="284" operator="greaterThan">
      <formula>0.85</formula>
    </cfRule>
  </conditionalFormatting>
  <conditionalFormatting sqref="N231">
    <cfRule type="cellIs" dxfId="23225" priority="265" operator="greaterThan">
      <formula>0.9</formula>
    </cfRule>
    <cfRule type="cellIs" dxfId="23224" priority="266" operator="greaterThan">
      <formula>0.85</formula>
    </cfRule>
  </conditionalFormatting>
  <conditionalFormatting sqref="N232">
    <cfRule type="cellIs" dxfId="23223" priority="247" operator="greaterThan">
      <formula>0.9</formula>
    </cfRule>
    <cfRule type="cellIs" dxfId="23222" priority="248" operator="greaterThan">
      <formula>0.85</formula>
    </cfRule>
  </conditionalFormatting>
  <conditionalFormatting sqref="N233">
    <cfRule type="cellIs" dxfId="23221" priority="229" operator="greaterThan">
      <formula>0.9</formula>
    </cfRule>
    <cfRule type="cellIs" dxfId="23220" priority="230" operator="greaterThan">
      <formula>0.85</formula>
    </cfRule>
  </conditionalFormatting>
  <conditionalFormatting sqref="N234">
    <cfRule type="cellIs" dxfId="23219" priority="211" operator="greaterThan">
      <formula>0.9</formula>
    </cfRule>
    <cfRule type="cellIs" dxfId="23218" priority="212" operator="greaterThan">
      <formula>0.85</formula>
    </cfRule>
  </conditionalFormatting>
  <conditionalFormatting sqref="N235">
    <cfRule type="cellIs" dxfId="23217" priority="193" operator="greaterThan">
      <formula>0.9</formula>
    </cfRule>
    <cfRule type="cellIs" dxfId="23216" priority="194" operator="greaterThan">
      <formula>0.85</formula>
    </cfRule>
  </conditionalFormatting>
  <conditionalFormatting sqref="N236">
    <cfRule type="cellIs" dxfId="23215" priority="175" operator="greaterThan">
      <formula>0.9</formula>
    </cfRule>
    <cfRule type="cellIs" dxfId="23214" priority="176" operator="greaterThan">
      <formula>0.85</formula>
    </cfRule>
  </conditionalFormatting>
  <conditionalFormatting sqref="N237">
    <cfRule type="cellIs" dxfId="23213" priority="157" operator="greaterThan">
      <formula>0.9</formula>
    </cfRule>
    <cfRule type="cellIs" dxfId="23212" priority="158" operator="greaterThan">
      <formula>0.85</formula>
    </cfRule>
  </conditionalFormatting>
  <conditionalFormatting sqref="N238">
    <cfRule type="cellIs" dxfId="23211" priority="139" operator="greaterThan">
      <formula>0.9</formula>
    </cfRule>
    <cfRule type="cellIs" dxfId="23210" priority="140" operator="greaterThan">
      <formula>0.85</formula>
    </cfRule>
  </conditionalFormatting>
  <conditionalFormatting sqref="N239">
    <cfRule type="cellIs" dxfId="23209" priority="121" operator="greaterThan">
      <formula>0.9</formula>
    </cfRule>
    <cfRule type="cellIs" dxfId="23208" priority="122" operator="greaterThan">
      <formula>0.85</formula>
    </cfRule>
  </conditionalFormatting>
  <conditionalFormatting sqref="N240">
    <cfRule type="cellIs" dxfId="23207" priority="103" operator="greaterThan">
      <formula>0.9</formula>
    </cfRule>
    <cfRule type="cellIs" dxfId="23206" priority="104" operator="greaterThan">
      <formula>0.85</formula>
    </cfRule>
  </conditionalFormatting>
  <conditionalFormatting sqref="N241">
    <cfRule type="cellIs" dxfId="23205" priority="85" operator="greaterThan">
      <formula>0.9</formula>
    </cfRule>
    <cfRule type="cellIs" dxfId="23204" priority="86" operator="greaterThan">
      <formula>0.85</formula>
    </cfRule>
  </conditionalFormatting>
  <conditionalFormatting sqref="N242">
    <cfRule type="cellIs" dxfId="23203" priority="67" operator="greaterThan">
      <formula>0.9</formula>
    </cfRule>
    <cfRule type="cellIs" dxfId="23202" priority="68" operator="greaterThan">
      <formula>0.85</formula>
    </cfRule>
  </conditionalFormatting>
  <conditionalFormatting sqref="N243">
    <cfRule type="cellIs" dxfId="23201" priority="49" operator="greaterThan">
      <formula>0.9</formula>
    </cfRule>
    <cfRule type="cellIs" dxfId="23200" priority="50" operator="greaterThan">
      <formula>0.85</formula>
    </cfRule>
  </conditionalFormatting>
  <conditionalFormatting sqref="N244">
    <cfRule type="cellIs" dxfId="23199" priority="31" operator="greaterThan">
      <formula>0.9</formula>
    </cfRule>
    <cfRule type="cellIs" dxfId="23198" priority="32" operator="greaterThan">
      <formula>0.85</formula>
    </cfRule>
  </conditionalFormatting>
  <conditionalFormatting sqref="E4:E245">
    <cfRule type="expression" dxfId="23197" priority="84058">
      <formula>AND(IF(OR($Q4=1,$Q4=2),1,0),IF(#REF!&lt;=20,1,0))</formula>
    </cfRule>
    <cfRule type="expression" dxfId="23196" priority="84059">
      <formula>AND(IF($Q4=2,1,0),IF(#REF!&lt;30,1,0))</formula>
    </cfRule>
    <cfRule type="expression" dxfId="23195" priority="84060">
      <formula>AND(IF($Q4=3,1,0),IF(#REF!&lt;30,1,0))</formula>
    </cfRule>
    <cfRule type="expression" dxfId="23194" priority="84061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topLeftCell="A16" zoomScaleNormal="100" workbookViewId="0">
      <selection activeCell="G17" sqref="G17"/>
    </sheetView>
  </sheetViews>
  <sheetFormatPr defaultColWidth="17.5" defaultRowHeight="13.5" x14ac:dyDescent="0.3"/>
  <cols>
    <col min="1" max="1" width="4.625" style="76" bestFit="1" customWidth="1"/>
    <col min="2" max="2" width="3.375" style="76" customWidth="1"/>
    <col min="3" max="3" width="4.625" style="76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6" customWidth="1"/>
    <col min="51" max="16384" width="17.5" style="76"/>
  </cols>
  <sheetData>
    <row r="1" spans="1:48" x14ac:dyDescent="0.3"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</row>
    <row r="2" spans="1:48" x14ac:dyDescent="0.3"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</row>
    <row r="3" spans="1:48" x14ac:dyDescent="0.3"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</row>
    <row r="4" spans="1:48" x14ac:dyDescent="0.3">
      <c r="A4" s="121" t="s">
        <v>69</v>
      </c>
      <c r="B4" s="122"/>
      <c r="C4" s="122"/>
      <c r="D4" s="76" t="s">
        <v>1658</v>
      </c>
      <c r="E4" s="76" t="s">
        <v>1659</v>
      </c>
      <c r="F4" s="76" t="s">
        <v>1660</v>
      </c>
      <c r="G4" s="76" t="s">
        <v>1661</v>
      </c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121" t="s">
        <v>70</v>
      </c>
      <c r="B5" s="122"/>
      <c r="C5" s="122"/>
    </row>
    <row r="6" spans="1:48" x14ac:dyDescent="0.3">
      <c r="A6" s="121" t="s">
        <v>71</v>
      </c>
      <c r="B6" s="122"/>
      <c r="C6" s="122"/>
    </row>
    <row r="7" spans="1:48" x14ac:dyDescent="0.3">
      <c r="A7" s="51" t="s">
        <v>72</v>
      </c>
      <c r="B7" s="52"/>
      <c r="C7" s="53"/>
      <c r="D7" s="54" t="str">
        <f t="shared" ref="D7:W7" si="0">D4&amp;IF(D5="","",","&amp;D5)&amp;IF(D6="","",","&amp;D6)</f>
        <v>미장동</v>
      </c>
      <c r="E7" s="54" t="str">
        <f t="shared" si="0"/>
        <v>수송동</v>
      </c>
      <c r="F7" s="54" t="str">
        <f t="shared" si="0"/>
        <v>나운동</v>
      </c>
      <c r="G7" s="54" t="str">
        <f t="shared" si="0"/>
        <v>조촌동</v>
      </c>
      <c r="H7" s="54" t="str">
        <f t="shared" si="0"/>
        <v/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89">
        <v>8</v>
      </c>
      <c r="B8" s="57" t="s">
        <v>73</v>
      </c>
      <c r="C8" s="90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91">
        <v>7</v>
      </c>
      <c r="B9" s="59" t="s">
        <v>73</v>
      </c>
      <c r="C9" s="92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93">
        <v>6</v>
      </c>
      <c r="B10" s="55" t="s">
        <v>73</v>
      </c>
      <c r="C10" s="94">
        <v>7</v>
      </c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x14ac:dyDescent="0.3">
      <c r="A11" s="93">
        <v>5</v>
      </c>
      <c r="B11" s="55" t="s">
        <v>73</v>
      </c>
      <c r="C11" s="94">
        <v>6</v>
      </c>
      <c r="D11" s="56"/>
      <c r="E11" s="56"/>
      <c r="F11" s="56"/>
      <c r="G11" s="56" t="s">
        <v>1662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36" x14ac:dyDescent="0.3">
      <c r="A12" s="93">
        <v>4</v>
      </c>
      <c r="B12" s="55" t="s">
        <v>73</v>
      </c>
      <c r="C12" s="94">
        <v>5</v>
      </c>
      <c r="D12" s="56" t="s">
        <v>1664</v>
      </c>
      <c r="E12" s="56"/>
      <c r="F12" s="56"/>
      <c r="G12" s="56" t="s">
        <v>1666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48" x14ac:dyDescent="0.3">
      <c r="A13" s="95">
        <v>3</v>
      </c>
      <c r="B13" s="60" t="s">
        <v>73</v>
      </c>
      <c r="C13" s="96">
        <v>4</v>
      </c>
      <c r="D13" s="61" t="s">
        <v>1670</v>
      </c>
      <c r="E13" s="61" t="s">
        <v>1672</v>
      </c>
      <c r="F13" s="61"/>
      <c r="G13" s="61" t="s">
        <v>1668</v>
      </c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24" x14ac:dyDescent="0.3">
      <c r="A14" s="95">
        <v>2.5</v>
      </c>
      <c r="B14" s="60" t="s">
        <v>73</v>
      </c>
      <c r="C14" s="96">
        <v>3</v>
      </c>
      <c r="D14" s="61" t="s">
        <v>1674</v>
      </c>
      <c r="E14" s="61" t="s">
        <v>1676</v>
      </c>
      <c r="F14" s="61"/>
      <c r="G14" s="61" t="s">
        <v>1678</v>
      </c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24" x14ac:dyDescent="0.3">
      <c r="A15" s="95">
        <v>2</v>
      </c>
      <c r="B15" s="60" t="s">
        <v>73</v>
      </c>
      <c r="C15" s="96">
        <v>2.5</v>
      </c>
      <c r="D15" s="61" t="s">
        <v>1686</v>
      </c>
      <c r="E15" s="61" t="s">
        <v>1688</v>
      </c>
      <c r="F15" s="61" t="s">
        <v>1681</v>
      </c>
      <c r="G15" s="61" t="s">
        <v>1684</v>
      </c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96" x14ac:dyDescent="0.3">
      <c r="A16" s="97">
        <v>1.5</v>
      </c>
      <c r="B16" s="62" t="s">
        <v>73</v>
      </c>
      <c r="C16" s="98">
        <v>2</v>
      </c>
      <c r="D16" s="63" t="s">
        <v>1700</v>
      </c>
      <c r="E16" s="63" t="s">
        <v>1694</v>
      </c>
      <c r="F16" s="63" t="s">
        <v>1698</v>
      </c>
      <c r="G16" s="63" t="s">
        <v>1696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180" x14ac:dyDescent="0.3">
      <c r="A17" s="97">
        <v>1</v>
      </c>
      <c r="B17" s="62" t="s">
        <v>73</v>
      </c>
      <c r="C17" s="98">
        <v>1.5</v>
      </c>
      <c r="D17" s="63"/>
      <c r="E17" s="63" t="s">
        <v>1702</v>
      </c>
      <c r="F17" s="63" t="s">
        <v>1707</v>
      </c>
      <c r="G17" s="63" t="s">
        <v>1705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60</v>
      </c>
      <c r="B20" s="52"/>
      <c r="C20" s="53"/>
      <c r="D20" s="54" t="str">
        <f t="shared" ref="D20:W20" si="1">D7</f>
        <v>미장동</v>
      </c>
      <c r="E20" s="54" t="str">
        <f t="shared" si="1"/>
        <v>수송동</v>
      </c>
      <c r="F20" s="54" t="str">
        <f t="shared" si="1"/>
        <v>나운동</v>
      </c>
      <c r="G20" s="54" t="str">
        <f t="shared" si="1"/>
        <v>조촌동</v>
      </c>
      <c r="H20" s="54" t="str">
        <f t="shared" si="1"/>
        <v/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89">
        <f t="shared" ref="A21:C30" si="2">IF(A8="","",A8)</f>
        <v>8</v>
      </c>
      <c r="B21" s="57" t="str">
        <f t="shared" si="2"/>
        <v>~</v>
      </c>
      <c r="C21" s="90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91">
        <f t="shared" si="2"/>
        <v>7</v>
      </c>
      <c r="B22" s="59" t="str">
        <f t="shared" si="2"/>
        <v>~</v>
      </c>
      <c r="C22" s="92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93">
        <f t="shared" si="2"/>
        <v>6</v>
      </c>
      <c r="B23" s="55" t="str">
        <f t="shared" si="2"/>
        <v>~</v>
      </c>
      <c r="C23" s="94">
        <f t="shared" si="2"/>
        <v>7</v>
      </c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x14ac:dyDescent="0.3">
      <c r="A24" s="93">
        <f t="shared" si="2"/>
        <v>5</v>
      </c>
      <c r="B24" s="55" t="str">
        <f t="shared" si="2"/>
        <v>~</v>
      </c>
      <c r="C24" s="94">
        <f t="shared" si="2"/>
        <v>6</v>
      </c>
      <c r="D24" s="56"/>
      <c r="E24" s="56"/>
      <c r="F24" s="56"/>
      <c r="G24" s="56" t="s">
        <v>1663</v>
      </c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36" x14ac:dyDescent="0.3">
      <c r="A25" s="93">
        <f t="shared" si="2"/>
        <v>4</v>
      </c>
      <c r="B25" s="55" t="str">
        <f t="shared" si="2"/>
        <v>~</v>
      </c>
      <c r="C25" s="94">
        <f t="shared" si="2"/>
        <v>5</v>
      </c>
      <c r="D25" s="56" t="s">
        <v>1665</v>
      </c>
      <c r="E25" s="56"/>
      <c r="F25" s="56"/>
      <c r="G25" s="56" t="s">
        <v>1667</v>
      </c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48" x14ac:dyDescent="0.3">
      <c r="A26" s="95">
        <f t="shared" si="2"/>
        <v>3</v>
      </c>
      <c r="B26" s="60" t="str">
        <f t="shared" si="2"/>
        <v>~</v>
      </c>
      <c r="C26" s="96">
        <f t="shared" si="2"/>
        <v>4</v>
      </c>
      <c r="D26" s="61" t="s">
        <v>1671</v>
      </c>
      <c r="E26" s="61" t="s">
        <v>1673</v>
      </c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x14ac:dyDescent="0.3">
      <c r="A27" s="95">
        <f t="shared" si="2"/>
        <v>2.5</v>
      </c>
      <c r="B27" s="60" t="str">
        <f t="shared" si="2"/>
        <v>~</v>
      </c>
      <c r="C27" s="96">
        <f t="shared" si="2"/>
        <v>3</v>
      </c>
      <c r="D27" s="61"/>
      <c r="E27" s="61" t="s">
        <v>1677</v>
      </c>
      <c r="F27" s="61"/>
      <c r="G27" s="61" t="s">
        <v>1679</v>
      </c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95">
        <f t="shared" si="2"/>
        <v>2</v>
      </c>
      <c r="B28" s="60" t="str">
        <f t="shared" si="2"/>
        <v>~</v>
      </c>
      <c r="C28" s="96">
        <f t="shared" si="2"/>
        <v>2.5</v>
      </c>
      <c r="D28" s="61" t="s">
        <v>1687</v>
      </c>
      <c r="E28" s="61" t="s">
        <v>1689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60" x14ac:dyDescent="0.3">
      <c r="A29" s="97">
        <f t="shared" si="2"/>
        <v>1.5</v>
      </c>
      <c r="B29" s="62" t="str">
        <f t="shared" si="2"/>
        <v>~</v>
      </c>
      <c r="C29" s="98">
        <f t="shared" si="2"/>
        <v>2</v>
      </c>
      <c r="D29" s="63"/>
      <c r="E29" s="63" t="s">
        <v>1691</v>
      </c>
      <c r="F29" s="63" t="s">
        <v>1699</v>
      </c>
      <c r="G29" s="63" t="s">
        <v>1697</v>
      </c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ht="60" x14ac:dyDescent="0.3">
      <c r="A30" s="97">
        <f t="shared" si="2"/>
        <v>1</v>
      </c>
      <c r="B30" s="62" t="str">
        <f t="shared" si="2"/>
        <v>~</v>
      </c>
      <c r="C30" s="98">
        <f t="shared" si="2"/>
        <v>1.5</v>
      </c>
      <c r="D30" s="63"/>
      <c r="E30" s="63" t="s">
        <v>1703</v>
      </c>
      <c r="F30" s="63" t="s">
        <v>1704</v>
      </c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74</v>
      </c>
      <c r="B33" s="52"/>
      <c r="C33" s="53"/>
      <c r="D33" s="54" t="str">
        <f t="shared" ref="D33:W33" si="3">D20</f>
        <v>미장동</v>
      </c>
      <c r="E33" s="54" t="str">
        <f t="shared" si="3"/>
        <v>수송동</v>
      </c>
      <c r="F33" s="54" t="str">
        <f t="shared" si="3"/>
        <v>나운동</v>
      </c>
      <c r="G33" s="54" t="str">
        <f t="shared" si="3"/>
        <v>조촌동</v>
      </c>
      <c r="H33" s="54" t="str">
        <f t="shared" si="3"/>
        <v/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89">
        <f t="shared" ref="A34:C43" si="4">IF(A21="","",A21)</f>
        <v>8</v>
      </c>
      <c r="B34" s="57" t="str">
        <f t="shared" si="4"/>
        <v>~</v>
      </c>
      <c r="C34" s="90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1">
        <f t="shared" si="4"/>
        <v>7</v>
      </c>
      <c r="B35" s="59" t="str">
        <f t="shared" si="4"/>
        <v>~</v>
      </c>
      <c r="C35" s="92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93">
        <f t="shared" si="4"/>
        <v>6</v>
      </c>
      <c r="B36" s="55" t="str">
        <f t="shared" si="4"/>
        <v>~</v>
      </c>
      <c r="C36" s="94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93">
        <f t="shared" si="4"/>
        <v>5</v>
      </c>
      <c r="B37" s="55" t="str">
        <f t="shared" si="4"/>
        <v>~</v>
      </c>
      <c r="C37" s="94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93">
        <f t="shared" si="4"/>
        <v>4</v>
      </c>
      <c r="B38" s="55" t="str">
        <f t="shared" si="4"/>
        <v>~</v>
      </c>
      <c r="C38" s="94">
        <f t="shared" si="4"/>
        <v>5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24" x14ac:dyDescent="0.3">
      <c r="A39" s="95">
        <f t="shared" si="4"/>
        <v>3</v>
      </c>
      <c r="B39" s="60" t="str">
        <f t="shared" si="4"/>
        <v>~</v>
      </c>
      <c r="C39" s="96">
        <f t="shared" si="4"/>
        <v>4</v>
      </c>
      <c r="D39" s="61"/>
      <c r="E39" s="61"/>
      <c r="F39" s="61"/>
      <c r="G39" s="61" t="s">
        <v>1669</v>
      </c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24" x14ac:dyDescent="0.3">
      <c r="A40" s="95">
        <f t="shared" si="4"/>
        <v>2.5</v>
      </c>
      <c r="B40" s="60" t="str">
        <f t="shared" si="4"/>
        <v>~</v>
      </c>
      <c r="C40" s="96">
        <f t="shared" si="4"/>
        <v>3</v>
      </c>
      <c r="D40" s="61" t="s">
        <v>1675</v>
      </c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95">
        <f t="shared" si="4"/>
        <v>2</v>
      </c>
      <c r="B41" s="60" t="str">
        <f t="shared" si="4"/>
        <v>~</v>
      </c>
      <c r="C41" s="96">
        <f t="shared" si="4"/>
        <v>2.5</v>
      </c>
      <c r="D41" s="61" t="s">
        <v>1680</v>
      </c>
      <c r="E41" s="61" t="s">
        <v>1683</v>
      </c>
      <c r="F41" s="61" t="s">
        <v>1682</v>
      </c>
      <c r="G41" s="61" t="s">
        <v>1685</v>
      </c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x14ac:dyDescent="0.3">
      <c r="A42" s="97">
        <f t="shared" si="4"/>
        <v>1.5</v>
      </c>
      <c r="B42" s="62" t="str">
        <f t="shared" si="4"/>
        <v>~</v>
      </c>
      <c r="C42" s="98">
        <f t="shared" si="4"/>
        <v>2</v>
      </c>
      <c r="D42" s="63" t="s">
        <v>1701</v>
      </c>
      <c r="E42" s="63" t="s">
        <v>1695</v>
      </c>
      <c r="F42" s="63" t="s">
        <v>1690</v>
      </c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120" x14ac:dyDescent="0.3">
      <c r="A43" s="97">
        <f t="shared" si="4"/>
        <v>1</v>
      </c>
      <c r="B43" s="62" t="str">
        <f t="shared" si="4"/>
        <v>~</v>
      </c>
      <c r="C43" s="98">
        <f t="shared" si="4"/>
        <v>1.5</v>
      </c>
      <c r="D43" s="63"/>
      <c r="E43" s="63"/>
      <c r="F43" s="63" t="s">
        <v>1708</v>
      </c>
      <c r="G43" s="63" t="s">
        <v>1706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75</v>
      </c>
      <c r="B46" s="52"/>
      <c r="C46" s="53"/>
      <c r="D46" s="54" t="str">
        <f t="shared" ref="D46:W46" si="5">D33</f>
        <v>미장동</v>
      </c>
      <c r="E46" s="54" t="str">
        <f t="shared" si="5"/>
        <v>수송동</v>
      </c>
      <c r="F46" s="54" t="str">
        <f t="shared" si="5"/>
        <v>나운동</v>
      </c>
      <c r="G46" s="54" t="str">
        <f t="shared" si="5"/>
        <v>조촌동</v>
      </c>
      <c r="H46" s="54" t="str">
        <f t="shared" si="5"/>
        <v/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89">
        <f t="shared" ref="A47:C56" si="6">IF(A34="","",A34)</f>
        <v>8</v>
      </c>
      <c r="B47" s="57" t="str">
        <f t="shared" si="6"/>
        <v>~</v>
      </c>
      <c r="C47" s="90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1">
        <f t="shared" si="6"/>
        <v>7</v>
      </c>
      <c r="B48" s="59" t="str">
        <f t="shared" si="6"/>
        <v>~</v>
      </c>
      <c r="C48" s="92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3">
        <f t="shared" si="6"/>
        <v>6</v>
      </c>
      <c r="B49" s="55" t="str">
        <f t="shared" si="6"/>
        <v>~</v>
      </c>
      <c r="C49" s="94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3">
        <f t="shared" si="6"/>
        <v>5</v>
      </c>
      <c r="B50" s="55" t="str">
        <f t="shared" si="6"/>
        <v>~</v>
      </c>
      <c r="C50" s="94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93">
        <f t="shared" si="6"/>
        <v>4</v>
      </c>
      <c r="B51" s="55" t="str">
        <f t="shared" si="6"/>
        <v>~</v>
      </c>
      <c r="C51" s="94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95">
        <f t="shared" si="6"/>
        <v>3</v>
      </c>
      <c r="B52" s="60" t="str">
        <f t="shared" si="6"/>
        <v>~</v>
      </c>
      <c r="C52" s="96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95">
        <f t="shared" si="6"/>
        <v>2.5</v>
      </c>
      <c r="B53" s="60" t="str">
        <f t="shared" si="6"/>
        <v>~</v>
      </c>
      <c r="C53" s="96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95">
        <f t="shared" si="6"/>
        <v>2</v>
      </c>
      <c r="B54" s="60" t="str">
        <f t="shared" si="6"/>
        <v>~</v>
      </c>
      <c r="C54" s="96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97">
        <f t="shared" si="6"/>
        <v>1.5</v>
      </c>
      <c r="B55" s="62" t="str">
        <f t="shared" si="6"/>
        <v>~</v>
      </c>
      <c r="C55" s="98">
        <f t="shared" si="6"/>
        <v>2</v>
      </c>
      <c r="D55" s="63"/>
      <c r="E55" s="63" t="s">
        <v>1692</v>
      </c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97">
        <f t="shared" si="6"/>
        <v>1</v>
      </c>
      <c r="B56" s="62" t="str">
        <f t="shared" si="6"/>
        <v>~</v>
      </c>
      <c r="C56" s="98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67</v>
      </c>
      <c r="B59" s="52"/>
      <c r="C59" s="53"/>
      <c r="D59" s="54" t="str">
        <f t="shared" ref="D59:W59" si="7">D46</f>
        <v>미장동</v>
      </c>
      <c r="E59" s="54" t="str">
        <f t="shared" si="7"/>
        <v>수송동</v>
      </c>
      <c r="F59" s="54" t="str">
        <f t="shared" si="7"/>
        <v>나운동</v>
      </c>
      <c r="G59" s="54" t="str">
        <f t="shared" si="7"/>
        <v>조촌동</v>
      </c>
      <c r="H59" s="54" t="str">
        <f t="shared" si="7"/>
        <v/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89">
        <f t="shared" ref="A60:C69" si="8">IF(A47="","",A47)</f>
        <v>8</v>
      </c>
      <c r="B60" s="57" t="str">
        <f t="shared" si="8"/>
        <v>~</v>
      </c>
      <c r="C60" s="90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1">
        <f t="shared" si="8"/>
        <v>7</v>
      </c>
      <c r="B61" s="59" t="str">
        <f t="shared" si="8"/>
        <v>~</v>
      </c>
      <c r="C61" s="92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3">
        <f t="shared" si="8"/>
        <v>6</v>
      </c>
      <c r="B62" s="55" t="str">
        <f t="shared" si="8"/>
        <v>~</v>
      </c>
      <c r="C62" s="94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3">
        <f t="shared" si="8"/>
        <v>5</v>
      </c>
      <c r="B63" s="55" t="str">
        <f t="shared" si="8"/>
        <v>~</v>
      </c>
      <c r="C63" s="94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3">
        <f t="shared" si="8"/>
        <v>4</v>
      </c>
      <c r="B64" s="55" t="str">
        <f t="shared" si="8"/>
        <v>~</v>
      </c>
      <c r="C64" s="94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95">
        <f t="shared" si="8"/>
        <v>3</v>
      </c>
      <c r="B65" s="60" t="str">
        <f t="shared" si="8"/>
        <v>~</v>
      </c>
      <c r="C65" s="96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95">
        <f t="shared" si="8"/>
        <v>2.5</v>
      </c>
      <c r="B66" s="60" t="str">
        <f t="shared" si="8"/>
        <v>~</v>
      </c>
      <c r="C66" s="96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95">
        <f t="shared" si="8"/>
        <v>2</v>
      </c>
      <c r="B67" s="60" t="str">
        <f t="shared" si="8"/>
        <v>~</v>
      </c>
      <c r="C67" s="96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ht="24" x14ac:dyDescent="0.3">
      <c r="A68" s="97">
        <f t="shared" si="8"/>
        <v>1.5</v>
      </c>
      <c r="B68" s="62" t="str">
        <f t="shared" si="8"/>
        <v>~</v>
      </c>
      <c r="C68" s="98">
        <f t="shared" si="8"/>
        <v>2</v>
      </c>
      <c r="D68" s="63"/>
      <c r="E68" s="63"/>
      <c r="F68" s="63" t="s">
        <v>1693</v>
      </c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97">
        <f t="shared" si="8"/>
        <v>1</v>
      </c>
      <c r="B69" s="62" t="str">
        <f t="shared" si="8"/>
        <v>~</v>
      </c>
      <c r="C69" s="98">
        <f t="shared" si="8"/>
        <v>1.5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76</v>
      </c>
      <c r="B1" s="71"/>
    </row>
    <row r="2" spans="1:2" x14ac:dyDescent="0.3">
      <c r="A2" s="78" t="s">
        <v>77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678"/>
  <sheetViews>
    <sheetView zoomScaleNormal="100" workbookViewId="0">
      <selection activeCell="M8" sqref="M8"/>
    </sheetView>
  </sheetViews>
  <sheetFormatPr defaultRowHeight="16.5" x14ac:dyDescent="0.3"/>
  <cols>
    <col min="1" max="38" width="9" style="78" customWidth="1"/>
  </cols>
  <sheetData>
    <row r="1" spans="1:38" x14ac:dyDescent="0.3">
      <c r="A1" s="78" t="s">
        <v>78</v>
      </c>
      <c r="B1" s="78">
        <v>4952</v>
      </c>
      <c r="C1" s="78">
        <v>1</v>
      </c>
      <c r="D1" s="78" t="s">
        <v>79</v>
      </c>
      <c r="E1" s="78" t="s">
        <v>80</v>
      </c>
      <c r="F1" s="78">
        <v>304</v>
      </c>
      <c r="G1" s="78">
        <v>23.24</v>
      </c>
      <c r="H1" s="78">
        <v>76.83</v>
      </c>
      <c r="I1" s="78">
        <v>17.920000000000002</v>
      </c>
      <c r="J1" s="78">
        <v>59.25</v>
      </c>
      <c r="K1" s="78">
        <v>138</v>
      </c>
      <c r="T1" s="78">
        <v>3</v>
      </c>
      <c r="U1" s="78">
        <v>1</v>
      </c>
      <c r="V1" s="78" t="s">
        <v>81</v>
      </c>
      <c r="W1" s="78">
        <v>76</v>
      </c>
      <c r="X1" s="78">
        <v>15</v>
      </c>
      <c r="Y1" s="78">
        <v>7</v>
      </c>
      <c r="Z1" s="78" t="s">
        <v>82</v>
      </c>
      <c r="AA1" s="78" t="s">
        <v>83</v>
      </c>
      <c r="AB1" s="78" t="s">
        <v>84</v>
      </c>
      <c r="AC1" s="78" t="s">
        <v>85</v>
      </c>
      <c r="AD1" s="78" t="s">
        <v>86</v>
      </c>
      <c r="AG1" s="78" t="s">
        <v>87</v>
      </c>
      <c r="AH1" s="78">
        <v>0</v>
      </c>
      <c r="AI1" s="78">
        <v>0</v>
      </c>
      <c r="AJ1" s="78">
        <v>0</v>
      </c>
      <c r="AK1" s="78">
        <v>0</v>
      </c>
      <c r="AL1" s="78">
        <v>0</v>
      </c>
    </row>
    <row r="2" spans="1:38" x14ac:dyDescent="0.3">
      <c r="A2" s="78" t="s">
        <v>78</v>
      </c>
      <c r="B2" s="78">
        <v>4952</v>
      </c>
      <c r="C2" s="78">
        <v>2</v>
      </c>
      <c r="D2" s="78" t="s">
        <v>79</v>
      </c>
      <c r="E2" s="78" t="s">
        <v>80</v>
      </c>
      <c r="F2" s="78">
        <v>304</v>
      </c>
      <c r="G2" s="78">
        <v>27.55</v>
      </c>
      <c r="H2" s="78">
        <v>91.1</v>
      </c>
      <c r="I2" s="78">
        <v>22.42</v>
      </c>
      <c r="J2" s="78">
        <v>74.14</v>
      </c>
      <c r="K2" s="78">
        <v>87</v>
      </c>
      <c r="T2" s="78">
        <v>3</v>
      </c>
      <c r="U2" s="78">
        <v>2</v>
      </c>
      <c r="V2" s="78" t="s">
        <v>88</v>
      </c>
      <c r="W2" s="78">
        <v>91</v>
      </c>
      <c r="X2" s="78">
        <v>15</v>
      </c>
      <c r="Y2" s="78">
        <v>7</v>
      </c>
      <c r="Z2" s="78" t="s">
        <v>82</v>
      </c>
      <c r="AA2" s="78" t="s">
        <v>83</v>
      </c>
      <c r="AB2" s="78" t="s">
        <v>84</v>
      </c>
      <c r="AC2" s="78" t="s">
        <v>85</v>
      </c>
      <c r="AD2" s="78" t="s">
        <v>86</v>
      </c>
      <c r="AG2" s="78" t="s">
        <v>87</v>
      </c>
      <c r="AH2" s="78">
        <v>0</v>
      </c>
      <c r="AI2" s="78">
        <v>0</v>
      </c>
      <c r="AJ2" s="78">
        <v>0</v>
      </c>
      <c r="AK2" s="78">
        <v>0</v>
      </c>
      <c r="AL2" s="78">
        <v>0</v>
      </c>
    </row>
    <row r="3" spans="1:38" x14ac:dyDescent="0.3">
      <c r="A3" s="78" t="s">
        <v>78</v>
      </c>
      <c r="B3" s="78">
        <v>4952</v>
      </c>
      <c r="C3" s="78">
        <v>3</v>
      </c>
      <c r="D3" s="78" t="s">
        <v>79</v>
      </c>
      <c r="E3" s="78" t="s">
        <v>80</v>
      </c>
      <c r="F3" s="78">
        <v>304</v>
      </c>
      <c r="G3" s="78">
        <v>31.9</v>
      </c>
      <c r="H3" s="78">
        <v>105.47</v>
      </c>
      <c r="I3" s="78">
        <v>25.71</v>
      </c>
      <c r="J3" s="78">
        <v>85</v>
      </c>
      <c r="K3" s="78">
        <v>79</v>
      </c>
      <c r="T3" s="78">
        <v>3</v>
      </c>
      <c r="U3" s="78">
        <v>2</v>
      </c>
      <c r="V3" s="78" t="s">
        <v>88</v>
      </c>
      <c r="W3" s="78">
        <v>105</v>
      </c>
      <c r="X3" s="78">
        <v>15</v>
      </c>
      <c r="Y3" s="78">
        <v>7</v>
      </c>
      <c r="Z3" s="78" t="s">
        <v>82</v>
      </c>
      <c r="AA3" s="78" t="s">
        <v>83</v>
      </c>
      <c r="AB3" s="78" t="s">
        <v>84</v>
      </c>
      <c r="AC3" s="78" t="s">
        <v>85</v>
      </c>
      <c r="AD3" s="78" t="s">
        <v>86</v>
      </c>
      <c r="AG3" s="78" t="s">
        <v>87</v>
      </c>
      <c r="AH3" s="78">
        <v>0</v>
      </c>
      <c r="AI3" s="78">
        <v>0</v>
      </c>
      <c r="AJ3" s="78">
        <v>0</v>
      </c>
      <c r="AK3" s="78">
        <v>0</v>
      </c>
      <c r="AL3" s="78">
        <v>0</v>
      </c>
    </row>
    <row r="4" spans="1:38" x14ac:dyDescent="0.3">
      <c r="A4" s="78" t="s">
        <v>78</v>
      </c>
      <c r="B4" s="78">
        <v>16980</v>
      </c>
      <c r="C4" s="78">
        <v>1</v>
      </c>
      <c r="D4" s="78" t="s">
        <v>89</v>
      </c>
      <c r="E4" s="78" t="s">
        <v>90</v>
      </c>
      <c r="F4" s="78">
        <v>72</v>
      </c>
      <c r="G4" s="78">
        <v>22.84</v>
      </c>
      <c r="H4" s="78">
        <v>75.52</v>
      </c>
      <c r="I4" s="78">
        <v>18.14</v>
      </c>
      <c r="J4" s="78">
        <v>59.97</v>
      </c>
      <c r="K4" s="78">
        <v>36</v>
      </c>
      <c r="T4" s="78">
        <v>3</v>
      </c>
      <c r="U4" s="78">
        <v>1</v>
      </c>
      <c r="V4" s="78" t="s">
        <v>88</v>
      </c>
      <c r="W4" s="78">
        <v>75</v>
      </c>
      <c r="X4" s="78">
        <v>6</v>
      </c>
      <c r="Y4" s="78">
        <v>6</v>
      </c>
      <c r="Z4" s="78" t="s">
        <v>91</v>
      </c>
      <c r="AA4" s="78" t="s">
        <v>92</v>
      </c>
      <c r="AB4" s="78" t="s">
        <v>84</v>
      </c>
      <c r="AC4" s="78" t="s">
        <v>85</v>
      </c>
      <c r="AD4" s="78" t="s">
        <v>86</v>
      </c>
      <c r="AG4" s="78" t="s">
        <v>93</v>
      </c>
      <c r="AH4" s="78">
        <v>0</v>
      </c>
      <c r="AI4" s="78">
        <v>0</v>
      </c>
      <c r="AJ4" s="78">
        <v>0</v>
      </c>
      <c r="AK4" s="78">
        <v>0</v>
      </c>
      <c r="AL4" s="78">
        <v>0</v>
      </c>
    </row>
    <row r="5" spans="1:38" x14ac:dyDescent="0.3">
      <c r="A5" s="78" t="s">
        <v>78</v>
      </c>
      <c r="B5" s="78">
        <v>16980</v>
      </c>
      <c r="C5" s="78">
        <v>2</v>
      </c>
      <c r="D5" s="78" t="s">
        <v>89</v>
      </c>
      <c r="E5" s="78" t="s">
        <v>90</v>
      </c>
      <c r="F5" s="78">
        <v>72</v>
      </c>
      <c r="G5" s="78">
        <v>31.1</v>
      </c>
      <c r="H5" s="78">
        <v>102.82</v>
      </c>
      <c r="I5" s="78">
        <v>25.31</v>
      </c>
      <c r="J5" s="78">
        <v>83.7</v>
      </c>
      <c r="K5" s="78">
        <v>36</v>
      </c>
      <c r="T5" s="78">
        <v>3</v>
      </c>
      <c r="U5" s="78">
        <v>2</v>
      </c>
      <c r="V5" s="78" t="s">
        <v>88</v>
      </c>
      <c r="W5" s="78">
        <v>102</v>
      </c>
      <c r="X5" s="78">
        <v>6</v>
      </c>
      <c r="Y5" s="78">
        <v>6</v>
      </c>
      <c r="Z5" s="78" t="s">
        <v>91</v>
      </c>
      <c r="AA5" s="78" t="s">
        <v>92</v>
      </c>
      <c r="AB5" s="78" t="s">
        <v>84</v>
      </c>
      <c r="AC5" s="78" t="s">
        <v>85</v>
      </c>
      <c r="AD5" s="78" t="s">
        <v>86</v>
      </c>
      <c r="AG5" s="78" t="s">
        <v>93</v>
      </c>
      <c r="AH5" s="78">
        <v>0</v>
      </c>
      <c r="AI5" s="78">
        <v>0</v>
      </c>
      <c r="AJ5" s="78">
        <v>0</v>
      </c>
      <c r="AK5" s="78">
        <v>0</v>
      </c>
      <c r="AL5" s="78">
        <v>0</v>
      </c>
    </row>
    <row r="6" spans="1:38" x14ac:dyDescent="0.3">
      <c r="A6" s="78" t="s">
        <v>78</v>
      </c>
      <c r="B6" s="78">
        <v>107110</v>
      </c>
      <c r="C6" s="78">
        <v>1</v>
      </c>
      <c r="D6" s="78" t="s">
        <v>94</v>
      </c>
      <c r="E6" s="78" t="s">
        <v>95</v>
      </c>
      <c r="F6" s="78">
        <v>352</v>
      </c>
      <c r="G6" s="78">
        <v>32.96</v>
      </c>
      <c r="H6" s="78">
        <v>108.97</v>
      </c>
      <c r="I6" s="78">
        <v>25.36</v>
      </c>
      <c r="J6" s="78">
        <v>83.86</v>
      </c>
      <c r="K6" s="78">
        <v>20</v>
      </c>
      <c r="T6" s="78">
        <v>3</v>
      </c>
      <c r="U6" s="78">
        <v>2</v>
      </c>
      <c r="V6" s="78" t="s">
        <v>88</v>
      </c>
      <c r="W6" s="78" t="s">
        <v>96</v>
      </c>
      <c r="X6" s="78">
        <v>29</v>
      </c>
      <c r="Y6" s="78">
        <v>10</v>
      </c>
      <c r="Z6" s="78" t="s">
        <v>97</v>
      </c>
      <c r="AA6" s="78" t="s">
        <v>98</v>
      </c>
      <c r="AB6" s="78" t="s">
        <v>84</v>
      </c>
      <c r="AC6" s="78" t="s">
        <v>85</v>
      </c>
      <c r="AD6" s="78" t="s">
        <v>86</v>
      </c>
      <c r="AG6" s="78" t="s">
        <v>99</v>
      </c>
      <c r="AH6" s="78">
        <v>0</v>
      </c>
      <c r="AI6" s="78">
        <v>219</v>
      </c>
      <c r="AJ6" s="78">
        <v>58</v>
      </c>
      <c r="AK6" s="78">
        <v>423</v>
      </c>
      <c r="AL6" s="78">
        <v>1.2</v>
      </c>
    </row>
    <row r="7" spans="1:38" x14ac:dyDescent="0.3">
      <c r="A7" s="78" t="s">
        <v>78</v>
      </c>
      <c r="B7" s="78">
        <v>107110</v>
      </c>
      <c r="C7" s="78">
        <v>2</v>
      </c>
      <c r="D7" s="78" t="s">
        <v>94</v>
      </c>
      <c r="E7" s="78" t="s">
        <v>95</v>
      </c>
      <c r="F7" s="78">
        <v>352</v>
      </c>
      <c r="G7" s="78">
        <v>33.119999999999997</v>
      </c>
      <c r="H7" s="78">
        <v>109.49</v>
      </c>
      <c r="I7" s="78">
        <v>25.7</v>
      </c>
      <c r="J7" s="78">
        <v>84.97</v>
      </c>
      <c r="K7" s="78">
        <v>104</v>
      </c>
      <c r="T7" s="78">
        <v>3</v>
      </c>
      <c r="U7" s="78">
        <v>2</v>
      </c>
      <c r="V7" s="78" t="s">
        <v>88</v>
      </c>
      <c r="W7" s="78" t="s">
        <v>100</v>
      </c>
      <c r="X7" s="78">
        <v>29</v>
      </c>
      <c r="Y7" s="78">
        <v>10</v>
      </c>
      <c r="Z7" s="78" t="s">
        <v>97</v>
      </c>
      <c r="AA7" s="78" t="s">
        <v>98</v>
      </c>
      <c r="AB7" s="78" t="s">
        <v>84</v>
      </c>
      <c r="AC7" s="78" t="s">
        <v>85</v>
      </c>
      <c r="AD7" s="78" t="s">
        <v>86</v>
      </c>
      <c r="AG7" s="78" t="s">
        <v>99</v>
      </c>
      <c r="AH7" s="78">
        <v>0</v>
      </c>
      <c r="AI7" s="78">
        <v>219</v>
      </c>
      <c r="AJ7" s="78">
        <v>58</v>
      </c>
      <c r="AK7" s="78">
        <v>423</v>
      </c>
      <c r="AL7" s="78">
        <v>1.2</v>
      </c>
    </row>
    <row r="8" spans="1:38" x14ac:dyDescent="0.3">
      <c r="A8" s="78" t="s">
        <v>78</v>
      </c>
      <c r="B8" s="78">
        <v>107110</v>
      </c>
      <c r="C8" s="78">
        <v>3</v>
      </c>
      <c r="D8" s="78" t="s">
        <v>94</v>
      </c>
      <c r="E8" s="78" t="s">
        <v>95</v>
      </c>
      <c r="F8" s="78">
        <v>352</v>
      </c>
      <c r="G8" s="78">
        <v>33.46</v>
      </c>
      <c r="H8" s="78">
        <v>110.64</v>
      </c>
      <c r="I8" s="78">
        <v>25.55</v>
      </c>
      <c r="J8" s="78">
        <v>84.49</v>
      </c>
      <c r="K8" s="78">
        <v>131</v>
      </c>
      <c r="T8" s="78">
        <v>3</v>
      </c>
      <c r="U8" s="78">
        <v>2</v>
      </c>
      <c r="V8" s="78" t="s">
        <v>88</v>
      </c>
      <c r="W8" s="78" t="s">
        <v>101</v>
      </c>
      <c r="X8" s="78">
        <v>29</v>
      </c>
      <c r="Y8" s="78">
        <v>10</v>
      </c>
      <c r="Z8" s="78" t="s">
        <v>97</v>
      </c>
      <c r="AA8" s="78" t="s">
        <v>98</v>
      </c>
      <c r="AB8" s="78" t="s">
        <v>84</v>
      </c>
      <c r="AC8" s="78" t="s">
        <v>85</v>
      </c>
      <c r="AD8" s="78" t="s">
        <v>86</v>
      </c>
      <c r="AG8" s="78" t="s">
        <v>99</v>
      </c>
      <c r="AH8" s="78">
        <v>0</v>
      </c>
      <c r="AI8" s="78">
        <v>219</v>
      </c>
      <c r="AJ8" s="78">
        <v>58</v>
      </c>
      <c r="AK8" s="78">
        <v>423</v>
      </c>
      <c r="AL8" s="78">
        <v>1.2</v>
      </c>
    </row>
    <row r="9" spans="1:38" x14ac:dyDescent="0.3">
      <c r="A9" s="78" t="s">
        <v>78</v>
      </c>
      <c r="B9" s="78">
        <v>107110</v>
      </c>
      <c r="C9" s="78">
        <v>4</v>
      </c>
      <c r="D9" s="78" t="s">
        <v>94</v>
      </c>
      <c r="E9" s="78" t="s">
        <v>95</v>
      </c>
      <c r="F9" s="78">
        <v>352</v>
      </c>
      <c r="G9" s="78">
        <v>33.31</v>
      </c>
      <c r="H9" s="78">
        <v>110.14</v>
      </c>
      <c r="I9" s="78">
        <v>25.69</v>
      </c>
      <c r="J9" s="78">
        <v>84.94</v>
      </c>
      <c r="K9" s="78">
        <v>97</v>
      </c>
      <c r="T9" s="78">
        <v>3</v>
      </c>
      <c r="U9" s="78">
        <v>2</v>
      </c>
      <c r="V9" s="78" t="s">
        <v>88</v>
      </c>
      <c r="W9" s="78" t="s">
        <v>102</v>
      </c>
      <c r="X9" s="78">
        <v>29</v>
      </c>
      <c r="Y9" s="78">
        <v>10</v>
      </c>
      <c r="Z9" s="78" t="s">
        <v>97</v>
      </c>
      <c r="AA9" s="78" t="s">
        <v>98</v>
      </c>
      <c r="AB9" s="78" t="s">
        <v>84</v>
      </c>
      <c r="AC9" s="78" t="s">
        <v>85</v>
      </c>
      <c r="AD9" s="78" t="s">
        <v>86</v>
      </c>
      <c r="AG9" s="78" t="s">
        <v>99</v>
      </c>
      <c r="AH9" s="78">
        <v>0</v>
      </c>
      <c r="AI9" s="78">
        <v>219</v>
      </c>
      <c r="AJ9" s="78">
        <v>58</v>
      </c>
      <c r="AK9" s="78">
        <v>423</v>
      </c>
      <c r="AL9" s="78">
        <v>1.2</v>
      </c>
    </row>
    <row r="10" spans="1:38" x14ac:dyDescent="0.3">
      <c r="A10" s="78" t="s">
        <v>78</v>
      </c>
      <c r="B10" s="78">
        <v>14952</v>
      </c>
      <c r="C10" s="78">
        <v>1</v>
      </c>
      <c r="D10" s="78" t="s">
        <v>103</v>
      </c>
      <c r="E10" s="78" t="s">
        <v>104</v>
      </c>
      <c r="F10" s="78">
        <v>84</v>
      </c>
      <c r="G10" s="78">
        <v>24.51</v>
      </c>
      <c r="H10" s="78">
        <v>81.05</v>
      </c>
      <c r="I10" s="78">
        <v>18.059999999999999</v>
      </c>
      <c r="J10" s="78">
        <v>59.73</v>
      </c>
      <c r="K10" s="78">
        <v>67</v>
      </c>
      <c r="T10" s="78">
        <v>3</v>
      </c>
      <c r="U10" s="78">
        <v>1</v>
      </c>
      <c r="V10" s="78" t="s">
        <v>88</v>
      </c>
      <c r="W10" s="78">
        <v>81</v>
      </c>
      <c r="X10" s="78">
        <v>10</v>
      </c>
      <c r="Y10" s="78">
        <v>7</v>
      </c>
      <c r="Z10" s="78" t="s">
        <v>105</v>
      </c>
      <c r="AA10" s="78" t="s">
        <v>106</v>
      </c>
      <c r="AB10" s="78" t="s">
        <v>84</v>
      </c>
      <c r="AC10" s="78" t="s">
        <v>85</v>
      </c>
      <c r="AD10" s="78" t="s">
        <v>86</v>
      </c>
      <c r="AG10" s="78" t="s">
        <v>107</v>
      </c>
      <c r="AH10" s="78">
        <v>0</v>
      </c>
      <c r="AI10" s="78">
        <v>256</v>
      </c>
      <c r="AJ10" s="78">
        <v>33</v>
      </c>
      <c r="AK10" s="78">
        <v>37</v>
      </c>
      <c r="AL10" s="78">
        <v>0.44</v>
      </c>
    </row>
    <row r="11" spans="1:38" x14ac:dyDescent="0.3">
      <c r="A11" s="78" t="s">
        <v>78</v>
      </c>
      <c r="B11" s="78">
        <v>14952</v>
      </c>
      <c r="C11" s="78">
        <v>2</v>
      </c>
      <c r="D11" s="78" t="s">
        <v>103</v>
      </c>
      <c r="E11" s="78" t="s">
        <v>104</v>
      </c>
      <c r="F11" s="78">
        <v>84</v>
      </c>
      <c r="G11" s="78">
        <v>34.17</v>
      </c>
      <c r="H11" s="78">
        <v>112.97</v>
      </c>
      <c r="I11" s="78">
        <v>25.18</v>
      </c>
      <c r="J11" s="78">
        <v>83.25</v>
      </c>
      <c r="K11" s="78">
        <v>10</v>
      </c>
      <c r="T11" s="78">
        <v>3</v>
      </c>
      <c r="U11" s="78">
        <v>2</v>
      </c>
      <c r="V11" s="78" t="s">
        <v>88</v>
      </c>
      <c r="W11" s="78">
        <v>112</v>
      </c>
      <c r="X11" s="78">
        <v>10</v>
      </c>
      <c r="Y11" s="78">
        <v>7</v>
      </c>
      <c r="Z11" s="78" t="s">
        <v>105</v>
      </c>
      <c r="AA11" s="78" t="s">
        <v>106</v>
      </c>
      <c r="AB11" s="78" t="s">
        <v>84</v>
      </c>
      <c r="AC11" s="78" t="s">
        <v>85</v>
      </c>
      <c r="AD11" s="78" t="s">
        <v>86</v>
      </c>
      <c r="AG11" s="78" t="s">
        <v>107</v>
      </c>
      <c r="AH11" s="78">
        <v>0</v>
      </c>
      <c r="AI11" s="78">
        <v>256</v>
      </c>
      <c r="AJ11" s="78">
        <v>33</v>
      </c>
      <c r="AK11" s="78">
        <v>37</v>
      </c>
      <c r="AL11" s="78">
        <v>0.44</v>
      </c>
    </row>
    <row r="12" spans="1:38" x14ac:dyDescent="0.3">
      <c r="A12" s="78" t="s">
        <v>78</v>
      </c>
      <c r="B12" s="78">
        <v>14952</v>
      </c>
      <c r="C12" s="78">
        <v>3</v>
      </c>
      <c r="D12" s="78" t="s">
        <v>103</v>
      </c>
      <c r="E12" s="78" t="s">
        <v>104</v>
      </c>
      <c r="F12" s="78">
        <v>84</v>
      </c>
      <c r="G12" s="78">
        <v>34.869999999999997</v>
      </c>
      <c r="H12" s="78">
        <v>115.29</v>
      </c>
      <c r="I12" s="78">
        <v>25.7</v>
      </c>
      <c r="J12" s="78">
        <v>84.96</v>
      </c>
      <c r="K12" s="78">
        <v>7</v>
      </c>
      <c r="T12" s="78">
        <v>3</v>
      </c>
      <c r="U12" s="78">
        <v>2</v>
      </c>
      <c r="V12" s="78" t="s">
        <v>88</v>
      </c>
      <c r="W12" s="78">
        <v>115</v>
      </c>
      <c r="X12" s="78">
        <v>10</v>
      </c>
      <c r="Y12" s="78">
        <v>7</v>
      </c>
      <c r="Z12" s="78" t="s">
        <v>105</v>
      </c>
      <c r="AA12" s="78" t="s">
        <v>106</v>
      </c>
      <c r="AB12" s="78" t="s">
        <v>84</v>
      </c>
      <c r="AC12" s="78" t="s">
        <v>85</v>
      </c>
      <c r="AD12" s="78" t="s">
        <v>86</v>
      </c>
      <c r="AG12" s="78" t="s">
        <v>107</v>
      </c>
      <c r="AH12" s="78">
        <v>0</v>
      </c>
      <c r="AI12" s="78">
        <v>256</v>
      </c>
      <c r="AJ12" s="78">
        <v>33</v>
      </c>
      <c r="AK12" s="78">
        <v>37</v>
      </c>
      <c r="AL12" s="78">
        <v>0.44</v>
      </c>
    </row>
    <row r="13" spans="1:38" x14ac:dyDescent="0.3">
      <c r="A13" s="78" t="s">
        <v>78</v>
      </c>
      <c r="B13" s="78">
        <v>117452</v>
      </c>
      <c r="C13" s="78">
        <v>1</v>
      </c>
      <c r="D13" s="78" t="s">
        <v>108</v>
      </c>
      <c r="E13" s="78" t="s">
        <v>109</v>
      </c>
      <c r="F13" s="78">
        <v>880</v>
      </c>
      <c r="G13" s="78">
        <v>16.62</v>
      </c>
      <c r="H13" s="78">
        <v>54.95</v>
      </c>
      <c r="I13" s="78">
        <v>12.08</v>
      </c>
      <c r="J13" s="78">
        <v>39.950000000000003</v>
      </c>
      <c r="K13" s="78">
        <v>163</v>
      </c>
      <c r="T13" s="78">
        <v>3</v>
      </c>
      <c r="U13" s="78">
        <v>1</v>
      </c>
      <c r="V13" s="78" t="s">
        <v>88</v>
      </c>
      <c r="W13" s="78">
        <v>54</v>
      </c>
      <c r="X13" s="78">
        <v>17</v>
      </c>
      <c r="Y13" s="78">
        <v>13</v>
      </c>
      <c r="Z13" s="78" t="s">
        <v>110</v>
      </c>
      <c r="AA13" s="78" t="s">
        <v>111</v>
      </c>
      <c r="AB13" s="78" t="s">
        <v>84</v>
      </c>
      <c r="AC13" s="78" t="s">
        <v>85</v>
      </c>
      <c r="AD13" s="78" t="s">
        <v>86</v>
      </c>
      <c r="AG13" s="78" t="s">
        <v>112</v>
      </c>
      <c r="AH13" s="78">
        <v>717</v>
      </c>
      <c r="AI13" s="78">
        <v>317</v>
      </c>
      <c r="AJ13" s="78">
        <v>29</v>
      </c>
      <c r="AK13" s="78">
        <v>539</v>
      </c>
      <c r="AL13" s="78">
        <v>0.61</v>
      </c>
    </row>
    <row r="14" spans="1:38" x14ac:dyDescent="0.3">
      <c r="A14" s="78" t="s">
        <v>113</v>
      </c>
      <c r="B14" s="78">
        <v>100924</v>
      </c>
      <c r="C14" s="78">
        <v>1</v>
      </c>
      <c r="D14" s="78" t="s">
        <v>114</v>
      </c>
      <c r="E14" s="78" t="s">
        <v>115</v>
      </c>
      <c r="F14" s="78">
        <v>173</v>
      </c>
      <c r="G14" s="78">
        <v>27.32</v>
      </c>
      <c r="H14" s="78">
        <v>90.34</v>
      </c>
      <c r="I14" s="78">
        <v>18.14</v>
      </c>
      <c r="J14" s="78">
        <v>59.98</v>
      </c>
      <c r="K14" s="78">
        <v>89</v>
      </c>
      <c r="T14" s="78">
        <v>3</v>
      </c>
      <c r="U14" s="78">
        <v>1</v>
      </c>
      <c r="V14" s="78" t="s">
        <v>81</v>
      </c>
      <c r="W14" s="78">
        <v>90</v>
      </c>
      <c r="X14" s="78">
        <v>15</v>
      </c>
      <c r="Y14" s="78">
        <v>15</v>
      </c>
      <c r="Z14" s="78" t="s">
        <v>116</v>
      </c>
      <c r="AA14" s="78" t="s">
        <v>117</v>
      </c>
      <c r="AB14" s="78" t="s">
        <v>84</v>
      </c>
      <c r="AC14" s="78" t="s">
        <v>85</v>
      </c>
      <c r="AD14" s="78" t="s">
        <v>118</v>
      </c>
      <c r="AG14" s="78" t="s">
        <v>119</v>
      </c>
      <c r="AH14" s="78">
        <v>0</v>
      </c>
      <c r="AI14" s="78">
        <v>433</v>
      </c>
      <c r="AJ14" s="78">
        <v>31</v>
      </c>
      <c r="AK14" s="78">
        <v>148</v>
      </c>
      <c r="AL14" s="78">
        <v>0.86</v>
      </c>
    </row>
    <row r="15" spans="1:38" x14ac:dyDescent="0.3">
      <c r="A15" s="78" t="s">
        <v>113</v>
      </c>
      <c r="B15" s="78">
        <v>100924</v>
      </c>
      <c r="C15" s="78">
        <v>2</v>
      </c>
      <c r="D15" s="78" t="s">
        <v>114</v>
      </c>
      <c r="E15" s="78" t="s">
        <v>115</v>
      </c>
      <c r="F15" s="78">
        <v>173</v>
      </c>
      <c r="G15" s="78">
        <v>28.21</v>
      </c>
      <c r="H15" s="78">
        <v>93.27</v>
      </c>
      <c r="I15" s="78">
        <v>18.14</v>
      </c>
      <c r="J15" s="78">
        <v>59.98</v>
      </c>
      <c r="K15" s="78">
        <v>84</v>
      </c>
      <c r="T15" s="78">
        <v>3</v>
      </c>
      <c r="U15" s="78">
        <v>1</v>
      </c>
      <c r="V15" s="78" t="s">
        <v>81</v>
      </c>
      <c r="W15" s="78">
        <v>93</v>
      </c>
      <c r="X15" s="78">
        <v>15</v>
      </c>
      <c r="Y15" s="78">
        <v>15</v>
      </c>
      <c r="Z15" s="78" t="s">
        <v>116</v>
      </c>
      <c r="AA15" s="78" t="s">
        <v>117</v>
      </c>
      <c r="AB15" s="78" t="s">
        <v>84</v>
      </c>
      <c r="AC15" s="78" t="s">
        <v>85</v>
      </c>
      <c r="AD15" s="78" t="s">
        <v>118</v>
      </c>
      <c r="AG15" s="78" t="s">
        <v>119</v>
      </c>
      <c r="AH15" s="78">
        <v>0</v>
      </c>
      <c r="AI15" s="78">
        <v>433</v>
      </c>
      <c r="AJ15" s="78">
        <v>31</v>
      </c>
      <c r="AK15" s="78">
        <v>148</v>
      </c>
      <c r="AL15" s="78">
        <v>0.86</v>
      </c>
    </row>
    <row r="16" spans="1:38" x14ac:dyDescent="0.3">
      <c r="A16" s="78" t="s">
        <v>120</v>
      </c>
      <c r="B16" s="78">
        <v>4953</v>
      </c>
      <c r="C16" s="78">
        <v>1</v>
      </c>
      <c r="D16" s="78" t="s">
        <v>121</v>
      </c>
      <c r="E16" s="78" t="s">
        <v>122</v>
      </c>
      <c r="F16" s="78">
        <v>1084</v>
      </c>
      <c r="G16" s="78">
        <v>24.22</v>
      </c>
      <c r="H16" s="78">
        <v>80.069999999999993</v>
      </c>
      <c r="I16" s="78">
        <v>18.11</v>
      </c>
      <c r="J16" s="78">
        <v>59.9</v>
      </c>
      <c r="K16" s="78">
        <v>427</v>
      </c>
      <c r="T16" s="78">
        <v>3</v>
      </c>
      <c r="U16" s="78">
        <v>1</v>
      </c>
      <c r="V16" s="78" t="s">
        <v>88</v>
      </c>
      <c r="W16" s="78">
        <v>80</v>
      </c>
      <c r="X16" s="78">
        <v>15</v>
      </c>
      <c r="Y16" s="78">
        <v>15</v>
      </c>
      <c r="Z16" s="78" t="s">
        <v>123</v>
      </c>
      <c r="AA16" s="78" t="s">
        <v>124</v>
      </c>
      <c r="AB16" s="78" t="s">
        <v>84</v>
      </c>
      <c r="AC16" s="78" t="s">
        <v>85</v>
      </c>
      <c r="AD16" s="78" t="s">
        <v>125</v>
      </c>
      <c r="AG16" s="78" t="s">
        <v>126</v>
      </c>
      <c r="AH16" s="78">
        <v>0</v>
      </c>
      <c r="AI16" s="78">
        <v>0</v>
      </c>
      <c r="AJ16" s="78">
        <v>0</v>
      </c>
      <c r="AK16" s="78">
        <v>654</v>
      </c>
      <c r="AL16" s="78">
        <v>0.6</v>
      </c>
    </row>
    <row r="17" spans="1:38" x14ac:dyDescent="0.3">
      <c r="A17" s="78" t="s">
        <v>120</v>
      </c>
      <c r="B17" s="78">
        <v>4953</v>
      </c>
      <c r="C17" s="78">
        <v>2</v>
      </c>
      <c r="D17" s="78" t="s">
        <v>121</v>
      </c>
      <c r="E17" s="78" t="s">
        <v>122</v>
      </c>
      <c r="F17" s="78">
        <v>1084</v>
      </c>
      <c r="G17" s="78">
        <v>31</v>
      </c>
      <c r="H17" s="78">
        <v>102.5</v>
      </c>
      <c r="I17" s="78">
        <v>25.68</v>
      </c>
      <c r="J17" s="78">
        <v>84.9</v>
      </c>
      <c r="K17" s="78">
        <v>537</v>
      </c>
      <c r="T17" s="78">
        <v>3</v>
      </c>
      <c r="U17" s="78">
        <v>2</v>
      </c>
      <c r="V17" s="78" t="s">
        <v>88</v>
      </c>
      <c r="W17" s="78">
        <v>102</v>
      </c>
      <c r="X17" s="78">
        <v>15</v>
      </c>
      <c r="Y17" s="78">
        <v>15</v>
      </c>
      <c r="Z17" s="78" t="s">
        <v>123</v>
      </c>
      <c r="AA17" s="78" t="s">
        <v>124</v>
      </c>
      <c r="AB17" s="78" t="s">
        <v>84</v>
      </c>
      <c r="AC17" s="78" t="s">
        <v>85</v>
      </c>
      <c r="AD17" s="78" t="s">
        <v>125</v>
      </c>
      <c r="AG17" s="78" t="s">
        <v>126</v>
      </c>
      <c r="AH17" s="78">
        <v>0</v>
      </c>
      <c r="AI17" s="78">
        <v>0</v>
      </c>
      <c r="AJ17" s="78">
        <v>0</v>
      </c>
      <c r="AK17" s="78">
        <v>654</v>
      </c>
      <c r="AL17" s="78">
        <v>0.6</v>
      </c>
    </row>
    <row r="18" spans="1:38" x14ac:dyDescent="0.3">
      <c r="A18" s="78" t="s">
        <v>120</v>
      </c>
      <c r="B18" s="78">
        <v>4953</v>
      </c>
      <c r="C18" s="78">
        <v>3</v>
      </c>
      <c r="D18" s="78" t="s">
        <v>121</v>
      </c>
      <c r="E18" s="78" t="s">
        <v>122</v>
      </c>
      <c r="F18" s="78">
        <v>1084</v>
      </c>
      <c r="G18" s="78">
        <v>44.25</v>
      </c>
      <c r="H18" s="78">
        <v>146.29</v>
      </c>
      <c r="I18" s="78">
        <v>38.08</v>
      </c>
      <c r="J18" s="78">
        <v>125.89</v>
      </c>
      <c r="K18" s="78">
        <v>120</v>
      </c>
      <c r="T18" s="78">
        <v>4</v>
      </c>
      <c r="U18" s="78">
        <v>2</v>
      </c>
      <c r="V18" s="78" t="s">
        <v>88</v>
      </c>
      <c r="W18" s="78">
        <v>146</v>
      </c>
      <c r="X18" s="78">
        <v>15</v>
      </c>
      <c r="Y18" s="78">
        <v>15</v>
      </c>
      <c r="Z18" s="78" t="s">
        <v>123</v>
      </c>
      <c r="AA18" s="78" t="s">
        <v>124</v>
      </c>
      <c r="AB18" s="78" t="s">
        <v>84</v>
      </c>
      <c r="AC18" s="78" t="s">
        <v>85</v>
      </c>
      <c r="AD18" s="78" t="s">
        <v>125</v>
      </c>
      <c r="AG18" s="78" t="s">
        <v>126</v>
      </c>
      <c r="AH18" s="78">
        <v>0</v>
      </c>
      <c r="AI18" s="78">
        <v>0</v>
      </c>
      <c r="AJ18" s="78">
        <v>0</v>
      </c>
      <c r="AK18" s="78">
        <v>654</v>
      </c>
      <c r="AL18" s="78">
        <v>0.6</v>
      </c>
    </row>
    <row r="19" spans="1:38" x14ac:dyDescent="0.3">
      <c r="A19" s="78" t="s">
        <v>120</v>
      </c>
      <c r="B19" s="78">
        <v>14954</v>
      </c>
      <c r="C19" s="78">
        <v>1</v>
      </c>
      <c r="D19" s="78" t="s">
        <v>127</v>
      </c>
      <c r="E19" s="78" t="s">
        <v>128</v>
      </c>
      <c r="F19" s="78">
        <v>437</v>
      </c>
      <c r="G19" s="78">
        <v>22.6</v>
      </c>
      <c r="H19" s="78">
        <v>74.72</v>
      </c>
      <c r="I19" s="78">
        <v>18.11</v>
      </c>
      <c r="J19" s="78">
        <v>59.88</v>
      </c>
      <c r="K19" s="78">
        <v>164</v>
      </c>
      <c r="T19" s="78">
        <v>3</v>
      </c>
      <c r="U19" s="78">
        <v>1</v>
      </c>
      <c r="V19" s="78" t="s">
        <v>88</v>
      </c>
      <c r="W19" s="78" t="s">
        <v>129</v>
      </c>
      <c r="X19" s="78">
        <v>15</v>
      </c>
      <c r="Y19" s="78">
        <v>7</v>
      </c>
      <c r="Z19" s="78" t="s">
        <v>130</v>
      </c>
      <c r="AA19" s="78" t="s">
        <v>131</v>
      </c>
      <c r="AB19" s="78" t="s">
        <v>84</v>
      </c>
      <c r="AC19" s="78" t="s">
        <v>85</v>
      </c>
      <c r="AD19" s="78" t="s">
        <v>125</v>
      </c>
      <c r="AG19" s="78" t="s">
        <v>132</v>
      </c>
      <c r="AH19" s="78">
        <v>0</v>
      </c>
      <c r="AI19" s="78">
        <v>0</v>
      </c>
      <c r="AJ19" s="78">
        <v>0</v>
      </c>
      <c r="AK19" s="78">
        <v>0</v>
      </c>
      <c r="AL19" s="78">
        <v>0</v>
      </c>
    </row>
    <row r="20" spans="1:38" x14ac:dyDescent="0.3">
      <c r="A20" s="78" t="s">
        <v>120</v>
      </c>
      <c r="B20" s="78">
        <v>14954</v>
      </c>
      <c r="C20" s="78">
        <v>2</v>
      </c>
      <c r="D20" s="78" t="s">
        <v>127</v>
      </c>
      <c r="E20" s="78" t="s">
        <v>128</v>
      </c>
      <c r="F20" s="78">
        <v>437</v>
      </c>
      <c r="G20" s="78">
        <v>22.45</v>
      </c>
      <c r="H20" s="78">
        <v>74.22</v>
      </c>
      <c r="I20" s="78">
        <v>17.989999999999998</v>
      </c>
      <c r="J20" s="78">
        <v>59.48</v>
      </c>
      <c r="K20" s="78">
        <v>11</v>
      </c>
      <c r="T20" s="78">
        <v>3</v>
      </c>
      <c r="U20" s="78">
        <v>1</v>
      </c>
      <c r="V20" s="78" t="s">
        <v>88</v>
      </c>
      <c r="W20" s="78" t="s">
        <v>133</v>
      </c>
      <c r="X20" s="78">
        <v>15</v>
      </c>
      <c r="Y20" s="78">
        <v>7</v>
      </c>
      <c r="Z20" s="78" t="s">
        <v>130</v>
      </c>
      <c r="AA20" s="78" t="s">
        <v>131</v>
      </c>
      <c r="AB20" s="78" t="s">
        <v>84</v>
      </c>
      <c r="AC20" s="78" t="s">
        <v>85</v>
      </c>
      <c r="AD20" s="78" t="s">
        <v>125</v>
      </c>
      <c r="AG20" s="78" t="s">
        <v>132</v>
      </c>
      <c r="AH20" s="78">
        <v>0</v>
      </c>
      <c r="AI20" s="78">
        <v>0</v>
      </c>
      <c r="AJ20" s="78">
        <v>0</v>
      </c>
      <c r="AK20" s="78">
        <v>0</v>
      </c>
      <c r="AL20" s="78">
        <v>0</v>
      </c>
    </row>
    <row r="21" spans="1:38" x14ac:dyDescent="0.3">
      <c r="A21" s="78" t="s">
        <v>120</v>
      </c>
      <c r="B21" s="78">
        <v>14954</v>
      </c>
      <c r="C21" s="78">
        <v>3</v>
      </c>
      <c r="D21" s="78" t="s">
        <v>127</v>
      </c>
      <c r="E21" s="78" t="s">
        <v>128</v>
      </c>
      <c r="F21" s="78">
        <v>437</v>
      </c>
      <c r="G21" s="78">
        <v>32.07</v>
      </c>
      <c r="H21" s="78">
        <v>106.03</v>
      </c>
      <c r="I21" s="78">
        <v>25.7</v>
      </c>
      <c r="J21" s="78">
        <v>84.98</v>
      </c>
      <c r="K21" s="78">
        <v>208</v>
      </c>
      <c r="T21" s="78">
        <v>3</v>
      </c>
      <c r="U21" s="78">
        <v>2</v>
      </c>
      <c r="V21" s="78" t="s">
        <v>88</v>
      </c>
      <c r="W21" s="78" t="s">
        <v>134</v>
      </c>
      <c r="X21" s="78">
        <v>15</v>
      </c>
      <c r="Y21" s="78">
        <v>7</v>
      </c>
      <c r="Z21" s="78" t="s">
        <v>130</v>
      </c>
      <c r="AA21" s="78" t="s">
        <v>131</v>
      </c>
      <c r="AB21" s="78" t="s">
        <v>84</v>
      </c>
      <c r="AC21" s="78" t="s">
        <v>85</v>
      </c>
      <c r="AD21" s="78" t="s">
        <v>125</v>
      </c>
      <c r="AG21" s="78" t="s">
        <v>132</v>
      </c>
      <c r="AH21" s="78">
        <v>0</v>
      </c>
      <c r="AI21" s="78">
        <v>0</v>
      </c>
      <c r="AJ21" s="78">
        <v>0</v>
      </c>
      <c r="AK21" s="78">
        <v>0</v>
      </c>
      <c r="AL21" s="78">
        <v>0</v>
      </c>
    </row>
    <row r="22" spans="1:38" x14ac:dyDescent="0.3">
      <c r="A22" s="78" t="s">
        <v>120</v>
      </c>
      <c r="B22" s="78">
        <v>14954</v>
      </c>
      <c r="C22" s="78">
        <v>4</v>
      </c>
      <c r="D22" s="78" t="s">
        <v>127</v>
      </c>
      <c r="E22" s="78" t="s">
        <v>128</v>
      </c>
      <c r="F22" s="78">
        <v>437</v>
      </c>
      <c r="G22" s="78">
        <v>32.07</v>
      </c>
      <c r="H22" s="78">
        <v>106.02</v>
      </c>
      <c r="I22" s="78">
        <v>25.7</v>
      </c>
      <c r="J22" s="78">
        <v>84.96</v>
      </c>
      <c r="K22" s="78">
        <v>32</v>
      </c>
      <c r="T22" s="78">
        <v>3</v>
      </c>
      <c r="U22" s="78">
        <v>2</v>
      </c>
      <c r="V22" s="78" t="s">
        <v>88</v>
      </c>
      <c r="W22" s="78" t="s">
        <v>135</v>
      </c>
      <c r="X22" s="78">
        <v>15</v>
      </c>
      <c r="Y22" s="78">
        <v>7</v>
      </c>
      <c r="Z22" s="78" t="s">
        <v>130</v>
      </c>
      <c r="AA22" s="78" t="s">
        <v>131</v>
      </c>
      <c r="AB22" s="78" t="s">
        <v>84</v>
      </c>
      <c r="AC22" s="78" t="s">
        <v>85</v>
      </c>
      <c r="AD22" s="78" t="s">
        <v>125</v>
      </c>
      <c r="AG22" s="78" t="s">
        <v>132</v>
      </c>
      <c r="AH22" s="78">
        <v>0</v>
      </c>
      <c r="AI22" s="78">
        <v>0</v>
      </c>
      <c r="AJ22" s="78">
        <v>0</v>
      </c>
      <c r="AK22" s="78">
        <v>0</v>
      </c>
      <c r="AL22" s="78">
        <v>0</v>
      </c>
    </row>
    <row r="23" spans="1:38" x14ac:dyDescent="0.3">
      <c r="A23" s="78" t="s">
        <v>120</v>
      </c>
      <c r="B23" s="78">
        <v>14954</v>
      </c>
      <c r="C23" s="78">
        <v>5</v>
      </c>
      <c r="D23" s="78" t="s">
        <v>127</v>
      </c>
      <c r="E23" s="78" t="s">
        <v>128</v>
      </c>
      <c r="F23" s="78">
        <v>437</v>
      </c>
      <c r="G23" s="78">
        <v>37.76</v>
      </c>
      <c r="H23" s="78">
        <v>124.84</v>
      </c>
      <c r="I23" s="78">
        <v>30.26</v>
      </c>
      <c r="J23" s="78">
        <v>100.05</v>
      </c>
      <c r="K23" s="78">
        <v>22</v>
      </c>
      <c r="T23" s="78">
        <v>3</v>
      </c>
      <c r="U23" s="78">
        <v>2</v>
      </c>
      <c r="V23" s="78" t="s">
        <v>88</v>
      </c>
      <c r="W23" s="78">
        <v>124</v>
      </c>
      <c r="X23" s="78">
        <v>15</v>
      </c>
      <c r="Y23" s="78">
        <v>7</v>
      </c>
      <c r="Z23" s="78" t="s">
        <v>130</v>
      </c>
      <c r="AA23" s="78" t="s">
        <v>131</v>
      </c>
      <c r="AB23" s="78" t="s">
        <v>84</v>
      </c>
      <c r="AC23" s="78" t="s">
        <v>85</v>
      </c>
      <c r="AD23" s="78" t="s">
        <v>125</v>
      </c>
      <c r="AG23" s="78" t="s">
        <v>132</v>
      </c>
      <c r="AH23" s="78">
        <v>0</v>
      </c>
      <c r="AI23" s="78">
        <v>0</v>
      </c>
      <c r="AJ23" s="78">
        <v>0</v>
      </c>
      <c r="AK23" s="78">
        <v>0</v>
      </c>
      <c r="AL23" s="78">
        <v>0</v>
      </c>
    </row>
    <row r="24" spans="1:38" x14ac:dyDescent="0.3">
      <c r="A24" s="78" t="s">
        <v>120</v>
      </c>
      <c r="B24" s="78">
        <v>140320</v>
      </c>
      <c r="C24" s="78">
        <v>1</v>
      </c>
      <c r="D24" s="78" t="s">
        <v>136</v>
      </c>
      <c r="E24" s="78" t="s">
        <v>137</v>
      </c>
      <c r="F24" s="78">
        <v>29</v>
      </c>
      <c r="G24" s="78">
        <v>20</v>
      </c>
      <c r="H24" s="78">
        <v>66.12</v>
      </c>
      <c r="I24" s="78">
        <v>16.89</v>
      </c>
      <c r="J24" s="78">
        <v>55.84</v>
      </c>
      <c r="K24" s="78">
        <v>3</v>
      </c>
      <c r="T24" s="78">
        <v>3</v>
      </c>
      <c r="U24" s="78">
        <v>1</v>
      </c>
      <c r="V24" s="78" t="s">
        <v>88</v>
      </c>
      <c r="W24" s="78" t="s">
        <v>138</v>
      </c>
      <c r="X24" s="78">
        <v>5</v>
      </c>
      <c r="Y24" s="78">
        <v>3</v>
      </c>
      <c r="Z24" s="78" t="s">
        <v>139</v>
      </c>
      <c r="AA24" s="78" t="s">
        <v>140</v>
      </c>
      <c r="AB24" s="78" t="s">
        <v>84</v>
      </c>
      <c r="AC24" s="78" t="s">
        <v>85</v>
      </c>
      <c r="AD24" s="78" t="s">
        <v>125</v>
      </c>
      <c r="AG24" s="78" t="s">
        <v>141</v>
      </c>
      <c r="AH24" s="78">
        <v>0</v>
      </c>
      <c r="AI24" s="78">
        <v>98</v>
      </c>
      <c r="AJ24" s="78">
        <v>34</v>
      </c>
      <c r="AK24" s="78">
        <v>33</v>
      </c>
      <c r="AL24" s="78">
        <v>1.1399999999999999</v>
      </c>
    </row>
    <row r="25" spans="1:38" x14ac:dyDescent="0.3">
      <c r="A25" s="78" t="s">
        <v>120</v>
      </c>
      <c r="B25" s="78">
        <v>140320</v>
      </c>
      <c r="C25" s="78">
        <v>2</v>
      </c>
      <c r="D25" s="78" t="s">
        <v>136</v>
      </c>
      <c r="E25" s="78" t="s">
        <v>137</v>
      </c>
      <c r="F25" s="78">
        <v>29</v>
      </c>
      <c r="G25" s="78">
        <v>20.399999999999999</v>
      </c>
      <c r="H25" s="78">
        <v>67.45</v>
      </c>
      <c r="I25" s="78">
        <v>17.23</v>
      </c>
      <c r="J25" s="78">
        <v>56.96</v>
      </c>
      <c r="K25" s="78">
        <v>2</v>
      </c>
      <c r="T25" s="78">
        <v>3</v>
      </c>
      <c r="U25" s="78">
        <v>1</v>
      </c>
      <c r="V25" s="78" t="s">
        <v>88</v>
      </c>
      <c r="W25" s="78" t="s">
        <v>142</v>
      </c>
      <c r="X25" s="78">
        <v>5</v>
      </c>
      <c r="Y25" s="78">
        <v>3</v>
      </c>
      <c r="Z25" s="78" t="s">
        <v>139</v>
      </c>
      <c r="AA25" s="78" t="s">
        <v>140</v>
      </c>
      <c r="AB25" s="78" t="s">
        <v>84</v>
      </c>
      <c r="AC25" s="78" t="s">
        <v>85</v>
      </c>
      <c r="AD25" s="78" t="s">
        <v>125</v>
      </c>
      <c r="AG25" s="78" t="s">
        <v>141</v>
      </c>
      <c r="AH25" s="78">
        <v>0</v>
      </c>
      <c r="AI25" s="78">
        <v>98</v>
      </c>
      <c r="AJ25" s="78">
        <v>34</v>
      </c>
      <c r="AK25" s="78">
        <v>33</v>
      </c>
      <c r="AL25" s="78">
        <v>1.1399999999999999</v>
      </c>
    </row>
    <row r="26" spans="1:38" x14ac:dyDescent="0.3">
      <c r="A26" s="78" t="s">
        <v>120</v>
      </c>
      <c r="B26" s="78">
        <v>140320</v>
      </c>
      <c r="C26" s="78">
        <v>3</v>
      </c>
      <c r="D26" s="78" t="s">
        <v>136</v>
      </c>
      <c r="E26" s="78" t="s">
        <v>137</v>
      </c>
      <c r="F26" s="78">
        <v>29</v>
      </c>
      <c r="G26" s="78">
        <v>24.03</v>
      </c>
      <c r="H26" s="78">
        <v>79.45</v>
      </c>
      <c r="I26" s="78">
        <v>20.53</v>
      </c>
      <c r="J26" s="78">
        <v>67.87</v>
      </c>
      <c r="K26" s="78">
        <v>2</v>
      </c>
      <c r="T26" s="78">
        <v>2</v>
      </c>
      <c r="U26" s="78">
        <v>2</v>
      </c>
      <c r="V26" s="78" t="s">
        <v>88</v>
      </c>
      <c r="W26" s="78">
        <v>79</v>
      </c>
      <c r="X26" s="78">
        <v>5</v>
      </c>
      <c r="Y26" s="78">
        <v>3</v>
      </c>
      <c r="Z26" s="78" t="s">
        <v>139</v>
      </c>
      <c r="AA26" s="78" t="s">
        <v>140</v>
      </c>
      <c r="AB26" s="78" t="s">
        <v>84</v>
      </c>
      <c r="AC26" s="78" t="s">
        <v>85</v>
      </c>
      <c r="AD26" s="78" t="s">
        <v>125</v>
      </c>
      <c r="AG26" s="78" t="s">
        <v>141</v>
      </c>
      <c r="AH26" s="78">
        <v>0</v>
      </c>
      <c r="AI26" s="78">
        <v>98</v>
      </c>
      <c r="AJ26" s="78">
        <v>34</v>
      </c>
      <c r="AK26" s="78">
        <v>33</v>
      </c>
      <c r="AL26" s="78">
        <v>1.1399999999999999</v>
      </c>
    </row>
    <row r="27" spans="1:38" x14ac:dyDescent="0.3">
      <c r="A27" s="78" t="s">
        <v>120</v>
      </c>
      <c r="B27" s="78">
        <v>140320</v>
      </c>
      <c r="C27" s="78">
        <v>4</v>
      </c>
      <c r="D27" s="78" t="s">
        <v>136</v>
      </c>
      <c r="E27" s="78" t="s">
        <v>137</v>
      </c>
      <c r="F27" s="78">
        <v>29</v>
      </c>
      <c r="G27" s="78">
        <v>29.6</v>
      </c>
      <c r="H27" s="78">
        <v>97.86</v>
      </c>
      <c r="I27" s="78">
        <v>25.19</v>
      </c>
      <c r="J27" s="78">
        <v>83.28</v>
      </c>
      <c r="K27" s="78">
        <v>4</v>
      </c>
      <c r="T27" s="78">
        <v>3</v>
      </c>
      <c r="U27" s="78">
        <v>2</v>
      </c>
      <c r="V27" s="78" t="s">
        <v>88</v>
      </c>
      <c r="W27" s="78" t="s">
        <v>143</v>
      </c>
      <c r="X27" s="78">
        <v>5</v>
      </c>
      <c r="Y27" s="78">
        <v>3</v>
      </c>
      <c r="Z27" s="78" t="s">
        <v>139</v>
      </c>
      <c r="AA27" s="78" t="s">
        <v>140</v>
      </c>
      <c r="AB27" s="78" t="s">
        <v>84</v>
      </c>
      <c r="AC27" s="78" t="s">
        <v>85</v>
      </c>
      <c r="AD27" s="78" t="s">
        <v>125</v>
      </c>
      <c r="AG27" s="78" t="s">
        <v>141</v>
      </c>
      <c r="AH27" s="78">
        <v>0</v>
      </c>
      <c r="AI27" s="78">
        <v>98</v>
      </c>
      <c r="AJ27" s="78">
        <v>34</v>
      </c>
      <c r="AK27" s="78">
        <v>33</v>
      </c>
      <c r="AL27" s="78">
        <v>1.1399999999999999</v>
      </c>
    </row>
    <row r="28" spans="1:38" x14ac:dyDescent="0.3">
      <c r="A28" s="78" t="s">
        <v>120</v>
      </c>
      <c r="B28" s="78">
        <v>140320</v>
      </c>
      <c r="C28" s="78">
        <v>5</v>
      </c>
      <c r="D28" s="78" t="s">
        <v>136</v>
      </c>
      <c r="E28" s="78" t="s">
        <v>137</v>
      </c>
      <c r="F28" s="78">
        <v>29</v>
      </c>
      <c r="G28" s="78">
        <v>29.65</v>
      </c>
      <c r="H28" s="78">
        <v>98.04</v>
      </c>
      <c r="I28" s="78">
        <v>25.23</v>
      </c>
      <c r="J28" s="78">
        <v>83.43</v>
      </c>
      <c r="K28" s="78">
        <v>8</v>
      </c>
      <c r="T28" s="78">
        <v>3</v>
      </c>
      <c r="U28" s="78">
        <v>2</v>
      </c>
      <c r="V28" s="78" t="s">
        <v>88</v>
      </c>
      <c r="W28" s="78" t="s">
        <v>144</v>
      </c>
      <c r="X28" s="78">
        <v>5</v>
      </c>
      <c r="Y28" s="78">
        <v>3</v>
      </c>
      <c r="Z28" s="78" t="s">
        <v>139</v>
      </c>
      <c r="AA28" s="78" t="s">
        <v>140</v>
      </c>
      <c r="AB28" s="78" t="s">
        <v>84</v>
      </c>
      <c r="AC28" s="78" t="s">
        <v>85</v>
      </c>
      <c r="AD28" s="78" t="s">
        <v>125</v>
      </c>
      <c r="AG28" s="78" t="s">
        <v>141</v>
      </c>
      <c r="AH28" s="78">
        <v>0</v>
      </c>
      <c r="AI28" s="78">
        <v>98</v>
      </c>
      <c r="AJ28" s="78">
        <v>34</v>
      </c>
      <c r="AK28" s="78">
        <v>33</v>
      </c>
      <c r="AL28" s="78">
        <v>1.1399999999999999</v>
      </c>
    </row>
    <row r="29" spans="1:38" x14ac:dyDescent="0.3">
      <c r="A29" s="78" t="s">
        <v>120</v>
      </c>
      <c r="B29" s="78">
        <v>140320</v>
      </c>
      <c r="C29" s="78">
        <v>6</v>
      </c>
      <c r="D29" s="78" t="s">
        <v>136</v>
      </c>
      <c r="E29" s="78" t="s">
        <v>137</v>
      </c>
      <c r="F29" s="78">
        <v>29</v>
      </c>
      <c r="G29" s="78">
        <v>37.71</v>
      </c>
      <c r="H29" s="78">
        <v>124.68</v>
      </c>
      <c r="I29" s="78">
        <v>32.090000000000003</v>
      </c>
      <c r="J29" s="78">
        <v>106.11</v>
      </c>
      <c r="K29" s="78">
        <v>4</v>
      </c>
      <c r="T29" s="78">
        <v>3</v>
      </c>
      <c r="U29" s="78">
        <v>2</v>
      </c>
      <c r="V29" s="78" t="s">
        <v>88</v>
      </c>
      <c r="W29" s="78">
        <v>124</v>
      </c>
      <c r="X29" s="78">
        <v>5</v>
      </c>
      <c r="Y29" s="78">
        <v>3</v>
      </c>
      <c r="Z29" s="78" t="s">
        <v>139</v>
      </c>
      <c r="AA29" s="78" t="s">
        <v>140</v>
      </c>
      <c r="AB29" s="78" t="s">
        <v>84</v>
      </c>
      <c r="AC29" s="78" t="s">
        <v>85</v>
      </c>
      <c r="AD29" s="78" t="s">
        <v>125</v>
      </c>
      <c r="AG29" s="78" t="s">
        <v>141</v>
      </c>
      <c r="AH29" s="78">
        <v>0</v>
      </c>
      <c r="AI29" s="78">
        <v>98</v>
      </c>
      <c r="AJ29" s="78">
        <v>34</v>
      </c>
      <c r="AK29" s="78">
        <v>33</v>
      </c>
      <c r="AL29" s="78">
        <v>1.1399999999999999</v>
      </c>
    </row>
    <row r="30" spans="1:38" x14ac:dyDescent="0.3">
      <c r="A30" s="78" t="s">
        <v>120</v>
      </c>
      <c r="B30" s="78">
        <v>140320</v>
      </c>
      <c r="C30" s="78">
        <v>7</v>
      </c>
      <c r="D30" s="78" t="s">
        <v>136</v>
      </c>
      <c r="E30" s="78" t="s">
        <v>137</v>
      </c>
      <c r="F30" s="78">
        <v>29</v>
      </c>
      <c r="G30" s="78">
        <v>42.92</v>
      </c>
      <c r="H30" s="78">
        <v>141.91</v>
      </c>
      <c r="I30" s="78">
        <v>36.25</v>
      </c>
      <c r="J30" s="78">
        <v>119.84</v>
      </c>
      <c r="K30" s="78">
        <v>1</v>
      </c>
      <c r="T30" s="78">
        <v>4</v>
      </c>
      <c r="U30" s="78">
        <v>2</v>
      </c>
      <c r="V30" s="78" t="s">
        <v>88</v>
      </c>
      <c r="W30" s="78" t="s">
        <v>145</v>
      </c>
      <c r="X30" s="78">
        <v>5</v>
      </c>
      <c r="Y30" s="78">
        <v>3</v>
      </c>
      <c r="Z30" s="78" t="s">
        <v>139</v>
      </c>
      <c r="AA30" s="78" t="s">
        <v>140</v>
      </c>
      <c r="AB30" s="78" t="s">
        <v>84</v>
      </c>
      <c r="AC30" s="78" t="s">
        <v>85</v>
      </c>
      <c r="AD30" s="78" t="s">
        <v>125</v>
      </c>
      <c r="AG30" s="78" t="s">
        <v>141</v>
      </c>
      <c r="AH30" s="78">
        <v>0</v>
      </c>
      <c r="AI30" s="78">
        <v>98</v>
      </c>
      <c r="AJ30" s="78">
        <v>34</v>
      </c>
      <c r="AK30" s="78">
        <v>33</v>
      </c>
      <c r="AL30" s="78">
        <v>1.1399999999999999</v>
      </c>
    </row>
    <row r="31" spans="1:38" x14ac:dyDescent="0.3">
      <c r="A31" s="78" t="s">
        <v>120</v>
      </c>
      <c r="B31" s="78">
        <v>140320</v>
      </c>
      <c r="C31" s="78">
        <v>8</v>
      </c>
      <c r="D31" s="78" t="s">
        <v>136</v>
      </c>
      <c r="E31" s="78" t="s">
        <v>137</v>
      </c>
      <c r="F31" s="78">
        <v>29</v>
      </c>
      <c r="G31" s="78">
        <v>43.22</v>
      </c>
      <c r="H31" s="78">
        <v>142.88999999999999</v>
      </c>
      <c r="I31" s="78">
        <v>36.5</v>
      </c>
      <c r="J31" s="78">
        <v>120.67</v>
      </c>
      <c r="K31" s="78">
        <v>3</v>
      </c>
      <c r="T31" s="78">
        <v>4</v>
      </c>
      <c r="U31" s="78">
        <v>2</v>
      </c>
      <c r="V31" s="78" t="s">
        <v>88</v>
      </c>
      <c r="W31" s="78" t="s">
        <v>146</v>
      </c>
      <c r="X31" s="78">
        <v>5</v>
      </c>
      <c r="Y31" s="78">
        <v>3</v>
      </c>
      <c r="Z31" s="78" t="s">
        <v>139</v>
      </c>
      <c r="AA31" s="78" t="s">
        <v>140</v>
      </c>
      <c r="AB31" s="78" t="s">
        <v>84</v>
      </c>
      <c r="AC31" s="78" t="s">
        <v>85</v>
      </c>
      <c r="AD31" s="78" t="s">
        <v>125</v>
      </c>
      <c r="AG31" s="78" t="s">
        <v>141</v>
      </c>
      <c r="AH31" s="78">
        <v>0</v>
      </c>
      <c r="AI31" s="78">
        <v>98</v>
      </c>
      <c r="AJ31" s="78">
        <v>34</v>
      </c>
      <c r="AK31" s="78">
        <v>33</v>
      </c>
      <c r="AL31" s="78">
        <v>1.1399999999999999</v>
      </c>
    </row>
    <row r="32" spans="1:38" x14ac:dyDescent="0.3">
      <c r="A32" s="78" t="s">
        <v>120</v>
      </c>
      <c r="B32" s="78">
        <v>140320</v>
      </c>
      <c r="C32" s="78">
        <v>9</v>
      </c>
      <c r="D32" s="78" t="s">
        <v>136</v>
      </c>
      <c r="E32" s="78" t="s">
        <v>137</v>
      </c>
      <c r="F32" s="78">
        <v>29</v>
      </c>
      <c r="G32" s="78">
        <v>58.78</v>
      </c>
      <c r="H32" s="78">
        <v>194.33</v>
      </c>
      <c r="I32" s="78">
        <v>49.64</v>
      </c>
      <c r="J32" s="78">
        <v>164.11</v>
      </c>
      <c r="K32" s="78">
        <v>2</v>
      </c>
      <c r="T32" s="78">
        <v>5</v>
      </c>
      <c r="U32" s="78">
        <v>3</v>
      </c>
      <c r="V32" s="78" t="s">
        <v>88</v>
      </c>
      <c r="W32" s="78">
        <v>194</v>
      </c>
      <c r="X32" s="78">
        <v>5</v>
      </c>
      <c r="Y32" s="78">
        <v>3</v>
      </c>
      <c r="Z32" s="78" t="s">
        <v>139</v>
      </c>
      <c r="AA32" s="78" t="s">
        <v>140</v>
      </c>
      <c r="AB32" s="78" t="s">
        <v>84</v>
      </c>
      <c r="AC32" s="78" t="s">
        <v>85</v>
      </c>
      <c r="AD32" s="78" t="s">
        <v>125</v>
      </c>
      <c r="AG32" s="78" t="s">
        <v>141</v>
      </c>
      <c r="AH32" s="78">
        <v>0</v>
      </c>
      <c r="AI32" s="78">
        <v>98</v>
      </c>
      <c r="AJ32" s="78">
        <v>34</v>
      </c>
      <c r="AK32" s="78">
        <v>33</v>
      </c>
      <c r="AL32" s="78">
        <v>1.1399999999999999</v>
      </c>
    </row>
    <row r="33" spans="1:38" x14ac:dyDescent="0.3">
      <c r="A33" s="78" t="s">
        <v>147</v>
      </c>
      <c r="B33" s="78">
        <v>4960</v>
      </c>
      <c r="C33" s="78">
        <v>1</v>
      </c>
      <c r="D33" s="78" t="s">
        <v>148</v>
      </c>
      <c r="E33" s="78" t="s">
        <v>149</v>
      </c>
      <c r="F33" s="78">
        <v>424</v>
      </c>
      <c r="G33" s="78">
        <v>32.270000000000003</v>
      </c>
      <c r="H33" s="78">
        <v>106.7</v>
      </c>
      <c r="I33" s="78">
        <v>25.68</v>
      </c>
      <c r="J33" s="78">
        <v>84.9</v>
      </c>
      <c r="K33" s="78">
        <v>192</v>
      </c>
      <c r="T33" s="78">
        <v>3</v>
      </c>
      <c r="U33" s="78">
        <v>2</v>
      </c>
      <c r="V33" s="78" t="s">
        <v>88</v>
      </c>
      <c r="W33" s="78" t="s">
        <v>134</v>
      </c>
      <c r="X33" s="78">
        <v>15</v>
      </c>
      <c r="Y33" s="78">
        <v>8</v>
      </c>
      <c r="Z33" s="78" t="s">
        <v>150</v>
      </c>
      <c r="AA33" s="78" t="s">
        <v>151</v>
      </c>
      <c r="AB33" s="78" t="s">
        <v>84</v>
      </c>
      <c r="AC33" s="78" t="s">
        <v>85</v>
      </c>
      <c r="AD33" s="78" t="s">
        <v>152</v>
      </c>
      <c r="AG33" s="78" t="s">
        <v>153</v>
      </c>
      <c r="AH33" s="78">
        <v>0</v>
      </c>
      <c r="AI33" s="78">
        <v>244</v>
      </c>
      <c r="AJ33" s="78">
        <v>22</v>
      </c>
      <c r="AK33" s="78">
        <v>0</v>
      </c>
      <c r="AL33" s="78">
        <v>0</v>
      </c>
    </row>
    <row r="34" spans="1:38" x14ac:dyDescent="0.3">
      <c r="A34" s="78" t="s">
        <v>147</v>
      </c>
      <c r="B34" s="78">
        <v>4960</v>
      </c>
      <c r="C34" s="78">
        <v>2</v>
      </c>
      <c r="D34" s="78" t="s">
        <v>148</v>
      </c>
      <c r="E34" s="78" t="s">
        <v>149</v>
      </c>
      <c r="F34" s="78">
        <v>424</v>
      </c>
      <c r="G34" s="78">
        <v>32.340000000000003</v>
      </c>
      <c r="H34" s="78">
        <v>106.94</v>
      </c>
      <c r="I34" s="78">
        <v>25.67</v>
      </c>
      <c r="J34" s="78">
        <v>84.87</v>
      </c>
      <c r="K34" s="78">
        <v>66</v>
      </c>
      <c r="T34" s="78">
        <v>3</v>
      </c>
      <c r="U34" s="78">
        <v>2</v>
      </c>
      <c r="V34" s="78" t="s">
        <v>88</v>
      </c>
      <c r="W34" s="78" t="s">
        <v>135</v>
      </c>
      <c r="X34" s="78">
        <v>15</v>
      </c>
      <c r="Y34" s="78">
        <v>8</v>
      </c>
      <c r="Z34" s="78" t="s">
        <v>150</v>
      </c>
      <c r="AA34" s="78" t="s">
        <v>151</v>
      </c>
      <c r="AB34" s="78" t="s">
        <v>84</v>
      </c>
      <c r="AC34" s="78" t="s">
        <v>85</v>
      </c>
      <c r="AD34" s="78" t="s">
        <v>152</v>
      </c>
      <c r="AG34" s="78" t="s">
        <v>153</v>
      </c>
      <c r="AH34" s="78">
        <v>0</v>
      </c>
      <c r="AI34" s="78">
        <v>244</v>
      </c>
      <c r="AJ34" s="78">
        <v>22</v>
      </c>
      <c r="AK34" s="78">
        <v>0</v>
      </c>
      <c r="AL34" s="78">
        <v>0</v>
      </c>
    </row>
    <row r="35" spans="1:38" x14ac:dyDescent="0.3">
      <c r="A35" s="78" t="s">
        <v>147</v>
      </c>
      <c r="B35" s="78">
        <v>4960</v>
      </c>
      <c r="C35" s="78">
        <v>3</v>
      </c>
      <c r="D35" s="78" t="s">
        <v>148</v>
      </c>
      <c r="E35" s="78" t="s">
        <v>149</v>
      </c>
      <c r="F35" s="78">
        <v>424</v>
      </c>
      <c r="G35" s="78">
        <v>46.86</v>
      </c>
      <c r="H35" s="78">
        <v>154.91</v>
      </c>
      <c r="I35" s="78">
        <v>38.619999999999997</v>
      </c>
      <c r="J35" s="78">
        <v>127.67</v>
      </c>
      <c r="K35" s="78">
        <v>78</v>
      </c>
      <c r="T35" s="78">
        <v>4</v>
      </c>
      <c r="U35" s="78">
        <v>2</v>
      </c>
      <c r="V35" s="78" t="s">
        <v>88</v>
      </c>
      <c r="W35" s="78">
        <v>154</v>
      </c>
      <c r="X35" s="78">
        <v>15</v>
      </c>
      <c r="Y35" s="78">
        <v>8</v>
      </c>
      <c r="Z35" s="78" t="s">
        <v>150</v>
      </c>
      <c r="AA35" s="78" t="s">
        <v>151</v>
      </c>
      <c r="AB35" s="78" t="s">
        <v>84</v>
      </c>
      <c r="AC35" s="78" t="s">
        <v>85</v>
      </c>
      <c r="AD35" s="78" t="s">
        <v>152</v>
      </c>
      <c r="AG35" s="78" t="s">
        <v>153</v>
      </c>
      <c r="AH35" s="78">
        <v>0</v>
      </c>
      <c r="AI35" s="78">
        <v>244</v>
      </c>
      <c r="AJ35" s="78">
        <v>22</v>
      </c>
      <c r="AK35" s="78">
        <v>0</v>
      </c>
      <c r="AL35" s="78">
        <v>0</v>
      </c>
    </row>
    <row r="36" spans="1:38" x14ac:dyDescent="0.3">
      <c r="A36" s="78" t="s">
        <v>147</v>
      </c>
      <c r="B36" s="78">
        <v>4960</v>
      </c>
      <c r="C36" s="78">
        <v>4</v>
      </c>
      <c r="D36" s="78" t="s">
        <v>148</v>
      </c>
      <c r="E36" s="78" t="s">
        <v>149</v>
      </c>
      <c r="F36" s="78">
        <v>424</v>
      </c>
      <c r="G36" s="78">
        <v>46.99</v>
      </c>
      <c r="H36" s="78">
        <v>155.35</v>
      </c>
      <c r="I36" s="78">
        <v>38.869999999999997</v>
      </c>
      <c r="J36" s="78">
        <v>128.51</v>
      </c>
      <c r="K36" s="78">
        <v>88</v>
      </c>
      <c r="T36" s="78">
        <v>4</v>
      </c>
      <c r="U36" s="78">
        <v>2</v>
      </c>
      <c r="V36" s="78" t="s">
        <v>81</v>
      </c>
      <c r="W36" s="78">
        <v>155</v>
      </c>
      <c r="X36" s="78">
        <v>15</v>
      </c>
      <c r="Y36" s="78">
        <v>8</v>
      </c>
      <c r="Z36" s="78" t="s">
        <v>150</v>
      </c>
      <c r="AA36" s="78" t="s">
        <v>151</v>
      </c>
      <c r="AB36" s="78" t="s">
        <v>84</v>
      </c>
      <c r="AC36" s="78" t="s">
        <v>85</v>
      </c>
      <c r="AD36" s="78" t="s">
        <v>152</v>
      </c>
      <c r="AG36" s="78" t="s">
        <v>153</v>
      </c>
      <c r="AH36" s="78">
        <v>0</v>
      </c>
      <c r="AI36" s="78">
        <v>244</v>
      </c>
      <c r="AJ36" s="78">
        <v>22</v>
      </c>
      <c r="AK36" s="78">
        <v>0</v>
      </c>
      <c r="AL36" s="78">
        <v>0</v>
      </c>
    </row>
    <row r="37" spans="1:38" x14ac:dyDescent="0.3">
      <c r="A37" s="78" t="s">
        <v>154</v>
      </c>
      <c r="B37" s="78">
        <v>14955</v>
      </c>
      <c r="C37" s="78">
        <v>1</v>
      </c>
      <c r="D37" s="78" t="s">
        <v>155</v>
      </c>
      <c r="E37" s="78" t="s">
        <v>156</v>
      </c>
      <c r="F37" s="78">
        <v>169</v>
      </c>
      <c r="G37" s="78">
        <v>22.14</v>
      </c>
      <c r="H37" s="78">
        <v>73.2</v>
      </c>
      <c r="I37" s="78">
        <v>18.13</v>
      </c>
      <c r="J37" s="78">
        <v>59.94</v>
      </c>
      <c r="K37" s="78">
        <v>44</v>
      </c>
      <c r="T37" s="78">
        <v>3</v>
      </c>
      <c r="U37" s="78">
        <v>1</v>
      </c>
      <c r="V37" s="78" t="s">
        <v>88</v>
      </c>
      <c r="W37" s="78">
        <v>73</v>
      </c>
      <c r="X37" s="78">
        <v>11</v>
      </c>
      <c r="Y37" s="78">
        <v>6</v>
      </c>
      <c r="Z37" s="78" t="s">
        <v>157</v>
      </c>
      <c r="AA37" s="78" t="s">
        <v>158</v>
      </c>
      <c r="AB37" s="78" t="s">
        <v>84</v>
      </c>
      <c r="AC37" s="78" t="s">
        <v>85</v>
      </c>
      <c r="AD37" s="78" t="s">
        <v>159</v>
      </c>
      <c r="AG37" s="78" t="s">
        <v>160</v>
      </c>
      <c r="AH37" s="78">
        <v>0</v>
      </c>
      <c r="AI37" s="78">
        <v>224</v>
      </c>
      <c r="AJ37" s="78">
        <v>23</v>
      </c>
      <c r="AK37" s="78">
        <v>0</v>
      </c>
      <c r="AL37" s="78">
        <v>0</v>
      </c>
    </row>
    <row r="38" spans="1:38" x14ac:dyDescent="0.3">
      <c r="A38" s="78" t="s">
        <v>154</v>
      </c>
      <c r="B38" s="78">
        <v>14955</v>
      </c>
      <c r="C38" s="78">
        <v>2</v>
      </c>
      <c r="D38" s="78" t="s">
        <v>155</v>
      </c>
      <c r="E38" s="78" t="s">
        <v>156</v>
      </c>
      <c r="F38" s="78">
        <v>169</v>
      </c>
      <c r="G38" s="78">
        <v>22.14</v>
      </c>
      <c r="H38" s="78">
        <v>73.2</v>
      </c>
      <c r="I38" s="78">
        <v>18.13</v>
      </c>
      <c r="J38" s="78">
        <v>59.94</v>
      </c>
      <c r="K38" s="78">
        <v>24</v>
      </c>
      <c r="T38" s="78">
        <v>3</v>
      </c>
      <c r="U38" s="78">
        <v>1</v>
      </c>
      <c r="V38" s="78" t="s">
        <v>88</v>
      </c>
      <c r="W38" s="78">
        <v>73</v>
      </c>
      <c r="X38" s="78">
        <v>11</v>
      </c>
      <c r="Y38" s="78">
        <v>6</v>
      </c>
      <c r="Z38" s="78" t="s">
        <v>157</v>
      </c>
      <c r="AA38" s="78" t="s">
        <v>158</v>
      </c>
      <c r="AB38" s="78" t="s">
        <v>84</v>
      </c>
      <c r="AC38" s="78" t="s">
        <v>85</v>
      </c>
      <c r="AD38" s="78" t="s">
        <v>159</v>
      </c>
      <c r="AG38" s="78" t="s">
        <v>160</v>
      </c>
      <c r="AH38" s="78">
        <v>0</v>
      </c>
      <c r="AI38" s="78">
        <v>224</v>
      </c>
      <c r="AJ38" s="78">
        <v>23</v>
      </c>
      <c r="AK38" s="78">
        <v>0</v>
      </c>
      <c r="AL38" s="78">
        <v>0</v>
      </c>
    </row>
    <row r="39" spans="1:38" x14ac:dyDescent="0.3">
      <c r="A39" s="78" t="s">
        <v>154</v>
      </c>
      <c r="B39" s="78">
        <v>14955</v>
      </c>
      <c r="C39" s="78">
        <v>3</v>
      </c>
      <c r="D39" s="78" t="s">
        <v>155</v>
      </c>
      <c r="E39" s="78" t="s">
        <v>156</v>
      </c>
      <c r="F39" s="78">
        <v>169</v>
      </c>
      <c r="G39" s="78">
        <v>24.76</v>
      </c>
      <c r="H39" s="78">
        <v>81.88</v>
      </c>
      <c r="I39" s="78">
        <v>20.23</v>
      </c>
      <c r="J39" s="78">
        <v>66.900000000000006</v>
      </c>
      <c r="K39" s="78">
        <v>23</v>
      </c>
      <c r="T39" s="78">
        <v>3</v>
      </c>
      <c r="U39" s="78">
        <v>2</v>
      </c>
      <c r="V39" s="78" t="s">
        <v>88</v>
      </c>
      <c r="W39" s="78" t="s">
        <v>161</v>
      </c>
      <c r="X39" s="78">
        <v>11</v>
      </c>
      <c r="Y39" s="78">
        <v>6</v>
      </c>
      <c r="Z39" s="78" t="s">
        <v>157</v>
      </c>
      <c r="AA39" s="78" t="s">
        <v>158</v>
      </c>
      <c r="AB39" s="78" t="s">
        <v>84</v>
      </c>
      <c r="AC39" s="78" t="s">
        <v>85</v>
      </c>
      <c r="AD39" s="78" t="s">
        <v>159</v>
      </c>
      <c r="AG39" s="78" t="s">
        <v>160</v>
      </c>
      <c r="AH39" s="78">
        <v>0</v>
      </c>
      <c r="AI39" s="78">
        <v>224</v>
      </c>
      <c r="AJ39" s="78">
        <v>23</v>
      </c>
      <c r="AK39" s="78">
        <v>0</v>
      </c>
      <c r="AL39" s="78">
        <v>0</v>
      </c>
    </row>
    <row r="40" spans="1:38" x14ac:dyDescent="0.3">
      <c r="A40" s="78" t="s">
        <v>154</v>
      </c>
      <c r="B40" s="78">
        <v>14955</v>
      </c>
      <c r="C40" s="78">
        <v>4</v>
      </c>
      <c r="D40" s="78" t="s">
        <v>155</v>
      </c>
      <c r="E40" s="78" t="s">
        <v>156</v>
      </c>
      <c r="F40" s="78">
        <v>169</v>
      </c>
      <c r="G40" s="78">
        <v>24.67</v>
      </c>
      <c r="H40" s="78">
        <v>81.58</v>
      </c>
      <c r="I40" s="78">
        <v>20.14</v>
      </c>
      <c r="J40" s="78">
        <v>66.599999999999994</v>
      </c>
      <c r="K40" s="78">
        <v>1</v>
      </c>
      <c r="T40" s="78">
        <v>3</v>
      </c>
      <c r="U40" s="78">
        <v>1</v>
      </c>
      <c r="V40" s="78" t="s">
        <v>88</v>
      </c>
      <c r="W40" s="78" t="s">
        <v>162</v>
      </c>
      <c r="X40" s="78">
        <v>11</v>
      </c>
      <c r="Y40" s="78">
        <v>6</v>
      </c>
      <c r="Z40" s="78" t="s">
        <v>157</v>
      </c>
      <c r="AA40" s="78" t="s">
        <v>158</v>
      </c>
      <c r="AB40" s="78" t="s">
        <v>84</v>
      </c>
      <c r="AC40" s="78" t="s">
        <v>85</v>
      </c>
      <c r="AD40" s="78" t="s">
        <v>159</v>
      </c>
      <c r="AG40" s="78" t="s">
        <v>160</v>
      </c>
      <c r="AH40" s="78">
        <v>0</v>
      </c>
      <c r="AI40" s="78">
        <v>224</v>
      </c>
      <c r="AJ40" s="78">
        <v>23</v>
      </c>
      <c r="AK40" s="78">
        <v>0</v>
      </c>
      <c r="AL40" s="78">
        <v>0</v>
      </c>
    </row>
    <row r="41" spans="1:38" x14ac:dyDescent="0.3">
      <c r="A41" s="78" t="s">
        <v>154</v>
      </c>
      <c r="B41" s="78">
        <v>14955</v>
      </c>
      <c r="C41" s="78">
        <v>5</v>
      </c>
      <c r="D41" s="78" t="s">
        <v>155</v>
      </c>
      <c r="E41" s="78" t="s">
        <v>156</v>
      </c>
      <c r="F41" s="78">
        <v>169</v>
      </c>
      <c r="G41" s="78">
        <v>27.97</v>
      </c>
      <c r="H41" s="78">
        <v>92.48</v>
      </c>
      <c r="I41" s="78">
        <v>22.64</v>
      </c>
      <c r="J41" s="78">
        <v>74.86</v>
      </c>
      <c r="K41" s="78">
        <v>44</v>
      </c>
      <c r="T41" s="78">
        <v>3</v>
      </c>
      <c r="U41" s="78">
        <v>1</v>
      </c>
      <c r="V41" s="78" t="s">
        <v>88</v>
      </c>
      <c r="W41" s="78">
        <v>92</v>
      </c>
      <c r="X41" s="78">
        <v>11</v>
      </c>
      <c r="Y41" s="78">
        <v>6</v>
      </c>
      <c r="Z41" s="78" t="s">
        <v>157</v>
      </c>
      <c r="AA41" s="78" t="s">
        <v>158</v>
      </c>
      <c r="AB41" s="78" t="s">
        <v>84</v>
      </c>
      <c r="AC41" s="78" t="s">
        <v>85</v>
      </c>
      <c r="AD41" s="78" t="s">
        <v>159</v>
      </c>
      <c r="AG41" s="78" t="s">
        <v>160</v>
      </c>
      <c r="AH41" s="78">
        <v>0</v>
      </c>
      <c r="AI41" s="78">
        <v>224</v>
      </c>
      <c r="AJ41" s="78">
        <v>23</v>
      </c>
      <c r="AK41" s="78">
        <v>0</v>
      </c>
      <c r="AL41" s="78">
        <v>0</v>
      </c>
    </row>
    <row r="42" spans="1:38" x14ac:dyDescent="0.3">
      <c r="A42" s="78" t="s">
        <v>154</v>
      </c>
      <c r="B42" s="78">
        <v>14955</v>
      </c>
      <c r="C42" s="78">
        <v>6</v>
      </c>
      <c r="D42" s="78" t="s">
        <v>155</v>
      </c>
      <c r="E42" s="78" t="s">
        <v>156</v>
      </c>
      <c r="F42" s="78">
        <v>169</v>
      </c>
      <c r="G42" s="78">
        <v>30.88</v>
      </c>
      <c r="H42" s="78">
        <v>102.11</v>
      </c>
      <c r="I42" s="78">
        <v>25.28</v>
      </c>
      <c r="J42" s="78">
        <v>83.59</v>
      </c>
      <c r="K42" s="78">
        <v>33</v>
      </c>
      <c r="T42" s="78">
        <v>3</v>
      </c>
      <c r="U42" s="78">
        <v>2</v>
      </c>
      <c r="V42" s="78" t="s">
        <v>88</v>
      </c>
      <c r="W42" s="78">
        <v>102</v>
      </c>
      <c r="X42" s="78">
        <v>11</v>
      </c>
      <c r="Y42" s="78">
        <v>6</v>
      </c>
      <c r="Z42" s="78" t="s">
        <v>157</v>
      </c>
      <c r="AA42" s="78" t="s">
        <v>158</v>
      </c>
      <c r="AB42" s="78" t="s">
        <v>84</v>
      </c>
      <c r="AC42" s="78" t="s">
        <v>85</v>
      </c>
      <c r="AD42" s="78" t="s">
        <v>159</v>
      </c>
      <c r="AG42" s="78" t="s">
        <v>160</v>
      </c>
      <c r="AH42" s="78">
        <v>0</v>
      </c>
      <c r="AI42" s="78">
        <v>224</v>
      </c>
      <c r="AJ42" s="78">
        <v>23</v>
      </c>
      <c r="AK42" s="78">
        <v>0</v>
      </c>
      <c r="AL42" s="78">
        <v>0</v>
      </c>
    </row>
    <row r="43" spans="1:38" x14ac:dyDescent="0.3">
      <c r="A43" s="78" t="s">
        <v>154</v>
      </c>
      <c r="B43" s="78">
        <v>14958</v>
      </c>
      <c r="C43" s="78">
        <v>1</v>
      </c>
      <c r="D43" s="78" t="s">
        <v>163</v>
      </c>
      <c r="E43" s="78" t="s">
        <v>164</v>
      </c>
      <c r="F43" s="78">
        <v>99</v>
      </c>
      <c r="G43" s="78">
        <v>24.5</v>
      </c>
      <c r="H43" s="78">
        <v>81</v>
      </c>
      <c r="I43" s="78">
        <v>19.920000000000002</v>
      </c>
      <c r="J43" s="78">
        <v>65.88</v>
      </c>
      <c r="K43" s="78">
        <v>9</v>
      </c>
      <c r="T43" s="78">
        <v>3</v>
      </c>
      <c r="U43" s="78">
        <v>1</v>
      </c>
      <c r="V43" s="78" t="s">
        <v>81</v>
      </c>
      <c r="W43" s="78">
        <v>81</v>
      </c>
      <c r="X43" s="78">
        <v>9</v>
      </c>
      <c r="Y43" s="78">
        <v>9</v>
      </c>
      <c r="Z43" s="78" t="s">
        <v>165</v>
      </c>
      <c r="AA43" s="78" t="s">
        <v>166</v>
      </c>
      <c r="AB43" s="78" t="s">
        <v>84</v>
      </c>
      <c r="AC43" s="78" t="s">
        <v>85</v>
      </c>
      <c r="AD43" s="78" t="s">
        <v>159</v>
      </c>
      <c r="AG43" s="78" t="s">
        <v>167</v>
      </c>
      <c r="AH43" s="78">
        <v>0</v>
      </c>
      <c r="AI43" s="78">
        <v>267</v>
      </c>
      <c r="AJ43" s="78">
        <v>31</v>
      </c>
      <c r="AK43" s="78">
        <v>0</v>
      </c>
      <c r="AL43" s="78">
        <v>0</v>
      </c>
    </row>
    <row r="44" spans="1:38" x14ac:dyDescent="0.3">
      <c r="A44" s="78" t="s">
        <v>154</v>
      </c>
      <c r="B44" s="78">
        <v>14958</v>
      </c>
      <c r="C44" s="78">
        <v>2</v>
      </c>
      <c r="D44" s="78" t="s">
        <v>163</v>
      </c>
      <c r="E44" s="78" t="s">
        <v>164</v>
      </c>
      <c r="F44" s="78">
        <v>99</v>
      </c>
      <c r="G44" s="78">
        <v>30.95</v>
      </c>
      <c r="H44" s="78">
        <v>102.32</v>
      </c>
      <c r="I44" s="78">
        <v>25.15</v>
      </c>
      <c r="J44" s="78">
        <v>83.16</v>
      </c>
      <c r="K44" s="78">
        <v>90</v>
      </c>
      <c r="T44" s="78">
        <v>3</v>
      </c>
      <c r="U44" s="78">
        <v>2</v>
      </c>
      <c r="V44" s="78" t="s">
        <v>81</v>
      </c>
      <c r="W44" s="78">
        <v>102</v>
      </c>
      <c r="X44" s="78">
        <v>9</v>
      </c>
      <c r="Y44" s="78">
        <v>9</v>
      </c>
      <c r="Z44" s="78" t="s">
        <v>165</v>
      </c>
      <c r="AA44" s="78" t="s">
        <v>166</v>
      </c>
      <c r="AB44" s="78" t="s">
        <v>84</v>
      </c>
      <c r="AC44" s="78" t="s">
        <v>85</v>
      </c>
      <c r="AD44" s="78" t="s">
        <v>159</v>
      </c>
      <c r="AG44" s="78" t="s">
        <v>167</v>
      </c>
      <c r="AH44" s="78">
        <v>0</v>
      </c>
      <c r="AI44" s="78">
        <v>267</v>
      </c>
      <c r="AJ44" s="78">
        <v>31</v>
      </c>
      <c r="AK44" s="78">
        <v>0</v>
      </c>
      <c r="AL44" s="78">
        <v>0</v>
      </c>
    </row>
    <row r="45" spans="1:38" x14ac:dyDescent="0.3">
      <c r="A45" s="78" t="s">
        <v>168</v>
      </c>
      <c r="B45" s="78">
        <v>132110</v>
      </c>
      <c r="C45" s="78">
        <v>1</v>
      </c>
      <c r="D45" s="78" t="s">
        <v>169</v>
      </c>
      <c r="E45" s="78" t="s">
        <v>170</v>
      </c>
      <c r="F45" s="78">
        <v>993</v>
      </c>
      <c r="G45" s="78">
        <v>24.35</v>
      </c>
      <c r="H45" s="78">
        <v>80.510000000000005</v>
      </c>
      <c r="I45" s="78">
        <v>18.079999999999998</v>
      </c>
      <c r="J45" s="78">
        <v>59.78</v>
      </c>
      <c r="K45" s="78">
        <v>178</v>
      </c>
      <c r="T45" s="78">
        <v>3</v>
      </c>
      <c r="U45" s="78">
        <v>2</v>
      </c>
      <c r="V45" s="78" t="s">
        <v>88</v>
      </c>
      <c r="W45" s="78" t="s">
        <v>171</v>
      </c>
      <c r="X45" s="78">
        <v>26</v>
      </c>
      <c r="Y45" s="78">
        <v>16</v>
      </c>
      <c r="Z45" s="78" t="s">
        <v>172</v>
      </c>
      <c r="AA45" s="78" t="s">
        <v>173</v>
      </c>
      <c r="AB45" s="78" t="s">
        <v>84</v>
      </c>
      <c r="AC45" s="78" t="s">
        <v>85</v>
      </c>
      <c r="AD45" s="78" t="s">
        <v>174</v>
      </c>
      <c r="AG45" s="78" t="s">
        <v>175</v>
      </c>
      <c r="AH45" s="78">
        <v>0</v>
      </c>
      <c r="AI45" s="78">
        <v>269</v>
      </c>
      <c r="AJ45" s="78">
        <v>21</v>
      </c>
      <c r="AK45" s="78">
        <v>1275</v>
      </c>
      <c r="AL45" s="78">
        <v>1.28</v>
      </c>
    </row>
    <row r="46" spans="1:38" x14ac:dyDescent="0.3">
      <c r="A46" s="78" t="s">
        <v>168</v>
      </c>
      <c r="B46" s="78">
        <v>132110</v>
      </c>
      <c r="C46" s="78">
        <v>2</v>
      </c>
      <c r="D46" s="78" t="s">
        <v>169</v>
      </c>
      <c r="E46" s="78" t="s">
        <v>170</v>
      </c>
      <c r="F46" s="78">
        <v>993</v>
      </c>
      <c r="G46" s="78">
        <v>24.38</v>
      </c>
      <c r="H46" s="78">
        <v>80.599999999999994</v>
      </c>
      <c r="I46" s="78">
        <v>18.13</v>
      </c>
      <c r="J46" s="78">
        <v>59.96</v>
      </c>
      <c r="K46" s="78">
        <v>82</v>
      </c>
      <c r="T46" s="78">
        <v>3</v>
      </c>
      <c r="U46" s="78">
        <v>2</v>
      </c>
      <c r="V46" s="78" t="s">
        <v>88</v>
      </c>
      <c r="W46" s="78" t="s">
        <v>176</v>
      </c>
      <c r="X46" s="78">
        <v>26</v>
      </c>
      <c r="Y46" s="78">
        <v>16</v>
      </c>
      <c r="Z46" s="78" t="s">
        <v>172</v>
      </c>
      <c r="AA46" s="78" t="s">
        <v>173</v>
      </c>
      <c r="AB46" s="78" t="s">
        <v>84</v>
      </c>
      <c r="AC46" s="78" t="s">
        <v>85</v>
      </c>
      <c r="AD46" s="78" t="s">
        <v>174</v>
      </c>
      <c r="AG46" s="78" t="s">
        <v>175</v>
      </c>
      <c r="AH46" s="78">
        <v>0</v>
      </c>
      <c r="AI46" s="78">
        <v>269</v>
      </c>
      <c r="AJ46" s="78">
        <v>21</v>
      </c>
      <c r="AK46" s="78">
        <v>1275</v>
      </c>
      <c r="AL46" s="78">
        <v>1.28</v>
      </c>
    </row>
    <row r="47" spans="1:38" x14ac:dyDescent="0.3">
      <c r="A47" s="78" t="s">
        <v>168</v>
      </c>
      <c r="B47" s="78">
        <v>132110</v>
      </c>
      <c r="C47" s="78">
        <v>3</v>
      </c>
      <c r="D47" s="78" t="s">
        <v>169</v>
      </c>
      <c r="E47" s="78" t="s">
        <v>170</v>
      </c>
      <c r="F47" s="78">
        <v>993</v>
      </c>
      <c r="G47" s="78">
        <v>29.74</v>
      </c>
      <c r="H47" s="78">
        <v>98.34</v>
      </c>
      <c r="I47" s="78">
        <v>22.2</v>
      </c>
      <c r="J47" s="78">
        <v>73.42</v>
      </c>
      <c r="K47" s="78">
        <v>86</v>
      </c>
      <c r="T47" s="78">
        <v>3</v>
      </c>
      <c r="U47" s="78">
        <v>2</v>
      </c>
      <c r="V47" s="78" t="s">
        <v>88</v>
      </c>
      <c r="W47" s="78">
        <v>98</v>
      </c>
      <c r="X47" s="78">
        <v>26</v>
      </c>
      <c r="Y47" s="78">
        <v>16</v>
      </c>
      <c r="Z47" s="78" t="s">
        <v>172</v>
      </c>
      <c r="AA47" s="78" t="s">
        <v>173</v>
      </c>
      <c r="AB47" s="78" t="s">
        <v>84</v>
      </c>
      <c r="AC47" s="78" t="s">
        <v>85</v>
      </c>
      <c r="AD47" s="78" t="s">
        <v>174</v>
      </c>
      <c r="AG47" s="78" t="s">
        <v>175</v>
      </c>
      <c r="AH47" s="78">
        <v>0</v>
      </c>
      <c r="AI47" s="78">
        <v>269</v>
      </c>
      <c r="AJ47" s="78">
        <v>21</v>
      </c>
      <c r="AK47" s="78">
        <v>1275</v>
      </c>
      <c r="AL47" s="78">
        <v>1.28</v>
      </c>
    </row>
    <row r="48" spans="1:38" x14ac:dyDescent="0.3">
      <c r="A48" s="78" t="s">
        <v>168</v>
      </c>
      <c r="B48" s="78">
        <v>132110</v>
      </c>
      <c r="C48" s="78">
        <v>4</v>
      </c>
      <c r="D48" s="78" t="s">
        <v>169</v>
      </c>
      <c r="E48" s="78" t="s">
        <v>170</v>
      </c>
      <c r="F48" s="78">
        <v>993</v>
      </c>
      <c r="G48" s="78">
        <v>33.99</v>
      </c>
      <c r="H48" s="78">
        <v>112.39</v>
      </c>
      <c r="I48" s="78">
        <v>25.7</v>
      </c>
      <c r="J48" s="78">
        <v>84.99</v>
      </c>
      <c r="K48" s="78">
        <v>36</v>
      </c>
      <c r="T48" s="78">
        <v>3</v>
      </c>
      <c r="U48" s="78">
        <v>2</v>
      </c>
      <c r="V48" s="78" t="s">
        <v>88</v>
      </c>
      <c r="W48" s="78" t="s">
        <v>177</v>
      </c>
      <c r="X48" s="78">
        <v>26</v>
      </c>
      <c r="Y48" s="78">
        <v>16</v>
      </c>
      <c r="Z48" s="78" t="s">
        <v>172</v>
      </c>
      <c r="AA48" s="78" t="s">
        <v>173</v>
      </c>
      <c r="AB48" s="78" t="s">
        <v>84</v>
      </c>
      <c r="AC48" s="78" t="s">
        <v>85</v>
      </c>
      <c r="AD48" s="78" t="s">
        <v>174</v>
      </c>
      <c r="AG48" s="78" t="s">
        <v>175</v>
      </c>
      <c r="AH48" s="78">
        <v>0</v>
      </c>
      <c r="AI48" s="78">
        <v>269</v>
      </c>
      <c r="AJ48" s="78">
        <v>21</v>
      </c>
      <c r="AK48" s="78">
        <v>1275</v>
      </c>
      <c r="AL48" s="78">
        <v>1.28</v>
      </c>
    </row>
    <row r="49" spans="1:38" x14ac:dyDescent="0.3">
      <c r="A49" s="78" t="s">
        <v>168</v>
      </c>
      <c r="B49" s="78">
        <v>132110</v>
      </c>
      <c r="C49" s="78">
        <v>5</v>
      </c>
      <c r="D49" s="78" t="s">
        <v>169</v>
      </c>
      <c r="E49" s="78" t="s">
        <v>170</v>
      </c>
      <c r="F49" s="78">
        <v>993</v>
      </c>
      <c r="G49" s="78">
        <v>34.299999999999997</v>
      </c>
      <c r="H49" s="78">
        <v>113.41</v>
      </c>
      <c r="I49" s="78">
        <v>25.68</v>
      </c>
      <c r="J49" s="78">
        <v>84.92</v>
      </c>
      <c r="K49" s="78">
        <v>4</v>
      </c>
      <c r="T49" s="78">
        <v>3</v>
      </c>
      <c r="U49" s="78">
        <v>2</v>
      </c>
      <c r="V49" s="78" t="s">
        <v>88</v>
      </c>
      <c r="W49" s="78" t="s">
        <v>178</v>
      </c>
      <c r="X49" s="78">
        <v>26</v>
      </c>
      <c r="Y49" s="78">
        <v>16</v>
      </c>
      <c r="Z49" s="78" t="s">
        <v>172</v>
      </c>
      <c r="AA49" s="78" t="s">
        <v>173</v>
      </c>
      <c r="AB49" s="78" t="s">
        <v>84</v>
      </c>
      <c r="AC49" s="78" t="s">
        <v>85</v>
      </c>
      <c r="AD49" s="78" t="s">
        <v>174</v>
      </c>
      <c r="AG49" s="78" t="s">
        <v>175</v>
      </c>
      <c r="AH49" s="78">
        <v>0</v>
      </c>
      <c r="AI49" s="78">
        <v>269</v>
      </c>
      <c r="AJ49" s="78">
        <v>21</v>
      </c>
      <c r="AK49" s="78">
        <v>1275</v>
      </c>
      <c r="AL49" s="78">
        <v>1.28</v>
      </c>
    </row>
    <row r="50" spans="1:38" x14ac:dyDescent="0.3">
      <c r="A50" s="78" t="s">
        <v>168</v>
      </c>
      <c r="B50" s="78">
        <v>132110</v>
      </c>
      <c r="C50" s="78">
        <v>6</v>
      </c>
      <c r="D50" s="78" t="s">
        <v>169</v>
      </c>
      <c r="E50" s="78" t="s">
        <v>170</v>
      </c>
      <c r="F50" s="78">
        <v>993</v>
      </c>
      <c r="G50" s="78">
        <v>34.869999999999997</v>
      </c>
      <c r="H50" s="78">
        <v>115.3</v>
      </c>
      <c r="I50" s="78">
        <v>25.68</v>
      </c>
      <c r="J50" s="78">
        <v>84.92</v>
      </c>
      <c r="K50" s="78">
        <v>6</v>
      </c>
      <c r="T50" s="78">
        <v>3</v>
      </c>
      <c r="U50" s="78">
        <v>2</v>
      </c>
      <c r="V50" s="78" t="s">
        <v>88</v>
      </c>
      <c r="W50" s="78" t="s">
        <v>179</v>
      </c>
      <c r="X50" s="78">
        <v>26</v>
      </c>
      <c r="Y50" s="78">
        <v>16</v>
      </c>
      <c r="Z50" s="78" t="s">
        <v>172</v>
      </c>
      <c r="AA50" s="78" t="s">
        <v>173</v>
      </c>
      <c r="AB50" s="78" t="s">
        <v>84</v>
      </c>
      <c r="AC50" s="78" t="s">
        <v>85</v>
      </c>
      <c r="AD50" s="78" t="s">
        <v>174</v>
      </c>
      <c r="AG50" s="78" t="s">
        <v>175</v>
      </c>
      <c r="AH50" s="78">
        <v>0</v>
      </c>
      <c r="AI50" s="78">
        <v>269</v>
      </c>
      <c r="AJ50" s="78">
        <v>21</v>
      </c>
      <c r="AK50" s="78">
        <v>1275</v>
      </c>
      <c r="AL50" s="78">
        <v>1.28</v>
      </c>
    </row>
    <row r="51" spans="1:38" x14ac:dyDescent="0.3">
      <c r="A51" s="78" t="s">
        <v>168</v>
      </c>
      <c r="B51" s="78">
        <v>14959</v>
      </c>
      <c r="C51" s="78">
        <v>1</v>
      </c>
      <c r="D51" s="78" t="s">
        <v>180</v>
      </c>
      <c r="E51" s="78" t="s">
        <v>181</v>
      </c>
      <c r="F51" s="78">
        <v>100</v>
      </c>
      <c r="G51" s="78">
        <v>21.56</v>
      </c>
      <c r="H51" s="78">
        <v>71.3</v>
      </c>
      <c r="I51" s="78">
        <v>18.13</v>
      </c>
      <c r="J51" s="78">
        <v>59.94</v>
      </c>
      <c r="K51" s="78">
        <v>70</v>
      </c>
      <c r="T51" s="78">
        <v>3</v>
      </c>
      <c r="U51" s="78">
        <v>1</v>
      </c>
      <c r="V51" s="78" t="s">
        <v>88</v>
      </c>
      <c r="W51" s="78" t="s">
        <v>182</v>
      </c>
      <c r="X51" s="78">
        <v>5</v>
      </c>
      <c r="Y51" s="78">
        <v>5</v>
      </c>
      <c r="Z51" s="78" t="s">
        <v>183</v>
      </c>
      <c r="AA51" s="78" t="s">
        <v>184</v>
      </c>
      <c r="AB51" s="78" t="s">
        <v>84</v>
      </c>
      <c r="AC51" s="78" t="s">
        <v>85</v>
      </c>
      <c r="AD51" s="78" t="s">
        <v>174</v>
      </c>
      <c r="AG51" s="78" t="s">
        <v>185</v>
      </c>
      <c r="AH51" s="78">
        <v>0</v>
      </c>
      <c r="AI51" s="78">
        <v>0</v>
      </c>
      <c r="AJ51" s="78">
        <v>0</v>
      </c>
      <c r="AK51" s="78">
        <v>0</v>
      </c>
      <c r="AL51" s="78">
        <v>0</v>
      </c>
    </row>
    <row r="52" spans="1:38" x14ac:dyDescent="0.3">
      <c r="A52" s="78" t="s">
        <v>168</v>
      </c>
      <c r="B52" s="78">
        <v>14959</v>
      </c>
      <c r="C52" s="78">
        <v>2</v>
      </c>
      <c r="D52" s="78" t="s">
        <v>180</v>
      </c>
      <c r="E52" s="78" t="s">
        <v>181</v>
      </c>
      <c r="F52" s="78">
        <v>100</v>
      </c>
      <c r="G52" s="78">
        <v>21.5</v>
      </c>
      <c r="H52" s="78">
        <v>71.08</v>
      </c>
      <c r="I52" s="78">
        <v>18.059999999999999</v>
      </c>
      <c r="J52" s="78">
        <v>59.72</v>
      </c>
      <c r="K52" s="78">
        <v>30</v>
      </c>
      <c r="T52" s="78">
        <v>3</v>
      </c>
      <c r="U52" s="78">
        <v>1</v>
      </c>
      <c r="V52" s="78" t="s">
        <v>88</v>
      </c>
      <c r="W52" s="78" t="s">
        <v>186</v>
      </c>
      <c r="X52" s="78">
        <v>5</v>
      </c>
      <c r="Y52" s="78">
        <v>5</v>
      </c>
      <c r="Z52" s="78" t="s">
        <v>183</v>
      </c>
      <c r="AA52" s="78" t="s">
        <v>184</v>
      </c>
      <c r="AB52" s="78" t="s">
        <v>84</v>
      </c>
      <c r="AC52" s="78" t="s">
        <v>85</v>
      </c>
      <c r="AD52" s="78" t="s">
        <v>174</v>
      </c>
      <c r="AG52" s="78" t="s">
        <v>185</v>
      </c>
      <c r="AH52" s="78">
        <v>0</v>
      </c>
      <c r="AI52" s="78">
        <v>0</v>
      </c>
      <c r="AJ52" s="78">
        <v>0</v>
      </c>
      <c r="AK52" s="78">
        <v>0</v>
      </c>
      <c r="AL52" s="78">
        <v>0</v>
      </c>
    </row>
    <row r="53" spans="1:38" x14ac:dyDescent="0.3">
      <c r="A53" s="78" t="s">
        <v>168</v>
      </c>
      <c r="B53" s="78">
        <v>117992</v>
      </c>
      <c r="C53" s="78">
        <v>1</v>
      </c>
      <c r="D53" s="78" t="s">
        <v>187</v>
      </c>
      <c r="E53" s="78" t="s">
        <v>188</v>
      </c>
      <c r="F53" s="78">
        <v>65</v>
      </c>
      <c r="G53" s="78">
        <v>16.66</v>
      </c>
      <c r="H53" s="78">
        <v>55.08</v>
      </c>
      <c r="I53" s="78">
        <v>15.02</v>
      </c>
      <c r="J53" s="78">
        <v>49.68</v>
      </c>
      <c r="K53" s="78">
        <v>40</v>
      </c>
      <c r="T53" s="78">
        <v>2</v>
      </c>
      <c r="U53" s="78">
        <v>1</v>
      </c>
      <c r="V53" s="78" t="s">
        <v>81</v>
      </c>
      <c r="W53" s="78">
        <v>55</v>
      </c>
      <c r="X53" s="78">
        <v>5</v>
      </c>
      <c r="Y53" s="78">
        <v>5</v>
      </c>
      <c r="Z53" s="78" t="s">
        <v>189</v>
      </c>
      <c r="AA53" s="78" t="s">
        <v>190</v>
      </c>
      <c r="AB53" s="78" t="s">
        <v>84</v>
      </c>
      <c r="AC53" s="78" t="s">
        <v>85</v>
      </c>
      <c r="AD53" s="78" t="s">
        <v>174</v>
      </c>
      <c r="AG53" s="78" t="s">
        <v>191</v>
      </c>
      <c r="AH53" s="78">
        <v>0</v>
      </c>
      <c r="AI53" s="78">
        <v>0</v>
      </c>
      <c r="AJ53" s="78">
        <v>0</v>
      </c>
      <c r="AK53" s="78">
        <v>0</v>
      </c>
      <c r="AL53" s="78">
        <v>0</v>
      </c>
    </row>
    <row r="54" spans="1:38" x14ac:dyDescent="0.3">
      <c r="A54" s="78" t="s">
        <v>168</v>
      </c>
      <c r="B54" s="78">
        <v>117992</v>
      </c>
      <c r="C54" s="78">
        <v>2</v>
      </c>
      <c r="D54" s="78" t="s">
        <v>187</v>
      </c>
      <c r="E54" s="78" t="s">
        <v>188</v>
      </c>
      <c r="F54" s="78">
        <v>65</v>
      </c>
      <c r="G54" s="78">
        <v>19.739999999999998</v>
      </c>
      <c r="H54" s="78">
        <v>65.28</v>
      </c>
      <c r="I54" s="78">
        <v>18.11</v>
      </c>
      <c r="J54" s="78">
        <v>59.88</v>
      </c>
      <c r="K54" s="78">
        <v>20</v>
      </c>
      <c r="T54" s="78">
        <v>3</v>
      </c>
      <c r="U54" s="78">
        <v>2</v>
      </c>
      <c r="V54" s="78" t="s">
        <v>81</v>
      </c>
      <c r="W54" s="78">
        <v>65</v>
      </c>
      <c r="X54" s="78">
        <v>5</v>
      </c>
      <c r="Y54" s="78">
        <v>5</v>
      </c>
      <c r="Z54" s="78" t="s">
        <v>189</v>
      </c>
      <c r="AA54" s="78" t="s">
        <v>190</v>
      </c>
      <c r="AB54" s="78" t="s">
        <v>84</v>
      </c>
      <c r="AC54" s="78" t="s">
        <v>85</v>
      </c>
      <c r="AD54" s="78" t="s">
        <v>174</v>
      </c>
      <c r="AG54" s="78" t="s">
        <v>191</v>
      </c>
      <c r="AH54" s="78">
        <v>0</v>
      </c>
      <c r="AI54" s="78">
        <v>0</v>
      </c>
      <c r="AJ54" s="78">
        <v>0</v>
      </c>
      <c r="AK54" s="78">
        <v>0</v>
      </c>
      <c r="AL54" s="78">
        <v>0</v>
      </c>
    </row>
    <row r="55" spans="1:38" x14ac:dyDescent="0.3">
      <c r="A55" s="78" t="s">
        <v>168</v>
      </c>
      <c r="B55" s="78">
        <v>117992</v>
      </c>
      <c r="C55" s="78">
        <v>3</v>
      </c>
      <c r="D55" s="78" t="s">
        <v>187</v>
      </c>
      <c r="E55" s="78" t="s">
        <v>188</v>
      </c>
      <c r="F55" s="78">
        <v>65</v>
      </c>
      <c r="G55" s="78">
        <v>21.38</v>
      </c>
      <c r="H55" s="78">
        <v>70.680000000000007</v>
      </c>
      <c r="I55" s="78">
        <v>18.11</v>
      </c>
      <c r="J55" s="78">
        <v>59.88</v>
      </c>
      <c r="K55" s="78">
        <v>5</v>
      </c>
      <c r="T55" s="78">
        <v>3</v>
      </c>
      <c r="U55" s="78">
        <v>2</v>
      </c>
      <c r="V55" s="78" t="s">
        <v>81</v>
      </c>
      <c r="W55" s="78">
        <v>70</v>
      </c>
      <c r="X55" s="78">
        <v>5</v>
      </c>
      <c r="Y55" s="78">
        <v>5</v>
      </c>
      <c r="Z55" s="78" t="s">
        <v>189</v>
      </c>
      <c r="AA55" s="78" t="s">
        <v>190</v>
      </c>
      <c r="AB55" s="78" t="s">
        <v>84</v>
      </c>
      <c r="AC55" s="78" t="s">
        <v>85</v>
      </c>
      <c r="AD55" s="78" t="s">
        <v>174</v>
      </c>
      <c r="AG55" s="78" t="s">
        <v>191</v>
      </c>
      <c r="AH55" s="78">
        <v>0</v>
      </c>
      <c r="AI55" s="78">
        <v>0</v>
      </c>
      <c r="AJ55" s="78">
        <v>0</v>
      </c>
      <c r="AK55" s="78">
        <v>0</v>
      </c>
      <c r="AL55" s="78">
        <v>0</v>
      </c>
    </row>
    <row r="56" spans="1:38" x14ac:dyDescent="0.3">
      <c r="A56" s="78" t="s">
        <v>168</v>
      </c>
      <c r="B56" s="78">
        <v>140899</v>
      </c>
      <c r="C56" s="78">
        <v>1</v>
      </c>
      <c r="D56" s="78" t="s">
        <v>192</v>
      </c>
      <c r="E56" s="78" t="s">
        <v>193</v>
      </c>
      <c r="F56" s="78">
        <v>38</v>
      </c>
      <c r="G56" s="78">
        <v>19.23</v>
      </c>
      <c r="H56" s="78">
        <v>63.58</v>
      </c>
      <c r="I56" s="78">
        <v>13.81</v>
      </c>
      <c r="J56" s="78">
        <v>45.68</v>
      </c>
      <c r="K56" s="78">
        <v>4</v>
      </c>
      <c r="T56" s="78">
        <v>2</v>
      </c>
      <c r="U56" s="78">
        <v>1</v>
      </c>
      <c r="V56" s="78" t="s">
        <v>88</v>
      </c>
      <c r="W56" s="78">
        <v>63</v>
      </c>
      <c r="X56" s="78">
        <v>6</v>
      </c>
      <c r="Y56" s="78">
        <v>5</v>
      </c>
      <c r="Z56" s="78" t="s">
        <v>194</v>
      </c>
      <c r="AA56" s="78" t="s">
        <v>195</v>
      </c>
      <c r="AB56" s="78" t="s">
        <v>84</v>
      </c>
      <c r="AC56" s="78" t="s">
        <v>85</v>
      </c>
      <c r="AD56" s="78" t="s">
        <v>174</v>
      </c>
      <c r="AG56" s="78" t="s">
        <v>196</v>
      </c>
      <c r="AH56" s="78">
        <v>0</v>
      </c>
      <c r="AI56" s="78">
        <v>231</v>
      </c>
      <c r="AJ56" s="78">
        <v>56</v>
      </c>
      <c r="AK56" s="78">
        <v>28</v>
      </c>
      <c r="AL56" s="78">
        <v>0.74</v>
      </c>
    </row>
    <row r="57" spans="1:38" x14ac:dyDescent="0.3">
      <c r="A57" s="78" t="s">
        <v>168</v>
      </c>
      <c r="B57" s="78">
        <v>140899</v>
      </c>
      <c r="C57" s="78">
        <v>2</v>
      </c>
      <c r="D57" s="78" t="s">
        <v>192</v>
      </c>
      <c r="E57" s="78" t="s">
        <v>193</v>
      </c>
      <c r="F57" s="78">
        <v>38</v>
      </c>
      <c r="G57" s="78">
        <v>21.09</v>
      </c>
      <c r="H57" s="78">
        <v>69.72</v>
      </c>
      <c r="I57" s="78">
        <v>15.18</v>
      </c>
      <c r="J57" s="78">
        <v>50.21</v>
      </c>
      <c r="K57" s="78">
        <v>32</v>
      </c>
      <c r="T57" s="78">
        <v>3</v>
      </c>
      <c r="U57" s="78">
        <v>1</v>
      </c>
      <c r="V57" s="78" t="s">
        <v>88</v>
      </c>
      <c r="W57" s="78">
        <v>69</v>
      </c>
      <c r="X57" s="78">
        <v>6</v>
      </c>
      <c r="Y57" s="78">
        <v>5</v>
      </c>
      <c r="Z57" s="78" t="s">
        <v>194</v>
      </c>
      <c r="AA57" s="78" t="s">
        <v>195</v>
      </c>
      <c r="AB57" s="78" t="s">
        <v>84</v>
      </c>
      <c r="AC57" s="78" t="s">
        <v>85</v>
      </c>
      <c r="AD57" s="78" t="s">
        <v>174</v>
      </c>
      <c r="AG57" s="78" t="s">
        <v>196</v>
      </c>
      <c r="AH57" s="78">
        <v>0</v>
      </c>
      <c r="AI57" s="78">
        <v>231</v>
      </c>
      <c r="AJ57" s="78">
        <v>56</v>
      </c>
      <c r="AK57" s="78">
        <v>28</v>
      </c>
      <c r="AL57" s="78">
        <v>0.74</v>
      </c>
    </row>
    <row r="58" spans="1:38" x14ac:dyDescent="0.3">
      <c r="A58" s="78" t="s">
        <v>168</v>
      </c>
      <c r="B58" s="78">
        <v>140899</v>
      </c>
      <c r="C58" s="78">
        <v>3</v>
      </c>
      <c r="D58" s="78" t="s">
        <v>192</v>
      </c>
      <c r="E58" s="78" t="s">
        <v>193</v>
      </c>
      <c r="F58" s="78">
        <v>38</v>
      </c>
      <c r="G58" s="78">
        <v>35.18</v>
      </c>
      <c r="H58" s="78">
        <v>116.33</v>
      </c>
      <c r="I58" s="78">
        <v>25.57</v>
      </c>
      <c r="J58" s="78">
        <v>84.54</v>
      </c>
      <c r="K58" s="78">
        <v>1</v>
      </c>
      <c r="T58" s="78">
        <v>3</v>
      </c>
      <c r="U58" s="78">
        <v>2</v>
      </c>
      <c r="V58" s="78" t="s">
        <v>88</v>
      </c>
      <c r="W58" s="78" t="s">
        <v>197</v>
      </c>
      <c r="X58" s="78">
        <v>6</v>
      </c>
      <c r="Y58" s="78">
        <v>5</v>
      </c>
      <c r="Z58" s="78" t="s">
        <v>194</v>
      </c>
      <c r="AA58" s="78" t="s">
        <v>195</v>
      </c>
      <c r="AB58" s="78" t="s">
        <v>84</v>
      </c>
      <c r="AC58" s="78" t="s">
        <v>85</v>
      </c>
      <c r="AD58" s="78" t="s">
        <v>174</v>
      </c>
      <c r="AG58" s="78" t="s">
        <v>196</v>
      </c>
      <c r="AH58" s="78">
        <v>0</v>
      </c>
      <c r="AI58" s="78">
        <v>231</v>
      </c>
      <c r="AJ58" s="78">
        <v>56</v>
      </c>
      <c r="AK58" s="78">
        <v>28</v>
      </c>
      <c r="AL58" s="78">
        <v>0.74</v>
      </c>
    </row>
    <row r="59" spans="1:38" x14ac:dyDescent="0.3">
      <c r="A59" s="78" t="s">
        <v>168</v>
      </c>
      <c r="B59" s="78">
        <v>140899</v>
      </c>
      <c r="C59" s="78">
        <v>4</v>
      </c>
      <c r="D59" s="78" t="s">
        <v>192</v>
      </c>
      <c r="E59" s="78" t="s">
        <v>193</v>
      </c>
      <c r="F59" s="78">
        <v>38</v>
      </c>
      <c r="G59" s="78">
        <v>35.369999999999997</v>
      </c>
      <c r="H59" s="78">
        <v>116.93</v>
      </c>
      <c r="I59" s="78">
        <v>25.7</v>
      </c>
      <c r="J59" s="78">
        <v>84.96</v>
      </c>
      <c r="K59" s="78">
        <v>1</v>
      </c>
      <c r="T59" s="78">
        <v>3</v>
      </c>
      <c r="U59" s="78">
        <v>2</v>
      </c>
      <c r="V59" s="78" t="s">
        <v>88</v>
      </c>
      <c r="W59" s="78" t="s">
        <v>198</v>
      </c>
      <c r="X59" s="78">
        <v>6</v>
      </c>
      <c r="Y59" s="78">
        <v>5</v>
      </c>
      <c r="Z59" s="78" t="s">
        <v>194</v>
      </c>
      <c r="AA59" s="78" t="s">
        <v>195</v>
      </c>
      <c r="AB59" s="78" t="s">
        <v>84</v>
      </c>
      <c r="AC59" s="78" t="s">
        <v>85</v>
      </c>
      <c r="AD59" s="78" t="s">
        <v>174</v>
      </c>
      <c r="AG59" s="78" t="s">
        <v>196</v>
      </c>
      <c r="AH59" s="78">
        <v>0</v>
      </c>
      <c r="AI59" s="78">
        <v>231</v>
      </c>
      <c r="AJ59" s="78">
        <v>56</v>
      </c>
      <c r="AK59" s="78">
        <v>28</v>
      </c>
      <c r="AL59" s="78">
        <v>0.74</v>
      </c>
    </row>
    <row r="60" spans="1:38" x14ac:dyDescent="0.3">
      <c r="A60" s="78" t="s">
        <v>168</v>
      </c>
      <c r="B60" s="78">
        <v>112786</v>
      </c>
      <c r="C60" s="78">
        <v>1</v>
      </c>
      <c r="D60" s="78" t="s">
        <v>121</v>
      </c>
      <c r="E60" s="78" t="s">
        <v>199</v>
      </c>
      <c r="F60" s="78">
        <v>70</v>
      </c>
      <c r="G60" s="78">
        <v>19.32</v>
      </c>
      <c r="H60" s="78">
        <v>63.9</v>
      </c>
      <c r="I60" s="78">
        <v>17.579999999999998</v>
      </c>
      <c r="J60" s="78">
        <v>58.14</v>
      </c>
      <c r="K60" s="78">
        <v>30</v>
      </c>
      <c r="T60" s="78">
        <v>2</v>
      </c>
      <c r="U60" s="78">
        <v>1</v>
      </c>
      <c r="V60" s="78" t="s">
        <v>88</v>
      </c>
      <c r="W60" s="78">
        <v>63</v>
      </c>
      <c r="X60" s="78">
        <v>5</v>
      </c>
      <c r="Y60" s="78">
        <v>5</v>
      </c>
      <c r="Z60" s="78" t="s">
        <v>200</v>
      </c>
      <c r="AA60" s="78" t="s">
        <v>201</v>
      </c>
      <c r="AB60" s="78" t="s">
        <v>84</v>
      </c>
      <c r="AC60" s="78" t="s">
        <v>85</v>
      </c>
      <c r="AD60" s="78" t="s">
        <v>174</v>
      </c>
      <c r="AG60" s="78" t="s">
        <v>202</v>
      </c>
      <c r="AH60" s="78">
        <v>0</v>
      </c>
      <c r="AI60" s="78">
        <v>0</v>
      </c>
      <c r="AJ60" s="78">
        <v>0</v>
      </c>
      <c r="AK60" s="78">
        <v>0</v>
      </c>
      <c r="AL60" s="78">
        <v>0</v>
      </c>
    </row>
    <row r="61" spans="1:38" x14ac:dyDescent="0.3">
      <c r="A61" s="78" t="s">
        <v>168</v>
      </c>
      <c r="B61" s="78">
        <v>112786</v>
      </c>
      <c r="C61" s="78">
        <v>2</v>
      </c>
      <c r="D61" s="78" t="s">
        <v>121</v>
      </c>
      <c r="E61" s="78" t="s">
        <v>199</v>
      </c>
      <c r="F61" s="78">
        <v>70</v>
      </c>
      <c r="G61" s="78">
        <v>19.600000000000001</v>
      </c>
      <c r="H61" s="78">
        <v>64.8</v>
      </c>
      <c r="I61" s="78">
        <v>17.850000000000001</v>
      </c>
      <c r="J61" s="78">
        <v>59.04</v>
      </c>
      <c r="K61" s="78">
        <v>40</v>
      </c>
      <c r="T61" s="78">
        <v>2</v>
      </c>
      <c r="U61" s="78">
        <v>1</v>
      </c>
      <c r="V61" s="78" t="s">
        <v>88</v>
      </c>
      <c r="W61" s="78">
        <v>64</v>
      </c>
      <c r="X61" s="78">
        <v>5</v>
      </c>
      <c r="Y61" s="78">
        <v>5</v>
      </c>
      <c r="Z61" s="78" t="s">
        <v>200</v>
      </c>
      <c r="AA61" s="78" t="s">
        <v>201</v>
      </c>
      <c r="AB61" s="78" t="s">
        <v>84</v>
      </c>
      <c r="AC61" s="78" t="s">
        <v>85</v>
      </c>
      <c r="AD61" s="78" t="s">
        <v>174</v>
      </c>
      <c r="AG61" s="78" t="s">
        <v>202</v>
      </c>
      <c r="AH61" s="78">
        <v>0</v>
      </c>
      <c r="AI61" s="78">
        <v>0</v>
      </c>
      <c r="AJ61" s="78">
        <v>0</v>
      </c>
      <c r="AK61" s="78">
        <v>0</v>
      </c>
      <c r="AL61" s="78">
        <v>0</v>
      </c>
    </row>
    <row r="62" spans="1:38" x14ac:dyDescent="0.3">
      <c r="A62" s="78" t="s">
        <v>168</v>
      </c>
      <c r="B62" s="78">
        <v>132778</v>
      </c>
      <c r="C62" s="78">
        <v>1</v>
      </c>
      <c r="D62" s="78" t="s">
        <v>203</v>
      </c>
      <c r="E62" s="78" t="s">
        <v>204</v>
      </c>
      <c r="F62" s="78">
        <v>19</v>
      </c>
      <c r="G62" s="78">
        <v>38.26</v>
      </c>
      <c r="H62" s="78">
        <v>126.48</v>
      </c>
      <c r="I62" s="78">
        <v>32.94</v>
      </c>
      <c r="J62" s="78">
        <v>108.9</v>
      </c>
      <c r="K62" s="78">
        <v>8</v>
      </c>
      <c r="T62" s="78">
        <v>4</v>
      </c>
      <c r="U62" s="78">
        <v>2</v>
      </c>
      <c r="V62" s="78" t="s">
        <v>88</v>
      </c>
      <c r="W62" s="78">
        <v>126</v>
      </c>
      <c r="X62" s="78">
        <v>5</v>
      </c>
      <c r="Y62" s="78">
        <v>5</v>
      </c>
      <c r="Z62" s="78" t="s">
        <v>205</v>
      </c>
      <c r="AA62" s="78" t="s">
        <v>206</v>
      </c>
      <c r="AB62" s="78" t="s">
        <v>84</v>
      </c>
      <c r="AC62" s="78" t="s">
        <v>85</v>
      </c>
      <c r="AD62" s="78" t="s">
        <v>174</v>
      </c>
      <c r="AG62" s="78" t="s">
        <v>207</v>
      </c>
      <c r="AH62" s="78">
        <v>0</v>
      </c>
      <c r="AI62" s="78">
        <v>210</v>
      </c>
      <c r="AJ62" s="78">
        <v>45</v>
      </c>
      <c r="AK62" s="78">
        <v>31</v>
      </c>
      <c r="AL62" s="78">
        <v>1.63</v>
      </c>
    </row>
    <row r="63" spans="1:38" x14ac:dyDescent="0.3">
      <c r="A63" s="78" t="s">
        <v>168</v>
      </c>
      <c r="B63" s="78">
        <v>132778</v>
      </c>
      <c r="C63" s="78">
        <v>2</v>
      </c>
      <c r="D63" s="78" t="s">
        <v>203</v>
      </c>
      <c r="E63" s="78" t="s">
        <v>204</v>
      </c>
      <c r="F63" s="78">
        <v>19</v>
      </c>
      <c r="G63" s="78">
        <v>39.07</v>
      </c>
      <c r="H63" s="78">
        <v>129.16999999999999</v>
      </c>
      <c r="I63" s="78">
        <v>33.64</v>
      </c>
      <c r="J63" s="78">
        <v>111.21</v>
      </c>
      <c r="K63" s="78">
        <v>4</v>
      </c>
      <c r="T63" s="78">
        <v>4</v>
      </c>
      <c r="U63" s="78">
        <v>2</v>
      </c>
      <c r="V63" s="78" t="s">
        <v>88</v>
      </c>
      <c r="W63" s="78" t="s">
        <v>208</v>
      </c>
      <c r="X63" s="78">
        <v>5</v>
      </c>
      <c r="Y63" s="78">
        <v>5</v>
      </c>
      <c r="Z63" s="78" t="s">
        <v>205</v>
      </c>
      <c r="AA63" s="78" t="s">
        <v>206</v>
      </c>
      <c r="AB63" s="78" t="s">
        <v>84</v>
      </c>
      <c r="AC63" s="78" t="s">
        <v>85</v>
      </c>
      <c r="AD63" s="78" t="s">
        <v>174</v>
      </c>
      <c r="AG63" s="78" t="s">
        <v>207</v>
      </c>
      <c r="AH63" s="78">
        <v>0</v>
      </c>
      <c r="AI63" s="78">
        <v>210</v>
      </c>
      <c r="AJ63" s="78">
        <v>45</v>
      </c>
      <c r="AK63" s="78">
        <v>31</v>
      </c>
      <c r="AL63" s="78">
        <v>1.63</v>
      </c>
    </row>
    <row r="64" spans="1:38" x14ac:dyDescent="0.3">
      <c r="A64" s="78" t="s">
        <v>168</v>
      </c>
      <c r="B64" s="78">
        <v>132778</v>
      </c>
      <c r="C64" s="78">
        <v>3</v>
      </c>
      <c r="D64" s="78" t="s">
        <v>203</v>
      </c>
      <c r="E64" s="78" t="s">
        <v>204</v>
      </c>
      <c r="F64" s="78">
        <v>19</v>
      </c>
      <c r="G64" s="78">
        <v>39.159999999999997</v>
      </c>
      <c r="H64" s="78">
        <v>129.47</v>
      </c>
      <c r="I64" s="78">
        <v>33.71</v>
      </c>
      <c r="J64" s="78">
        <v>111.47</v>
      </c>
      <c r="K64" s="78">
        <v>4</v>
      </c>
      <c r="T64" s="78">
        <v>4</v>
      </c>
      <c r="U64" s="78">
        <v>2</v>
      </c>
      <c r="V64" s="78" t="s">
        <v>88</v>
      </c>
      <c r="W64" s="78" t="s">
        <v>209</v>
      </c>
      <c r="X64" s="78">
        <v>5</v>
      </c>
      <c r="Y64" s="78">
        <v>5</v>
      </c>
      <c r="Z64" s="78" t="s">
        <v>205</v>
      </c>
      <c r="AA64" s="78" t="s">
        <v>206</v>
      </c>
      <c r="AB64" s="78" t="s">
        <v>84</v>
      </c>
      <c r="AC64" s="78" t="s">
        <v>85</v>
      </c>
      <c r="AD64" s="78" t="s">
        <v>174</v>
      </c>
      <c r="AG64" s="78" t="s">
        <v>207</v>
      </c>
      <c r="AH64" s="78">
        <v>0</v>
      </c>
      <c r="AI64" s="78">
        <v>210</v>
      </c>
      <c r="AJ64" s="78">
        <v>45</v>
      </c>
      <c r="AK64" s="78">
        <v>31</v>
      </c>
      <c r="AL64" s="78">
        <v>1.63</v>
      </c>
    </row>
    <row r="65" spans="1:38" x14ac:dyDescent="0.3">
      <c r="A65" s="78" t="s">
        <v>168</v>
      </c>
      <c r="B65" s="78">
        <v>132778</v>
      </c>
      <c r="C65" s="78">
        <v>4</v>
      </c>
      <c r="D65" s="78" t="s">
        <v>203</v>
      </c>
      <c r="E65" s="78" t="s">
        <v>204</v>
      </c>
      <c r="F65" s="78">
        <v>19</v>
      </c>
      <c r="G65" s="78">
        <v>40.04</v>
      </c>
      <c r="H65" s="78">
        <v>132.38</v>
      </c>
      <c r="I65" s="78">
        <v>32.94</v>
      </c>
      <c r="J65" s="78">
        <v>108.9</v>
      </c>
      <c r="K65" s="78">
        <v>2</v>
      </c>
      <c r="T65" s="78">
        <v>5</v>
      </c>
      <c r="U65" s="78">
        <v>3</v>
      </c>
      <c r="V65" s="78" t="s">
        <v>88</v>
      </c>
      <c r="W65" s="78">
        <v>132</v>
      </c>
      <c r="X65" s="78">
        <v>5</v>
      </c>
      <c r="Y65" s="78">
        <v>5</v>
      </c>
      <c r="Z65" s="78" t="s">
        <v>205</v>
      </c>
      <c r="AA65" s="78" t="s">
        <v>206</v>
      </c>
      <c r="AB65" s="78" t="s">
        <v>84</v>
      </c>
      <c r="AC65" s="78" t="s">
        <v>85</v>
      </c>
      <c r="AD65" s="78" t="s">
        <v>174</v>
      </c>
      <c r="AG65" s="78" t="s">
        <v>207</v>
      </c>
      <c r="AH65" s="78">
        <v>0</v>
      </c>
      <c r="AI65" s="78">
        <v>210</v>
      </c>
      <c r="AJ65" s="78">
        <v>45</v>
      </c>
      <c r="AK65" s="78">
        <v>31</v>
      </c>
      <c r="AL65" s="78">
        <v>1.63</v>
      </c>
    </row>
    <row r="66" spans="1:38" x14ac:dyDescent="0.3">
      <c r="A66" s="78" t="s">
        <v>168</v>
      </c>
      <c r="B66" s="78">
        <v>132778</v>
      </c>
      <c r="C66" s="78">
        <v>5</v>
      </c>
      <c r="D66" s="78" t="s">
        <v>203</v>
      </c>
      <c r="E66" s="78" t="s">
        <v>204</v>
      </c>
      <c r="F66" s="78">
        <v>19</v>
      </c>
      <c r="G66" s="78">
        <v>40.98</v>
      </c>
      <c r="H66" s="78">
        <v>135.5</v>
      </c>
      <c r="I66" s="78">
        <v>33.71</v>
      </c>
      <c r="J66" s="78">
        <v>111.47</v>
      </c>
      <c r="K66" s="78">
        <v>1</v>
      </c>
      <c r="T66" s="78">
        <v>5</v>
      </c>
      <c r="U66" s="78">
        <v>3</v>
      </c>
      <c r="V66" s="78" t="s">
        <v>88</v>
      </c>
      <c r="W66" s="78">
        <v>135</v>
      </c>
      <c r="X66" s="78">
        <v>5</v>
      </c>
      <c r="Y66" s="78">
        <v>5</v>
      </c>
      <c r="Z66" s="78" t="s">
        <v>205</v>
      </c>
      <c r="AA66" s="78" t="s">
        <v>206</v>
      </c>
      <c r="AB66" s="78" t="s">
        <v>84</v>
      </c>
      <c r="AC66" s="78" t="s">
        <v>85</v>
      </c>
      <c r="AD66" s="78" t="s">
        <v>174</v>
      </c>
      <c r="AG66" s="78" t="s">
        <v>207</v>
      </c>
      <c r="AH66" s="78">
        <v>0</v>
      </c>
      <c r="AI66" s="78">
        <v>210</v>
      </c>
      <c r="AJ66" s="78">
        <v>45</v>
      </c>
      <c r="AK66" s="78">
        <v>31</v>
      </c>
      <c r="AL66" s="78">
        <v>1.63</v>
      </c>
    </row>
    <row r="67" spans="1:38" x14ac:dyDescent="0.3">
      <c r="A67" s="78" t="s">
        <v>168</v>
      </c>
      <c r="B67" s="78">
        <v>110310</v>
      </c>
      <c r="C67" s="78">
        <v>1</v>
      </c>
      <c r="D67" s="78" t="s">
        <v>210</v>
      </c>
      <c r="E67" s="78" t="s">
        <v>211</v>
      </c>
      <c r="F67" s="78">
        <v>1186</v>
      </c>
      <c r="G67" s="78">
        <v>15.63</v>
      </c>
      <c r="H67" s="78">
        <v>51.68</v>
      </c>
      <c r="I67" s="78">
        <v>12.19</v>
      </c>
      <c r="J67" s="78">
        <v>40.32</v>
      </c>
      <c r="K67" s="78">
        <v>230</v>
      </c>
      <c r="T67" s="78">
        <v>1</v>
      </c>
      <c r="U67" s="78">
        <v>1</v>
      </c>
      <c r="V67" s="78" t="s">
        <v>81</v>
      </c>
      <c r="W67" s="78">
        <v>51</v>
      </c>
      <c r="X67" s="78">
        <v>15</v>
      </c>
      <c r="Y67" s="78">
        <v>10</v>
      </c>
      <c r="Z67" s="78" t="s">
        <v>212</v>
      </c>
      <c r="AA67" s="78" t="s">
        <v>213</v>
      </c>
      <c r="AB67" s="78" t="s">
        <v>84</v>
      </c>
      <c r="AC67" s="78" t="s">
        <v>85</v>
      </c>
      <c r="AD67" s="78" t="s">
        <v>174</v>
      </c>
      <c r="AG67" s="78" t="s">
        <v>214</v>
      </c>
      <c r="AH67" s="78">
        <v>15</v>
      </c>
      <c r="AI67" s="78">
        <v>208</v>
      </c>
      <c r="AJ67" s="78">
        <v>24</v>
      </c>
      <c r="AK67" s="78">
        <v>1062</v>
      </c>
      <c r="AL67" s="78">
        <v>0.9</v>
      </c>
    </row>
    <row r="68" spans="1:38" x14ac:dyDescent="0.3">
      <c r="A68" s="78" t="s">
        <v>168</v>
      </c>
      <c r="B68" s="78">
        <v>110310</v>
      </c>
      <c r="C68" s="78">
        <v>2</v>
      </c>
      <c r="D68" s="78" t="s">
        <v>210</v>
      </c>
      <c r="E68" s="78" t="s">
        <v>211</v>
      </c>
      <c r="F68" s="78">
        <v>1186</v>
      </c>
      <c r="G68" s="78">
        <v>20.86</v>
      </c>
      <c r="H68" s="78">
        <v>68.98</v>
      </c>
      <c r="I68" s="78">
        <v>16.28</v>
      </c>
      <c r="J68" s="78">
        <v>53.82</v>
      </c>
      <c r="K68" s="78">
        <v>941</v>
      </c>
      <c r="T68" s="78">
        <v>2</v>
      </c>
      <c r="U68" s="78">
        <v>1</v>
      </c>
      <c r="V68" s="78" t="s">
        <v>81</v>
      </c>
      <c r="W68" s="78">
        <v>68</v>
      </c>
      <c r="X68" s="78">
        <v>15</v>
      </c>
      <c r="Y68" s="78">
        <v>10</v>
      </c>
      <c r="Z68" s="78" t="s">
        <v>212</v>
      </c>
      <c r="AA68" s="78" t="s">
        <v>213</v>
      </c>
      <c r="AB68" s="78" t="s">
        <v>84</v>
      </c>
      <c r="AC68" s="78" t="s">
        <v>85</v>
      </c>
      <c r="AD68" s="78" t="s">
        <v>174</v>
      </c>
      <c r="AG68" s="78" t="s">
        <v>214</v>
      </c>
      <c r="AH68" s="78">
        <v>15</v>
      </c>
      <c r="AI68" s="78">
        <v>208</v>
      </c>
      <c r="AJ68" s="78">
        <v>24</v>
      </c>
      <c r="AK68" s="78">
        <v>1062</v>
      </c>
      <c r="AL68" s="78">
        <v>0.9</v>
      </c>
    </row>
    <row r="69" spans="1:38" x14ac:dyDescent="0.3">
      <c r="A69" s="78" t="s">
        <v>168</v>
      </c>
      <c r="B69" s="78">
        <v>105136</v>
      </c>
      <c r="C69" s="78">
        <v>1</v>
      </c>
      <c r="D69" s="78" t="s">
        <v>89</v>
      </c>
      <c r="E69" s="78" t="s">
        <v>215</v>
      </c>
      <c r="F69" s="78">
        <v>144</v>
      </c>
      <c r="G69" s="78">
        <v>19.420000000000002</v>
      </c>
      <c r="H69" s="78">
        <v>64.22</v>
      </c>
      <c r="I69" s="78">
        <v>15.76</v>
      </c>
      <c r="J69" s="78">
        <v>52.11</v>
      </c>
      <c r="K69" s="78">
        <v>72</v>
      </c>
      <c r="T69" s="78">
        <v>2</v>
      </c>
      <c r="U69" s="78">
        <v>1</v>
      </c>
      <c r="V69" s="78" t="s">
        <v>88</v>
      </c>
      <c r="W69" s="78">
        <v>64</v>
      </c>
      <c r="X69" s="78">
        <v>6</v>
      </c>
      <c r="Y69" s="78">
        <v>6</v>
      </c>
      <c r="Z69" s="78" t="s">
        <v>216</v>
      </c>
      <c r="AA69" s="78" t="s">
        <v>217</v>
      </c>
      <c r="AB69" s="78" t="s">
        <v>84</v>
      </c>
      <c r="AC69" s="78" t="s">
        <v>85</v>
      </c>
      <c r="AD69" s="78" t="s">
        <v>174</v>
      </c>
      <c r="AG69" s="78" t="s">
        <v>218</v>
      </c>
      <c r="AH69" s="78">
        <v>0</v>
      </c>
      <c r="AI69" s="78">
        <v>0</v>
      </c>
      <c r="AJ69" s="78">
        <v>0</v>
      </c>
      <c r="AK69" s="78">
        <v>0</v>
      </c>
      <c r="AL69" s="78">
        <v>0</v>
      </c>
    </row>
    <row r="70" spans="1:38" x14ac:dyDescent="0.3">
      <c r="A70" s="78" t="s">
        <v>168</v>
      </c>
      <c r="B70" s="78">
        <v>105136</v>
      </c>
      <c r="C70" s="78">
        <v>2</v>
      </c>
      <c r="D70" s="78" t="s">
        <v>89</v>
      </c>
      <c r="E70" s="78" t="s">
        <v>215</v>
      </c>
      <c r="F70" s="78">
        <v>144</v>
      </c>
      <c r="G70" s="78">
        <v>22.52</v>
      </c>
      <c r="H70" s="78">
        <v>74.459999999999994</v>
      </c>
      <c r="I70" s="78">
        <v>18.13</v>
      </c>
      <c r="J70" s="78">
        <v>59.94</v>
      </c>
      <c r="K70" s="78">
        <v>48</v>
      </c>
      <c r="T70" s="78">
        <v>2</v>
      </c>
      <c r="U70" s="78">
        <v>1</v>
      </c>
      <c r="V70" s="78" t="s">
        <v>88</v>
      </c>
      <c r="W70" s="78">
        <v>74</v>
      </c>
      <c r="X70" s="78">
        <v>6</v>
      </c>
      <c r="Y70" s="78">
        <v>6</v>
      </c>
      <c r="Z70" s="78" t="s">
        <v>216</v>
      </c>
      <c r="AA70" s="78" t="s">
        <v>217</v>
      </c>
      <c r="AB70" s="78" t="s">
        <v>84</v>
      </c>
      <c r="AC70" s="78" t="s">
        <v>85</v>
      </c>
      <c r="AD70" s="78" t="s">
        <v>174</v>
      </c>
      <c r="AG70" s="78" t="s">
        <v>218</v>
      </c>
      <c r="AH70" s="78">
        <v>0</v>
      </c>
      <c r="AI70" s="78">
        <v>0</v>
      </c>
      <c r="AJ70" s="78">
        <v>0</v>
      </c>
      <c r="AK70" s="78">
        <v>0</v>
      </c>
      <c r="AL70" s="78">
        <v>0</v>
      </c>
    </row>
    <row r="71" spans="1:38" x14ac:dyDescent="0.3">
      <c r="A71" s="78" t="s">
        <v>168</v>
      </c>
      <c r="B71" s="78">
        <v>105136</v>
      </c>
      <c r="C71" s="78">
        <v>3</v>
      </c>
      <c r="D71" s="78" t="s">
        <v>89</v>
      </c>
      <c r="E71" s="78" t="s">
        <v>215</v>
      </c>
      <c r="F71" s="78">
        <v>144</v>
      </c>
      <c r="G71" s="78">
        <v>24.36</v>
      </c>
      <c r="H71" s="78">
        <v>80.53</v>
      </c>
      <c r="I71" s="78">
        <v>20.22</v>
      </c>
      <c r="J71" s="78">
        <v>66.87</v>
      </c>
      <c r="K71" s="78">
        <v>24</v>
      </c>
      <c r="T71" s="78">
        <v>2</v>
      </c>
      <c r="U71" s="78">
        <v>1</v>
      </c>
      <c r="V71" s="78" t="s">
        <v>88</v>
      </c>
      <c r="W71" s="78">
        <v>80</v>
      </c>
      <c r="X71" s="78">
        <v>6</v>
      </c>
      <c r="Y71" s="78">
        <v>6</v>
      </c>
      <c r="Z71" s="78" t="s">
        <v>216</v>
      </c>
      <c r="AA71" s="78" t="s">
        <v>217</v>
      </c>
      <c r="AB71" s="78" t="s">
        <v>84</v>
      </c>
      <c r="AC71" s="78" t="s">
        <v>85</v>
      </c>
      <c r="AD71" s="78" t="s">
        <v>174</v>
      </c>
      <c r="AG71" s="78" t="s">
        <v>218</v>
      </c>
      <c r="AH71" s="78">
        <v>0</v>
      </c>
      <c r="AI71" s="78">
        <v>0</v>
      </c>
      <c r="AJ71" s="78">
        <v>0</v>
      </c>
      <c r="AK71" s="78">
        <v>0</v>
      </c>
      <c r="AL71" s="78">
        <v>0</v>
      </c>
    </row>
    <row r="72" spans="1:38" x14ac:dyDescent="0.3">
      <c r="A72" s="78" t="s">
        <v>168</v>
      </c>
      <c r="B72" s="78">
        <v>120933</v>
      </c>
      <c r="C72" s="78">
        <v>1</v>
      </c>
      <c r="D72" s="78" t="s">
        <v>219</v>
      </c>
      <c r="E72" s="78" t="s">
        <v>220</v>
      </c>
      <c r="F72" s="78">
        <v>48</v>
      </c>
      <c r="G72" s="78">
        <v>16.79</v>
      </c>
      <c r="H72" s="78">
        <v>55.51</v>
      </c>
      <c r="I72" s="78">
        <v>12.71</v>
      </c>
      <c r="J72" s="78">
        <v>42.04</v>
      </c>
      <c r="K72" s="78">
        <v>1</v>
      </c>
      <c r="T72" s="78">
        <v>1</v>
      </c>
      <c r="U72" s="78">
        <v>1</v>
      </c>
      <c r="V72" s="78" t="s">
        <v>88</v>
      </c>
      <c r="W72" s="78" t="s">
        <v>221</v>
      </c>
      <c r="X72" s="78">
        <v>9</v>
      </c>
      <c r="Y72" s="78">
        <v>9</v>
      </c>
      <c r="Z72" s="78" t="s">
        <v>222</v>
      </c>
      <c r="AA72" s="78" t="s">
        <v>223</v>
      </c>
      <c r="AB72" s="78" t="s">
        <v>84</v>
      </c>
      <c r="AC72" s="78" t="s">
        <v>85</v>
      </c>
      <c r="AD72" s="78" t="s">
        <v>174</v>
      </c>
      <c r="AG72" s="78" t="s">
        <v>224</v>
      </c>
      <c r="AH72" s="78">
        <v>0</v>
      </c>
      <c r="AI72" s="78">
        <v>0</v>
      </c>
      <c r="AJ72" s="78">
        <v>0</v>
      </c>
      <c r="AK72" s="78">
        <v>26</v>
      </c>
      <c r="AL72" s="78">
        <v>0.54</v>
      </c>
    </row>
    <row r="73" spans="1:38" x14ac:dyDescent="0.3">
      <c r="A73" s="78" t="s">
        <v>168</v>
      </c>
      <c r="B73" s="78">
        <v>120933</v>
      </c>
      <c r="C73" s="78">
        <v>2</v>
      </c>
      <c r="D73" s="78" t="s">
        <v>219</v>
      </c>
      <c r="E73" s="78" t="s">
        <v>220</v>
      </c>
      <c r="F73" s="78">
        <v>48</v>
      </c>
      <c r="G73" s="78">
        <v>16.989999999999998</v>
      </c>
      <c r="H73" s="78">
        <v>56.19</v>
      </c>
      <c r="I73" s="78">
        <v>12.71</v>
      </c>
      <c r="J73" s="78">
        <v>42.04</v>
      </c>
      <c r="K73" s="78">
        <v>1</v>
      </c>
      <c r="T73" s="78">
        <v>1</v>
      </c>
      <c r="U73" s="78">
        <v>1</v>
      </c>
      <c r="V73" s="78" t="s">
        <v>88</v>
      </c>
      <c r="W73" s="78" t="s">
        <v>225</v>
      </c>
      <c r="X73" s="78">
        <v>9</v>
      </c>
      <c r="Y73" s="78">
        <v>9</v>
      </c>
      <c r="Z73" s="78" t="s">
        <v>222</v>
      </c>
      <c r="AA73" s="78" t="s">
        <v>223</v>
      </c>
      <c r="AB73" s="78" t="s">
        <v>84</v>
      </c>
      <c r="AC73" s="78" t="s">
        <v>85</v>
      </c>
      <c r="AD73" s="78" t="s">
        <v>174</v>
      </c>
      <c r="AG73" s="78" t="s">
        <v>224</v>
      </c>
      <c r="AH73" s="78">
        <v>0</v>
      </c>
      <c r="AI73" s="78">
        <v>0</v>
      </c>
      <c r="AJ73" s="78">
        <v>0</v>
      </c>
      <c r="AK73" s="78">
        <v>26</v>
      </c>
      <c r="AL73" s="78">
        <v>0.54</v>
      </c>
    </row>
    <row r="74" spans="1:38" x14ac:dyDescent="0.3">
      <c r="A74" s="78" t="s">
        <v>168</v>
      </c>
      <c r="B74" s="78">
        <v>120933</v>
      </c>
      <c r="C74" s="78">
        <v>3</v>
      </c>
      <c r="D74" s="78" t="s">
        <v>219</v>
      </c>
      <c r="E74" s="78" t="s">
        <v>220</v>
      </c>
      <c r="F74" s="78">
        <v>48</v>
      </c>
      <c r="G74" s="78">
        <v>19.920000000000002</v>
      </c>
      <c r="H74" s="78">
        <v>65.88</v>
      </c>
      <c r="I74" s="78">
        <v>15.09</v>
      </c>
      <c r="J74" s="78">
        <v>49.9</v>
      </c>
      <c r="K74" s="78">
        <v>8</v>
      </c>
      <c r="T74" s="78">
        <v>1</v>
      </c>
      <c r="U74" s="78">
        <v>1</v>
      </c>
      <c r="V74" s="78" t="s">
        <v>88</v>
      </c>
      <c r="W74" s="78" t="s">
        <v>226</v>
      </c>
      <c r="X74" s="78">
        <v>9</v>
      </c>
      <c r="Y74" s="78">
        <v>9</v>
      </c>
      <c r="Z74" s="78" t="s">
        <v>222</v>
      </c>
      <c r="AA74" s="78" t="s">
        <v>223</v>
      </c>
      <c r="AB74" s="78" t="s">
        <v>84</v>
      </c>
      <c r="AC74" s="78" t="s">
        <v>85</v>
      </c>
      <c r="AD74" s="78" t="s">
        <v>174</v>
      </c>
      <c r="AG74" s="78" t="s">
        <v>224</v>
      </c>
      <c r="AH74" s="78">
        <v>0</v>
      </c>
      <c r="AI74" s="78">
        <v>0</v>
      </c>
      <c r="AJ74" s="78">
        <v>0</v>
      </c>
      <c r="AK74" s="78">
        <v>26</v>
      </c>
      <c r="AL74" s="78">
        <v>0.54</v>
      </c>
    </row>
    <row r="75" spans="1:38" x14ac:dyDescent="0.3">
      <c r="A75" s="78" t="s">
        <v>168</v>
      </c>
      <c r="B75" s="78">
        <v>120933</v>
      </c>
      <c r="C75" s="78">
        <v>4</v>
      </c>
      <c r="D75" s="78" t="s">
        <v>219</v>
      </c>
      <c r="E75" s="78" t="s">
        <v>220</v>
      </c>
      <c r="F75" s="78">
        <v>48</v>
      </c>
      <c r="G75" s="78">
        <v>19.940000000000001</v>
      </c>
      <c r="H75" s="78">
        <v>65.92</v>
      </c>
      <c r="I75" s="78">
        <v>15.1</v>
      </c>
      <c r="J75" s="78">
        <v>49.93</v>
      </c>
      <c r="K75" s="78">
        <v>8</v>
      </c>
      <c r="T75" s="78">
        <v>1</v>
      </c>
      <c r="U75" s="78">
        <v>1</v>
      </c>
      <c r="V75" s="78" t="s">
        <v>88</v>
      </c>
      <c r="W75" s="78" t="s">
        <v>227</v>
      </c>
      <c r="X75" s="78">
        <v>9</v>
      </c>
      <c r="Y75" s="78">
        <v>9</v>
      </c>
      <c r="Z75" s="78" t="s">
        <v>222</v>
      </c>
      <c r="AA75" s="78" t="s">
        <v>223</v>
      </c>
      <c r="AB75" s="78" t="s">
        <v>84</v>
      </c>
      <c r="AC75" s="78" t="s">
        <v>85</v>
      </c>
      <c r="AD75" s="78" t="s">
        <v>174</v>
      </c>
      <c r="AG75" s="78" t="s">
        <v>224</v>
      </c>
      <c r="AH75" s="78">
        <v>0</v>
      </c>
      <c r="AI75" s="78">
        <v>0</v>
      </c>
      <c r="AJ75" s="78">
        <v>0</v>
      </c>
      <c r="AK75" s="78">
        <v>26</v>
      </c>
      <c r="AL75" s="78">
        <v>0.54</v>
      </c>
    </row>
    <row r="76" spans="1:38" x14ac:dyDescent="0.3">
      <c r="A76" s="78" t="s">
        <v>168</v>
      </c>
      <c r="B76" s="78">
        <v>120933</v>
      </c>
      <c r="C76" s="78">
        <v>5</v>
      </c>
      <c r="D76" s="78" t="s">
        <v>219</v>
      </c>
      <c r="E76" s="78" t="s">
        <v>220</v>
      </c>
      <c r="F76" s="78">
        <v>48</v>
      </c>
      <c r="G76" s="78">
        <v>19.89</v>
      </c>
      <c r="H76" s="78">
        <v>65.78</v>
      </c>
      <c r="I76" s="78">
        <v>15.07</v>
      </c>
      <c r="J76" s="78">
        <v>49.82</v>
      </c>
      <c r="K76" s="78">
        <v>7</v>
      </c>
      <c r="T76" s="78">
        <v>1</v>
      </c>
      <c r="U76" s="78">
        <v>1</v>
      </c>
      <c r="V76" s="78" t="s">
        <v>88</v>
      </c>
      <c r="W76" s="78" t="s">
        <v>228</v>
      </c>
      <c r="X76" s="78">
        <v>9</v>
      </c>
      <c r="Y76" s="78">
        <v>9</v>
      </c>
      <c r="Z76" s="78" t="s">
        <v>222</v>
      </c>
      <c r="AA76" s="78" t="s">
        <v>223</v>
      </c>
      <c r="AB76" s="78" t="s">
        <v>84</v>
      </c>
      <c r="AC76" s="78" t="s">
        <v>85</v>
      </c>
      <c r="AD76" s="78" t="s">
        <v>174</v>
      </c>
      <c r="AG76" s="78" t="s">
        <v>224</v>
      </c>
      <c r="AH76" s="78">
        <v>0</v>
      </c>
      <c r="AI76" s="78">
        <v>0</v>
      </c>
      <c r="AJ76" s="78">
        <v>0</v>
      </c>
      <c r="AK76" s="78">
        <v>26</v>
      </c>
      <c r="AL76" s="78">
        <v>0.54</v>
      </c>
    </row>
    <row r="77" spans="1:38" x14ac:dyDescent="0.3">
      <c r="A77" s="78" t="s">
        <v>168</v>
      </c>
      <c r="B77" s="78">
        <v>120933</v>
      </c>
      <c r="C77" s="78">
        <v>6</v>
      </c>
      <c r="D77" s="78" t="s">
        <v>219</v>
      </c>
      <c r="E77" s="78" t="s">
        <v>220</v>
      </c>
      <c r="F77" s="78">
        <v>48</v>
      </c>
      <c r="G77" s="78">
        <v>20.14</v>
      </c>
      <c r="H77" s="78">
        <v>66.59</v>
      </c>
      <c r="I77" s="78">
        <v>15.07</v>
      </c>
      <c r="J77" s="78">
        <v>49.82</v>
      </c>
      <c r="K77" s="78">
        <v>15</v>
      </c>
      <c r="T77" s="78">
        <v>1</v>
      </c>
      <c r="U77" s="78">
        <v>1</v>
      </c>
      <c r="V77" s="78" t="s">
        <v>88</v>
      </c>
      <c r="W77" s="78" t="s">
        <v>229</v>
      </c>
      <c r="X77" s="78">
        <v>9</v>
      </c>
      <c r="Y77" s="78">
        <v>9</v>
      </c>
      <c r="Z77" s="78" t="s">
        <v>222</v>
      </c>
      <c r="AA77" s="78" t="s">
        <v>223</v>
      </c>
      <c r="AB77" s="78" t="s">
        <v>84</v>
      </c>
      <c r="AC77" s="78" t="s">
        <v>85</v>
      </c>
      <c r="AD77" s="78" t="s">
        <v>174</v>
      </c>
      <c r="AG77" s="78" t="s">
        <v>224</v>
      </c>
      <c r="AH77" s="78">
        <v>0</v>
      </c>
      <c r="AI77" s="78">
        <v>0</v>
      </c>
      <c r="AJ77" s="78">
        <v>0</v>
      </c>
      <c r="AK77" s="78">
        <v>26</v>
      </c>
      <c r="AL77" s="78">
        <v>0.54</v>
      </c>
    </row>
    <row r="78" spans="1:38" x14ac:dyDescent="0.3">
      <c r="A78" s="78" t="s">
        <v>168</v>
      </c>
      <c r="B78" s="78">
        <v>120933</v>
      </c>
      <c r="C78" s="78">
        <v>7</v>
      </c>
      <c r="D78" s="78" t="s">
        <v>219</v>
      </c>
      <c r="E78" s="78" t="s">
        <v>220</v>
      </c>
      <c r="F78" s="78">
        <v>48</v>
      </c>
      <c r="G78" s="78">
        <v>20.09</v>
      </c>
      <c r="H78" s="78">
        <v>66.44</v>
      </c>
      <c r="I78" s="78">
        <v>15.03</v>
      </c>
      <c r="J78" s="78">
        <v>49.71</v>
      </c>
      <c r="K78" s="78">
        <v>8</v>
      </c>
      <c r="T78" s="78">
        <v>1</v>
      </c>
      <c r="U78" s="78">
        <v>1</v>
      </c>
      <c r="V78" s="78" t="s">
        <v>88</v>
      </c>
      <c r="W78" s="78" t="s">
        <v>138</v>
      </c>
      <c r="X78" s="78">
        <v>9</v>
      </c>
      <c r="Y78" s="78">
        <v>9</v>
      </c>
      <c r="Z78" s="78" t="s">
        <v>222</v>
      </c>
      <c r="AA78" s="78" t="s">
        <v>223</v>
      </c>
      <c r="AB78" s="78" t="s">
        <v>84</v>
      </c>
      <c r="AC78" s="78" t="s">
        <v>85</v>
      </c>
      <c r="AD78" s="78" t="s">
        <v>174</v>
      </c>
      <c r="AG78" s="78" t="s">
        <v>224</v>
      </c>
      <c r="AH78" s="78">
        <v>0</v>
      </c>
      <c r="AI78" s="78">
        <v>0</v>
      </c>
      <c r="AJ78" s="78">
        <v>0</v>
      </c>
      <c r="AK78" s="78">
        <v>26</v>
      </c>
      <c r="AL78" s="78">
        <v>0.54</v>
      </c>
    </row>
    <row r="79" spans="1:38" x14ac:dyDescent="0.3">
      <c r="A79" s="78" t="s">
        <v>168</v>
      </c>
      <c r="B79" s="78">
        <v>27028</v>
      </c>
      <c r="C79" s="78">
        <v>1</v>
      </c>
      <c r="D79" s="78" t="s">
        <v>230</v>
      </c>
      <c r="E79" s="78" t="s">
        <v>231</v>
      </c>
      <c r="F79" s="78">
        <v>392</v>
      </c>
      <c r="G79" s="78">
        <v>26.35</v>
      </c>
      <c r="H79" s="78">
        <v>87.13</v>
      </c>
      <c r="I79" s="78">
        <v>18.03</v>
      </c>
      <c r="J79" s="78">
        <v>59.61</v>
      </c>
      <c r="K79" s="78">
        <v>392</v>
      </c>
      <c r="T79" s="78">
        <v>3</v>
      </c>
      <c r="U79" s="78">
        <v>2</v>
      </c>
      <c r="V79" s="78" t="s">
        <v>88</v>
      </c>
      <c r="W79" s="78">
        <v>87</v>
      </c>
      <c r="X79" s="78">
        <v>20</v>
      </c>
      <c r="Y79" s="78">
        <v>16</v>
      </c>
      <c r="Z79" s="78" t="s">
        <v>232</v>
      </c>
      <c r="AA79" s="78" t="s">
        <v>233</v>
      </c>
      <c r="AB79" s="78" t="s">
        <v>84</v>
      </c>
      <c r="AC79" s="78" t="s">
        <v>85</v>
      </c>
      <c r="AD79" s="78" t="s">
        <v>174</v>
      </c>
      <c r="AG79" s="78" t="s">
        <v>234</v>
      </c>
      <c r="AH79" s="78">
        <v>0</v>
      </c>
      <c r="AI79" s="78">
        <v>219</v>
      </c>
      <c r="AJ79" s="78">
        <v>18</v>
      </c>
      <c r="AK79" s="78">
        <v>434</v>
      </c>
      <c r="AL79" s="78">
        <v>1.1100000000000001</v>
      </c>
    </row>
    <row r="80" spans="1:38" x14ac:dyDescent="0.3">
      <c r="A80" s="78" t="s">
        <v>168</v>
      </c>
      <c r="B80" s="78">
        <v>140531</v>
      </c>
      <c r="C80" s="78">
        <v>1</v>
      </c>
      <c r="D80" s="78" t="s">
        <v>235</v>
      </c>
      <c r="E80" s="78" t="s">
        <v>236</v>
      </c>
      <c r="F80" s="78">
        <v>19</v>
      </c>
      <c r="G80" s="78">
        <v>28.63</v>
      </c>
      <c r="H80" s="78">
        <v>94.66</v>
      </c>
      <c r="I80" s="78">
        <v>25.67</v>
      </c>
      <c r="J80" s="78">
        <v>84.86</v>
      </c>
      <c r="K80" s="78">
        <v>6</v>
      </c>
      <c r="T80" s="78">
        <v>3</v>
      </c>
      <c r="U80" s="78">
        <v>2</v>
      </c>
      <c r="V80" s="78" t="s">
        <v>88</v>
      </c>
      <c r="W80" s="78" t="s">
        <v>237</v>
      </c>
      <c r="X80" s="78">
        <v>7</v>
      </c>
      <c r="Y80" s="78">
        <v>6</v>
      </c>
      <c r="Z80" s="78" t="s">
        <v>238</v>
      </c>
      <c r="AA80" s="78" t="s">
        <v>239</v>
      </c>
      <c r="AB80" s="78" t="s">
        <v>84</v>
      </c>
      <c r="AC80" s="78" t="s">
        <v>85</v>
      </c>
      <c r="AD80" s="78" t="s">
        <v>174</v>
      </c>
      <c r="AG80" s="78" t="s">
        <v>240</v>
      </c>
      <c r="AH80" s="78">
        <v>0</v>
      </c>
      <c r="AI80" s="78">
        <v>161</v>
      </c>
      <c r="AJ80" s="78">
        <v>26</v>
      </c>
      <c r="AK80" s="78">
        <v>24</v>
      </c>
      <c r="AL80" s="78">
        <v>1.26</v>
      </c>
    </row>
    <row r="81" spans="1:38" x14ac:dyDescent="0.3">
      <c r="A81" s="78" t="s">
        <v>168</v>
      </c>
      <c r="B81" s="78">
        <v>140531</v>
      </c>
      <c r="C81" s="78">
        <v>2</v>
      </c>
      <c r="D81" s="78" t="s">
        <v>235</v>
      </c>
      <c r="E81" s="78" t="s">
        <v>236</v>
      </c>
      <c r="F81" s="78">
        <v>19</v>
      </c>
      <c r="G81" s="78">
        <v>28.64</v>
      </c>
      <c r="H81" s="78">
        <v>94.69</v>
      </c>
      <c r="I81" s="78">
        <v>25.67</v>
      </c>
      <c r="J81" s="78">
        <v>84.88</v>
      </c>
      <c r="K81" s="78">
        <v>6</v>
      </c>
      <c r="T81" s="78">
        <v>3</v>
      </c>
      <c r="U81" s="78">
        <v>2</v>
      </c>
      <c r="V81" s="78" t="s">
        <v>88</v>
      </c>
      <c r="W81" s="78" t="s">
        <v>241</v>
      </c>
      <c r="X81" s="78">
        <v>7</v>
      </c>
      <c r="Y81" s="78">
        <v>6</v>
      </c>
      <c r="Z81" s="78" t="s">
        <v>238</v>
      </c>
      <c r="AA81" s="78" t="s">
        <v>239</v>
      </c>
      <c r="AB81" s="78" t="s">
        <v>84</v>
      </c>
      <c r="AC81" s="78" t="s">
        <v>85</v>
      </c>
      <c r="AD81" s="78" t="s">
        <v>174</v>
      </c>
      <c r="AG81" s="78" t="s">
        <v>240</v>
      </c>
      <c r="AH81" s="78">
        <v>0</v>
      </c>
      <c r="AI81" s="78">
        <v>161</v>
      </c>
      <c r="AJ81" s="78">
        <v>26</v>
      </c>
      <c r="AK81" s="78">
        <v>24</v>
      </c>
      <c r="AL81" s="78">
        <v>1.26</v>
      </c>
    </row>
    <row r="82" spans="1:38" x14ac:dyDescent="0.3">
      <c r="A82" s="78" t="s">
        <v>168</v>
      </c>
      <c r="B82" s="78">
        <v>140531</v>
      </c>
      <c r="C82" s="78">
        <v>3</v>
      </c>
      <c r="D82" s="78" t="s">
        <v>235</v>
      </c>
      <c r="E82" s="78" t="s">
        <v>236</v>
      </c>
      <c r="F82" s="78">
        <v>19</v>
      </c>
      <c r="G82" s="78">
        <v>30.87</v>
      </c>
      <c r="H82" s="78">
        <v>102.07</v>
      </c>
      <c r="I82" s="78">
        <v>27.67</v>
      </c>
      <c r="J82" s="78">
        <v>91.5</v>
      </c>
      <c r="K82" s="78">
        <v>6</v>
      </c>
      <c r="T82" s="78">
        <v>3</v>
      </c>
      <c r="U82" s="78">
        <v>2</v>
      </c>
      <c r="V82" s="78" t="s">
        <v>88</v>
      </c>
      <c r="W82" s="78">
        <v>102</v>
      </c>
      <c r="X82" s="78">
        <v>7</v>
      </c>
      <c r="Y82" s="78">
        <v>6</v>
      </c>
      <c r="Z82" s="78" t="s">
        <v>238</v>
      </c>
      <c r="AA82" s="78" t="s">
        <v>239</v>
      </c>
      <c r="AB82" s="78" t="s">
        <v>84</v>
      </c>
      <c r="AC82" s="78" t="s">
        <v>85</v>
      </c>
      <c r="AD82" s="78" t="s">
        <v>174</v>
      </c>
      <c r="AG82" s="78" t="s">
        <v>240</v>
      </c>
      <c r="AH82" s="78">
        <v>0</v>
      </c>
      <c r="AI82" s="78">
        <v>161</v>
      </c>
      <c r="AJ82" s="78">
        <v>26</v>
      </c>
      <c r="AK82" s="78">
        <v>24</v>
      </c>
      <c r="AL82" s="78">
        <v>1.26</v>
      </c>
    </row>
    <row r="83" spans="1:38" x14ac:dyDescent="0.3">
      <c r="A83" s="78" t="s">
        <v>168</v>
      </c>
      <c r="B83" s="78">
        <v>140531</v>
      </c>
      <c r="C83" s="78">
        <v>4</v>
      </c>
      <c r="D83" s="78" t="s">
        <v>235</v>
      </c>
      <c r="E83" s="78" t="s">
        <v>236</v>
      </c>
      <c r="F83" s="78">
        <v>19</v>
      </c>
      <c r="G83" s="78">
        <v>46.39</v>
      </c>
      <c r="H83" s="78">
        <v>153.38</v>
      </c>
      <c r="I83" s="78">
        <v>41.59</v>
      </c>
      <c r="J83" s="78">
        <v>137.5</v>
      </c>
      <c r="K83" s="78">
        <v>1</v>
      </c>
      <c r="T83" s="78">
        <v>4</v>
      </c>
      <c r="U83" s="78">
        <v>2</v>
      </c>
      <c r="V83" s="78" t="s">
        <v>88</v>
      </c>
      <c r="W83" s="78">
        <v>153</v>
      </c>
      <c r="X83" s="78">
        <v>7</v>
      </c>
      <c r="Y83" s="78">
        <v>6</v>
      </c>
      <c r="Z83" s="78" t="s">
        <v>238</v>
      </c>
      <c r="AA83" s="78" t="s">
        <v>239</v>
      </c>
      <c r="AB83" s="78" t="s">
        <v>84</v>
      </c>
      <c r="AC83" s="78" t="s">
        <v>85</v>
      </c>
      <c r="AD83" s="78" t="s">
        <v>174</v>
      </c>
      <c r="AG83" s="78" t="s">
        <v>240</v>
      </c>
      <c r="AH83" s="78">
        <v>0</v>
      </c>
      <c r="AI83" s="78">
        <v>161</v>
      </c>
      <c r="AJ83" s="78">
        <v>26</v>
      </c>
      <c r="AK83" s="78">
        <v>24</v>
      </c>
      <c r="AL83" s="78">
        <v>1.26</v>
      </c>
    </row>
    <row r="84" spans="1:38" x14ac:dyDescent="0.3">
      <c r="A84" s="78" t="s">
        <v>168</v>
      </c>
      <c r="B84" s="78">
        <v>4969</v>
      </c>
      <c r="C84" s="78">
        <v>1</v>
      </c>
      <c r="D84" s="78" t="s">
        <v>242</v>
      </c>
      <c r="E84" s="78" t="s">
        <v>243</v>
      </c>
      <c r="F84" s="78">
        <v>336</v>
      </c>
      <c r="G84" s="78">
        <v>25.34</v>
      </c>
      <c r="H84" s="78">
        <v>83.79</v>
      </c>
      <c r="I84" s="78">
        <v>18.11</v>
      </c>
      <c r="J84" s="78">
        <v>59.88</v>
      </c>
      <c r="K84" s="78">
        <v>120</v>
      </c>
      <c r="T84" s="78">
        <v>2</v>
      </c>
      <c r="U84" s="78">
        <v>1</v>
      </c>
      <c r="V84" s="78" t="s">
        <v>88</v>
      </c>
      <c r="W84" s="78">
        <v>83</v>
      </c>
      <c r="X84" s="78">
        <v>15</v>
      </c>
      <c r="Y84" s="78">
        <v>12</v>
      </c>
      <c r="Z84" s="78" t="s">
        <v>244</v>
      </c>
      <c r="AA84" s="78" t="s">
        <v>245</v>
      </c>
      <c r="AB84" s="78" t="s">
        <v>84</v>
      </c>
      <c r="AC84" s="78" t="s">
        <v>85</v>
      </c>
      <c r="AD84" s="78" t="s">
        <v>174</v>
      </c>
      <c r="AG84" s="78" t="s">
        <v>246</v>
      </c>
      <c r="AH84" s="78">
        <v>0</v>
      </c>
      <c r="AI84" s="78">
        <v>212</v>
      </c>
      <c r="AJ84" s="78">
        <v>21</v>
      </c>
      <c r="AK84" s="78">
        <v>241</v>
      </c>
      <c r="AL84" s="78">
        <v>0.72</v>
      </c>
    </row>
    <row r="85" spans="1:38" x14ac:dyDescent="0.3">
      <c r="A85" s="78" t="s">
        <v>168</v>
      </c>
      <c r="B85" s="78">
        <v>4969</v>
      </c>
      <c r="C85" s="78">
        <v>2</v>
      </c>
      <c r="D85" s="78" t="s">
        <v>242</v>
      </c>
      <c r="E85" s="78" t="s">
        <v>243</v>
      </c>
      <c r="F85" s="78">
        <v>336</v>
      </c>
      <c r="G85" s="78">
        <v>31.16</v>
      </c>
      <c r="H85" s="78">
        <v>103.01</v>
      </c>
      <c r="I85" s="78">
        <v>25.66</v>
      </c>
      <c r="J85" s="78">
        <v>84.84</v>
      </c>
      <c r="K85" s="78">
        <v>120</v>
      </c>
      <c r="T85" s="78">
        <v>3</v>
      </c>
      <c r="U85" s="78">
        <v>2</v>
      </c>
      <c r="V85" s="78" t="s">
        <v>88</v>
      </c>
      <c r="W85" s="78">
        <v>103</v>
      </c>
      <c r="X85" s="78">
        <v>15</v>
      </c>
      <c r="Y85" s="78">
        <v>12</v>
      </c>
      <c r="Z85" s="78" t="s">
        <v>244</v>
      </c>
      <c r="AA85" s="78" t="s">
        <v>245</v>
      </c>
      <c r="AB85" s="78" t="s">
        <v>84</v>
      </c>
      <c r="AC85" s="78" t="s">
        <v>85</v>
      </c>
      <c r="AD85" s="78" t="s">
        <v>174</v>
      </c>
      <c r="AG85" s="78" t="s">
        <v>246</v>
      </c>
      <c r="AH85" s="78">
        <v>0</v>
      </c>
      <c r="AI85" s="78">
        <v>212</v>
      </c>
      <c r="AJ85" s="78">
        <v>21</v>
      </c>
      <c r="AK85" s="78">
        <v>241</v>
      </c>
      <c r="AL85" s="78">
        <v>0.72</v>
      </c>
    </row>
    <row r="86" spans="1:38" x14ac:dyDescent="0.3">
      <c r="A86" s="78" t="s">
        <v>168</v>
      </c>
      <c r="B86" s="78">
        <v>4969</v>
      </c>
      <c r="C86" s="78">
        <v>3</v>
      </c>
      <c r="D86" s="78" t="s">
        <v>242</v>
      </c>
      <c r="E86" s="78" t="s">
        <v>243</v>
      </c>
      <c r="F86" s="78">
        <v>336</v>
      </c>
      <c r="G86" s="78">
        <v>45.01</v>
      </c>
      <c r="H86" s="78">
        <v>148.81</v>
      </c>
      <c r="I86" s="78">
        <v>38.299999999999997</v>
      </c>
      <c r="J86" s="78">
        <v>126.63</v>
      </c>
      <c r="K86" s="78">
        <v>96</v>
      </c>
      <c r="T86" s="78">
        <v>4</v>
      </c>
      <c r="U86" s="78">
        <v>2</v>
      </c>
      <c r="V86" s="78" t="s">
        <v>88</v>
      </c>
      <c r="W86" s="78">
        <v>148</v>
      </c>
      <c r="X86" s="78">
        <v>15</v>
      </c>
      <c r="Y86" s="78">
        <v>12</v>
      </c>
      <c r="Z86" s="78" t="s">
        <v>244</v>
      </c>
      <c r="AA86" s="78" t="s">
        <v>245</v>
      </c>
      <c r="AB86" s="78" t="s">
        <v>84</v>
      </c>
      <c r="AC86" s="78" t="s">
        <v>85</v>
      </c>
      <c r="AD86" s="78" t="s">
        <v>174</v>
      </c>
      <c r="AG86" s="78" t="s">
        <v>246</v>
      </c>
      <c r="AH86" s="78">
        <v>0</v>
      </c>
      <c r="AI86" s="78">
        <v>212</v>
      </c>
      <c r="AJ86" s="78">
        <v>21</v>
      </c>
      <c r="AK86" s="78">
        <v>241</v>
      </c>
      <c r="AL86" s="78">
        <v>0.72</v>
      </c>
    </row>
    <row r="87" spans="1:38" x14ac:dyDescent="0.3">
      <c r="A87" s="78" t="s">
        <v>168</v>
      </c>
      <c r="B87" s="78">
        <v>14960</v>
      </c>
      <c r="C87" s="78">
        <v>1</v>
      </c>
      <c r="D87" s="78" t="s">
        <v>247</v>
      </c>
      <c r="E87" s="78" t="s">
        <v>248</v>
      </c>
      <c r="F87" s="78">
        <v>175</v>
      </c>
      <c r="G87" s="78">
        <v>26.74</v>
      </c>
      <c r="H87" s="78">
        <v>88.4</v>
      </c>
      <c r="I87" s="78">
        <v>21.82</v>
      </c>
      <c r="J87" s="78">
        <v>72.150000000000006</v>
      </c>
      <c r="K87" s="78">
        <v>55</v>
      </c>
      <c r="T87" s="78">
        <v>3</v>
      </c>
      <c r="U87" s="78">
        <v>1</v>
      </c>
      <c r="V87" s="78" t="s">
        <v>88</v>
      </c>
      <c r="W87" s="78">
        <v>88</v>
      </c>
      <c r="X87" s="78">
        <v>15</v>
      </c>
      <c r="Y87" s="78">
        <v>15</v>
      </c>
      <c r="Z87" s="78" t="s">
        <v>249</v>
      </c>
      <c r="AA87" s="78" t="s">
        <v>250</v>
      </c>
      <c r="AB87" s="78" t="s">
        <v>84</v>
      </c>
      <c r="AC87" s="78" t="s">
        <v>85</v>
      </c>
      <c r="AD87" s="78" t="s">
        <v>174</v>
      </c>
      <c r="AG87" s="78" t="s">
        <v>251</v>
      </c>
      <c r="AH87" s="78">
        <v>0</v>
      </c>
      <c r="AI87" s="78">
        <v>0</v>
      </c>
      <c r="AJ87" s="78">
        <v>0</v>
      </c>
      <c r="AK87" s="78">
        <v>0</v>
      </c>
      <c r="AL87" s="78">
        <v>0</v>
      </c>
    </row>
    <row r="88" spans="1:38" x14ac:dyDescent="0.3">
      <c r="A88" s="78" t="s">
        <v>168</v>
      </c>
      <c r="B88" s="78">
        <v>14960</v>
      </c>
      <c r="C88" s="78">
        <v>2</v>
      </c>
      <c r="D88" s="78" t="s">
        <v>247</v>
      </c>
      <c r="E88" s="78" t="s">
        <v>248</v>
      </c>
      <c r="F88" s="78">
        <v>175</v>
      </c>
      <c r="G88" s="78">
        <v>31.47</v>
      </c>
      <c r="H88" s="78">
        <v>104.04</v>
      </c>
      <c r="I88" s="78">
        <v>25.68</v>
      </c>
      <c r="J88" s="78">
        <v>84.92</v>
      </c>
      <c r="K88" s="78">
        <v>120</v>
      </c>
      <c r="T88" s="78">
        <v>3</v>
      </c>
      <c r="U88" s="78">
        <v>2</v>
      </c>
      <c r="V88" s="78" t="s">
        <v>88</v>
      </c>
      <c r="W88" s="78">
        <v>104</v>
      </c>
      <c r="X88" s="78">
        <v>15</v>
      </c>
      <c r="Y88" s="78">
        <v>15</v>
      </c>
      <c r="Z88" s="78" t="s">
        <v>249</v>
      </c>
      <c r="AA88" s="78" t="s">
        <v>250</v>
      </c>
      <c r="AB88" s="78" t="s">
        <v>84</v>
      </c>
      <c r="AC88" s="78" t="s">
        <v>85</v>
      </c>
      <c r="AD88" s="78" t="s">
        <v>174</v>
      </c>
      <c r="AG88" s="78" t="s">
        <v>251</v>
      </c>
      <c r="AH88" s="78">
        <v>0</v>
      </c>
      <c r="AI88" s="78">
        <v>0</v>
      </c>
      <c r="AJ88" s="78">
        <v>0</v>
      </c>
      <c r="AK88" s="78">
        <v>0</v>
      </c>
      <c r="AL88" s="78">
        <v>0</v>
      </c>
    </row>
    <row r="89" spans="1:38" x14ac:dyDescent="0.3">
      <c r="A89" s="78" t="s">
        <v>168</v>
      </c>
      <c r="B89" s="78">
        <v>102461</v>
      </c>
      <c r="C89" s="78">
        <v>1</v>
      </c>
      <c r="D89" s="78" t="s">
        <v>252</v>
      </c>
      <c r="E89" s="78" t="s">
        <v>253</v>
      </c>
      <c r="F89" s="78">
        <v>899</v>
      </c>
      <c r="G89" s="78">
        <v>22.44</v>
      </c>
      <c r="H89" s="78">
        <v>74.209999999999994</v>
      </c>
      <c r="I89" s="78">
        <v>17.96</v>
      </c>
      <c r="J89" s="78">
        <v>59.4</v>
      </c>
      <c r="K89" s="78">
        <v>344</v>
      </c>
      <c r="T89" s="78">
        <v>3</v>
      </c>
      <c r="U89" s="78">
        <v>1</v>
      </c>
      <c r="V89" s="78" t="s">
        <v>88</v>
      </c>
      <c r="W89" s="78">
        <v>74</v>
      </c>
      <c r="X89" s="78">
        <v>15</v>
      </c>
      <c r="Y89" s="78">
        <v>12</v>
      </c>
      <c r="Z89" s="78" t="s">
        <v>254</v>
      </c>
      <c r="AA89" s="78" t="s">
        <v>255</v>
      </c>
      <c r="AB89" s="78" t="s">
        <v>84</v>
      </c>
      <c r="AC89" s="78" t="s">
        <v>85</v>
      </c>
      <c r="AD89" s="78" t="s">
        <v>174</v>
      </c>
      <c r="AG89" s="78" t="s">
        <v>256</v>
      </c>
      <c r="AH89" s="78">
        <v>0</v>
      </c>
      <c r="AI89" s="78">
        <v>222</v>
      </c>
      <c r="AJ89" s="78">
        <v>19</v>
      </c>
      <c r="AK89" s="78">
        <v>681</v>
      </c>
      <c r="AL89" s="78">
        <v>0.76</v>
      </c>
    </row>
    <row r="90" spans="1:38" x14ac:dyDescent="0.3">
      <c r="A90" s="78" t="s">
        <v>168</v>
      </c>
      <c r="B90" s="78">
        <v>102461</v>
      </c>
      <c r="C90" s="78">
        <v>2</v>
      </c>
      <c r="D90" s="78" t="s">
        <v>252</v>
      </c>
      <c r="E90" s="78" t="s">
        <v>253</v>
      </c>
      <c r="F90" s="78">
        <v>899</v>
      </c>
      <c r="G90" s="78">
        <v>28.45</v>
      </c>
      <c r="H90" s="78">
        <v>94.05</v>
      </c>
      <c r="I90" s="78">
        <v>22.76</v>
      </c>
      <c r="J90" s="78">
        <v>75.27</v>
      </c>
      <c r="K90" s="78">
        <v>119</v>
      </c>
      <c r="T90" s="78">
        <v>3</v>
      </c>
      <c r="U90" s="78">
        <v>1</v>
      </c>
      <c r="V90" s="78" t="s">
        <v>88</v>
      </c>
      <c r="W90" s="78">
        <v>94</v>
      </c>
      <c r="X90" s="78">
        <v>15</v>
      </c>
      <c r="Y90" s="78">
        <v>12</v>
      </c>
      <c r="Z90" s="78" t="s">
        <v>254</v>
      </c>
      <c r="AA90" s="78" t="s">
        <v>255</v>
      </c>
      <c r="AB90" s="78" t="s">
        <v>84</v>
      </c>
      <c r="AC90" s="78" t="s">
        <v>85</v>
      </c>
      <c r="AD90" s="78" t="s">
        <v>174</v>
      </c>
      <c r="AG90" s="78" t="s">
        <v>256</v>
      </c>
      <c r="AH90" s="78">
        <v>0</v>
      </c>
      <c r="AI90" s="78">
        <v>222</v>
      </c>
      <c r="AJ90" s="78">
        <v>19</v>
      </c>
      <c r="AK90" s="78">
        <v>681</v>
      </c>
      <c r="AL90" s="78">
        <v>0.76</v>
      </c>
    </row>
    <row r="91" spans="1:38" x14ac:dyDescent="0.3">
      <c r="A91" s="78" t="s">
        <v>168</v>
      </c>
      <c r="B91" s="78">
        <v>102461</v>
      </c>
      <c r="C91" s="78">
        <v>3</v>
      </c>
      <c r="D91" s="78" t="s">
        <v>252</v>
      </c>
      <c r="E91" s="78" t="s">
        <v>253</v>
      </c>
      <c r="F91" s="78">
        <v>899</v>
      </c>
      <c r="G91" s="78">
        <v>32.020000000000003</v>
      </c>
      <c r="H91" s="78">
        <v>105.87</v>
      </c>
      <c r="I91" s="78">
        <v>25.63</v>
      </c>
      <c r="J91" s="78">
        <v>84.73</v>
      </c>
      <c r="K91" s="78">
        <v>377</v>
      </c>
      <c r="T91" s="78">
        <v>3</v>
      </c>
      <c r="U91" s="78">
        <v>2</v>
      </c>
      <c r="V91" s="78" t="s">
        <v>88</v>
      </c>
      <c r="W91" s="78">
        <v>105</v>
      </c>
      <c r="X91" s="78">
        <v>15</v>
      </c>
      <c r="Y91" s="78">
        <v>12</v>
      </c>
      <c r="Z91" s="78" t="s">
        <v>254</v>
      </c>
      <c r="AA91" s="78" t="s">
        <v>255</v>
      </c>
      <c r="AB91" s="78" t="s">
        <v>84</v>
      </c>
      <c r="AC91" s="78" t="s">
        <v>85</v>
      </c>
      <c r="AD91" s="78" t="s">
        <v>174</v>
      </c>
      <c r="AG91" s="78" t="s">
        <v>256</v>
      </c>
      <c r="AH91" s="78">
        <v>0</v>
      </c>
      <c r="AI91" s="78">
        <v>222</v>
      </c>
      <c r="AJ91" s="78">
        <v>19</v>
      </c>
      <c r="AK91" s="78">
        <v>681</v>
      </c>
      <c r="AL91" s="78">
        <v>0.76</v>
      </c>
    </row>
    <row r="92" spans="1:38" x14ac:dyDescent="0.3">
      <c r="A92" s="78" t="s">
        <v>168</v>
      </c>
      <c r="B92" s="78">
        <v>102461</v>
      </c>
      <c r="C92" s="78">
        <v>4</v>
      </c>
      <c r="D92" s="78" t="s">
        <v>252</v>
      </c>
      <c r="E92" s="78" t="s">
        <v>253</v>
      </c>
      <c r="F92" s="78">
        <v>899</v>
      </c>
      <c r="G92" s="78">
        <v>50.86</v>
      </c>
      <c r="H92" s="78">
        <v>168.14</v>
      </c>
      <c r="I92" s="78">
        <v>40.700000000000003</v>
      </c>
      <c r="J92" s="78">
        <v>134.57</v>
      </c>
      <c r="K92" s="78">
        <v>59</v>
      </c>
      <c r="T92" s="78">
        <v>4</v>
      </c>
      <c r="U92" s="78">
        <v>2</v>
      </c>
      <c r="V92" s="78" t="s">
        <v>88</v>
      </c>
      <c r="W92" s="78">
        <v>168</v>
      </c>
      <c r="X92" s="78">
        <v>15</v>
      </c>
      <c r="Y92" s="78">
        <v>12</v>
      </c>
      <c r="Z92" s="78" t="s">
        <v>254</v>
      </c>
      <c r="AA92" s="78" t="s">
        <v>255</v>
      </c>
      <c r="AB92" s="78" t="s">
        <v>84</v>
      </c>
      <c r="AC92" s="78" t="s">
        <v>85</v>
      </c>
      <c r="AD92" s="78" t="s">
        <v>174</v>
      </c>
      <c r="AG92" s="78" t="s">
        <v>256</v>
      </c>
      <c r="AH92" s="78">
        <v>0</v>
      </c>
      <c r="AI92" s="78">
        <v>222</v>
      </c>
      <c r="AJ92" s="78">
        <v>19</v>
      </c>
      <c r="AK92" s="78">
        <v>681</v>
      </c>
      <c r="AL92" s="78">
        <v>0.76</v>
      </c>
    </row>
    <row r="93" spans="1:38" x14ac:dyDescent="0.3">
      <c r="A93" s="78" t="s">
        <v>168</v>
      </c>
      <c r="B93" s="78">
        <v>5014</v>
      </c>
      <c r="C93" s="78">
        <v>1</v>
      </c>
      <c r="D93" s="78" t="s">
        <v>257</v>
      </c>
      <c r="E93" s="78" t="s">
        <v>258</v>
      </c>
      <c r="F93" s="78">
        <v>498</v>
      </c>
      <c r="G93" s="78">
        <v>27.07</v>
      </c>
      <c r="H93" s="78">
        <v>89.51</v>
      </c>
      <c r="I93" s="78">
        <v>21.82</v>
      </c>
      <c r="J93" s="78">
        <v>72.150000000000006</v>
      </c>
      <c r="K93" s="78">
        <v>112</v>
      </c>
      <c r="T93" s="78">
        <v>3</v>
      </c>
      <c r="U93" s="78">
        <v>1</v>
      </c>
      <c r="V93" s="78" t="s">
        <v>88</v>
      </c>
      <c r="W93" s="78">
        <v>89</v>
      </c>
      <c r="X93" s="78">
        <v>14</v>
      </c>
      <c r="Y93" s="78">
        <v>12</v>
      </c>
      <c r="Z93" s="78" t="s">
        <v>259</v>
      </c>
      <c r="AA93" s="78" t="s">
        <v>260</v>
      </c>
      <c r="AB93" s="78" t="s">
        <v>84</v>
      </c>
      <c r="AC93" s="78" t="s">
        <v>85</v>
      </c>
      <c r="AD93" s="78" t="s">
        <v>174</v>
      </c>
      <c r="AG93" s="78" t="s">
        <v>261</v>
      </c>
      <c r="AH93" s="78">
        <v>0</v>
      </c>
      <c r="AI93" s="78">
        <v>0</v>
      </c>
      <c r="AJ93" s="78">
        <v>0</v>
      </c>
      <c r="AK93" s="78">
        <v>0</v>
      </c>
      <c r="AL93" s="78">
        <v>0</v>
      </c>
    </row>
    <row r="94" spans="1:38" x14ac:dyDescent="0.3">
      <c r="A94" s="78" t="s">
        <v>168</v>
      </c>
      <c r="B94" s="78">
        <v>5014</v>
      </c>
      <c r="C94" s="78">
        <v>2</v>
      </c>
      <c r="D94" s="78" t="s">
        <v>257</v>
      </c>
      <c r="E94" s="78" t="s">
        <v>258</v>
      </c>
      <c r="F94" s="78">
        <v>498</v>
      </c>
      <c r="G94" s="78">
        <v>31.49</v>
      </c>
      <c r="H94" s="78">
        <v>104.13</v>
      </c>
      <c r="I94" s="78">
        <v>25.6</v>
      </c>
      <c r="J94" s="78">
        <v>84.66</v>
      </c>
      <c r="K94" s="78">
        <v>330</v>
      </c>
      <c r="T94" s="78">
        <v>3</v>
      </c>
      <c r="U94" s="78">
        <v>1</v>
      </c>
      <c r="V94" s="78" t="s">
        <v>88</v>
      </c>
      <c r="W94" s="78">
        <v>104</v>
      </c>
      <c r="X94" s="78">
        <v>14</v>
      </c>
      <c r="Y94" s="78">
        <v>12</v>
      </c>
      <c r="Z94" s="78" t="s">
        <v>259</v>
      </c>
      <c r="AA94" s="78" t="s">
        <v>260</v>
      </c>
      <c r="AB94" s="78" t="s">
        <v>84</v>
      </c>
      <c r="AC94" s="78" t="s">
        <v>85</v>
      </c>
      <c r="AD94" s="78" t="s">
        <v>174</v>
      </c>
      <c r="AG94" s="78" t="s">
        <v>261</v>
      </c>
      <c r="AH94" s="78">
        <v>0</v>
      </c>
      <c r="AI94" s="78">
        <v>0</v>
      </c>
      <c r="AJ94" s="78">
        <v>0</v>
      </c>
      <c r="AK94" s="78">
        <v>0</v>
      </c>
      <c r="AL94" s="78">
        <v>0</v>
      </c>
    </row>
    <row r="95" spans="1:38" x14ac:dyDescent="0.3">
      <c r="A95" s="78" t="s">
        <v>168</v>
      </c>
      <c r="B95" s="78">
        <v>5014</v>
      </c>
      <c r="C95" s="78">
        <v>3</v>
      </c>
      <c r="D95" s="78" t="s">
        <v>257</v>
      </c>
      <c r="E95" s="78" t="s">
        <v>258</v>
      </c>
      <c r="F95" s="78">
        <v>498</v>
      </c>
      <c r="G95" s="78">
        <v>45.15</v>
      </c>
      <c r="H95" s="78">
        <v>149.26</v>
      </c>
      <c r="I95" s="78">
        <v>38.18</v>
      </c>
      <c r="J95" s="78">
        <v>126.24</v>
      </c>
      <c r="K95" s="78">
        <v>56</v>
      </c>
      <c r="T95" s="78">
        <v>4</v>
      </c>
      <c r="U95" s="78">
        <v>2</v>
      </c>
      <c r="V95" s="78" t="s">
        <v>88</v>
      </c>
      <c r="W95" s="78">
        <v>149</v>
      </c>
      <c r="X95" s="78">
        <v>14</v>
      </c>
      <c r="Y95" s="78">
        <v>12</v>
      </c>
      <c r="Z95" s="78" t="s">
        <v>259</v>
      </c>
      <c r="AA95" s="78" t="s">
        <v>260</v>
      </c>
      <c r="AB95" s="78" t="s">
        <v>84</v>
      </c>
      <c r="AC95" s="78" t="s">
        <v>85</v>
      </c>
      <c r="AD95" s="78" t="s">
        <v>174</v>
      </c>
      <c r="AG95" s="78" t="s">
        <v>261</v>
      </c>
      <c r="AH95" s="78">
        <v>0</v>
      </c>
      <c r="AI95" s="78">
        <v>0</v>
      </c>
      <c r="AJ95" s="78">
        <v>0</v>
      </c>
      <c r="AK95" s="78">
        <v>0</v>
      </c>
      <c r="AL95" s="78">
        <v>0</v>
      </c>
    </row>
    <row r="96" spans="1:38" x14ac:dyDescent="0.3">
      <c r="A96" s="78" t="s">
        <v>168</v>
      </c>
      <c r="B96" s="78">
        <v>14962</v>
      </c>
      <c r="C96" s="78">
        <v>1</v>
      </c>
      <c r="D96" s="78" t="s">
        <v>262</v>
      </c>
      <c r="E96" s="78" t="s">
        <v>253</v>
      </c>
      <c r="F96" s="78">
        <v>174</v>
      </c>
      <c r="G96" s="78">
        <v>23.53</v>
      </c>
      <c r="H96" s="78">
        <v>77.81</v>
      </c>
      <c r="I96" s="78">
        <v>17.739999999999998</v>
      </c>
      <c r="J96" s="78">
        <v>58.66</v>
      </c>
      <c r="K96" s="78">
        <v>174</v>
      </c>
      <c r="T96" s="78">
        <v>3</v>
      </c>
      <c r="U96" s="78">
        <v>1</v>
      </c>
      <c r="V96" s="78" t="s">
        <v>81</v>
      </c>
      <c r="W96" s="78">
        <v>77</v>
      </c>
      <c r="X96" s="78">
        <v>12</v>
      </c>
      <c r="Y96" s="78">
        <v>7</v>
      </c>
      <c r="Z96" s="78" t="s">
        <v>263</v>
      </c>
      <c r="AA96" s="78" t="s">
        <v>264</v>
      </c>
      <c r="AB96" s="78" t="s">
        <v>84</v>
      </c>
      <c r="AC96" s="78" t="s">
        <v>85</v>
      </c>
      <c r="AD96" s="78" t="s">
        <v>174</v>
      </c>
      <c r="AG96" s="78" t="s">
        <v>265</v>
      </c>
      <c r="AH96" s="78">
        <v>0</v>
      </c>
      <c r="AI96" s="78">
        <v>279</v>
      </c>
      <c r="AJ96" s="78">
        <v>25</v>
      </c>
      <c r="AK96" s="78">
        <v>71</v>
      </c>
      <c r="AL96" s="78">
        <v>0.41</v>
      </c>
    </row>
    <row r="97" spans="1:38" x14ac:dyDescent="0.3">
      <c r="A97" s="78" t="s">
        <v>168</v>
      </c>
      <c r="B97" s="78">
        <v>16984</v>
      </c>
      <c r="C97" s="78">
        <v>1</v>
      </c>
      <c r="D97" s="78" t="s">
        <v>266</v>
      </c>
      <c r="E97" s="78" t="s">
        <v>211</v>
      </c>
      <c r="F97" s="78">
        <v>495</v>
      </c>
      <c r="G97" s="78">
        <v>19.260000000000002</v>
      </c>
      <c r="H97" s="78">
        <v>63.69</v>
      </c>
      <c r="I97" s="78">
        <v>15.01</v>
      </c>
      <c r="J97" s="78">
        <v>49.65</v>
      </c>
      <c r="K97" s="78">
        <v>495</v>
      </c>
      <c r="T97" s="78">
        <v>2</v>
      </c>
      <c r="U97" s="78">
        <v>1</v>
      </c>
      <c r="V97" s="78" t="s">
        <v>88</v>
      </c>
      <c r="W97" s="78">
        <v>63</v>
      </c>
      <c r="X97" s="78">
        <v>15</v>
      </c>
      <c r="Y97" s="78">
        <v>12</v>
      </c>
      <c r="Z97" s="78" t="s">
        <v>267</v>
      </c>
      <c r="AA97" s="78" t="s">
        <v>268</v>
      </c>
      <c r="AB97" s="78" t="s">
        <v>84</v>
      </c>
      <c r="AC97" s="78" t="s">
        <v>85</v>
      </c>
      <c r="AD97" s="78" t="s">
        <v>174</v>
      </c>
      <c r="AG97" s="78" t="s">
        <v>269</v>
      </c>
      <c r="AH97" s="78">
        <v>0</v>
      </c>
      <c r="AI97" s="78">
        <v>200</v>
      </c>
      <c r="AJ97" s="78">
        <v>21</v>
      </c>
      <c r="AK97" s="78">
        <v>519</v>
      </c>
      <c r="AL97" s="78">
        <v>1.05</v>
      </c>
    </row>
    <row r="98" spans="1:38" x14ac:dyDescent="0.3">
      <c r="A98" s="78" t="s">
        <v>168</v>
      </c>
      <c r="B98" s="78">
        <v>4995</v>
      </c>
      <c r="C98" s="78">
        <v>1</v>
      </c>
      <c r="D98" s="78" t="s">
        <v>270</v>
      </c>
      <c r="E98" s="78" t="s">
        <v>271</v>
      </c>
      <c r="F98" s="78">
        <v>600</v>
      </c>
      <c r="G98" s="78">
        <v>22.7</v>
      </c>
      <c r="H98" s="78">
        <v>75.06</v>
      </c>
      <c r="I98" s="78">
        <v>18.100000000000001</v>
      </c>
      <c r="J98" s="78">
        <v>59.85</v>
      </c>
      <c r="K98" s="78">
        <v>600</v>
      </c>
      <c r="T98" s="78">
        <v>3</v>
      </c>
      <c r="U98" s="78">
        <v>1</v>
      </c>
      <c r="V98" s="78" t="s">
        <v>88</v>
      </c>
      <c r="W98" s="78">
        <v>75</v>
      </c>
      <c r="X98" s="78">
        <v>15</v>
      </c>
      <c r="Y98" s="78">
        <v>15</v>
      </c>
      <c r="Z98" s="78" t="s">
        <v>272</v>
      </c>
      <c r="AA98" s="78" t="s">
        <v>273</v>
      </c>
      <c r="AB98" s="78" t="s">
        <v>84</v>
      </c>
      <c r="AC98" s="78" t="s">
        <v>85</v>
      </c>
      <c r="AD98" s="78" t="s">
        <v>174</v>
      </c>
      <c r="AG98" s="78" t="s">
        <v>274</v>
      </c>
      <c r="AH98" s="78">
        <v>0</v>
      </c>
      <c r="AI98" s="78">
        <v>84</v>
      </c>
      <c r="AJ98" s="78">
        <v>23</v>
      </c>
      <c r="AK98" s="78">
        <v>542</v>
      </c>
      <c r="AL98" s="78">
        <v>0.9</v>
      </c>
    </row>
    <row r="99" spans="1:38" x14ac:dyDescent="0.3">
      <c r="A99" s="78" t="s">
        <v>168</v>
      </c>
      <c r="B99" s="78">
        <v>122926</v>
      </c>
      <c r="C99" s="78">
        <v>1</v>
      </c>
      <c r="D99" s="78" t="s">
        <v>275</v>
      </c>
      <c r="E99" s="78" t="s">
        <v>276</v>
      </c>
      <c r="F99" s="78">
        <v>48</v>
      </c>
      <c r="G99" s="78">
        <v>22.3</v>
      </c>
      <c r="H99" s="78">
        <v>73.739999999999995</v>
      </c>
      <c r="I99" s="78">
        <v>17.14</v>
      </c>
      <c r="J99" s="78">
        <v>56.68</v>
      </c>
      <c r="K99" s="78">
        <v>12</v>
      </c>
      <c r="T99" s="78">
        <v>3</v>
      </c>
      <c r="U99" s="78">
        <v>1</v>
      </c>
      <c r="V99" s="78" t="s">
        <v>88</v>
      </c>
      <c r="W99" s="78">
        <v>73</v>
      </c>
      <c r="X99" s="78">
        <v>7</v>
      </c>
      <c r="Y99" s="78">
        <v>7</v>
      </c>
      <c r="Z99" s="78" t="s">
        <v>277</v>
      </c>
      <c r="AA99" s="78" t="s">
        <v>278</v>
      </c>
      <c r="AB99" s="78" t="s">
        <v>84</v>
      </c>
      <c r="AC99" s="78" t="s">
        <v>85</v>
      </c>
      <c r="AD99" s="78" t="s">
        <v>174</v>
      </c>
      <c r="AG99" s="78" t="s">
        <v>279</v>
      </c>
      <c r="AH99" s="78">
        <v>0</v>
      </c>
      <c r="AI99" s="78">
        <v>197</v>
      </c>
      <c r="AJ99" s="78">
        <v>37</v>
      </c>
      <c r="AK99" s="78">
        <v>36</v>
      </c>
      <c r="AL99" s="78">
        <v>0.75</v>
      </c>
    </row>
    <row r="100" spans="1:38" x14ac:dyDescent="0.3">
      <c r="A100" s="78" t="s">
        <v>168</v>
      </c>
      <c r="B100" s="78">
        <v>122926</v>
      </c>
      <c r="C100" s="78">
        <v>2</v>
      </c>
      <c r="D100" s="78" t="s">
        <v>275</v>
      </c>
      <c r="E100" s="78" t="s">
        <v>276</v>
      </c>
      <c r="F100" s="78">
        <v>48</v>
      </c>
      <c r="G100" s="78">
        <v>23.29</v>
      </c>
      <c r="H100" s="78">
        <v>77.010000000000005</v>
      </c>
      <c r="I100" s="78">
        <v>17.96</v>
      </c>
      <c r="J100" s="78">
        <v>59.4</v>
      </c>
      <c r="K100" s="78">
        <v>24</v>
      </c>
      <c r="T100" s="78">
        <v>3</v>
      </c>
      <c r="U100" s="78">
        <v>1</v>
      </c>
      <c r="V100" s="78" t="s">
        <v>88</v>
      </c>
      <c r="W100" s="78">
        <v>77</v>
      </c>
      <c r="X100" s="78">
        <v>7</v>
      </c>
      <c r="Y100" s="78">
        <v>7</v>
      </c>
      <c r="Z100" s="78" t="s">
        <v>277</v>
      </c>
      <c r="AA100" s="78" t="s">
        <v>278</v>
      </c>
      <c r="AB100" s="78" t="s">
        <v>84</v>
      </c>
      <c r="AC100" s="78" t="s">
        <v>85</v>
      </c>
      <c r="AD100" s="78" t="s">
        <v>174</v>
      </c>
      <c r="AG100" s="78" t="s">
        <v>279</v>
      </c>
      <c r="AH100" s="78">
        <v>0</v>
      </c>
      <c r="AI100" s="78">
        <v>197</v>
      </c>
      <c r="AJ100" s="78">
        <v>37</v>
      </c>
      <c r="AK100" s="78">
        <v>36</v>
      </c>
      <c r="AL100" s="78">
        <v>0.75</v>
      </c>
    </row>
    <row r="101" spans="1:38" x14ac:dyDescent="0.3">
      <c r="A101" s="78" t="s">
        <v>168</v>
      </c>
      <c r="B101" s="78">
        <v>122926</v>
      </c>
      <c r="C101" s="78">
        <v>3</v>
      </c>
      <c r="D101" s="78" t="s">
        <v>275</v>
      </c>
      <c r="E101" s="78" t="s">
        <v>276</v>
      </c>
      <c r="F101" s="78">
        <v>48</v>
      </c>
      <c r="G101" s="78">
        <v>23.51</v>
      </c>
      <c r="H101" s="78">
        <v>77.72</v>
      </c>
      <c r="I101" s="78">
        <v>18.13</v>
      </c>
      <c r="J101" s="78">
        <v>59.94</v>
      </c>
      <c r="K101" s="78">
        <v>12</v>
      </c>
      <c r="T101" s="78">
        <v>3</v>
      </c>
      <c r="U101" s="78">
        <v>1</v>
      </c>
      <c r="V101" s="78" t="s">
        <v>88</v>
      </c>
      <c r="W101" s="78">
        <v>77</v>
      </c>
      <c r="X101" s="78">
        <v>7</v>
      </c>
      <c r="Y101" s="78">
        <v>7</v>
      </c>
      <c r="Z101" s="78" t="s">
        <v>277</v>
      </c>
      <c r="AA101" s="78" t="s">
        <v>278</v>
      </c>
      <c r="AB101" s="78" t="s">
        <v>84</v>
      </c>
      <c r="AC101" s="78" t="s">
        <v>85</v>
      </c>
      <c r="AD101" s="78" t="s">
        <v>174</v>
      </c>
      <c r="AG101" s="78" t="s">
        <v>279</v>
      </c>
      <c r="AH101" s="78">
        <v>0</v>
      </c>
      <c r="AI101" s="78">
        <v>197</v>
      </c>
      <c r="AJ101" s="78">
        <v>37</v>
      </c>
      <c r="AK101" s="78">
        <v>36</v>
      </c>
      <c r="AL101" s="78">
        <v>0.75</v>
      </c>
    </row>
    <row r="102" spans="1:38" x14ac:dyDescent="0.3">
      <c r="A102" s="78" t="s">
        <v>168</v>
      </c>
      <c r="B102" s="78">
        <v>132202</v>
      </c>
      <c r="C102" s="78">
        <v>1</v>
      </c>
      <c r="D102" s="78" t="s">
        <v>280</v>
      </c>
      <c r="E102" s="78" t="s">
        <v>281</v>
      </c>
      <c r="F102" s="78">
        <v>38</v>
      </c>
      <c r="G102" s="78">
        <v>24.17</v>
      </c>
      <c r="H102" s="78">
        <v>79.92</v>
      </c>
      <c r="I102" s="78">
        <v>17.57</v>
      </c>
      <c r="J102" s="78">
        <v>58.1</v>
      </c>
      <c r="K102" s="78">
        <v>6</v>
      </c>
      <c r="T102" s="78">
        <v>3</v>
      </c>
      <c r="U102" s="78">
        <v>2</v>
      </c>
      <c r="V102" s="78" t="s">
        <v>88</v>
      </c>
      <c r="W102" s="78" t="s">
        <v>282</v>
      </c>
      <c r="X102" s="78">
        <v>8</v>
      </c>
      <c r="Y102" s="78">
        <v>7</v>
      </c>
      <c r="Z102" s="78" t="s">
        <v>283</v>
      </c>
      <c r="AA102" s="78" t="s">
        <v>284</v>
      </c>
      <c r="AB102" s="78" t="s">
        <v>84</v>
      </c>
      <c r="AC102" s="78" t="s">
        <v>85</v>
      </c>
      <c r="AD102" s="78" t="s">
        <v>174</v>
      </c>
      <c r="AG102" s="78" t="s">
        <v>285</v>
      </c>
      <c r="AH102" s="78">
        <v>0</v>
      </c>
      <c r="AI102" s="78">
        <v>243</v>
      </c>
      <c r="AJ102" s="78">
        <v>47</v>
      </c>
      <c r="AK102" s="78">
        <v>40</v>
      </c>
      <c r="AL102" s="78">
        <v>1.05</v>
      </c>
    </row>
    <row r="103" spans="1:38" x14ac:dyDescent="0.3">
      <c r="A103" s="78" t="s">
        <v>168</v>
      </c>
      <c r="B103" s="78">
        <v>132202</v>
      </c>
      <c r="C103" s="78">
        <v>2</v>
      </c>
      <c r="D103" s="78" t="s">
        <v>280</v>
      </c>
      <c r="E103" s="78" t="s">
        <v>281</v>
      </c>
      <c r="F103" s="78">
        <v>38</v>
      </c>
      <c r="G103" s="78">
        <v>24.39</v>
      </c>
      <c r="H103" s="78">
        <v>80.63</v>
      </c>
      <c r="I103" s="78">
        <v>17.78</v>
      </c>
      <c r="J103" s="78">
        <v>58.78</v>
      </c>
      <c r="K103" s="78">
        <v>6</v>
      </c>
      <c r="T103" s="78">
        <v>3</v>
      </c>
      <c r="U103" s="78">
        <v>2</v>
      </c>
      <c r="V103" s="78" t="s">
        <v>88</v>
      </c>
      <c r="W103" s="78" t="s">
        <v>176</v>
      </c>
      <c r="X103" s="78">
        <v>8</v>
      </c>
      <c r="Y103" s="78">
        <v>7</v>
      </c>
      <c r="Z103" s="78" t="s">
        <v>283</v>
      </c>
      <c r="AA103" s="78" t="s">
        <v>284</v>
      </c>
      <c r="AB103" s="78" t="s">
        <v>84</v>
      </c>
      <c r="AC103" s="78" t="s">
        <v>85</v>
      </c>
      <c r="AD103" s="78" t="s">
        <v>174</v>
      </c>
      <c r="AG103" s="78" t="s">
        <v>285</v>
      </c>
      <c r="AH103" s="78">
        <v>0</v>
      </c>
      <c r="AI103" s="78">
        <v>243</v>
      </c>
      <c r="AJ103" s="78">
        <v>47</v>
      </c>
      <c r="AK103" s="78">
        <v>40</v>
      </c>
      <c r="AL103" s="78">
        <v>1.05</v>
      </c>
    </row>
    <row r="104" spans="1:38" x14ac:dyDescent="0.3">
      <c r="A104" s="78" t="s">
        <v>168</v>
      </c>
      <c r="B104" s="78">
        <v>132202</v>
      </c>
      <c r="C104" s="78">
        <v>3</v>
      </c>
      <c r="D104" s="78" t="s">
        <v>280</v>
      </c>
      <c r="E104" s="78" t="s">
        <v>281</v>
      </c>
      <c r="F104" s="78">
        <v>38</v>
      </c>
      <c r="G104" s="78">
        <v>24.7</v>
      </c>
      <c r="H104" s="78">
        <v>81.680000000000007</v>
      </c>
      <c r="I104" s="78">
        <v>18.059999999999999</v>
      </c>
      <c r="J104" s="78">
        <v>59.73</v>
      </c>
      <c r="K104" s="78">
        <v>24</v>
      </c>
      <c r="T104" s="78">
        <v>3</v>
      </c>
      <c r="U104" s="78">
        <v>2</v>
      </c>
      <c r="V104" s="78" t="s">
        <v>88</v>
      </c>
      <c r="W104" s="78">
        <v>81</v>
      </c>
      <c r="X104" s="78">
        <v>8</v>
      </c>
      <c r="Y104" s="78">
        <v>7</v>
      </c>
      <c r="Z104" s="78" t="s">
        <v>283</v>
      </c>
      <c r="AA104" s="78" t="s">
        <v>284</v>
      </c>
      <c r="AB104" s="78" t="s">
        <v>84</v>
      </c>
      <c r="AC104" s="78" t="s">
        <v>85</v>
      </c>
      <c r="AD104" s="78" t="s">
        <v>174</v>
      </c>
      <c r="AG104" s="78" t="s">
        <v>285</v>
      </c>
      <c r="AH104" s="78">
        <v>0</v>
      </c>
      <c r="AI104" s="78">
        <v>243</v>
      </c>
      <c r="AJ104" s="78">
        <v>47</v>
      </c>
      <c r="AK104" s="78">
        <v>40</v>
      </c>
      <c r="AL104" s="78">
        <v>1.05</v>
      </c>
    </row>
    <row r="105" spans="1:38" x14ac:dyDescent="0.3">
      <c r="A105" s="78" t="s">
        <v>168</v>
      </c>
      <c r="B105" s="78">
        <v>132202</v>
      </c>
      <c r="C105" s="78">
        <v>4</v>
      </c>
      <c r="D105" s="78" t="s">
        <v>280</v>
      </c>
      <c r="E105" s="78" t="s">
        <v>281</v>
      </c>
      <c r="F105" s="78">
        <v>38</v>
      </c>
      <c r="G105" s="78">
        <v>34.979999999999997</v>
      </c>
      <c r="H105" s="78">
        <v>115.65</v>
      </c>
      <c r="I105" s="78">
        <v>25.6</v>
      </c>
      <c r="J105" s="78">
        <v>84.66</v>
      </c>
      <c r="K105" s="78">
        <v>1</v>
      </c>
      <c r="T105" s="78">
        <v>4</v>
      </c>
      <c r="U105" s="78">
        <v>2</v>
      </c>
      <c r="V105" s="78" t="s">
        <v>88</v>
      </c>
      <c r="W105" s="78" t="s">
        <v>286</v>
      </c>
      <c r="X105" s="78">
        <v>8</v>
      </c>
      <c r="Y105" s="78">
        <v>7</v>
      </c>
      <c r="Z105" s="78" t="s">
        <v>283</v>
      </c>
      <c r="AA105" s="78" t="s">
        <v>284</v>
      </c>
      <c r="AB105" s="78" t="s">
        <v>84</v>
      </c>
      <c r="AC105" s="78" t="s">
        <v>85</v>
      </c>
      <c r="AD105" s="78" t="s">
        <v>174</v>
      </c>
      <c r="AG105" s="78" t="s">
        <v>285</v>
      </c>
      <c r="AH105" s="78">
        <v>0</v>
      </c>
      <c r="AI105" s="78">
        <v>243</v>
      </c>
      <c r="AJ105" s="78">
        <v>47</v>
      </c>
      <c r="AK105" s="78">
        <v>40</v>
      </c>
      <c r="AL105" s="78">
        <v>1.05</v>
      </c>
    </row>
    <row r="106" spans="1:38" x14ac:dyDescent="0.3">
      <c r="A106" s="78" t="s">
        <v>168</v>
      </c>
      <c r="B106" s="78">
        <v>132202</v>
      </c>
      <c r="C106" s="78">
        <v>5</v>
      </c>
      <c r="D106" s="78" t="s">
        <v>280</v>
      </c>
      <c r="E106" s="78" t="s">
        <v>281</v>
      </c>
      <c r="F106" s="78">
        <v>38</v>
      </c>
      <c r="G106" s="78">
        <v>35.090000000000003</v>
      </c>
      <c r="H106" s="78">
        <v>116.03</v>
      </c>
      <c r="I106" s="78">
        <v>25.66</v>
      </c>
      <c r="J106" s="78">
        <v>84.83</v>
      </c>
      <c r="K106" s="78">
        <v>1</v>
      </c>
      <c r="T106" s="78">
        <v>4</v>
      </c>
      <c r="U106" s="78">
        <v>2</v>
      </c>
      <c r="V106" s="78" t="s">
        <v>81</v>
      </c>
      <c r="W106" s="78" t="s">
        <v>198</v>
      </c>
      <c r="X106" s="78">
        <v>8</v>
      </c>
      <c r="Y106" s="78">
        <v>7</v>
      </c>
      <c r="Z106" s="78" t="s">
        <v>283</v>
      </c>
      <c r="AA106" s="78" t="s">
        <v>284</v>
      </c>
      <c r="AB106" s="78" t="s">
        <v>84</v>
      </c>
      <c r="AC106" s="78" t="s">
        <v>85</v>
      </c>
      <c r="AD106" s="78" t="s">
        <v>174</v>
      </c>
      <c r="AG106" s="78" t="s">
        <v>285</v>
      </c>
      <c r="AH106" s="78">
        <v>0</v>
      </c>
      <c r="AI106" s="78">
        <v>243</v>
      </c>
      <c r="AJ106" s="78">
        <v>47</v>
      </c>
      <c r="AK106" s="78">
        <v>40</v>
      </c>
      <c r="AL106" s="78">
        <v>1.05</v>
      </c>
    </row>
    <row r="107" spans="1:38" x14ac:dyDescent="0.3">
      <c r="A107" s="78" t="s">
        <v>168</v>
      </c>
      <c r="B107" s="78">
        <v>4987</v>
      </c>
      <c r="C107" s="78">
        <v>1</v>
      </c>
      <c r="D107" s="78" t="s">
        <v>287</v>
      </c>
      <c r="E107" s="78" t="s">
        <v>288</v>
      </c>
      <c r="F107" s="78">
        <v>210</v>
      </c>
      <c r="G107" s="78">
        <v>37.04</v>
      </c>
      <c r="H107" s="78">
        <v>122.46</v>
      </c>
      <c r="I107" s="78">
        <v>30.23</v>
      </c>
      <c r="J107" s="78">
        <v>99.94</v>
      </c>
      <c r="K107" s="78">
        <v>90</v>
      </c>
      <c r="T107" s="78">
        <v>4</v>
      </c>
      <c r="U107" s="78">
        <v>2</v>
      </c>
      <c r="V107" s="78" t="s">
        <v>88</v>
      </c>
      <c r="W107" s="78">
        <v>122</v>
      </c>
      <c r="X107" s="78">
        <v>15</v>
      </c>
      <c r="Y107" s="78">
        <v>15</v>
      </c>
      <c r="Z107" s="78" t="s">
        <v>289</v>
      </c>
      <c r="AA107" s="78" t="s">
        <v>290</v>
      </c>
      <c r="AB107" s="78" t="s">
        <v>84</v>
      </c>
      <c r="AC107" s="78" t="s">
        <v>85</v>
      </c>
      <c r="AD107" s="78" t="s">
        <v>174</v>
      </c>
      <c r="AG107" s="78" t="s">
        <v>291</v>
      </c>
      <c r="AH107" s="78">
        <v>0</v>
      </c>
      <c r="AI107" s="78">
        <v>207</v>
      </c>
      <c r="AJ107" s="78">
        <v>23</v>
      </c>
      <c r="AK107" s="78">
        <v>0</v>
      </c>
      <c r="AL107" s="78">
        <v>0</v>
      </c>
    </row>
    <row r="108" spans="1:38" x14ac:dyDescent="0.3">
      <c r="A108" s="78" t="s">
        <v>168</v>
      </c>
      <c r="B108" s="78">
        <v>4987</v>
      </c>
      <c r="C108" s="78">
        <v>2</v>
      </c>
      <c r="D108" s="78" t="s">
        <v>287</v>
      </c>
      <c r="E108" s="78" t="s">
        <v>288</v>
      </c>
      <c r="F108" s="78">
        <v>210</v>
      </c>
      <c r="G108" s="78">
        <v>48.4</v>
      </c>
      <c r="H108" s="78">
        <v>160.01</v>
      </c>
      <c r="I108" s="78">
        <v>40.79</v>
      </c>
      <c r="J108" s="78">
        <v>134.85</v>
      </c>
      <c r="K108" s="78">
        <v>90</v>
      </c>
      <c r="T108" s="78">
        <v>4</v>
      </c>
      <c r="U108" s="78">
        <v>2</v>
      </c>
      <c r="V108" s="78" t="s">
        <v>88</v>
      </c>
      <c r="W108" s="78">
        <v>160</v>
      </c>
      <c r="X108" s="78">
        <v>15</v>
      </c>
      <c r="Y108" s="78">
        <v>15</v>
      </c>
      <c r="Z108" s="78" t="s">
        <v>289</v>
      </c>
      <c r="AA108" s="78" t="s">
        <v>290</v>
      </c>
      <c r="AB108" s="78" t="s">
        <v>84</v>
      </c>
      <c r="AC108" s="78" t="s">
        <v>85</v>
      </c>
      <c r="AD108" s="78" t="s">
        <v>174</v>
      </c>
      <c r="AG108" s="78" t="s">
        <v>291</v>
      </c>
      <c r="AH108" s="78">
        <v>0</v>
      </c>
      <c r="AI108" s="78">
        <v>207</v>
      </c>
      <c r="AJ108" s="78">
        <v>23</v>
      </c>
      <c r="AK108" s="78">
        <v>0</v>
      </c>
      <c r="AL108" s="78">
        <v>0</v>
      </c>
    </row>
    <row r="109" spans="1:38" x14ac:dyDescent="0.3">
      <c r="A109" s="78" t="s">
        <v>168</v>
      </c>
      <c r="B109" s="78">
        <v>4987</v>
      </c>
      <c r="C109" s="78">
        <v>3</v>
      </c>
      <c r="D109" s="78" t="s">
        <v>287</v>
      </c>
      <c r="E109" s="78" t="s">
        <v>288</v>
      </c>
      <c r="F109" s="78">
        <v>210</v>
      </c>
      <c r="G109" s="78">
        <v>59.72</v>
      </c>
      <c r="H109" s="78">
        <v>197.44</v>
      </c>
      <c r="I109" s="78">
        <v>49.86</v>
      </c>
      <c r="J109" s="78">
        <v>164.85</v>
      </c>
      <c r="K109" s="78">
        <v>30</v>
      </c>
      <c r="T109" s="78">
        <v>4</v>
      </c>
      <c r="U109" s="78">
        <v>2</v>
      </c>
      <c r="V109" s="78" t="s">
        <v>88</v>
      </c>
      <c r="W109" s="78">
        <v>197</v>
      </c>
      <c r="X109" s="78">
        <v>15</v>
      </c>
      <c r="Y109" s="78">
        <v>15</v>
      </c>
      <c r="Z109" s="78" t="s">
        <v>289</v>
      </c>
      <c r="AA109" s="78" t="s">
        <v>290</v>
      </c>
      <c r="AB109" s="78" t="s">
        <v>84</v>
      </c>
      <c r="AC109" s="78" t="s">
        <v>85</v>
      </c>
      <c r="AD109" s="78" t="s">
        <v>174</v>
      </c>
      <c r="AG109" s="78" t="s">
        <v>291</v>
      </c>
      <c r="AH109" s="78">
        <v>0</v>
      </c>
      <c r="AI109" s="78">
        <v>207</v>
      </c>
      <c r="AJ109" s="78">
        <v>23</v>
      </c>
      <c r="AK109" s="78">
        <v>0</v>
      </c>
      <c r="AL109" s="78">
        <v>0</v>
      </c>
    </row>
    <row r="110" spans="1:38" x14ac:dyDescent="0.3">
      <c r="A110" s="78" t="s">
        <v>168</v>
      </c>
      <c r="B110" s="78">
        <v>106426</v>
      </c>
      <c r="C110" s="78">
        <v>1</v>
      </c>
      <c r="D110" s="78" t="s">
        <v>292</v>
      </c>
      <c r="E110" s="78" t="s">
        <v>293</v>
      </c>
      <c r="F110" s="78">
        <v>108</v>
      </c>
      <c r="G110" s="78">
        <v>13.27</v>
      </c>
      <c r="H110" s="78">
        <v>43.87</v>
      </c>
      <c r="I110" s="78">
        <v>11.89</v>
      </c>
      <c r="J110" s="78">
        <v>39.33</v>
      </c>
      <c r="K110" s="78">
        <v>54</v>
      </c>
      <c r="T110" s="78">
        <v>2</v>
      </c>
      <c r="U110" s="78">
        <v>1</v>
      </c>
      <c r="V110" s="78" t="s">
        <v>88</v>
      </c>
      <c r="W110" s="78">
        <v>43</v>
      </c>
      <c r="X110" s="78">
        <v>3</v>
      </c>
      <c r="Y110" s="78">
        <v>3</v>
      </c>
      <c r="Z110" s="78" t="s">
        <v>294</v>
      </c>
      <c r="AA110" s="78" t="s">
        <v>295</v>
      </c>
      <c r="AB110" s="78" t="s">
        <v>84</v>
      </c>
      <c r="AC110" s="78" t="s">
        <v>85</v>
      </c>
      <c r="AD110" s="78" t="s">
        <v>174</v>
      </c>
      <c r="AG110" s="78" t="s">
        <v>296</v>
      </c>
      <c r="AH110" s="78">
        <v>0</v>
      </c>
      <c r="AI110" s="78">
        <v>0</v>
      </c>
      <c r="AJ110" s="78">
        <v>0</v>
      </c>
      <c r="AK110" s="78">
        <v>0</v>
      </c>
      <c r="AL110" s="78">
        <v>0</v>
      </c>
    </row>
    <row r="111" spans="1:38" x14ac:dyDescent="0.3">
      <c r="A111" s="78" t="s">
        <v>168</v>
      </c>
      <c r="B111" s="78">
        <v>106426</v>
      </c>
      <c r="C111" s="78">
        <v>2</v>
      </c>
      <c r="D111" s="78" t="s">
        <v>292</v>
      </c>
      <c r="E111" s="78" t="s">
        <v>293</v>
      </c>
      <c r="F111" s="78">
        <v>108</v>
      </c>
      <c r="G111" s="78">
        <v>14.9</v>
      </c>
      <c r="H111" s="78">
        <v>49.27</v>
      </c>
      <c r="I111" s="78">
        <v>13.53</v>
      </c>
      <c r="J111" s="78">
        <v>44.73</v>
      </c>
      <c r="K111" s="78">
        <v>54</v>
      </c>
      <c r="T111" s="78">
        <v>2</v>
      </c>
      <c r="U111" s="78">
        <v>1</v>
      </c>
      <c r="V111" s="78" t="s">
        <v>88</v>
      </c>
      <c r="W111" s="78">
        <v>49</v>
      </c>
      <c r="X111" s="78">
        <v>3</v>
      </c>
      <c r="Y111" s="78">
        <v>3</v>
      </c>
      <c r="Z111" s="78" t="s">
        <v>294</v>
      </c>
      <c r="AA111" s="78" t="s">
        <v>295</v>
      </c>
      <c r="AB111" s="78" t="s">
        <v>84</v>
      </c>
      <c r="AC111" s="78" t="s">
        <v>85</v>
      </c>
      <c r="AD111" s="78" t="s">
        <v>174</v>
      </c>
      <c r="AG111" s="78" t="s">
        <v>296</v>
      </c>
      <c r="AH111" s="78">
        <v>0</v>
      </c>
      <c r="AI111" s="78">
        <v>0</v>
      </c>
      <c r="AJ111" s="78">
        <v>0</v>
      </c>
      <c r="AK111" s="78">
        <v>0</v>
      </c>
      <c r="AL111" s="78">
        <v>0</v>
      </c>
    </row>
    <row r="112" spans="1:38" x14ac:dyDescent="0.3">
      <c r="A112" s="78" t="s">
        <v>168</v>
      </c>
      <c r="B112" s="78">
        <v>4980</v>
      </c>
      <c r="C112" s="78">
        <v>1</v>
      </c>
      <c r="D112" s="78" t="s">
        <v>297</v>
      </c>
      <c r="E112" s="78" t="s">
        <v>156</v>
      </c>
      <c r="F112" s="78">
        <v>460</v>
      </c>
      <c r="G112" s="78">
        <v>27.82</v>
      </c>
      <c r="H112" s="78">
        <v>91.97</v>
      </c>
      <c r="I112" s="78">
        <v>22.39</v>
      </c>
      <c r="J112" s="78">
        <v>74.02</v>
      </c>
      <c r="K112" s="78">
        <v>104</v>
      </c>
      <c r="T112" s="78">
        <v>3</v>
      </c>
      <c r="U112" s="78">
        <v>1</v>
      </c>
      <c r="V112" s="78" t="s">
        <v>88</v>
      </c>
      <c r="W112" s="78">
        <v>91</v>
      </c>
      <c r="X112" s="78">
        <v>13</v>
      </c>
      <c r="Y112" s="78">
        <v>10</v>
      </c>
      <c r="Z112" s="78" t="s">
        <v>298</v>
      </c>
      <c r="AA112" s="78" t="s">
        <v>299</v>
      </c>
      <c r="AB112" s="78" t="s">
        <v>84</v>
      </c>
      <c r="AC112" s="78" t="s">
        <v>85</v>
      </c>
      <c r="AD112" s="78" t="s">
        <v>174</v>
      </c>
      <c r="AG112" s="78" t="s">
        <v>300</v>
      </c>
      <c r="AH112" s="78">
        <v>0</v>
      </c>
      <c r="AI112" s="78">
        <v>0</v>
      </c>
      <c r="AJ112" s="78">
        <v>0</v>
      </c>
      <c r="AK112" s="78">
        <v>0</v>
      </c>
      <c r="AL112" s="78">
        <v>0</v>
      </c>
    </row>
    <row r="113" spans="1:38" x14ac:dyDescent="0.3">
      <c r="A113" s="78" t="s">
        <v>168</v>
      </c>
      <c r="B113" s="78">
        <v>4980</v>
      </c>
      <c r="C113" s="78">
        <v>2</v>
      </c>
      <c r="D113" s="78" t="s">
        <v>297</v>
      </c>
      <c r="E113" s="78" t="s">
        <v>156</v>
      </c>
      <c r="F113" s="78">
        <v>460</v>
      </c>
      <c r="G113" s="78">
        <v>32.06</v>
      </c>
      <c r="H113" s="78">
        <v>105.99</v>
      </c>
      <c r="I113" s="78">
        <v>25.66</v>
      </c>
      <c r="J113" s="78">
        <v>84.84</v>
      </c>
      <c r="K113" s="78">
        <v>278</v>
      </c>
      <c r="T113" s="78">
        <v>3</v>
      </c>
      <c r="U113" s="78">
        <v>2</v>
      </c>
      <c r="V113" s="78" t="s">
        <v>88</v>
      </c>
      <c r="W113" s="78">
        <v>105</v>
      </c>
      <c r="X113" s="78">
        <v>13</v>
      </c>
      <c r="Y113" s="78">
        <v>10</v>
      </c>
      <c r="Z113" s="78" t="s">
        <v>298</v>
      </c>
      <c r="AA113" s="78" t="s">
        <v>299</v>
      </c>
      <c r="AB113" s="78" t="s">
        <v>84</v>
      </c>
      <c r="AC113" s="78" t="s">
        <v>85</v>
      </c>
      <c r="AD113" s="78" t="s">
        <v>174</v>
      </c>
      <c r="AG113" s="78" t="s">
        <v>300</v>
      </c>
      <c r="AH113" s="78">
        <v>0</v>
      </c>
      <c r="AI113" s="78">
        <v>0</v>
      </c>
      <c r="AJ113" s="78">
        <v>0</v>
      </c>
      <c r="AK113" s="78">
        <v>0</v>
      </c>
      <c r="AL113" s="78">
        <v>0</v>
      </c>
    </row>
    <row r="114" spans="1:38" x14ac:dyDescent="0.3">
      <c r="A114" s="78" t="s">
        <v>168</v>
      </c>
      <c r="B114" s="78">
        <v>4980</v>
      </c>
      <c r="C114" s="78">
        <v>3</v>
      </c>
      <c r="D114" s="78" t="s">
        <v>297</v>
      </c>
      <c r="E114" s="78" t="s">
        <v>156</v>
      </c>
      <c r="F114" s="78">
        <v>460</v>
      </c>
      <c r="G114" s="78">
        <v>47.06</v>
      </c>
      <c r="H114" s="78">
        <v>155.59</v>
      </c>
      <c r="I114" s="78">
        <v>39.85</v>
      </c>
      <c r="J114" s="78">
        <v>131.75</v>
      </c>
      <c r="K114" s="78">
        <v>78</v>
      </c>
      <c r="T114" s="78">
        <v>4</v>
      </c>
      <c r="U114" s="78">
        <v>2</v>
      </c>
      <c r="V114" s="78" t="s">
        <v>88</v>
      </c>
      <c r="W114" s="78">
        <v>155</v>
      </c>
      <c r="X114" s="78">
        <v>13</v>
      </c>
      <c r="Y114" s="78">
        <v>10</v>
      </c>
      <c r="Z114" s="78" t="s">
        <v>298</v>
      </c>
      <c r="AA114" s="78" t="s">
        <v>299</v>
      </c>
      <c r="AB114" s="78" t="s">
        <v>84</v>
      </c>
      <c r="AC114" s="78" t="s">
        <v>85</v>
      </c>
      <c r="AD114" s="78" t="s">
        <v>174</v>
      </c>
      <c r="AG114" s="78" t="s">
        <v>300</v>
      </c>
      <c r="AH114" s="78">
        <v>0</v>
      </c>
      <c r="AI114" s="78">
        <v>0</v>
      </c>
      <c r="AJ114" s="78">
        <v>0</v>
      </c>
      <c r="AK114" s="78">
        <v>0</v>
      </c>
      <c r="AL114" s="78">
        <v>0</v>
      </c>
    </row>
    <row r="115" spans="1:38" x14ac:dyDescent="0.3">
      <c r="A115" s="78" t="s">
        <v>168</v>
      </c>
      <c r="B115" s="78">
        <v>109105</v>
      </c>
      <c r="C115" s="78">
        <v>1</v>
      </c>
      <c r="D115" s="78" t="s">
        <v>301</v>
      </c>
      <c r="E115" s="78" t="s">
        <v>302</v>
      </c>
      <c r="F115" s="78">
        <v>80</v>
      </c>
      <c r="G115" s="78">
        <v>18.04</v>
      </c>
      <c r="H115" s="78">
        <v>59.64</v>
      </c>
      <c r="I115" s="78">
        <v>15.81</v>
      </c>
      <c r="J115" s="78">
        <v>52.29</v>
      </c>
      <c r="K115" s="78">
        <v>50</v>
      </c>
      <c r="T115" s="78">
        <v>2</v>
      </c>
      <c r="U115" s="78">
        <v>1</v>
      </c>
      <c r="V115" s="78" t="s">
        <v>88</v>
      </c>
      <c r="W115" s="78">
        <v>59</v>
      </c>
      <c r="X115" s="78">
        <v>5</v>
      </c>
      <c r="Y115" s="78">
        <v>5</v>
      </c>
      <c r="Z115" s="78" t="s">
        <v>303</v>
      </c>
      <c r="AA115" s="78" t="s">
        <v>304</v>
      </c>
      <c r="AB115" s="78" t="s">
        <v>84</v>
      </c>
      <c r="AC115" s="78" t="s">
        <v>85</v>
      </c>
      <c r="AD115" s="78" t="s">
        <v>174</v>
      </c>
      <c r="AG115" s="78" t="s">
        <v>305</v>
      </c>
      <c r="AH115" s="78">
        <v>0</v>
      </c>
      <c r="AI115" s="78">
        <v>0</v>
      </c>
      <c r="AJ115" s="78">
        <v>40</v>
      </c>
      <c r="AK115" s="78">
        <v>0</v>
      </c>
      <c r="AL115" s="78">
        <v>0</v>
      </c>
    </row>
    <row r="116" spans="1:38" x14ac:dyDescent="0.3">
      <c r="A116" s="78" t="s">
        <v>168</v>
      </c>
      <c r="B116" s="78">
        <v>109105</v>
      </c>
      <c r="C116" s="78">
        <v>2</v>
      </c>
      <c r="D116" s="78" t="s">
        <v>301</v>
      </c>
      <c r="E116" s="78" t="s">
        <v>302</v>
      </c>
      <c r="F116" s="78">
        <v>80</v>
      </c>
      <c r="G116" s="78">
        <v>25.72</v>
      </c>
      <c r="H116" s="78">
        <v>85.05</v>
      </c>
      <c r="I116" s="78">
        <v>23.73</v>
      </c>
      <c r="J116" s="78">
        <v>78.47</v>
      </c>
      <c r="K116" s="78">
        <v>30</v>
      </c>
      <c r="T116" s="78">
        <v>3</v>
      </c>
      <c r="U116" s="78">
        <v>1</v>
      </c>
      <c r="V116" s="78" t="s">
        <v>88</v>
      </c>
      <c r="W116" s="78">
        <v>85</v>
      </c>
      <c r="X116" s="78">
        <v>5</v>
      </c>
      <c r="Y116" s="78">
        <v>5</v>
      </c>
      <c r="Z116" s="78" t="s">
        <v>303</v>
      </c>
      <c r="AA116" s="78" t="s">
        <v>304</v>
      </c>
      <c r="AB116" s="78" t="s">
        <v>84</v>
      </c>
      <c r="AC116" s="78" t="s">
        <v>85</v>
      </c>
      <c r="AD116" s="78" t="s">
        <v>174</v>
      </c>
      <c r="AG116" s="78" t="s">
        <v>305</v>
      </c>
      <c r="AH116" s="78">
        <v>0</v>
      </c>
      <c r="AI116" s="78">
        <v>0</v>
      </c>
      <c r="AJ116" s="78">
        <v>40</v>
      </c>
      <c r="AK116" s="78">
        <v>0</v>
      </c>
      <c r="AL116" s="78">
        <v>0</v>
      </c>
    </row>
    <row r="117" spans="1:38" x14ac:dyDescent="0.3">
      <c r="A117" s="78" t="s">
        <v>168</v>
      </c>
      <c r="B117" s="78">
        <v>135672</v>
      </c>
      <c r="C117" s="78">
        <v>1</v>
      </c>
      <c r="D117" s="78" t="s">
        <v>306</v>
      </c>
      <c r="E117" s="78" t="s">
        <v>307</v>
      </c>
      <c r="F117" s="78">
        <v>19</v>
      </c>
      <c r="G117" s="78">
        <v>27.95</v>
      </c>
      <c r="H117" s="78">
        <v>92.4</v>
      </c>
      <c r="I117" s="78">
        <v>23.05</v>
      </c>
      <c r="J117" s="78">
        <v>76.23</v>
      </c>
      <c r="K117" s="78">
        <v>4</v>
      </c>
      <c r="T117" s="78">
        <v>3</v>
      </c>
      <c r="U117" s="78">
        <v>2</v>
      </c>
      <c r="V117" s="78" t="s">
        <v>88</v>
      </c>
      <c r="W117" s="78">
        <v>92</v>
      </c>
      <c r="X117" s="78">
        <v>5</v>
      </c>
      <c r="Y117" s="78">
        <v>4</v>
      </c>
      <c r="Z117" s="78" t="s">
        <v>308</v>
      </c>
      <c r="AA117" s="78" t="s">
        <v>309</v>
      </c>
      <c r="AB117" s="78" t="s">
        <v>84</v>
      </c>
      <c r="AC117" s="78" t="s">
        <v>85</v>
      </c>
      <c r="AD117" s="78" t="s">
        <v>174</v>
      </c>
      <c r="AG117" s="78" t="s">
        <v>310</v>
      </c>
      <c r="AH117" s="78">
        <v>0</v>
      </c>
      <c r="AI117" s="78">
        <v>158</v>
      </c>
      <c r="AJ117" s="78">
        <v>0</v>
      </c>
      <c r="AK117" s="78">
        <v>0</v>
      </c>
      <c r="AL117" s="78">
        <v>0</v>
      </c>
    </row>
    <row r="118" spans="1:38" x14ac:dyDescent="0.3">
      <c r="A118" s="78" t="s">
        <v>168</v>
      </c>
      <c r="B118" s="78">
        <v>135672</v>
      </c>
      <c r="C118" s="78">
        <v>2</v>
      </c>
      <c r="D118" s="78" t="s">
        <v>306</v>
      </c>
      <c r="E118" s="78" t="s">
        <v>307</v>
      </c>
      <c r="F118" s="78">
        <v>19</v>
      </c>
      <c r="G118" s="78">
        <v>29.36</v>
      </c>
      <c r="H118" s="78">
        <v>97.08</v>
      </c>
      <c r="I118" s="78">
        <v>25.21</v>
      </c>
      <c r="J118" s="78">
        <v>83.37</v>
      </c>
      <c r="K118" s="78">
        <v>10</v>
      </c>
      <c r="T118" s="78">
        <v>3</v>
      </c>
      <c r="U118" s="78">
        <v>2</v>
      </c>
      <c r="V118" s="78" t="s">
        <v>88</v>
      </c>
      <c r="W118" s="78">
        <v>97</v>
      </c>
      <c r="X118" s="78">
        <v>5</v>
      </c>
      <c r="Y118" s="78">
        <v>4</v>
      </c>
      <c r="Z118" s="78" t="s">
        <v>308</v>
      </c>
      <c r="AA118" s="78" t="s">
        <v>309</v>
      </c>
      <c r="AB118" s="78" t="s">
        <v>84</v>
      </c>
      <c r="AC118" s="78" t="s">
        <v>85</v>
      </c>
      <c r="AD118" s="78" t="s">
        <v>174</v>
      </c>
      <c r="AG118" s="78" t="s">
        <v>310</v>
      </c>
      <c r="AH118" s="78">
        <v>0</v>
      </c>
      <c r="AI118" s="78">
        <v>158</v>
      </c>
      <c r="AJ118" s="78">
        <v>0</v>
      </c>
      <c r="AK118" s="78">
        <v>0</v>
      </c>
      <c r="AL118" s="78">
        <v>0</v>
      </c>
    </row>
    <row r="119" spans="1:38" x14ac:dyDescent="0.3">
      <c r="A119" s="78" t="s">
        <v>168</v>
      </c>
      <c r="B119" s="78">
        <v>135672</v>
      </c>
      <c r="C119" s="78">
        <v>3</v>
      </c>
      <c r="D119" s="78" t="s">
        <v>306</v>
      </c>
      <c r="E119" s="78" t="s">
        <v>307</v>
      </c>
      <c r="F119" s="78">
        <v>19</v>
      </c>
      <c r="G119" s="78">
        <v>30.77</v>
      </c>
      <c r="H119" s="78">
        <v>101.75</v>
      </c>
      <c r="I119" s="78">
        <v>25.68</v>
      </c>
      <c r="J119" s="78">
        <v>84.92</v>
      </c>
      <c r="K119" s="78">
        <v>4</v>
      </c>
      <c r="T119" s="78">
        <v>3</v>
      </c>
      <c r="U119" s="78">
        <v>2</v>
      </c>
      <c r="V119" s="78" t="s">
        <v>88</v>
      </c>
      <c r="W119" s="78">
        <v>101</v>
      </c>
      <c r="X119" s="78">
        <v>5</v>
      </c>
      <c r="Y119" s="78">
        <v>4</v>
      </c>
      <c r="Z119" s="78" t="s">
        <v>308</v>
      </c>
      <c r="AA119" s="78" t="s">
        <v>309</v>
      </c>
      <c r="AB119" s="78" t="s">
        <v>84</v>
      </c>
      <c r="AC119" s="78" t="s">
        <v>85</v>
      </c>
      <c r="AD119" s="78" t="s">
        <v>174</v>
      </c>
      <c r="AG119" s="78" t="s">
        <v>310</v>
      </c>
      <c r="AH119" s="78">
        <v>0</v>
      </c>
      <c r="AI119" s="78">
        <v>158</v>
      </c>
      <c r="AJ119" s="78">
        <v>0</v>
      </c>
      <c r="AK119" s="78">
        <v>0</v>
      </c>
      <c r="AL119" s="78">
        <v>0</v>
      </c>
    </row>
    <row r="120" spans="1:38" x14ac:dyDescent="0.3">
      <c r="A120" s="78" t="s">
        <v>168</v>
      </c>
      <c r="B120" s="78">
        <v>135672</v>
      </c>
      <c r="C120" s="78">
        <v>4</v>
      </c>
      <c r="D120" s="78" t="s">
        <v>306</v>
      </c>
      <c r="E120" s="78" t="s">
        <v>307</v>
      </c>
      <c r="F120" s="78">
        <v>19</v>
      </c>
      <c r="G120" s="78">
        <v>33.96</v>
      </c>
      <c r="H120" s="78">
        <v>112.28</v>
      </c>
      <c r="I120" s="78">
        <v>25.68</v>
      </c>
      <c r="J120" s="78">
        <v>84.92</v>
      </c>
      <c r="K120" s="78">
        <v>1</v>
      </c>
      <c r="T120" s="78">
        <v>3</v>
      </c>
      <c r="U120" s="78">
        <v>2</v>
      </c>
      <c r="V120" s="78" t="s">
        <v>88</v>
      </c>
      <c r="W120" s="78">
        <v>112</v>
      </c>
      <c r="X120" s="78">
        <v>5</v>
      </c>
      <c r="Y120" s="78">
        <v>4</v>
      </c>
      <c r="Z120" s="78" t="s">
        <v>308</v>
      </c>
      <c r="AA120" s="78" t="s">
        <v>309</v>
      </c>
      <c r="AB120" s="78" t="s">
        <v>84</v>
      </c>
      <c r="AC120" s="78" t="s">
        <v>85</v>
      </c>
      <c r="AD120" s="78" t="s">
        <v>174</v>
      </c>
      <c r="AG120" s="78" t="s">
        <v>310</v>
      </c>
      <c r="AH120" s="78">
        <v>0</v>
      </c>
      <c r="AI120" s="78">
        <v>158</v>
      </c>
      <c r="AJ120" s="78">
        <v>0</v>
      </c>
      <c r="AK120" s="78">
        <v>0</v>
      </c>
      <c r="AL120" s="78">
        <v>0</v>
      </c>
    </row>
    <row r="121" spans="1:38" x14ac:dyDescent="0.3">
      <c r="A121" s="78" t="s">
        <v>168</v>
      </c>
      <c r="B121" s="78">
        <v>4999</v>
      </c>
      <c r="C121" s="78">
        <v>1</v>
      </c>
      <c r="D121" s="78" t="s">
        <v>311</v>
      </c>
      <c r="E121" s="78" t="s">
        <v>80</v>
      </c>
      <c r="F121" s="78">
        <v>345</v>
      </c>
      <c r="G121" s="78">
        <v>34.99</v>
      </c>
      <c r="H121" s="78">
        <v>115.69</v>
      </c>
      <c r="I121" s="78">
        <v>28.3</v>
      </c>
      <c r="J121" s="78">
        <v>93.56</v>
      </c>
      <c r="K121" s="78">
        <v>75</v>
      </c>
      <c r="T121" s="78">
        <v>3</v>
      </c>
      <c r="U121" s="78">
        <v>2</v>
      </c>
      <c r="V121" s="78" t="s">
        <v>88</v>
      </c>
      <c r="W121" s="78">
        <v>115</v>
      </c>
      <c r="X121" s="78">
        <v>15</v>
      </c>
      <c r="Y121" s="78">
        <v>15</v>
      </c>
      <c r="Z121" s="78" t="s">
        <v>312</v>
      </c>
      <c r="AA121" s="78" t="s">
        <v>313</v>
      </c>
      <c r="AB121" s="78" t="s">
        <v>84</v>
      </c>
      <c r="AC121" s="78" t="s">
        <v>85</v>
      </c>
      <c r="AD121" s="78" t="s">
        <v>174</v>
      </c>
      <c r="AG121" s="78" t="s">
        <v>314</v>
      </c>
      <c r="AH121" s="78">
        <v>0</v>
      </c>
      <c r="AI121" s="78">
        <v>0</v>
      </c>
      <c r="AJ121" s="78">
        <v>0</v>
      </c>
      <c r="AK121" s="78">
        <v>0</v>
      </c>
      <c r="AL121" s="78">
        <v>0</v>
      </c>
    </row>
    <row r="122" spans="1:38" x14ac:dyDescent="0.3">
      <c r="A122" s="78" t="s">
        <v>168</v>
      </c>
      <c r="B122" s="78">
        <v>4999</v>
      </c>
      <c r="C122" s="78">
        <v>2</v>
      </c>
      <c r="D122" s="78" t="s">
        <v>311</v>
      </c>
      <c r="E122" s="78" t="s">
        <v>80</v>
      </c>
      <c r="F122" s="78">
        <v>345</v>
      </c>
      <c r="G122" s="78">
        <v>36.340000000000003</v>
      </c>
      <c r="H122" s="78">
        <v>120.16</v>
      </c>
      <c r="I122" s="78">
        <v>30.23</v>
      </c>
      <c r="J122" s="78">
        <v>99.96</v>
      </c>
      <c r="K122" s="78">
        <v>270</v>
      </c>
      <c r="T122" s="78">
        <v>3</v>
      </c>
      <c r="U122" s="78">
        <v>2</v>
      </c>
      <c r="V122" s="78" t="s">
        <v>88</v>
      </c>
      <c r="W122" s="78">
        <v>120</v>
      </c>
      <c r="X122" s="78">
        <v>15</v>
      </c>
      <c r="Y122" s="78">
        <v>15</v>
      </c>
      <c r="Z122" s="78" t="s">
        <v>312</v>
      </c>
      <c r="AA122" s="78" t="s">
        <v>313</v>
      </c>
      <c r="AB122" s="78" t="s">
        <v>84</v>
      </c>
      <c r="AC122" s="78" t="s">
        <v>85</v>
      </c>
      <c r="AD122" s="78" t="s">
        <v>174</v>
      </c>
      <c r="AG122" s="78" t="s">
        <v>314</v>
      </c>
      <c r="AH122" s="78">
        <v>0</v>
      </c>
      <c r="AI122" s="78">
        <v>0</v>
      </c>
      <c r="AJ122" s="78">
        <v>0</v>
      </c>
      <c r="AK122" s="78">
        <v>0</v>
      </c>
      <c r="AL122" s="78">
        <v>0</v>
      </c>
    </row>
    <row r="123" spans="1:38" x14ac:dyDescent="0.3">
      <c r="A123" s="78" t="s">
        <v>168</v>
      </c>
      <c r="B123" s="78">
        <v>4966</v>
      </c>
      <c r="C123" s="78">
        <v>1</v>
      </c>
      <c r="D123" s="78" t="s">
        <v>315</v>
      </c>
      <c r="E123" s="78" t="s">
        <v>316</v>
      </c>
      <c r="F123" s="78">
        <v>930</v>
      </c>
      <c r="G123" s="78">
        <v>26.94</v>
      </c>
      <c r="H123" s="78">
        <v>89.06</v>
      </c>
      <c r="I123" s="78">
        <v>22.1</v>
      </c>
      <c r="J123" s="78">
        <v>73.09</v>
      </c>
      <c r="K123" s="78">
        <v>330</v>
      </c>
      <c r="T123" s="78">
        <v>3</v>
      </c>
      <c r="U123" s="78">
        <v>2</v>
      </c>
      <c r="V123" s="78" t="s">
        <v>88</v>
      </c>
      <c r="W123" s="78">
        <v>89</v>
      </c>
      <c r="X123" s="78">
        <v>15</v>
      </c>
      <c r="Y123" s="78">
        <v>15</v>
      </c>
      <c r="Z123" s="78" t="s">
        <v>317</v>
      </c>
      <c r="AA123" s="78" t="s">
        <v>318</v>
      </c>
      <c r="AB123" s="78" t="s">
        <v>84</v>
      </c>
      <c r="AC123" s="78" t="s">
        <v>85</v>
      </c>
      <c r="AD123" s="78" t="s">
        <v>174</v>
      </c>
      <c r="AG123" s="78" t="s">
        <v>319</v>
      </c>
      <c r="AH123" s="78">
        <v>0</v>
      </c>
      <c r="AI123" s="78">
        <v>0</v>
      </c>
      <c r="AJ123" s="78">
        <v>0</v>
      </c>
      <c r="AK123" s="78">
        <v>200</v>
      </c>
      <c r="AL123" s="78">
        <v>0.22</v>
      </c>
    </row>
    <row r="124" spans="1:38" x14ac:dyDescent="0.3">
      <c r="A124" s="78" t="s">
        <v>168</v>
      </c>
      <c r="B124" s="78">
        <v>4966</v>
      </c>
      <c r="C124" s="78">
        <v>2</v>
      </c>
      <c r="D124" s="78" t="s">
        <v>315</v>
      </c>
      <c r="E124" s="78" t="s">
        <v>316</v>
      </c>
      <c r="F124" s="78">
        <v>930</v>
      </c>
      <c r="G124" s="78">
        <v>30.76</v>
      </c>
      <c r="H124" s="78">
        <v>101.69</v>
      </c>
      <c r="I124" s="78">
        <v>25.64</v>
      </c>
      <c r="J124" s="78">
        <v>84.79</v>
      </c>
      <c r="K124" s="78">
        <v>600</v>
      </c>
      <c r="T124" s="78">
        <v>3</v>
      </c>
      <c r="U124" s="78">
        <v>2</v>
      </c>
      <c r="V124" s="78" t="s">
        <v>88</v>
      </c>
      <c r="W124" s="78">
        <v>101</v>
      </c>
      <c r="X124" s="78">
        <v>15</v>
      </c>
      <c r="Y124" s="78">
        <v>15</v>
      </c>
      <c r="Z124" s="78" t="s">
        <v>317</v>
      </c>
      <c r="AA124" s="78" t="s">
        <v>318</v>
      </c>
      <c r="AB124" s="78" t="s">
        <v>84</v>
      </c>
      <c r="AC124" s="78" t="s">
        <v>85</v>
      </c>
      <c r="AD124" s="78" t="s">
        <v>174</v>
      </c>
      <c r="AG124" s="78" t="s">
        <v>319</v>
      </c>
      <c r="AH124" s="78">
        <v>0</v>
      </c>
      <c r="AI124" s="78">
        <v>0</v>
      </c>
      <c r="AJ124" s="78">
        <v>0</v>
      </c>
      <c r="AK124" s="78">
        <v>200</v>
      </c>
      <c r="AL124" s="78">
        <v>0.22</v>
      </c>
    </row>
    <row r="125" spans="1:38" x14ac:dyDescent="0.3">
      <c r="A125" s="78" t="s">
        <v>168</v>
      </c>
      <c r="B125" s="78">
        <v>117430</v>
      </c>
      <c r="C125" s="78">
        <v>1</v>
      </c>
      <c r="D125" s="78" t="s">
        <v>320</v>
      </c>
      <c r="E125" s="78" t="s">
        <v>321</v>
      </c>
      <c r="F125" s="78">
        <v>60</v>
      </c>
      <c r="G125" s="78">
        <v>30.47</v>
      </c>
      <c r="H125" s="78">
        <v>100.76</v>
      </c>
      <c r="I125" s="78">
        <v>25.43</v>
      </c>
      <c r="J125" s="78">
        <v>84.08</v>
      </c>
      <c r="K125" s="78">
        <v>40</v>
      </c>
      <c r="T125" s="78">
        <v>3</v>
      </c>
      <c r="U125" s="78">
        <v>2</v>
      </c>
      <c r="V125" s="78" t="s">
        <v>81</v>
      </c>
      <c r="W125" s="78">
        <v>100</v>
      </c>
      <c r="X125" s="78">
        <v>5</v>
      </c>
      <c r="Y125" s="78">
        <v>5</v>
      </c>
      <c r="Z125" s="78" t="s">
        <v>322</v>
      </c>
      <c r="AA125" s="78" t="s">
        <v>323</v>
      </c>
      <c r="AB125" s="78" t="s">
        <v>84</v>
      </c>
      <c r="AC125" s="78" t="s">
        <v>85</v>
      </c>
      <c r="AD125" s="78" t="s">
        <v>174</v>
      </c>
      <c r="AG125" s="78" t="s">
        <v>324</v>
      </c>
      <c r="AH125" s="78">
        <v>0</v>
      </c>
      <c r="AI125" s="78">
        <v>0</v>
      </c>
      <c r="AJ125" s="78">
        <v>0</v>
      </c>
      <c r="AK125" s="78">
        <v>0</v>
      </c>
      <c r="AL125" s="78">
        <v>0</v>
      </c>
    </row>
    <row r="126" spans="1:38" x14ac:dyDescent="0.3">
      <c r="A126" s="78" t="s">
        <v>168</v>
      </c>
      <c r="B126" s="78">
        <v>117430</v>
      </c>
      <c r="C126" s="78">
        <v>2</v>
      </c>
      <c r="D126" s="78" t="s">
        <v>320</v>
      </c>
      <c r="E126" s="78" t="s">
        <v>321</v>
      </c>
      <c r="F126" s="78">
        <v>60</v>
      </c>
      <c r="G126" s="78">
        <v>38.49</v>
      </c>
      <c r="H126" s="78">
        <v>127.24</v>
      </c>
      <c r="I126" s="78">
        <v>33.24</v>
      </c>
      <c r="J126" s="78">
        <v>109.9</v>
      </c>
      <c r="K126" s="78">
        <v>20</v>
      </c>
      <c r="T126" s="78">
        <v>3</v>
      </c>
      <c r="U126" s="78">
        <v>2</v>
      </c>
      <c r="V126" s="78" t="s">
        <v>81</v>
      </c>
      <c r="W126" s="78">
        <v>127</v>
      </c>
      <c r="X126" s="78">
        <v>5</v>
      </c>
      <c r="Y126" s="78">
        <v>5</v>
      </c>
      <c r="Z126" s="78" t="s">
        <v>322</v>
      </c>
      <c r="AA126" s="78" t="s">
        <v>323</v>
      </c>
      <c r="AB126" s="78" t="s">
        <v>84</v>
      </c>
      <c r="AC126" s="78" t="s">
        <v>85</v>
      </c>
      <c r="AD126" s="78" t="s">
        <v>174</v>
      </c>
      <c r="AG126" s="78" t="s">
        <v>324</v>
      </c>
      <c r="AH126" s="78">
        <v>0</v>
      </c>
      <c r="AI126" s="78">
        <v>0</v>
      </c>
      <c r="AJ126" s="78">
        <v>0</v>
      </c>
      <c r="AK126" s="78">
        <v>0</v>
      </c>
      <c r="AL126" s="78">
        <v>0</v>
      </c>
    </row>
    <row r="127" spans="1:38" x14ac:dyDescent="0.3">
      <c r="A127" s="78" t="s">
        <v>168</v>
      </c>
      <c r="B127" s="78">
        <v>4994</v>
      </c>
      <c r="C127" s="78">
        <v>1</v>
      </c>
      <c r="D127" s="78" t="s">
        <v>325</v>
      </c>
      <c r="E127" s="78" t="s">
        <v>80</v>
      </c>
      <c r="F127" s="78">
        <v>490</v>
      </c>
      <c r="G127" s="78">
        <v>25.33</v>
      </c>
      <c r="H127" s="78">
        <v>83.76</v>
      </c>
      <c r="I127" s="78">
        <v>20.52</v>
      </c>
      <c r="J127" s="78">
        <v>67.86</v>
      </c>
      <c r="K127" s="78">
        <v>262</v>
      </c>
      <c r="T127" s="78">
        <v>3</v>
      </c>
      <c r="U127" s="78">
        <v>1</v>
      </c>
      <c r="V127" s="78" t="s">
        <v>88</v>
      </c>
      <c r="W127" s="78">
        <v>83</v>
      </c>
      <c r="X127" s="78">
        <v>15</v>
      </c>
      <c r="Y127" s="78">
        <v>10</v>
      </c>
      <c r="Z127" s="78" t="s">
        <v>326</v>
      </c>
      <c r="AA127" s="78" t="s">
        <v>327</v>
      </c>
      <c r="AB127" s="78" t="s">
        <v>84</v>
      </c>
      <c r="AC127" s="78" t="s">
        <v>85</v>
      </c>
      <c r="AD127" s="78" t="s">
        <v>174</v>
      </c>
      <c r="AG127" s="78" t="s">
        <v>328</v>
      </c>
      <c r="AH127" s="78">
        <v>0</v>
      </c>
      <c r="AI127" s="78">
        <v>0</v>
      </c>
      <c r="AJ127" s="78">
        <v>0</v>
      </c>
      <c r="AK127" s="78">
        <v>465</v>
      </c>
      <c r="AL127" s="78">
        <v>0.95</v>
      </c>
    </row>
    <row r="128" spans="1:38" x14ac:dyDescent="0.3">
      <c r="A128" s="78" t="s">
        <v>168</v>
      </c>
      <c r="B128" s="78">
        <v>4994</v>
      </c>
      <c r="C128" s="78">
        <v>2</v>
      </c>
      <c r="D128" s="78" t="s">
        <v>325</v>
      </c>
      <c r="E128" s="78" t="s">
        <v>80</v>
      </c>
      <c r="F128" s="78">
        <v>490</v>
      </c>
      <c r="G128" s="78">
        <v>31.4</v>
      </c>
      <c r="H128" s="78">
        <v>103.83</v>
      </c>
      <c r="I128" s="78">
        <v>25.7</v>
      </c>
      <c r="J128" s="78">
        <v>84.99</v>
      </c>
      <c r="K128" s="78">
        <v>228</v>
      </c>
      <c r="T128" s="78">
        <v>3</v>
      </c>
      <c r="U128" s="78">
        <v>2</v>
      </c>
      <c r="V128" s="78" t="s">
        <v>88</v>
      </c>
      <c r="W128" s="78">
        <v>103</v>
      </c>
      <c r="X128" s="78">
        <v>15</v>
      </c>
      <c r="Y128" s="78">
        <v>10</v>
      </c>
      <c r="Z128" s="78" t="s">
        <v>326</v>
      </c>
      <c r="AA128" s="78" t="s">
        <v>327</v>
      </c>
      <c r="AB128" s="78" t="s">
        <v>84</v>
      </c>
      <c r="AC128" s="78" t="s">
        <v>85</v>
      </c>
      <c r="AD128" s="78" t="s">
        <v>174</v>
      </c>
      <c r="AG128" s="78" t="s">
        <v>328</v>
      </c>
      <c r="AH128" s="78">
        <v>0</v>
      </c>
      <c r="AI128" s="78">
        <v>0</v>
      </c>
      <c r="AJ128" s="78">
        <v>0</v>
      </c>
      <c r="AK128" s="78">
        <v>465</v>
      </c>
      <c r="AL128" s="78">
        <v>0.95</v>
      </c>
    </row>
    <row r="129" spans="1:38" x14ac:dyDescent="0.3">
      <c r="A129" s="78" t="s">
        <v>168</v>
      </c>
      <c r="B129" s="78">
        <v>5008</v>
      </c>
      <c r="C129" s="78">
        <v>1</v>
      </c>
      <c r="D129" s="78" t="s">
        <v>329</v>
      </c>
      <c r="E129" s="78" t="s">
        <v>330</v>
      </c>
      <c r="F129" s="78">
        <v>800</v>
      </c>
      <c r="G129" s="78">
        <v>14.38</v>
      </c>
      <c r="H129" s="78">
        <v>47.57</v>
      </c>
      <c r="I129" s="78">
        <v>14.38</v>
      </c>
      <c r="J129" s="78">
        <v>47.57</v>
      </c>
      <c r="K129" s="78">
        <v>25</v>
      </c>
      <c r="T129" s="78">
        <v>1</v>
      </c>
      <c r="U129" s="78">
        <v>1</v>
      </c>
      <c r="V129" s="78" t="s">
        <v>88</v>
      </c>
      <c r="W129" s="78">
        <v>47</v>
      </c>
      <c r="X129" s="78">
        <v>5</v>
      </c>
      <c r="Y129" s="78">
        <v>5</v>
      </c>
      <c r="Z129" s="78" t="s">
        <v>331</v>
      </c>
      <c r="AA129" s="78" t="s">
        <v>332</v>
      </c>
      <c r="AB129" s="78" t="s">
        <v>84</v>
      </c>
      <c r="AC129" s="78" t="s">
        <v>85</v>
      </c>
      <c r="AD129" s="78" t="s">
        <v>174</v>
      </c>
      <c r="AG129" s="78" t="s">
        <v>333</v>
      </c>
      <c r="AH129" s="78">
        <v>0</v>
      </c>
      <c r="AI129" s="78">
        <v>0</v>
      </c>
      <c r="AJ129" s="78">
        <v>0</v>
      </c>
      <c r="AK129" s="78">
        <v>0</v>
      </c>
      <c r="AL129" s="78">
        <v>0</v>
      </c>
    </row>
    <row r="130" spans="1:38" x14ac:dyDescent="0.3">
      <c r="A130" s="78" t="s">
        <v>168</v>
      </c>
      <c r="B130" s="78">
        <v>5008</v>
      </c>
      <c r="C130" s="78">
        <v>2</v>
      </c>
      <c r="D130" s="78" t="s">
        <v>329</v>
      </c>
      <c r="E130" s="78" t="s">
        <v>330</v>
      </c>
      <c r="F130" s="78">
        <v>800</v>
      </c>
      <c r="G130" s="78">
        <v>16.22</v>
      </c>
      <c r="H130" s="78">
        <v>53.63</v>
      </c>
      <c r="I130" s="78">
        <v>14.7</v>
      </c>
      <c r="J130" s="78">
        <v>48.6</v>
      </c>
      <c r="K130" s="78">
        <v>136</v>
      </c>
      <c r="T130" s="78">
        <v>2</v>
      </c>
      <c r="U130" s="78">
        <v>1</v>
      </c>
      <c r="V130" s="78" t="s">
        <v>88</v>
      </c>
      <c r="W130" s="78" t="s">
        <v>334</v>
      </c>
      <c r="X130" s="78">
        <v>5</v>
      </c>
      <c r="Y130" s="78">
        <v>5</v>
      </c>
      <c r="Z130" s="78" t="s">
        <v>331</v>
      </c>
      <c r="AA130" s="78" t="s">
        <v>332</v>
      </c>
      <c r="AB130" s="78" t="s">
        <v>84</v>
      </c>
      <c r="AC130" s="78" t="s">
        <v>85</v>
      </c>
      <c r="AD130" s="78" t="s">
        <v>174</v>
      </c>
      <c r="AG130" s="78" t="s">
        <v>333</v>
      </c>
      <c r="AH130" s="78">
        <v>0</v>
      </c>
      <c r="AI130" s="78">
        <v>0</v>
      </c>
      <c r="AJ130" s="78">
        <v>0</v>
      </c>
      <c r="AK130" s="78">
        <v>0</v>
      </c>
      <c r="AL130" s="78">
        <v>0</v>
      </c>
    </row>
    <row r="131" spans="1:38" x14ac:dyDescent="0.3">
      <c r="A131" s="78" t="s">
        <v>168</v>
      </c>
      <c r="B131" s="78">
        <v>5008</v>
      </c>
      <c r="C131" s="78">
        <v>3</v>
      </c>
      <c r="D131" s="78" t="s">
        <v>329</v>
      </c>
      <c r="E131" s="78" t="s">
        <v>330</v>
      </c>
      <c r="F131" s="78">
        <v>800</v>
      </c>
      <c r="G131" s="78">
        <v>16.37</v>
      </c>
      <c r="H131" s="78">
        <v>54.12</v>
      </c>
      <c r="I131" s="78">
        <v>16.37</v>
      </c>
      <c r="J131" s="78">
        <v>54.12</v>
      </c>
      <c r="K131" s="78">
        <v>115</v>
      </c>
      <c r="T131" s="78">
        <v>2</v>
      </c>
      <c r="U131" s="78">
        <v>1</v>
      </c>
      <c r="V131" s="78" t="s">
        <v>88</v>
      </c>
      <c r="W131" s="78" t="s">
        <v>335</v>
      </c>
      <c r="X131" s="78">
        <v>5</v>
      </c>
      <c r="Y131" s="78">
        <v>5</v>
      </c>
      <c r="Z131" s="78" t="s">
        <v>331</v>
      </c>
      <c r="AA131" s="78" t="s">
        <v>332</v>
      </c>
      <c r="AB131" s="78" t="s">
        <v>84</v>
      </c>
      <c r="AC131" s="78" t="s">
        <v>85</v>
      </c>
      <c r="AD131" s="78" t="s">
        <v>174</v>
      </c>
      <c r="AG131" s="78" t="s">
        <v>333</v>
      </c>
      <c r="AH131" s="78">
        <v>0</v>
      </c>
      <c r="AI131" s="78">
        <v>0</v>
      </c>
      <c r="AJ131" s="78">
        <v>0</v>
      </c>
      <c r="AK131" s="78">
        <v>0</v>
      </c>
      <c r="AL131" s="78">
        <v>0</v>
      </c>
    </row>
    <row r="132" spans="1:38" x14ac:dyDescent="0.3">
      <c r="A132" s="78" t="s">
        <v>168</v>
      </c>
      <c r="B132" s="78">
        <v>5008</v>
      </c>
      <c r="C132" s="78">
        <v>4</v>
      </c>
      <c r="D132" s="78" t="s">
        <v>329</v>
      </c>
      <c r="E132" s="78" t="s">
        <v>330</v>
      </c>
      <c r="F132" s="78">
        <v>800</v>
      </c>
      <c r="G132" s="78">
        <v>16.559999999999999</v>
      </c>
      <c r="H132" s="78">
        <v>54.77</v>
      </c>
      <c r="I132" s="78">
        <v>16.559999999999999</v>
      </c>
      <c r="J132" s="78">
        <v>54.77</v>
      </c>
      <c r="K132" s="78">
        <v>100</v>
      </c>
      <c r="T132" s="78">
        <v>2</v>
      </c>
      <c r="U132" s="78">
        <v>1</v>
      </c>
      <c r="V132" s="78" t="s">
        <v>88</v>
      </c>
      <c r="W132" s="78">
        <v>54</v>
      </c>
      <c r="X132" s="78">
        <v>5</v>
      </c>
      <c r="Y132" s="78">
        <v>5</v>
      </c>
      <c r="Z132" s="78" t="s">
        <v>331</v>
      </c>
      <c r="AA132" s="78" t="s">
        <v>332</v>
      </c>
      <c r="AB132" s="78" t="s">
        <v>84</v>
      </c>
      <c r="AC132" s="78" t="s">
        <v>85</v>
      </c>
      <c r="AD132" s="78" t="s">
        <v>174</v>
      </c>
      <c r="AG132" s="78" t="s">
        <v>333</v>
      </c>
      <c r="AH132" s="78">
        <v>0</v>
      </c>
      <c r="AI132" s="78">
        <v>0</v>
      </c>
      <c r="AJ132" s="78">
        <v>0</v>
      </c>
      <c r="AK132" s="78">
        <v>0</v>
      </c>
      <c r="AL132" s="78">
        <v>0</v>
      </c>
    </row>
    <row r="133" spans="1:38" x14ac:dyDescent="0.3">
      <c r="A133" s="78" t="s">
        <v>168</v>
      </c>
      <c r="B133" s="78">
        <v>5008</v>
      </c>
      <c r="C133" s="78">
        <v>5</v>
      </c>
      <c r="D133" s="78" t="s">
        <v>329</v>
      </c>
      <c r="E133" s="78" t="s">
        <v>330</v>
      </c>
      <c r="F133" s="78">
        <v>800</v>
      </c>
      <c r="G133" s="78">
        <v>16.440000000000001</v>
      </c>
      <c r="H133" s="78">
        <v>54.38</v>
      </c>
      <c r="I133" s="78">
        <v>16.440000000000001</v>
      </c>
      <c r="J133" s="78">
        <v>54.38</v>
      </c>
      <c r="K133" s="78">
        <v>43</v>
      </c>
      <c r="T133" s="78">
        <v>3</v>
      </c>
      <c r="U133" s="78">
        <v>1</v>
      </c>
      <c r="V133" s="78" t="s">
        <v>88</v>
      </c>
      <c r="W133" s="78" t="s">
        <v>336</v>
      </c>
      <c r="X133" s="78">
        <v>5</v>
      </c>
      <c r="Y133" s="78">
        <v>5</v>
      </c>
      <c r="Z133" s="78" t="s">
        <v>331</v>
      </c>
      <c r="AA133" s="78" t="s">
        <v>332</v>
      </c>
      <c r="AB133" s="78" t="s">
        <v>84</v>
      </c>
      <c r="AC133" s="78" t="s">
        <v>85</v>
      </c>
      <c r="AD133" s="78" t="s">
        <v>174</v>
      </c>
      <c r="AG133" s="78" t="s">
        <v>333</v>
      </c>
      <c r="AH133" s="78">
        <v>0</v>
      </c>
      <c r="AI133" s="78">
        <v>0</v>
      </c>
      <c r="AJ133" s="78">
        <v>0</v>
      </c>
      <c r="AK133" s="78">
        <v>0</v>
      </c>
      <c r="AL133" s="78">
        <v>0</v>
      </c>
    </row>
    <row r="134" spans="1:38" x14ac:dyDescent="0.3">
      <c r="A134" s="78" t="s">
        <v>168</v>
      </c>
      <c r="B134" s="78">
        <v>5008</v>
      </c>
      <c r="C134" s="78">
        <v>6</v>
      </c>
      <c r="D134" s="78" t="s">
        <v>329</v>
      </c>
      <c r="E134" s="78" t="s">
        <v>330</v>
      </c>
      <c r="F134" s="78">
        <v>800</v>
      </c>
      <c r="G134" s="78">
        <v>18.62</v>
      </c>
      <c r="H134" s="78">
        <v>61.57</v>
      </c>
      <c r="I134" s="78">
        <v>16.87</v>
      </c>
      <c r="J134" s="78">
        <v>55.8</v>
      </c>
      <c r="K134" s="78">
        <v>112</v>
      </c>
      <c r="T134" s="78">
        <v>3</v>
      </c>
      <c r="U134" s="78">
        <v>1</v>
      </c>
      <c r="V134" s="78" t="s">
        <v>88</v>
      </c>
      <c r="W134" s="78" t="s">
        <v>337</v>
      </c>
      <c r="X134" s="78">
        <v>5</v>
      </c>
      <c r="Y134" s="78">
        <v>5</v>
      </c>
      <c r="Z134" s="78" t="s">
        <v>331</v>
      </c>
      <c r="AA134" s="78" t="s">
        <v>332</v>
      </c>
      <c r="AB134" s="78" t="s">
        <v>84</v>
      </c>
      <c r="AC134" s="78" t="s">
        <v>85</v>
      </c>
      <c r="AD134" s="78" t="s">
        <v>174</v>
      </c>
      <c r="AG134" s="78" t="s">
        <v>333</v>
      </c>
      <c r="AH134" s="78">
        <v>0</v>
      </c>
      <c r="AI134" s="78">
        <v>0</v>
      </c>
      <c r="AJ134" s="78">
        <v>0</v>
      </c>
      <c r="AK134" s="78">
        <v>0</v>
      </c>
      <c r="AL134" s="78">
        <v>0</v>
      </c>
    </row>
    <row r="135" spans="1:38" x14ac:dyDescent="0.3">
      <c r="A135" s="78" t="s">
        <v>168</v>
      </c>
      <c r="B135" s="78">
        <v>5008</v>
      </c>
      <c r="C135" s="78">
        <v>7</v>
      </c>
      <c r="D135" s="78" t="s">
        <v>329</v>
      </c>
      <c r="E135" s="78" t="s">
        <v>330</v>
      </c>
      <c r="F135" s="78">
        <v>800</v>
      </c>
      <c r="G135" s="78">
        <v>18.62</v>
      </c>
      <c r="H135" s="78">
        <v>61.57</v>
      </c>
      <c r="I135" s="78">
        <v>18.62</v>
      </c>
      <c r="J135" s="78">
        <v>61.57</v>
      </c>
      <c r="K135" s="78">
        <v>1</v>
      </c>
      <c r="T135" s="78">
        <v>3</v>
      </c>
      <c r="U135" s="78">
        <v>1</v>
      </c>
      <c r="V135" s="78" t="s">
        <v>88</v>
      </c>
      <c r="W135" s="78" t="s">
        <v>338</v>
      </c>
      <c r="X135" s="78">
        <v>5</v>
      </c>
      <c r="Y135" s="78">
        <v>5</v>
      </c>
      <c r="Z135" s="78" t="s">
        <v>331</v>
      </c>
      <c r="AA135" s="78" t="s">
        <v>332</v>
      </c>
      <c r="AB135" s="78" t="s">
        <v>84</v>
      </c>
      <c r="AC135" s="78" t="s">
        <v>85</v>
      </c>
      <c r="AD135" s="78" t="s">
        <v>174</v>
      </c>
      <c r="AG135" s="78" t="s">
        <v>333</v>
      </c>
      <c r="AH135" s="78">
        <v>0</v>
      </c>
      <c r="AI135" s="78">
        <v>0</v>
      </c>
      <c r="AJ135" s="78">
        <v>0</v>
      </c>
      <c r="AK135" s="78">
        <v>0</v>
      </c>
      <c r="AL135" s="78">
        <v>0</v>
      </c>
    </row>
    <row r="136" spans="1:38" x14ac:dyDescent="0.3">
      <c r="A136" s="78" t="s">
        <v>168</v>
      </c>
      <c r="B136" s="78">
        <v>5008</v>
      </c>
      <c r="C136" s="78">
        <v>8</v>
      </c>
      <c r="D136" s="78" t="s">
        <v>329</v>
      </c>
      <c r="E136" s="78" t="s">
        <v>330</v>
      </c>
      <c r="F136" s="78">
        <v>800</v>
      </c>
      <c r="G136" s="78">
        <v>18.88</v>
      </c>
      <c r="H136" s="78">
        <v>62.43</v>
      </c>
      <c r="I136" s="78">
        <v>18.88</v>
      </c>
      <c r="J136" s="78">
        <v>62.43</v>
      </c>
      <c r="K136" s="78">
        <v>28</v>
      </c>
      <c r="T136" s="78">
        <v>3</v>
      </c>
      <c r="U136" s="78">
        <v>1</v>
      </c>
      <c r="V136" s="78" t="s">
        <v>88</v>
      </c>
      <c r="W136" s="78" t="s">
        <v>339</v>
      </c>
      <c r="X136" s="78">
        <v>5</v>
      </c>
      <c r="Y136" s="78">
        <v>5</v>
      </c>
      <c r="Z136" s="78" t="s">
        <v>331</v>
      </c>
      <c r="AA136" s="78" t="s">
        <v>332</v>
      </c>
      <c r="AB136" s="78" t="s">
        <v>84</v>
      </c>
      <c r="AC136" s="78" t="s">
        <v>85</v>
      </c>
      <c r="AD136" s="78" t="s">
        <v>174</v>
      </c>
      <c r="AG136" s="78" t="s">
        <v>333</v>
      </c>
      <c r="AH136" s="78">
        <v>0</v>
      </c>
      <c r="AI136" s="78">
        <v>0</v>
      </c>
      <c r="AJ136" s="78">
        <v>0</v>
      </c>
      <c r="AK136" s="78">
        <v>0</v>
      </c>
      <c r="AL136" s="78">
        <v>0</v>
      </c>
    </row>
    <row r="137" spans="1:38" x14ac:dyDescent="0.3">
      <c r="A137" s="78" t="s">
        <v>168</v>
      </c>
      <c r="B137" s="78">
        <v>5008</v>
      </c>
      <c r="C137" s="78">
        <v>9</v>
      </c>
      <c r="D137" s="78" t="s">
        <v>329</v>
      </c>
      <c r="E137" s="78" t="s">
        <v>330</v>
      </c>
      <c r="F137" s="78">
        <v>800</v>
      </c>
      <c r="G137" s="78">
        <v>19.96</v>
      </c>
      <c r="H137" s="78">
        <v>65.989999999999995</v>
      </c>
      <c r="I137" s="78">
        <v>19.96</v>
      </c>
      <c r="J137" s="78">
        <v>65.989999999999995</v>
      </c>
      <c r="K137" s="78">
        <v>125</v>
      </c>
      <c r="T137" s="78">
        <v>3</v>
      </c>
      <c r="U137" s="78">
        <v>1</v>
      </c>
      <c r="V137" s="78" t="s">
        <v>88</v>
      </c>
      <c r="W137" s="78" t="s">
        <v>228</v>
      </c>
      <c r="X137" s="78">
        <v>5</v>
      </c>
      <c r="Y137" s="78">
        <v>5</v>
      </c>
      <c r="Z137" s="78" t="s">
        <v>331</v>
      </c>
      <c r="AA137" s="78" t="s">
        <v>332</v>
      </c>
      <c r="AB137" s="78" t="s">
        <v>84</v>
      </c>
      <c r="AC137" s="78" t="s">
        <v>85</v>
      </c>
      <c r="AD137" s="78" t="s">
        <v>174</v>
      </c>
      <c r="AG137" s="78" t="s">
        <v>333</v>
      </c>
      <c r="AH137" s="78">
        <v>0</v>
      </c>
      <c r="AI137" s="78">
        <v>0</v>
      </c>
      <c r="AJ137" s="78">
        <v>0</v>
      </c>
      <c r="AK137" s="78">
        <v>0</v>
      </c>
      <c r="AL137" s="78">
        <v>0</v>
      </c>
    </row>
    <row r="138" spans="1:38" x14ac:dyDescent="0.3">
      <c r="A138" s="78" t="s">
        <v>168</v>
      </c>
      <c r="B138" s="78">
        <v>5008</v>
      </c>
      <c r="C138" s="78">
        <v>10</v>
      </c>
      <c r="D138" s="78" t="s">
        <v>329</v>
      </c>
      <c r="E138" s="78" t="s">
        <v>330</v>
      </c>
      <c r="F138" s="78">
        <v>800</v>
      </c>
      <c r="G138" s="78">
        <v>19.72</v>
      </c>
      <c r="H138" s="78">
        <v>65.2</v>
      </c>
      <c r="I138" s="78">
        <v>19.72</v>
      </c>
      <c r="J138" s="78">
        <v>65.2</v>
      </c>
      <c r="K138" s="78">
        <v>115</v>
      </c>
      <c r="T138" s="78">
        <v>3</v>
      </c>
      <c r="U138" s="78">
        <v>1</v>
      </c>
      <c r="V138" s="78" t="s">
        <v>88</v>
      </c>
      <c r="W138" s="78" t="s">
        <v>340</v>
      </c>
      <c r="X138" s="78">
        <v>5</v>
      </c>
      <c r="Y138" s="78">
        <v>5</v>
      </c>
      <c r="Z138" s="78" t="s">
        <v>331</v>
      </c>
      <c r="AA138" s="78" t="s">
        <v>332</v>
      </c>
      <c r="AB138" s="78" t="s">
        <v>84</v>
      </c>
      <c r="AC138" s="78" t="s">
        <v>85</v>
      </c>
      <c r="AD138" s="78" t="s">
        <v>174</v>
      </c>
      <c r="AG138" s="78" t="s">
        <v>333</v>
      </c>
      <c r="AH138" s="78">
        <v>0</v>
      </c>
      <c r="AI138" s="78">
        <v>0</v>
      </c>
      <c r="AJ138" s="78">
        <v>0</v>
      </c>
      <c r="AK138" s="78">
        <v>0</v>
      </c>
      <c r="AL138" s="78">
        <v>0</v>
      </c>
    </row>
    <row r="139" spans="1:38" x14ac:dyDescent="0.3">
      <c r="A139" s="78" t="s">
        <v>168</v>
      </c>
      <c r="B139" s="78">
        <v>125648</v>
      </c>
      <c r="C139" s="78">
        <v>1</v>
      </c>
      <c r="D139" s="78" t="s">
        <v>341</v>
      </c>
      <c r="E139" s="78" t="s">
        <v>104</v>
      </c>
      <c r="F139" s="78">
        <v>16</v>
      </c>
      <c r="G139" s="78">
        <v>44.75</v>
      </c>
      <c r="H139" s="78">
        <v>147.94999999999999</v>
      </c>
      <c r="I139" s="78">
        <v>40.76</v>
      </c>
      <c r="J139" s="78">
        <v>134.75</v>
      </c>
      <c r="K139" s="78">
        <v>3</v>
      </c>
      <c r="T139" s="78">
        <v>3</v>
      </c>
      <c r="U139" s="78">
        <v>2</v>
      </c>
      <c r="V139" s="78" t="s">
        <v>88</v>
      </c>
      <c r="W139" s="78" t="s">
        <v>342</v>
      </c>
      <c r="X139" s="78">
        <v>4</v>
      </c>
      <c r="Y139" s="78">
        <v>3</v>
      </c>
      <c r="Z139" s="78" t="s">
        <v>343</v>
      </c>
      <c r="AA139" s="78" t="s">
        <v>344</v>
      </c>
      <c r="AB139" s="78" t="s">
        <v>84</v>
      </c>
      <c r="AC139" s="78" t="s">
        <v>85</v>
      </c>
      <c r="AD139" s="78" t="s">
        <v>174</v>
      </c>
      <c r="AG139" s="78" t="s">
        <v>345</v>
      </c>
      <c r="AH139" s="78">
        <v>0</v>
      </c>
      <c r="AI139" s="78">
        <v>195</v>
      </c>
      <c r="AJ139" s="78">
        <v>54</v>
      </c>
      <c r="AK139" s="78">
        <v>23</v>
      </c>
      <c r="AL139" s="78">
        <v>1.44</v>
      </c>
    </row>
    <row r="140" spans="1:38" x14ac:dyDescent="0.3">
      <c r="A140" s="78" t="s">
        <v>168</v>
      </c>
      <c r="B140" s="78">
        <v>125648</v>
      </c>
      <c r="C140" s="78">
        <v>2</v>
      </c>
      <c r="D140" s="78" t="s">
        <v>341</v>
      </c>
      <c r="E140" s="78" t="s">
        <v>104</v>
      </c>
      <c r="F140" s="78">
        <v>16</v>
      </c>
      <c r="G140" s="78">
        <v>44.75</v>
      </c>
      <c r="H140" s="78">
        <v>147.94999999999999</v>
      </c>
      <c r="I140" s="78">
        <v>40.76</v>
      </c>
      <c r="J140" s="78">
        <v>134.75</v>
      </c>
      <c r="K140" s="78">
        <v>1</v>
      </c>
      <c r="T140" s="78">
        <v>3</v>
      </c>
      <c r="U140" s="78">
        <v>2</v>
      </c>
      <c r="V140" s="78" t="s">
        <v>88</v>
      </c>
      <c r="W140" s="78" t="s">
        <v>346</v>
      </c>
      <c r="X140" s="78">
        <v>4</v>
      </c>
      <c r="Y140" s="78">
        <v>3</v>
      </c>
      <c r="Z140" s="78" t="s">
        <v>343</v>
      </c>
      <c r="AA140" s="78" t="s">
        <v>344</v>
      </c>
      <c r="AB140" s="78" t="s">
        <v>84</v>
      </c>
      <c r="AC140" s="78" t="s">
        <v>85</v>
      </c>
      <c r="AD140" s="78" t="s">
        <v>174</v>
      </c>
      <c r="AG140" s="78" t="s">
        <v>345</v>
      </c>
      <c r="AH140" s="78">
        <v>0</v>
      </c>
      <c r="AI140" s="78">
        <v>195</v>
      </c>
      <c r="AJ140" s="78">
        <v>54</v>
      </c>
      <c r="AK140" s="78">
        <v>23</v>
      </c>
      <c r="AL140" s="78">
        <v>1.44</v>
      </c>
    </row>
    <row r="141" spans="1:38" x14ac:dyDescent="0.3">
      <c r="A141" s="78" t="s">
        <v>168</v>
      </c>
      <c r="B141" s="78">
        <v>125648</v>
      </c>
      <c r="C141" s="78">
        <v>3</v>
      </c>
      <c r="D141" s="78" t="s">
        <v>341</v>
      </c>
      <c r="E141" s="78" t="s">
        <v>104</v>
      </c>
      <c r="F141" s="78">
        <v>16</v>
      </c>
      <c r="G141" s="78">
        <v>44.8</v>
      </c>
      <c r="H141" s="78">
        <v>148.13</v>
      </c>
      <c r="I141" s="78">
        <v>40.81</v>
      </c>
      <c r="J141" s="78">
        <v>134.93</v>
      </c>
      <c r="K141" s="78">
        <v>4</v>
      </c>
      <c r="T141" s="78">
        <v>3</v>
      </c>
      <c r="U141" s="78">
        <v>2</v>
      </c>
      <c r="V141" s="78" t="s">
        <v>88</v>
      </c>
      <c r="W141" s="78" t="s">
        <v>347</v>
      </c>
      <c r="X141" s="78">
        <v>4</v>
      </c>
      <c r="Y141" s="78">
        <v>3</v>
      </c>
      <c r="Z141" s="78" t="s">
        <v>343</v>
      </c>
      <c r="AA141" s="78" t="s">
        <v>344</v>
      </c>
      <c r="AB141" s="78" t="s">
        <v>84</v>
      </c>
      <c r="AC141" s="78" t="s">
        <v>85</v>
      </c>
      <c r="AD141" s="78" t="s">
        <v>174</v>
      </c>
      <c r="AG141" s="78" t="s">
        <v>345</v>
      </c>
      <c r="AH141" s="78">
        <v>0</v>
      </c>
      <c r="AI141" s="78">
        <v>195</v>
      </c>
      <c r="AJ141" s="78">
        <v>54</v>
      </c>
      <c r="AK141" s="78">
        <v>23</v>
      </c>
      <c r="AL141" s="78">
        <v>1.44</v>
      </c>
    </row>
    <row r="142" spans="1:38" x14ac:dyDescent="0.3">
      <c r="A142" s="78" t="s">
        <v>168</v>
      </c>
      <c r="B142" s="78">
        <v>125648</v>
      </c>
      <c r="C142" s="78">
        <v>4</v>
      </c>
      <c r="D142" s="78" t="s">
        <v>341</v>
      </c>
      <c r="E142" s="78" t="s">
        <v>104</v>
      </c>
      <c r="F142" s="78">
        <v>16</v>
      </c>
      <c r="G142" s="78">
        <v>45.3</v>
      </c>
      <c r="H142" s="78">
        <v>149.78</v>
      </c>
      <c r="I142" s="78">
        <v>40.81</v>
      </c>
      <c r="J142" s="78">
        <v>134.93</v>
      </c>
      <c r="K142" s="78">
        <v>4</v>
      </c>
      <c r="T142" s="78">
        <v>3</v>
      </c>
      <c r="U142" s="78">
        <v>2</v>
      </c>
      <c r="V142" s="78" t="s">
        <v>88</v>
      </c>
      <c r="W142" s="78" t="s">
        <v>348</v>
      </c>
      <c r="X142" s="78">
        <v>4</v>
      </c>
      <c r="Y142" s="78">
        <v>3</v>
      </c>
      <c r="Z142" s="78" t="s">
        <v>343</v>
      </c>
      <c r="AA142" s="78" t="s">
        <v>344</v>
      </c>
      <c r="AB142" s="78" t="s">
        <v>84</v>
      </c>
      <c r="AC142" s="78" t="s">
        <v>85</v>
      </c>
      <c r="AD142" s="78" t="s">
        <v>174</v>
      </c>
      <c r="AG142" s="78" t="s">
        <v>345</v>
      </c>
      <c r="AH142" s="78">
        <v>0</v>
      </c>
      <c r="AI142" s="78">
        <v>195</v>
      </c>
      <c r="AJ142" s="78">
        <v>54</v>
      </c>
      <c r="AK142" s="78">
        <v>23</v>
      </c>
      <c r="AL142" s="78">
        <v>1.44</v>
      </c>
    </row>
    <row r="143" spans="1:38" x14ac:dyDescent="0.3">
      <c r="A143" s="78" t="s">
        <v>168</v>
      </c>
      <c r="B143" s="78">
        <v>125648</v>
      </c>
      <c r="C143" s="78">
        <v>5</v>
      </c>
      <c r="D143" s="78" t="s">
        <v>341</v>
      </c>
      <c r="E143" s="78" t="s">
        <v>104</v>
      </c>
      <c r="F143" s="78">
        <v>16</v>
      </c>
      <c r="G143" s="78">
        <v>46.04</v>
      </c>
      <c r="H143" s="78">
        <v>152.22</v>
      </c>
      <c r="I143" s="78">
        <v>41.55</v>
      </c>
      <c r="J143" s="78">
        <v>137.37</v>
      </c>
      <c r="K143" s="78">
        <v>4</v>
      </c>
      <c r="T143" s="78">
        <v>3</v>
      </c>
      <c r="U143" s="78">
        <v>2</v>
      </c>
      <c r="V143" s="78" t="s">
        <v>88</v>
      </c>
      <c r="W143" s="78">
        <v>152</v>
      </c>
      <c r="X143" s="78">
        <v>4</v>
      </c>
      <c r="Y143" s="78">
        <v>3</v>
      </c>
      <c r="Z143" s="78" t="s">
        <v>343</v>
      </c>
      <c r="AA143" s="78" t="s">
        <v>344</v>
      </c>
      <c r="AB143" s="78" t="s">
        <v>84</v>
      </c>
      <c r="AC143" s="78" t="s">
        <v>85</v>
      </c>
      <c r="AD143" s="78" t="s">
        <v>174</v>
      </c>
      <c r="AG143" s="78" t="s">
        <v>345</v>
      </c>
      <c r="AH143" s="78">
        <v>0</v>
      </c>
      <c r="AI143" s="78">
        <v>195</v>
      </c>
      <c r="AJ143" s="78">
        <v>54</v>
      </c>
      <c r="AK143" s="78">
        <v>23</v>
      </c>
      <c r="AL143" s="78">
        <v>1.44</v>
      </c>
    </row>
    <row r="144" spans="1:38" x14ac:dyDescent="0.3">
      <c r="A144" s="78" t="s">
        <v>168</v>
      </c>
      <c r="B144" s="78">
        <v>101461</v>
      </c>
      <c r="C144" s="78">
        <v>1</v>
      </c>
      <c r="D144" s="78" t="s">
        <v>349</v>
      </c>
      <c r="E144" s="78" t="s">
        <v>350</v>
      </c>
      <c r="F144" s="78">
        <v>437</v>
      </c>
      <c r="G144" s="78">
        <v>23.58</v>
      </c>
      <c r="H144" s="78">
        <v>77.97</v>
      </c>
      <c r="I144" s="78">
        <v>18.100000000000001</v>
      </c>
      <c r="J144" s="78">
        <v>59.86</v>
      </c>
      <c r="K144" s="78">
        <v>155</v>
      </c>
      <c r="T144" s="78">
        <v>3</v>
      </c>
      <c r="U144" s="78">
        <v>2</v>
      </c>
      <c r="V144" s="78" t="s">
        <v>88</v>
      </c>
      <c r="W144" s="78">
        <v>77</v>
      </c>
      <c r="X144" s="78">
        <v>15</v>
      </c>
      <c r="Y144" s="78">
        <v>10</v>
      </c>
      <c r="Z144" s="78" t="s">
        <v>351</v>
      </c>
      <c r="AA144" s="78" t="s">
        <v>352</v>
      </c>
      <c r="AB144" s="78" t="s">
        <v>84</v>
      </c>
      <c r="AC144" s="78" t="s">
        <v>85</v>
      </c>
      <c r="AD144" s="78" t="s">
        <v>174</v>
      </c>
      <c r="AG144" s="78" t="s">
        <v>353</v>
      </c>
      <c r="AH144" s="78">
        <v>0</v>
      </c>
      <c r="AI144" s="78">
        <v>236</v>
      </c>
      <c r="AJ144" s="78">
        <v>23</v>
      </c>
      <c r="AK144" s="78">
        <v>435</v>
      </c>
      <c r="AL144" s="78">
        <v>1</v>
      </c>
    </row>
    <row r="145" spans="1:38" x14ac:dyDescent="0.3">
      <c r="A145" s="78" t="s">
        <v>168</v>
      </c>
      <c r="B145" s="78">
        <v>101461</v>
      </c>
      <c r="C145" s="78">
        <v>2</v>
      </c>
      <c r="D145" s="78" t="s">
        <v>349</v>
      </c>
      <c r="E145" s="78" t="s">
        <v>350</v>
      </c>
      <c r="F145" s="78">
        <v>437</v>
      </c>
      <c r="G145" s="78">
        <v>33.46</v>
      </c>
      <c r="H145" s="78">
        <v>110.64</v>
      </c>
      <c r="I145" s="78">
        <v>25.7</v>
      </c>
      <c r="J145" s="78">
        <v>84.99</v>
      </c>
      <c r="K145" s="78">
        <v>202</v>
      </c>
      <c r="T145" s="78">
        <v>3</v>
      </c>
      <c r="U145" s="78">
        <v>2</v>
      </c>
      <c r="V145" s="78" t="s">
        <v>88</v>
      </c>
      <c r="W145" s="78" t="s">
        <v>102</v>
      </c>
      <c r="X145" s="78">
        <v>15</v>
      </c>
      <c r="Y145" s="78">
        <v>10</v>
      </c>
      <c r="Z145" s="78" t="s">
        <v>351</v>
      </c>
      <c r="AA145" s="78" t="s">
        <v>352</v>
      </c>
      <c r="AB145" s="78" t="s">
        <v>84</v>
      </c>
      <c r="AC145" s="78" t="s">
        <v>85</v>
      </c>
      <c r="AD145" s="78" t="s">
        <v>174</v>
      </c>
      <c r="AG145" s="78" t="s">
        <v>353</v>
      </c>
      <c r="AH145" s="78">
        <v>0</v>
      </c>
      <c r="AI145" s="78">
        <v>236</v>
      </c>
      <c r="AJ145" s="78">
        <v>23</v>
      </c>
      <c r="AK145" s="78">
        <v>435</v>
      </c>
      <c r="AL145" s="78">
        <v>1</v>
      </c>
    </row>
    <row r="146" spans="1:38" x14ac:dyDescent="0.3">
      <c r="A146" s="78" t="s">
        <v>168</v>
      </c>
      <c r="B146" s="78">
        <v>101461</v>
      </c>
      <c r="C146" s="78">
        <v>3</v>
      </c>
      <c r="D146" s="78" t="s">
        <v>349</v>
      </c>
      <c r="E146" s="78" t="s">
        <v>350</v>
      </c>
      <c r="F146" s="78">
        <v>437</v>
      </c>
      <c r="G146" s="78">
        <v>33.47</v>
      </c>
      <c r="H146" s="78">
        <v>110.65</v>
      </c>
      <c r="I146" s="78">
        <v>25.67</v>
      </c>
      <c r="J146" s="78">
        <v>84.89</v>
      </c>
      <c r="K146" s="78">
        <v>14</v>
      </c>
      <c r="T146" s="78">
        <v>3</v>
      </c>
      <c r="U146" s="78">
        <v>2</v>
      </c>
      <c r="V146" s="78" t="s">
        <v>88</v>
      </c>
      <c r="W146" s="78" t="s">
        <v>101</v>
      </c>
      <c r="X146" s="78">
        <v>15</v>
      </c>
      <c r="Y146" s="78">
        <v>10</v>
      </c>
      <c r="Z146" s="78" t="s">
        <v>351</v>
      </c>
      <c r="AA146" s="78" t="s">
        <v>352</v>
      </c>
      <c r="AB146" s="78" t="s">
        <v>84</v>
      </c>
      <c r="AC146" s="78" t="s">
        <v>85</v>
      </c>
      <c r="AD146" s="78" t="s">
        <v>174</v>
      </c>
      <c r="AG146" s="78" t="s">
        <v>353</v>
      </c>
      <c r="AH146" s="78">
        <v>0</v>
      </c>
      <c r="AI146" s="78">
        <v>236</v>
      </c>
      <c r="AJ146" s="78">
        <v>23</v>
      </c>
      <c r="AK146" s="78">
        <v>435</v>
      </c>
      <c r="AL146" s="78">
        <v>1</v>
      </c>
    </row>
    <row r="147" spans="1:38" x14ac:dyDescent="0.3">
      <c r="A147" s="78" t="s">
        <v>168</v>
      </c>
      <c r="B147" s="78">
        <v>101461</v>
      </c>
      <c r="C147" s="78">
        <v>4</v>
      </c>
      <c r="D147" s="78" t="s">
        <v>349</v>
      </c>
      <c r="E147" s="78" t="s">
        <v>350</v>
      </c>
      <c r="F147" s="78">
        <v>437</v>
      </c>
      <c r="G147" s="78">
        <v>33.42</v>
      </c>
      <c r="H147" s="78">
        <v>110.49</v>
      </c>
      <c r="I147" s="78">
        <v>25.55</v>
      </c>
      <c r="J147" s="78">
        <v>84.47</v>
      </c>
      <c r="K147" s="78">
        <v>12</v>
      </c>
      <c r="T147" s="78">
        <v>3</v>
      </c>
      <c r="U147" s="78">
        <v>2</v>
      </c>
      <c r="V147" s="78" t="s">
        <v>88</v>
      </c>
      <c r="W147" s="78" t="s">
        <v>354</v>
      </c>
      <c r="X147" s="78">
        <v>15</v>
      </c>
      <c r="Y147" s="78">
        <v>10</v>
      </c>
      <c r="Z147" s="78" t="s">
        <v>351</v>
      </c>
      <c r="AA147" s="78" t="s">
        <v>352</v>
      </c>
      <c r="AB147" s="78" t="s">
        <v>84</v>
      </c>
      <c r="AC147" s="78" t="s">
        <v>85</v>
      </c>
      <c r="AD147" s="78" t="s">
        <v>174</v>
      </c>
      <c r="AG147" s="78" t="s">
        <v>353</v>
      </c>
      <c r="AH147" s="78">
        <v>0</v>
      </c>
      <c r="AI147" s="78">
        <v>236</v>
      </c>
      <c r="AJ147" s="78">
        <v>23</v>
      </c>
      <c r="AK147" s="78">
        <v>435</v>
      </c>
      <c r="AL147" s="78">
        <v>1</v>
      </c>
    </row>
    <row r="148" spans="1:38" x14ac:dyDescent="0.3">
      <c r="A148" s="78" t="s">
        <v>168</v>
      </c>
      <c r="B148" s="78">
        <v>101461</v>
      </c>
      <c r="C148" s="78">
        <v>5</v>
      </c>
      <c r="D148" s="78" t="s">
        <v>349</v>
      </c>
      <c r="E148" s="78" t="s">
        <v>350</v>
      </c>
      <c r="F148" s="78">
        <v>437</v>
      </c>
      <c r="G148" s="78">
        <v>46.18</v>
      </c>
      <c r="H148" s="78">
        <v>152.68</v>
      </c>
      <c r="I148" s="78">
        <v>35.869999999999997</v>
      </c>
      <c r="J148" s="78">
        <v>118.61</v>
      </c>
      <c r="K148" s="78">
        <v>54</v>
      </c>
      <c r="T148" s="78">
        <v>4</v>
      </c>
      <c r="U148" s="78">
        <v>2</v>
      </c>
      <c r="V148" s="78" t="s">
        <v>88</v>
      </c>
      <c r="W148" s="78">
        <v>152</v>
      </c>
      <c r="X148" s="78">
        <v>15</v>
      </c>
      <c r="Y148" s="78">
        <v>10</v>
      </c>
      <c r="Z148" s="78" t="s">
        <v>351</v>
      </c>
      <c r="AA148" s="78" t="s">
        <v>352</v>
      </c>
      <c r="AB148" s="78" t="s">
        <v>84</v>
      </c>
      <c r="AC148" s="78" t="s">
        <v>85</v>
      </c>
      <c r="AD148" s="78" t="s">
        <v>174</v>
      </c>
      <c r="AG148" s="78" t="s">
        <v>353</v>
      </c>
      <c r="AH148" s="78">
        <v>0</v>
      </c>
      <c r="AI148" s="78">
        <v>236</v>
      </c>
      <c r="AJ148" s="78">
        <v>23</v>
      </c>
      <c r="AK148" s="78">
        <v>435</v>
      </c>
      <c r="AL148" s="78">
        <v>1</v>
      </c>
    </row>
    <row r="149" spans="1:38" x14ac:dyDescent="0.3">
      <c r="A149" s="78" t="s">
        <v>168</v>
      </c>
      <c r="B149" s="78">
        <v>4974</v>
      </c>
      <c r="C149" s="78">
        <v>1</v>
      </c>
      <c r="D149" s="78" t="s">
        <v>155</v>
      </c>
      <c r="E149" s="78" t="s">
        <v>355</v>
      </c>
      <c r="F149" s="78">
        <v>420</v>
      </c>
      <c r="G149" s="78">
        <v>34</v>
      </c>
      <c r="H149" s="78">
        <v>112.4</v>
      </c>
      <c r="I149" s="78">
        <v>27.92</v>
      </c>
      <c r="J149" s="78">
        <v>92.3</v>
      </c>
      <c r="K149" s="78">
        <v>270</v>
      </c>
      <c r="T149" s="78">
        <v>3</v>
      </c>
      <c r="U149" s="78">
        <v>2</v>
      </c>
      <c r="V149" s="78" t="s">
        <v>88</v>
      </c>
      <c r="W149" s="78">
        <v>112</v>
      </c>
      <c r="X149" s="78">
        <v>15</v>
      </c>
      <c r="Y149" s="78">
        <v>15</v>
      </c>
      <c r="Z149" s="78" t="s">
        <v>356</v>
      </c>
      <c r="AA149" s="78" t="s">
        <v>357</v>
      </c>
      <c r="AB149" s="78" t="s">
        <v>84</v>
      </c>
      <c r="AC149" s="78" t="s">
        <v>85</v>
      </c>
      <c r="AD149" s="78" t="s">
        <v>174</v>
      </c>
      <c r="AG149" s="78" t="s">
        <v>358</v>
      </c>
      <c r="AH149" s="78">
        <v>0</v>
      </c>
      <c r="AI149" s="78">
        <v>208</v>
      </c>
      <c r="AJ149" s="78">
        <v>19</v>
      </c>
      <c r="AK149" s="78">
        <v>420</v>
      </c>
      <c r="AL149" s="78">
        <v>1</v>
      </c>
    </row>
    <row r="150" spans="1:38" x14ac:dyDescent="0.3">
      <c r="A150" s="78" t="s">
        <v>168</v>
      </c>
      <c r="B150" s="78">
        <v>4974</v>
      </c>
      <c r="C150" s="78">
        <v>2</v>
      </c>
      <c r="D150" s="78" t="s">
        <v>155</v>
      </c>
      <c r="E150" s="78" t="s">
        <v>355</v>
      </c>
      <c r="F150" s="78">
        <v>420</v>
      </c>
      <c r="G150" s="78">
        <v>41.29</v>
      </c>
      <c r="H150" s="78">
        <v>136.52000000000001</v>
      </c>
      <c r="I150" s="78">
        <v>34.659999999999997</v>
      </c>
      <c r="J150" s="78">
        <v>114.6</v>
      </c>
      <c r="K150" s="78">
        <v>150</v>
      </c>
      <c r="T150" s="78">
        <v>4</v>
      </c>
      <c r="U150" s="78">
        <v>2</v>
      </c>
      <c r="V150" s="78" t="s">
        <v>88</v>
      </c>
      <c r="W150" s="78">
        <v>136</v>
      </c>
      <c r="X150" s="78">
        <v>15</v>
      </c>
      <c r="Y150" s="78">
        <v>15</v>
      </c>
      <c r="Z150" s="78" t="s">
        <v>356</v>
      </c>
      <c r="AA150" s="78" t="s">
        <v>357</v>
      </c>
      <c r="AB150" s="78" t="s">
        <v>84</v>
      </c>
      <c r="AC150" s="78" t="s">
        <v>85</v>
      </c>
      <c r="AD150" s="78" t="s">
        <v>174</v>
      </c>
      <c r="AG150" s="78" t="s">
        <v>358</v>
      </c>
      <c r="AH150" s="78">
        <v>0</v>
      </c>
      <c r="AI150" s="78">
        <v>208</v>
      </c>
      <c r="AJ150" s="78">
        <v>19</v>
      </c>
      <c r="AK150" s="78">
        <v>420</v>
      </c>
      <c r="AL150" s="78">
        <v>1</v>
      </c>
    </row>
    <row r="151" spans="1:38" x14ac:dyDescent="0.3">
      <c r="A151" s="78" t="s">
        <v>168</v>
      </c>
      <c r="B151" s="78">
        <v>4973</v>
      </c>
      <c r="C151" s="78">
        <v>1</v>
      </c>
      <c r="D151" s="78" t="s">
        <v>359</v>
      </c>
      <c r="E151" s="78" t="s">
        <v>360</v>
      </c>
      <c r="F151" s="78">
        <v>260</v>
      </c>
      <c r="G151" s="78">
        <v>31.86</v>
      </c>
      <c r="H151" s="78">
        <v>105.33</v>
      </c>
      <c r="I151" s="78">
        <v>25.7</v>
      </c>
      <c r="J151" s="78">
        <v>84.98</v>
      </c>
      <c r="K151" s="78">
        <v>230</v>
      </c>
      <c r="T151" s="78">
        <v>3</v>
      </c>
      <c r="U151" s="78">
        <v>2</v>
      </c>
      <c r="V151" s="78" t="s">
        <v>88</v>
      </c>
      <c r="W151" s="78">
        <v>105</v>
      </c>
      <c r="X151" s="78">
        <v>15</v>
      </c>
      <c r="Y151" s="78">
        <v>14</v>
      </c>
      <c r="Z151" s="78" t="s">
        <v>361</v>
      </c>
      <c r="AA151" s="78" t="s">
        <v>362</v>
      </c>
      <c r="AB151" s="78" t="s">
        <v>84</v>
      </c>
      <c r="AC151" s="78" t="s">
        <v>85</v>
      </c>
      <c r="AD151" s="78" t="s">
        <v>174</v>
      </c>
      <c r="AG151" s="78" t="s">
        <v>363</v>
      </c>
      <c r="AH151" s="78">
        <v>0</v>
      </c>
      <c r="AI151" s="78">
        <v>251</v>
      </c>
      <c r="AJ151" s="78">
        <v>20</v>
      </c>
      <c r="AK151" s="78">
        <v>260</v>
      </c>
      <c r="AL151" s="78">
        <v>1</v>
      </c>
    </row>
    <row r="152" spans="1:38" x14ac:dyDescent="0.3">
      <c r="A152" s="78" t="s">
        <v>168</v>
      </c>
      <c r="B152" s="78">
        <v>4973</v>
      </c>
      <c r="C152" s="78">
        <v>2</v>
      </c>
      <c r="D152" s="78" t="s">
        <v>359</v>
      </c>
      <c r="E152" s="78" t="s">
        <v>360</v>
      </c>
      <c r="F152" s="78">
        <v>260</v>
      </c>
      <c r="G152" s="78">
        <v>68.3</v>
      </c>
      <c r="H152" s="78">
        <v>225.81</v>
      </c>
      <c r="I152" s="78">
        <v>56.6</v>
      </c>
      <c r="J152" s="78">
        <v>187.11</v>
      </c>
      <c r="K152" s="78">
        <v>30</v>
      </c>
      <c r="T152" s="78">
        <v>5</v>
      </c>
      <c r="U152" s="78">
        <v>2</v>
      </c>
      <c r="V152" s="78" t="s">
        <v>88</v>
      </c>
      <c r="W152" s="78">
        <v>225</v>
      </c>
      <c r="X152" s="78">
        <v>15</v>
      </c>
      <c r="Y152" s="78">
        <v>14</v>
      </c>
      <c r="Z152" s="78" t="s">
        <v>361</v>
      </c>
      <c r="AA152" s="78" t="s">
        <v>362</v>
      </c>
      <c r="AB152" s="78" t="s">
        <v>84</v>
      </c>
      <c r="AC152" s="78" t="s">
        <v>85</v>
      </c>
      <c r="AD152" s="78" t="s">
        <v>174</v>
      </c>
      <c r="AG152" s="78" t="s">
        <v>363</v>
      </c>
      <c r="AH152" s="78">
        <v>0</v>
      </c>
      <c r="AI152" s="78">
        <v>251</v>
      </c>
      <c r="AJ152" s="78">
        <v>20</v>
      </c>
      <c r="AK152" s="78">
        <v>260</v>
      </c>
      <c r="AL152" s="78">
        <v>1</v>
      </c>
    </row>
    <row r="153" spans="1:38" x14ac:dyDescent="0.3">
      <c r="A153" s="78" t="s">
        <v>168</v>
      </c>
      <c r="B153" s="78">
        <v>126610</v>
      </c>
      <c r="C153" s="78">
        <v>1</v>
      </c>
      <c r="D153" s="78" t="s">
        <v>364</v>
      </c>
      <c r="E153" s="78" t="s">
        <v>365</v>
      </c>
      <c r="F153" s="78">
        <v>32</v>
      </c>
      <c r="G153" s="78">
        <v>22.88</v>
      </c>
      <c r="H153" s="78">
        <v>75.64</v>
      </c>
      <c r="I153" s="78">
        <v>17.53</v>
      </c>
      <c r="J153" s="78">
        <v>57.96</v>
      </c>
      <c r="K153" s="78">
        <v>32</v>
      </c>
      <c r="T153" s="78">
        <v>3</v>
      </c>
      <c r="U153" s="78">
        <v>1</v>
      </c>
      <c r="V153" s="78" t="s">
        <v>88</v>
      </c>
      <c r="W153" s="78">
        <v>75</v>
      </c>
      <c r="X153" s="78">
        <v>4</v>
      </c>
      <c r="Y153" s="78">
        <v>4</v>
      </c>
      <c r="Z153" s="78" t="s">
        <v>366</v>
      </c>
      <c r="AA153" s="78" t="s">
        <v>367</v>
      </c>
      <c r="AB153" s="78" t="s">
        <v>84</v>
      </c>
      <c r="AC153" s="78" t="s">
        <v>85</v>
      </c>
      <c r="AD153" s="78" t="s">
        <v>174</v>
      </c>
      <c r="AG153" s="78" t="s">
        <v>368</v>
      </c>
      <c r="AH153" s="78">
        <v>0</v>
      </c>
      <c r="AI153" s="78">
        <v>0</v>
      </c>
      <c r="AJ153" s="78">
        <v>0</v>
      </c>
      <c r="AK153" s="78">
        <v>0</v>
      </c>
      <c r="AL153" s="78">
        <v>0</v>
      </c>
    </row>
    <row r="154" spans="1:38" x14ac:dyDescent="0.3">
      <c r="A154" s="78" t="s">
        <v>168</v>
      </c>
      <c r="B154" s="78">
        <v>4977</v>
      </c>
      <c r="C154" s="78">
        <v>1</v>
      </c>
      <c r="D154" s="78" t="s">
        <v>369</v>
      </c>
      <c r="E154" s="78" t="s">
        <v>370</v>
      </c>
      <c r="F154" s="78">
        <v>420</v>
      </c>
      <c r="G154" s="78">
        <v>27.79</v>
      </c>
      <c r="H154" s="78">
        <v>91.87</v>
      </c>
      <c r="I154" s="78">
        <v>22.39</v>
      </c>
      <c r="J154" s="78">
        <v>74.02</v>
      </c>
      <c r="K154" s="78">
        <v>104</v>
      </c>
      <c r="T154" s="78">
        <v>3</v>
      </c>
      <c r="U154" s="78">
        <v>1</v>
      </c>
      <c r="V154" s="78" t="s">
        <v>88</v>
      </c>
      <c r="W154" s="78">
        <v>91</v>
      </c>
      <c r="X154" s="78">
        <v>14</v>
      </c>
      <c r="Y154" s="78">
        <v>13</v>
      </c>
      <c r="Z154" s="78" t="s">
        <v>371</v>
      </c>
      <c r="AA154" s="78" t="s">
        <v>299</v>
      </c>
      <c r="AB154" s="78" t="s">
        <v>84</v>
      </c>
      <c r="AC154" s="78" t="s">
        <v>85</v>
      </c>
      <c r="AD154" s="78" t="s">
        <v>174</v>
      </c>
      <c r="AG154" s="78" t="s">
        <v>300</v>
      </c>
      <c r="AH154" s="78">
        <v>0</v>
      </c>
      <c r="AI154" s="78">
        <v>0</v>
      </c>
      <c r="AJ154" s="78">
        <v>0</v>
      </c>
      <c r="AK154" s="78">
        <v>0</v>
      </c>
      <c r="AL154" s="78">
        <v>0</v>
      </c>
    </row>
    <row r="155" spans="1:38" x14ac:dyDescent="0.3">
      <c r="A155" s="78" t="s">
        <v>168</v>
      </c>
      <c r="B155" s="78">
        <v>4977</v>
      </c>
      <c r="C155" s="78">
        <v>2</v>
      </c>
      <c r="D155" s="78" t="s">
        <v>369</v>
      </c>
      <c r="E155" s="78" t="s">
        <v>370</v>
      </c>
      <c r="F155" s="78">
        <v>420</v>
      </c>
      <c r="G155" s="78">
        <v>32.020000000000003</v>
      </c>
      <c r="H155" s="78">
        <v>105.86</v>
      </c>
      <c r="I155" s="78">
        <v>25.66</v>
      </c>
      <c r="J155" s="78">
        <v>84.84</v>
      </c>
      <c r="K155" s="78">
        <v>182</v>
      </c>
      <c r="T155" s="78">
        <v>3</v>
      </c>
      <c r="U155" s="78">
        <v>2</v>
      </c>
      <c r="V155" s="78" t="s">
        <v>88</v>
      </c>
      <c r="W155" s="78">
        <v>105</v>
      </c>
      <c r="X155" s="78">
        <v>14</v>
      </c>
      <c r="Y155" s="78">
        <v>13</v>
      </c>
      <c r="Z155" s="78" t="s">
        <v>371</v>
      </c>
      <c r="AA155" s="78" t="s">
        <v>299</v>
      </c>
      <c r="AB155" s="78" t="s">
        <v>84</v>
      </c>
      <c r="AC155" s="78" t="s">
        <v>85</v>
      </c>
      <c r="AD155" s="78" t="s">
        <v>174</v>
      </c>
      <c r="AG155" s="78" t="s">
        <v>300</v>
      </c>
      <c r="AH155" s="78">
        <v>0</v>
      </c>
      <c r="AI155" s="78">
        <v>0</v>
      </c>
      <c r="AJ155" s="78">
        <v>0</v>
      </c>
      <c r="AK155" s="78">
        <v>0</v>
      </c>
      <c r="AL155" s="78">
        <v>0</v>
      </c>
    </row>
    <row r="156" spans="1:38" x14ac:dyDescent="0.3">
      <c r="A156" s="78" t="s">
        <v>168</v>
      </c>
      <c r="B156" s="78">
        <v>4977</v>
      </c>
      <c r="C156" s="78">
        <v>3</v>
      </c>
      <c r="D156" s="78" t="s">
        <v>369</v>
      </c>
      <c r="E156" s="78" t="s">
        <v>370</v>
      </c>
      <c r="F156" s="78">
        <v>420</v>
      </c>
      <c r="G156" s="78">
        <v>47.01</v>
      </c>
      <c r="H156" s="78">
        <v>155.41999999999999</v>
      </c>
      <c r="I156" s="78">
        <v>39.85</v>
      </c>
      <c r="J156" s="78">
        <v>131.75</v>
      </c>
      <c r="K156" s="78">
        <v>78</v>
      </c>
      <c r="T156" s="78">
        <v>4</v>
      </c>
      <c r="U156" s="78">
        <v>2</v>
      </c>
      <c r="V156" s="78" t="s">
        <v>88</v>
      </c>
      <c r="W156" s="78">
        <v>155</v>
      </c>
      <c r="X156" s="78">
        <v>14</v>
      </c>
      <c r="Y156" s="78">
        <v>13</v>
      </c>
      <c r="Z156" s="78" t="s">
        <v>371</v>
      </c>
      <c r="AA156" s="78" t="s">
        <v>299</v>
      </c>
      <c r="AB156" s="78" t="s">
        <v>84</v>
      </c>
      <c r="AC156" s="78" t="s">
        <v>85</v>
      </c>
      <c r="AD156" s="78" t="s">
        <v>174</v>
      </c>
      <c r="AG156" s="78" t="s">
        <v>300</v>
      </c>
      <c r="AH156" s="78">
        <v>0</v>
      </c>
      <c r="AI156" s="78">
        <v>0</v>
      </c>
      <c r="AJ156" s="78">
        <v>0</v>
      </c>
      <c r="AK156" s="78">
        <v>0</v>
      </c>
      <c r="AL156" s="78">
        <v>0</v>
      </c>
    </row>
    <row r="157" spans="1:38" x14ac:dyDescent="0.3">
      <c r="A157" s="78" t="s">
        <v>168</v>
      </c>
      <c r="B157" s="78">
        <v>4977</v>
      </c>
      <c r="C157" s="78">
        <v>4</v>
      </c>
      <c r="D157" s="78" t="s">
        <v>369</v>
      </c>
      <c r="E157" s="78" t="s">
        <v>370</v>
      </c>
      <c r="F157" s="78">
        <v>420</v>
      </c>
      <c r="G157" s="78">
        <v>58.02</v>
      </c>
      <c r="H157" s="78">
        <v>191.81</v>
      </c>
      <c r="I157" s="78">
        <v>49.28</v>
      </c>
      <c r="J157" s="78">
        <v>162.91999999999999</v>
      </c>
      <c r="K157" s="78">
        <v>56</v>
      </c>
      <c r="T157" s="78">
        <v>5</v>
      </c>
      <c r="U157" s="78">
        <v>2</v>
      </c>
      <c r="V157" s="78" t="s">
        <v>88</v>
      </c>
      <c r="W157" s="78">
        <v>191</v>
      </c>
      <c r="X157" s="78">
        <v>14</v>
      </c>
      <c r="Y157" s="78">
        <v>13</v>
      </c>
      <c r="Z157" s="78" t="s">
        <v>371</v>
      </c>
      <c r="AA157" s="78" t="s">
        <v>299</v>
      </c>
      <c r="AB157" s="78" t="s">
        <v>84</v>
      </c>
      <c r="AC157" s="78" t="s">
        <v>85</v>
      </c>
      <c r="AD157" s="78" t="s">
        <v>174</v>
      </c>
      <c r="AG157" s="78" t="s">
        <v>300</v>
      </c>
      <c r="AH157" s="78">
        <v>0</v>
      </c>
      <c r="AI157" s="78">
        <v>0</v>
      </c>
      <c r="AJ157" s="78">
        <v>0</v>
      </c>
      <c r="AK157" s="78">
        <v>0</v>
      </c>
      <c r="AL157" s="78">
        <v>0</v>
      </c>
    </row>
    <row r="158" spans="1:38" x14ac:dyDescent="0.3">
      <c r="A158" s="78" t="s">
        <v>168</v>
      </c>
      <c r="B158" s="78">
        <v>144827</v>
      </c>
      <c r="C158" s="78">
        <v>1</v>
      </c>
      <c r="D158" s="78" t="s">
        <v>372</v>
      </c>
      <c r="E158" s="78" t="s">
        <v>373</v>
      </c>
      <c r="F158" s="78">
        <v>88</v>
      </c>
      <c r="G158" s="78">
        <v>16.739999999999998</v>
      </c>
      <c r="H158" s="78">
        <v>55.35</v>
      </c>
      <c r="I158" s="78">
        <v>15.1</v>
      </c>
      <c r="J158" s="78">
        <v>49.95</v>
      </c>
      <c r="K158" s="78">
        <v>88</v>
      </c>
      <c r="T158" s="78">
        <v>2</v>
      </c>
      <c r="U158" s="78">
        <v>1</v>
      </c>
      <c r="V158" s="78" t="s">
        <v>88</v>
      </c>
      <c r="W158" s="78">
        <v>55</v>
      </c>
      <c r="X158" s="78">
        <v>5</v>
      </c>
      <c r="Y158" s="78">
        <v>5</v>
      </c>
      <c r="Z158" s="78" t="s">
        <v>374</v>
      </c>
      <c r="AA158" s="78" t="s">
        <v>375</v>
      </c>
      <c r="AB158" s="78" t="s">
        <v>84</v>
      </c>
      <c r="AC158" s="78" t="s">
        <v>85</v>
      </c>
      <c r="AD158" s="78" t="s">
        <v>174</v>
      </c>
      <c r="AG158" s="78" t="s">
        <v>376</v>
      </c>
      <c r="AH158" s="78">
        <v>0</v>
      </c>
      <c r="AI158" s="78">
        <v>0</v>
      </c>
      <c r="AJ158" s="78">
        <v>0</v>
      </c>
      <c r="AK158" s="78">
        <v>0</v>
      </c>
      <c r="AL158" s="78">
        <v>0</v>
      </c>
    </row>
    <row r="159" spans="1:38" x14ac:dyDescent="0.3">
      <c r="A159" s="78" t="s">
        <v>168</v>
      </c>
      <c r="B159" s="78">
        <v>13526</v>
      </c>
      <c r="C159" s="78">
        <v>1</v>
      </c>
      <c r="D159" s="78" t="s">
        <v>377</v>
      </c>
      <c r="E159" s="78" t="s">
        <v>378</v>
      </c>
      <c r="F159" s="78">
        <v>165</v>
      </c>
      <c r="G159" s="78">
        <v>20.41</v>
      </c>
      <c r="H159" s="78">
        <v>67.48</v>
      </c>
      <c r="I159" s="78">
        <v>17.47</v>
      </c>
      <c r="J159" s="78">
        <v>57.78</v>
      </c>
      <c r="K159" s="78">
        <v>160</v>
      </c>
      <c r="T159" s="78">
        <v>3</v>
      </c>
      <c r="U159" s="78">
        <v>1</v>
      </c>
      <c r="V159" s="78" t="s">
        <v>88</v>
      </c>
      <c r="W159" s="78">
        <v>67</v>
      </c>
      <c r="X159" s="78">
        <v>5</v>
      </c>
      <c r="Y159" s="78">
        <v>5</v>
      </c>
      <c r="Z159" s="78" t="s">
        <v>379</v>
      </c>
      <c r="AA159" s="78" t="s">
        <v>380</v>
      </c>
      <c r="AB159" s="78" t="s">
        <v>84</v>
      </c>
      <c r="AC159" s="78" t="s">
        <v>85</v>
      </c>
      <c r="AD159" s="78" t="s">
        <v>174</v>
      </c>
      <c r="AG159" s="78" t="s">
        <v>381</v>
      </c>
      <c r="AH159" s="78">
        <v>0</v>
      </c>
      <c r="AI159" s="78">
        <v>0</v>
      </c>
      <c r="AJ159" s="78">
        <v>0</v>
      </c>
      <c r="AK159" s="78">
        <v>0</v>
      </c>
      <c r="AL159" s="78">
        <v>0</v>
      </c>
    </row>
    <row r="160" spans="1:38" x14ac:dyDescent="0.3">
      <c r="A160" s="78" t="s">
        <v>168</v>
      </c>
      <c r="B160" s="78">
        <v>13526</v>
      </c>
      <c r="C160" s="78">
        <v>2</v>
      </c>
      <c r="D160" s="78" t="s">
        <v>377</v>
      </c>
      <c r="E160" s="78" t="s">
        <v>378</v>
      </c>
      <c r="F160" s="78">
        <v>165</v>
      </c>
      <c r="G160" s="78">
        <v>24.6</v>
      </c>
      <c r="H160" s="78">
        <v>81.349999999999994</v>
      </c>
      <c r="I160" s="78">
        <v>19.62</v>
      </c>
      <c r="J160" s="78">
        <v>64.89</v>
      </c>
      <c r="K160" s="78">
        <v>5</v>
      </c>
      <c r="T160" s="78">
        <v>3</v>
      </c>
      <c r="U160" s="78">
        <v>1</v>
      </c>
      <c r="V160" s="78" t="s">
        <v>88</v>
      </c>
      <c r="W160" s="78">
        <v>81</v>
      </c>
      <c r="X160" s="78">
        <v>5</v>
      </c>
      <c r="Y160" s="78">
        <v>5</v>
      </c>
      <c r="Z160" s="78" t="s">
        <v>379</v>
      </c>
      <c r="AA160" s="78" t="s">
        <v>380</v>
      </c>
      <c r="AB160" s="78" t="s">
        <v>84</v>
      </c>
      <c r="AC160" s="78" t="s">
        <v>85</v>
      </c>
      <c r="AD160" s="78" t="s">
        <v>174</v>
      </c>
      <c r="AG160" s="78" t="s">
        <v>381</v>
      </c>
      <c r="AH160" s="78">
        <v>0</v>
      </c>
      <c r="AI160" s="78">
        <v>0</v>
      </c>
      <c r="AJ160" s="78">
        <v>0</v>
      </c>
      <c r="AK160" s="78">
        <v>0</v>
      </c>
      <c r="AL160" s="78">
        <v>0</v>
      </c>
    </row>
    <row r="161" spans="1:38" x14ac:dyDescent="0.3">
      <c r="A161" s="78" t="s">
        <v>168</v>
      </c>
      <c r="B161" s="78">
        <v>14963</v>
      </c>
      <c r="C161" s="78">
        <v>1</v>
      </c>
      <c r="D161" s="78" t="s">
        <v>382</v>
      </c>
      <c r="E161" s="78" t="s">
        <v>383</v>
      </c>
      <c r="F161" s="78">
        <v>840</v>
      </c>
      <c r="G161" s="78">
        <v>23.02</v>
      </c>
      <c r="H161" s="78">
        <v>76.11</v>
      </c>
      <c r="I161" s="78">
        <v>18.059999999999999</v>
      </c>
      <c r="J161" s="78">
        <v>59.73</v>
      </c>
      <c r="K161" s="78">
        <v>477</v>
      </c>
      <c r="T161" s="78">
        <v>3</v>
      </c>
      <c r="U161" s="78">
        <v>1</v>
      </c>
      <c r="V161" s="78" t="s">
        <v>88</v>
      </c>
      <c r="W161" s="78" t="s">
        <v>384</v>
      </c>
      <c r="X161" s="78">
        <v>15</v>
      </c>
      <c r="Y161" s="78">
        <v>15</v>
      </c>
      <c r="Z161" s="78" t="s">
        <v>385</v>
      </c>
      <c r="AA161" s="78" t="s">
        <v>386</v>
      </c>
      <c r="AB161" s="78" t="s">
        <v>84</v>
      </c>
      <c r="AC161" s="78" t="s">
        <v>85</v>
      </c>
      <c r="AD161" s="78" t="s">
        <v>174</v>
      </c>
      <c r="AG161" s="78" t="s">
        <v>387</v>
      </c>
      <c r="AH161" s="78">
        <v>3</v>
      </c>
      <c r="AI161" s="78">
        <v>0</v>
      </c>
      <c r="AJ161" s="78">
        <v>0</v>
      </c>
      <c r="AK161" s="78">
        <v>811</v>
      </c>
      <c r="AL161" s="78">
        <v>0.97</v>
      </c>
    </row>
    <row r="162" spans="1:38" x14ac:dyDescent="0.3">
      <c r="A162" s="78" t="s">
        <v>168</v>
      </c>
      <c r="B162" s="78">
        <v>14963</v>
      </c>
      <c r="C162" s="78">
        <v>2</v>
      </c>
      <c r="D162" s="78" t="s">
        <v>382</v>
      </c>
      <c r="E162" s="78" t="s">
        <v>383</v>
      </c>
      <c r="F162" s="78">
        <v>840</v>
      </c>
      <c r="G162" s="78">
        <v>23.24</v>
      </c>
      <c r="H162" s="78">
        <v>76.849999999999994</v>
      </c>
      <c r="I162" s="78">
        <v>18.13</v>
      </c>
      <c r="J162" s="78">
        <v>59.95</v>
      </c>
      <c r="K162" s="78">
        <v>360</v>
      </c>
      <c r="T162" s="78">
        <v>3</v>
      </c>
      <c r="U162" s="78">
        <v>1</v>
      </c>
      <c r="V162" s="78" t="s">
        <v>88</v>
      </c>
      <c r="W162" s="78" t="s">
        <v>388</v>
      </c>
      <c r="X162" s="78">
        <v>15</v>
      </c>
      <c r="Y162" s="78">
        <v>15</v>
      </c>
      <c r="Z162" s="78" t="s">
        <v>385</v>
      </c>
      <c r="AA162" s="78" t="s">
        <v>386</v>
      </c>
      <c r="AB162" s="78" t="s">
        <v>84</v>
      </c>
      <c r="AC162" s="78" t="s">
        <v>85</v>
      </c>
      <c r="AD162" s="78" t="s">
        <v>174</v>
      </c>
      <c r="AG162" s="78" t="s">
        <v>387</v>
      </c>
      <c r="AH162" s="78">
        <v>3</v>
      </c>
      <c r="AI162" s="78">
        <v>0</v>
      </c>
      <c r="AJ162" s="78">
        <v>0</v>
      </c>
      <c r="AK162" s="78">
        <v>811</v>
      </c>
      <c r="AL162" s="78">
        <v>0.97</v>
      </c>
    </row>
    <row r="163" spans="1:38" x14ac:dyDescent="0.3">
      <c r="A163" s="78" t="s">
        <v>168</v>
      </c>
      <c r="B163" s="78">
        <v>140966</v>
      </c>
      <c r="C163" s="78">
        <v>1</v>
      </c>
      <c r="D163" s="78" t="s">
        <v>389</v>
      </c>
      <c r="E163" s="78" t="s">
        <v>390</v>
      </c>
      <c r="F163" s="78">
        <v>100</v>
      </c>
      <c r="G163" s="78">
        <v>19.62</v>
      </c>
      <c r="H163" s="78">
        <v>64.89</v>
      </c>
      <c r="I163" s="78">
        <v>17.989999999999998</v>
      </c>
      <c r="J163" s="78">
        <v>59.49</v>
      </c>
      <c r="K163" s="78">
        <v>30</v>
      </c>
      <c r="T163" s="78">
        <v>3</v>
      </c>
      <c r="U163" s="78">
        <v>1</v>
      </c>
      <c r="V163" s="78" t="s">
        <v>88</v>
      </c>
      <c r="W163" s="78" t="s">
        <v>391</v>
      </c>
      <c r="X163" s="78">
        <v>5</v>
      </c>
      <c r="Y163" s="78">
        <v>5</v>
      </c>
      <c r="Z163" s="78" t="s">
        <v>392</v>
      </c>
      <c r="AA163" s="78" t="s">
        <v>393</v>
      </c>
      <c r="AB163" s="78" t="s">
        <v>84</v>
      </c>
      <c r="AC163" s="78" t="s">
        <v>85</v>
      </c>
      <c r="AD163" s="78" t="s">
        <v>174</v>
      </c>
      <c r="AG163" s="78" t="s">
        <v>394</v>
      </c>
      <c r="AH163" s="78">
        <v>0</v>
      </c>
      <c r="AI163" s="78">
        <v>121</v>
      </c>
      <c r="AJ163" s="78">
        <v>26</v>
      </c>
      <c r="AK163" s="78">
        <v>18</v>
      </c>
      <c r="AL163" s="78">
        <v>0.18</v>
      </c>
    </row>
    <row r="164" spans="1:38" x14ac:dyDescent="0.3">
      <c r="A164" s="78" t="s">
        <v>168</v>
      </c>
      <c r="B164" s="78">
        <v>140966</v>
      </c>
      <c r="C164" s="78">
        <v>2</v>
      </c>
      <c r="D164" s="78" t="s">
        <v>389</v>
      </c>
      <c r="E164" s="78" t="s">
        <v>390</v>
      </c>
      <c r="F164" s="78">
        <v>100</v>
      </c>
      <c r="G164" s="78">
        <v>19.72</v>
      </c>
      <c r="H164" s="78">
        <v>65.22</v>
      </c>
      <c r="I164" s="78">
        <v>18.09</v>
      </c>
      <c r="J164" s="78">
        <v>59.82</v>
      </c>
      <c r="K164" s="78">
        <v>5</v>
      </c>
      <c r="T164" s="78">
        <v>3</v>
      </c>
      <c r="U164" s="78">
        <v>1</v>
      </c>
      <c r="V164" s="78" t="s">
        <v>88</v>
      </c>
      <c r="W164" s="78" t="s">
        <v>228</v>
      </c>
      <c r="X164" s="78">
        <v>5</v>
      </c>
      <c r="Y164" s="78">
        <v>5</v>
      </c>
      <c r="Z164" s="78" t="s">
        <v>392</v>
      </c>
      <c r="AA164" s="78" t="s">
        <v>393</v>
      </c>
      <c r="AB164" s="78" t="s">
        <v>84</v>
      </c>
      <c r="AC164" s="78" t="s">
        <v>85</v>
      </c>
      <c r="AD164" s="78" t="s">
        <v>174</v>
      </c>
      <c r="AG164" s="78" t="s">
        <v>394</v>
      </c>
      <c r="AH164" s="78">
        <v>0</v>
      </c>
      <c r="AI164" s="78">
        <v>121</v>
      </c>
      <c r="AJ164" s="78">
        <v>26</v>
      </c>
      <c r="AK164" s="78">
        <v>18</v>
      </c>
      <c r="AL164" s="78">
        <v>0.18</v>
      </c>
    </row>
    <row r="165" spans="1:38" x14ac:dyDescent="0.3">
      <c r="A165" s="78" t="s">
        <v>168</v>
      </c>
      <c r="B165" s="78">
        <v>140966</v>
      </c>
      <c r="C165" s="78">
        <v>3</v>
      </c>
      <c r="D165" s="78" t="s">
        <v>389</v>
      </c>
      <c r="E165" s="78" t="s">
        <v>390</v>
      </c>
      <c r="F165" s="78">
        <v>100</v>
      </c>
      <c r="G165" s="78">
        <v>20.52</v>
      </c>
      <c r="H165" s="78">
        <v>67.86</v>
      </c>
      <c r="I165" s="78">
        <v>18.89</v>
      </c>
      <c r="J165" s="78">
        <v>62.46</v>
      </c>
      <c r="K165" s="78">
        <v>65</v>
      </c>
      <c r="T165" s="78">
        <v>3</v>
      </c>
      <c r="U165" s="78">
        <v>1</v>
      </c>
      <c r="V165" s="78" t="s">
        <v>88</v>
      </c>
      <c r="W165" s="78">
        <v>67</v>
      </c>
      <c r="X165" s="78">
        <v>5</v>
      </c>
      <c r="Y165" s="78">
        <v>5</v>
      </c>
      <c r="Z165" s="78" t="s">
        <v>392</v>
      </c>
      <c r="AA165" s="78" t="s">
        <v>393</v>
      </c>
      <c r="AB165" s="78" t="s">
        <v>84</v>
      </c>
      <c r="AC165" s="78" t="s">
        <v>85</v>
      </c>
      <c r="AD165" s="78" t="s">
        <v>174</v>
      </c>
      <c r="AG165" s="78" t="s">
        <v>394</v>
      </c>
      <c r="AH165" s="78">
        <v>0</v>
      </c>
      <c r="AI165" s="78">
        <v>121</v>
      </c>
      <c r="AJ165" s="78">
        <v>26</v>
      </c>
      <c r="AK165" s="78">
        <v>18</v>
      </c>
      <c r="AL165" s="78">
        <v>0.18</v>
      </c>
    </row>
    <row r="166" spans="1:38" x14ac:dyDescent="0.3">
      <c r="A166" s="78" t="s">
        <v>168</v>
      </c>
      <c r="B166" s="78">
        <v>5022</v>
      </c>
      <c r="C166" s="78">
        <v>1</v>
      </c>
      <c r="D166" s="78" t="s">
        <v>395</v>
      </c>
      <c r="E166" s="78" t="s">
        <v>80</v>
      </c>
      <c r="F166" s="78">
        <v>479</v>
      </c>
      <c r="G166" s="78">
        <v>21.15</v>
      </c>
      <c r="H166" s="78">
        <v>69.95</v>
      </c>
      <c r="I166" s="78">
        <v>17.059999999999999</v>
      </c>
      <c r="J166" s="78">
        <v>56.41</v>
      </c>
      <c r="K166" s="78">
        <v>20</v>
      </c>
      <c r="T166" s="78">
        <v>2</v>
      </c>
      <c r="U166" s="78">
        <v>1</v>
      </c>
      <c r="V166" s="78" t="s">
        <v>81</v>
      </c>
      <c r="W166" s="78">
        <v>69</v>
      </c>
      <c r="X166" s="78">
        <v>20</v>
      </c>
      <c r="Y166" s="78">
        <v>20</v>
      </c>
      <c r="Z166" s="78" t="s">
        <v>396</v>
      </c>
      <c r="AA166" s="78" t="s">
        <v>397</v>
      </c>
      <c r="AB166" s="78" t="s">
        <v>84</v>
      </c>
      <c r="AC166" s="78" t="s">
        <v>85</v>
      </c>
      <c r="AD166" s="78" t="s">
        <v>174</v>
      </c>
      <c r="AG166" s="78" t="s">
        <v>398</v>
      </c>
      <c r="AH166" s="78">
        <v>0</v>
      </c>
      <c r="AI166" s="78">
        <v>300</v>
      </c>
      <c r="AJ166" s="78">
        <v>21</v>
      </c>
      <c r="AK166" s="78">
        <v>435</v>
      </c>
      <c r="AL166" s="78">
        <v>0.91</v>
      </c>
    </row>
    <row r="167" spans="1:38" x14ac:dyDescent="0.3">
      <c r="A167" s="78" t="s">
        <v>168</v>
      </c>
      <c r="B167" s="78">
        <v>5022</v>
      </c>
      <c r="C167" s="78">
        <v>2</v>
      </c>
      <c r="D167" s="78" t="s">
        <v>395</v>
      </c>
      <c r="E167" s="78" t="s">
        <v>80</v>
      </c>
      <c r="F167" s="78">
        <v>479</v>
      </c>
      <c r="G167" s="78">
        <v>22.48</v>
      </c>
      <c r="H167" s="78">
        <v>74.33</v>
      </c>
      <c r="I167" s="78">
        <v>18.13</v>
      </c>
      <c r="J167" s="78">
        <v>59.95</v>
      </c>
      <c r="K167" s="78">
        <v>180</v>
      </c>
      <c r="T167" s="78">
        <v>3</v>
      </c>
      <c r="U167" s="78">
        <v>1</v>
      </c>
      <c r="V167" s="78" t="s">
        <v>81</v>
      </c>
      <c r="W167" s="78">
        <v>74</v>
      </c>
      <c r="X167" s="78">
        <v>20</v>
      </c>
      <c r="Y167" s="78">
        <v>20</v>
      </c>
      <c r="Z167" s="78" t="s">
        <v>396</v>
      </c>
      <c r="AA167" s="78" t="s">
        <v>397</v>
      </c>
      <c r="AB167" s="78" t="s">
        <v>84</v>
      </c>
      <c r="AC167" s="78" t="s">
        <v>85</v>
      </c>
      <c r="AD167" s="78" t="s">
        <v>174</v>
      </c>
      <c r="AG167" s="78" t="s">
        <v>398</v>
      </c>
      <c r="AH167" s="78">
        <v>0</v>
      </c>
      <c r="AI167" s="78">
        <v>300</v>
      </c>
      <c r="AJ167" s="78">
        <v>21</v>
      </c>
      <c r="AK167" s="78">
        <v>435</v>
      </c>
      <c r="AL167" s="78">
        <v>0.91</v>
      </c>
    </row>
    <row r="168" spans="1:38" x14ac:dyDescent="0.3">
      <c r="A168" s="78" t="s">
        <v>168</v>
      </c>
      <c r="B168" s="78">
        <v>5022</v>
      </c>
      <c r="C168" s="78">
        <v>3</v>
      </c>
      <c r="D168" s="78" t="s">
        <v>395</v>
      </c>
      <c r="E168" s="78" t="s">
        <v>80</v>
      </c>
      <c r="F168" s="78">
        <v>479</v>
      </c>
      <c r="G168" s="78">
        <v>31.86</v>
      </c>
      <c r="H168" s="78">
        <v>105.33</v>
      </c>
      <c r="I168" s="78">
        <v>25.7</v>
      </c>
      <c r="J168" s="78">
        <v>84.96</v>
      </c>
      <c r="K168" s="78">
        <v>199</v>
      </c>
      <c r="T168" s="78">
        <v>3</v>
      </c>
      <c r="U168" s="78">
        <v>2</v>
      </c>
      <c r="V168" s="78" t="s">
        <v>88</v>
      </c>
      <c r="W168" s="78">
        <v>105</v>
      </c>
      <c r="X168" s="78">
        <v>20</v>
      </c>
      <c r="Y168" s="78">
        <v>20</v>
      </c>
      <c r="Z168" s="78" t="s">
        <v>396</v>
      </c>
      <c r="AA168" s="78" t="s">
        <v>397</v>
      </c>
      <c r="AB168" s="78" t="s">
        <v>84</v>
      </c>
      <c r="AC168" s="78" t="s">
        <v>85</v>
      </c>
      <c r="AD168" s="78" t="s">
        <v>174</v>
      </c>
      <c r="AG168" s="78" t="s">
        <v>398</v>
      </c>
      <c r="AH168" s="78">
        <v>0</v>
      </c>
      <c r="AI168" s="78">
        <v>300</v>
      </c>
      <c r="AJ168" s="78">
        <v>21</v>
      </c>
      <c r="AK168" s="78">
        <v>435</v>
      </c>
      <c r="AL168" s="78">
        <v>0.91</v>
      </c>
    </row>
    <row r="169" spans="1:38" x14ac:dyDescent="0.3">
      <c r="A169" s="78" t="s">
        <v>168</v>
      </c>
      <c r="B169" s="78">
        <v>5022</v>
      </c>
      <c r="C169" s="78">
        <v>4</v>
      </c>
      <c r="D169" s="78" t="s">
        <v>395</v>
      </c>
      <c r="E169" s="78" t="s">
        <v>80</v>
      </c>
      <c r="F169" s="78">
        <v>479</v>
      </c>
      <c r="G169" s="78">
        <v>50.55</v>
      </c>
      <c r="H169" s="78">
        <v>167.12</v>
      </c>
      <c r="I169" s="78">
        <v>40.770000000000003</v>
      </c>
      <c r="J169" s="78">
        <v>134.79</v>
      </c>
      <c r="K169" s="78">
        <v>80</v>
      </c>
      <c r="T169" s="78">
        <v>4</v>
      </c>
      <c r="U169" s="78">
        <v>2</v>
      </c>
      <c r="V169" s="78" t="s">
        <v>88</v>
      </c>
      <c r="W169" s="78">
        <v>167</v>
      </c>
      <c r="X169" s="78">
        <v>20</v>
      </c>
      <c r="Y169" s="78">
        <v>20</v>
      </c>
      <c r="Z169" s="78" t="s">
        <v>396</v>
      </c>
      <c r="AA169" s="78" t="s">
        <v>397</v>
      </c>
      <c r="AB169" s="78" t="s">
        <v>84</v>
      </c>
      <c r="AC169" s="78" t="s">
        <v>85</v>
      </c>
      <c r="AD169" s="78" t="s">
        <v>174</v>
      </c>
      <c r="AG169" s="78" t="s">
        <v>398</v>
      </c>
      <c r="AH169" s="78">
        <v>0</v>
      </c>
      <c r="AI169" s="78">
        <v>300</v>
      </c>
      <c r="AJ169" s="78">
        <v>21</v>
      </c>
      <c r="AK169" s="78">
        <v>435</v>
      </c>
      <c r="AL169" s="78">
        <v>0.91</v>
      </c>
    </row>
    <row r="170" spans="1:38" x14ac:dyDescent="0.3">
      <c r="A170" s="78" t="s">
        <v>168</v>
      </c>
      <c r="B170" s="78">
        <v>5030</v>
      </c>
      <c r="C170" s="78">
        <v>1</v>
      </c>
      <c r="D170" s="78" t="s">
        <v>399</v>
      </c>
      <c r="E170" s="78" t="s">
        <v>400</v>
      </c>
      <c r="F170" s="78">
        <v>498</v>
      </c>
      <c r="G170" s="78">
        <v>25.52</v>
      </c>
      <c r="H170" s="78">
        <v>84.38</v>
      </c>
      <c r="I170" s="78">
        <v>22.14</v>
      </c>
      <c r="J170" s="78">
        <v>73.2</v>
      </c>
      <c r="K170" s="78">
        <v>84</v>
      </c>
      <c r="T170" s="78">
        <v>3</v>
      </c>
      <c r="U170" s="78">
        <v>1</v>
      </c>
      <c r="V170" s="78" t="s">
        <v>88</v>
      </c>
      <c r="W170" s="78">
        <v>84</v>
      </c>
      <c r="X170" s="78">
        <v>15</v>
      </c>
      <c r="Y170" s="78">
        <v>14</v>
      </c>
      <c r="Z170" s="78" t="s">
        <v>401</v>
      </c>
      <c r="AA170" s="78" t="s">
        <v>402</v>
      </c>
      <c r="AB170" s="78" t="s">
        <v>84</v>
      </c>
      <c r="AC170" s="78" t="s">
        <v>85</v>
      </c>
      <c r="AD170" s="78" t="s">
        <v>174</v>
      </c>
      <c r="AG170" s="78" t="s">
        <v>403</v>
      </c>
      <c r="AH170" s="78">
        <v>0</v>
      </c>
      <c r="AI170" s="78">
        <v>0</v>
      </c>
      <c r="AJ170" s="78">
        <v>0</v>
      </c>
      <c r="AK170" s="78">
        <v>200</v>
      </c>
      <c r="AL170" s="78">
        <v>0.4</v>
      </c>
    </row>
    <row r="171" spans="1:38" x14ac:dyDescent="0.3">
      <c r="A171" s="78" t="s">
        <v>168</v>
      </c>
      <c r="B171" s="78">
        <v>5030</v>
      </c>
      <c r="C171" s="78">
        <v>2</v>
      </c>
      <c r="D171" s="78" t="s">
        <v>399</v>
      </c>
      <c r="E171" s="78" t="s">
        <v>400</v>
      </c>
      <c r="F171" s="78">
        <v>498</v>
      </c>
      <c r="G171" s="78">
        <v>28.97</v>
      </c>
      <c r="H171" s="78">
        <v>95.77</v>
      </c>
      <c r="I171" s="78">
        <v>25.59</v>
      </c>
      <c r="J171" s="78">
        <v>84.6</v>
      </c>
      <c r="K171" s="78">
        <v>384</v>
      </c>
      <c r="T171" s="78">
        <v>3</v>
      </c>
      <c r="U171" s="78">
        <v>2</v>
      </c>
      <c r="V171" s="78" t="s">
        <v>88</v>
      </c>
      <c r="W171" s="78" t="s">
        <v>404</v>
      </c>
      <c r="X171" s="78">
        <v>15</v>
      </c>
      <c r="Y171" s="78">
        <v>14</v>
      </c>
      <c r="Z171" s="78" t="s">
        <v>401</v>
      </c>
      <c r="AA171" s="78" t="s">
        <v>402</v>
      </c>
      <c r="AB171" s="78" t="s">
        <v>84</v>
      </c>
      <c r="AC171" s="78" t="s">
        <v>85</v>
      </c>
      <c r="AD171" s="78" t="s">
        <v>174</v>
      </c>
      <c r="AG171" s="78" t="s">
        <v>403</v>
      </c>
      <c r="AH171" s="78">
        <v>0</v>
      </c>
      <c r="AI171" s="78">
        <v>0</v>
      </c>
      <c r="AJ171" s="78">
        <v>0</v>
      </c>
      <c r="AK171" s="78">
        <v>200</v>
      </c>
      <c r="AL171" s="78">
        <v>0.4</v>
      </c>
    </row>
    <row r="172" spans="1:38" x14ac:dyDescent="0.3">
      <c r="A172" s="78" t="s">
        <v>168</v>
      </c>
      <c r="B172" s="78">
        <v>5030</v>
      </c>
      <c r="C172" s="78">
        <v>3</v>
      </c>
      <c r="D172" s="78" t="s">
        <v>399</v>
      </c>
      <c r="E172" s="78" t="s">
        <v>400</v>
      </c>
      <c r="F172" s="78">
        <v>498</v>
      </c>
      <c r="G172" s="78">
        <v>28.95</v>
      </c>
      <c r="H172" s="78">
        <v>95.71</v>
      </c>
      <c r="I172" s="78">
        <v>25.57</v>
      </c>
      <c r="J172" s="78">
        <v>84.54</v>
      </c>
      <c r="K172" s="78">
        <v>30</v>
      </c>
      <c r="T172" s="78">
        <v>3</v>
      </c>
      <c r="U172" s="78">
        <v>2</v>
      </c>
      <c r="V172" s="78" t="s">
        <v>88</v>
      </c>
      <c r="W172" s="78" t="s">
        <v>405</v>
      </c>
      <c r="X172" s="78">
        <v>15</v>
      </c>
      <c r="Y172" s="78">
        <v>14</v>
      </c>
      <c r="Z172" s="78" t="s">
        <v>401</v>
      </c>
      <c r="AA172" s="78" t="s">
        <v>402</v>
      </c>
      <c r="AB172" s="78" t="s">
        <v>84</v>
      </c>
      <c r="AC172" s="78" t="s">
        <v>85</v>
      </c>
      <c r="AD172" s="78" t="s">
        <v>174</v>
      </c>
      <c r="AG172" s="78" t="s">
        <v>403</v>
      </c>
      <c r="AH172" s="78">
        <v>0</v>
      </c>
      <c r="AI172" s="78">
        <v>0</v>
      </c>
      <c r="AJ172" s="78">
        <v>0</v>
      </c>
      <c r="AK172" s="78">
        <v>200</v>
      </c>
      <c r="AL172" s="78">
        <v>0.4</v>
      </c>
    </row>
    <row r="173" spans="1:38" x14ac:dyDescent="0.3">
      <c r="A173" s="78" t="s">
        <v>168</v>
      </c>
      <c r="B173" s="78">
        <v>4964</v>
      </c>
      <c r="C173" s="78">
        <v>1</v>
      </c>
      <c r="D173" s="78" t="s">
        <v>406</v>
      </c>
      <c r="E173" s="78" t="s">
        <v>407</v>
      </c>
      <c r="F173" s="78">
        <v>246</v>
      </c>
      <c r="G173" s="78">
        <v>22.5</v>
      </c>
      <c r="H173" s="78">
        <v>74.400000000000006</v>
      </c>
      <c r="I173" s="78">
        <v>17.86</v>
      </c>
      <c r="J173" s="78">
        <v>59.06</v>
      </c>
      <c r="K173" s="78">
        <v>168</v>
      </c>
      <c r="T173" s="78">
        <v>3</v>
      </c>
      <c r="U173" s="78">
        <v>1</v>
      </c>
      <c r="V173" s="78" t="s">
        <v>88</v>
      </c>
      <c r="W173" s="78">
        <v>74</v>
      </c>
      <c r="X173" s="78">
        <v>12</v>
      </c>
      <c r="Y173" s="78">
        <v>5</v>
      </c>
      <c r="Z173" s="78" t="s">
        <v>408</v>
      </c>
      <c r="AA173" s="78" t="s">
        <v>409</v>
      </c>
      <c r="AB173" s="78" t="s">
        <v>84</v>
      </c>
      <c r="AC173" s="78" t="s">
        <v>85</v>
      </c>
      <c r="AD173" s="78" t="s">
        <v>174</v>
      </c>
      <c r="AG173" s="78" t="s">
        <v>410</v>
      </c>
      <c r="AH173" s="78">
        <v>0</v>
      </c>
      <c r="AI173" s="78">
        <v>0</v>
      </c>
      <c r="AJ173" s="78">
        <v>0</v>
      </c>
      <c r="AK173" s="78">
        <v>120</v>
      </c>
      <c r="AL173" s="78">
        <v>0.49</v>
      </c>
    </row>
    <row r="174" spans="1:38" x14ac:dyDescent="0.3">
      <c r="A174" s="78" t="s">
        <v>168</v>
      </c>
      <c r="B174" s="78">
        <v>4964</v>
      </c>
      <c r="C174" s="78">
        <v>2</v>
      </c>
      <c r="D174" s="78" t="s">
        <v>406</v>
      </c>
      <c r="E174" s="78" t="s">
        <v>407</v>
      </c>
      <c r="F174" s="78">
        <v>246</v>
      </c>
      <c r="G174" s="78">
        <v>24.69</v>
      </c>
      <c r="H174" s="78">
        <v>81.62</v>
      </c>
      <c r="I174" s="78">
        <v>18.02</v>
      </c>
      <c r="J174" s="78">
        <v>59.58</v>
      </c>
      <c r="K174" s="78">
        <v>20</v>
      </c>
      <c r="T174" s="78">
        <v>3</v>
      </c>
      <c r="U174" s="78">
        <v>1</v>
      </c>
      <c r="V174" s="78" t="s">
        <v>88</v>
      </c>
      <c r="W174" s="78" t="s">
        <v>162</v>
      </c>
      <c r="X174" s="78">
        <v>12</v>
      </c>
      <c r="Y174" s="78">
        <v>5</v>
      </c>
      <c r="Z174" s="78" t="s">
        <v>408</v>
      </c>
      <c r="AA174" s="78" t="s">
        <v>409</v>
      </c>
      <c r="AB174" s="78" t="s">
        <v>84</v>
      </c>
      <c r="AC174" s="78" t="s">
        <v>85</v>
      </c>
      <c r="AD174" s="78" t="s">
        <v>174</v>
      </c>
      <c r="AG174" s="78" t="s">
        <v>410</v>
      </c>
      <c r="AH174" s="78">
        <v>0</v>
      </c>
      <c r="AI174" s="78">
        <v>0</v>
      </c>
      <c r="AJ174" s="78">
        <v>0</v>
      </c>
      <c r="AK174" s="78">
        <v>120</v>
      </c>
      <c r="AL174" s="78">
        <v>0.49</v>
      </c>
    </row>
    <row r="175" spans="1:38" x14ac:dyDescent="0.3">
      <c r="A175" s="78" t="s">
        <v>168</v>
      </c>
      <c r="B175" s="78">
        <v>4964</v>
      </c>
      <c r="C175" s="78">
        <v>3</v>
      </c>
      <c r="D175" s="78" t="s">
        <v>406</v>
      </c>
      <c r="E175" s="78" t="s">
        <v>407</v>
      </c>
      <c r="F175" s="78">
        <v>246</v>
      </c>
      <c r="G175" s="78">
        <v>24.85</v>
      </c>
      <c r="H175" s="78">
        <v>82.15</v>
      </c>
      <c r="I175" s="78">
        <v>18.13</v>
      </c>
      <c r="J175" s="78">
        <v>59.96</v>
      </c>
      <c r="K175" s="78">
        <v>10</v>
      </c>
      <c r="T175" s="78">
        <v>3</v>
      </c>
      <c r="U175" s="78">
        <v>1</v>
      </c>
      <c r="V175" s="78" t="s">
        <v>88</v>
      </c>
      <c r="W175" s="78" t="s">
        <v>411</v>
      </c>
      <c r="X175" s="78">
        <v>12</v>
      </c>
      <c r="Y175" s="78">
        <v>5</v>
      </c>
      <c r="Z175" s="78" t="s">
        <v>408</v>
      </c>
      <c r="AA175" s="78" t="s">
        <v>409</v>
      </c>
      <c r="AB175" s="78" t="s">
        <v>84</v>
      </c>
      <c r="AC175" s="78" t="s">
        <v>85</v>
      </c>
      <c r="AD175" s="78" t="s">
        <v>174</v>
      </c>
      <c r="AG175" s="78" t="s">
        <v>410</v>
      </c>
      <c r="AH175" s="78">
        <v>0</v>
      </c>
      <c r="AI175" s="78">
        <v>0</v>
      </c>
      <c r="AJ175" s="78">
        <v>0</v>
      </c>
      <c r="AK175" s="78">
        <v>120</v>
      </c>
      <c r="AL175" s="78">
        <v>0.49</v>
      </c>
    </row>
    <row r="176" spans="1:38" x14ac:dyDescent="0.3">
      <c r="A176" s="78" t="s">
        <v>168</v>
      </c>
      <c r="B176" s="78">
        <v>4964</v>
      </c>
      <c r="C176" s="78">
        <v>4</v>
      </c>
      <c r="D176" s="78" t="s">
        <v>406</v>
      </c>
      <c r="E176" s="78" t="s">
        <v>407</v>
      </c>
      <c r="F176" s="78">
        <v>246</v>
      </c>
      <c r="G176" s="78">
        <v>31.38</v>
      </c>
      <c r="H176" s="78">
        <v>103.74</v>
      </c>
      <c r="I176" s="78">
        <v>25.61</v>
      </c>
      <c r="J176" s="78">
        <v>84.67</v>
      </c>
      <c r="K176" s="78">
        <v>48</v>
      </c>
      <c r="T176" s="78">
        <v>3</v>
      </c>
      <c r="U176" s="78">
        <v>2</v>
      </c>
      <c r="V176" s="78" t="s">
        <v>88</v>
      </c>
      <c r="W176" s="78">
        <v>103</v>
      </c>
      <c r="X176" s="78">
        <v>12</v>
      </c>
      <c r="Y176" s="78">
        <v>5</v>
      </c>
      <c r="Z176" s="78" t="s">
        <v>408</v>
      </c>
      <c r="AA176" s="78" t="s">
        <v>409</v>
      </c>
      <c r="AB176" s="78" t="s">
        <v>84</v>
      </c>
      <c r="AC176" s="78" t="s">
        <v>85</v>
      </c>
      <c r="AD176" s="78" t="s">
        <v>174</v>
      </c>
      <c r="AG176" s="78" t="s">
        <v>410</v>
      </c>
      <c r="AH176" s="78">
        <v>0</v>
      </c>
      <c r="AI176" s="78">
        <v>0</v>
      </c>
      <c r="AJ176" s="78">
        <v>0</v>
      </c>
      <c r="AK176" s="78">
        <v>120</v>
      </c>
      <c r="AL176" s="78">
        <v>0.49</v>
      </c>
    </row>
    <row r="177" spans="1:38" x14ac:dyDescent="0.3">
      <c r="A177" s="78" t="s">
        <v>168</v>
      </c>
      <c r="B177" s="78">
        <v>115453</v>
      </c>
      <c r="C177" s="78">
        <v>1</v>
      </c>
      <c r="D177" s="78" t="s">
        <v>412</v>
      </c>
      <c r="E177" s="78" t="s">
        <v>413</v>
      </c>
      <c r="F177" s="78">
        <v>85</v>
      </c>
      <c r="G177" s="78">
        <v>24.8</v>
      </c>
      <c r="H177" s="78">
        <v>82</v>
      </c>
      <c r="I177" s="78">
        <v>22.88</v>
      </c>
      <c r="J177" s="78">
        <v>75.66</v>
      </c>
      <c r="K177" s="78">
        <v>40</v>
      </c>
      <c r="T177" s="78">
        <v>3</v>
      </c>
      <c r="U177" s="78">
        <v>2</v>
      </c>
      <c r="V177" s="78" t="s">
        <v>81</v>
      </c>
      <c r="W177" s="78">
        <v>82</v>
      </c>
      <c r="X177" s="78">
        <v>5</v>
      </c>
      <c r="Y177" s="78">
        <v>5</v>
      </c>
      <c r="Z177" s="78" t="s">
        <v>414</v>
      </c>
      <c r="AA177" s="78" t="s">
        <v>415</v>
      </c>
      <c r="AB177" s="78" t="s">
        <v>84</v>
      </c>
      <c r="AC177" s="78" t="s">
        <v>85</v>
      </c>
      <c r="AD177" s="78" t="s">
        <v>174</v>
      </c>
      <c r="AG177" s="78" t="s">
        <v>416</v>
      </c>
      <c r="AH177" s="78">
        <v>0</v>
      </c>
      <c r="AI177" s="78">
        <v>0</v>
      </c>
      <c r="AJ177" s="78">
        <v>0</v>
      </c>
      <c r="AK177" s="78">
        <v>0</v>
      </c>
      <c r="AL177" s="78">
        <v>0</v>
      </c>
    </row>
    <row r="178" spans="1:38" x14ac:dyDescent="0.3">
      <c r="A178" s="78" t="s">
        <v>168</v>
      </c>
      <c r="B178" s="78">
        <v>115453</v>
      </c>
      <c r="C178" s="78">
        <v>2</v>
      </c>
      <c r="D178" s="78" t="s">
        <v>412</v>
      </c>
      <c r="E178" s="78" t="s">
        <v>413</v>
      </c>
      <c r="F178" s="78">
        <v>85</v>
      </c>
      <c r="G178" s="78">
        <v>26.64</v>
      </c>
      <c r="H178" s="78">
        <v>88.09</v>
      </c>
      <c r="I178" s="78">
        <v>24.72</v>
      </c>
      <c r="J178" s="78">
        <v>81.75</v>
      </c>
      <c r="K178" s="78">
        <v>45</v>
      </c>
      <c r="T178" s="78">
        <v>3</v>
      </c>
      <c r="U178" s="78">
        <v>2</v>
      </c>
      <c r="V178" s="78" t="s">
        <v>81</v>
      </c>
      <c r="W178" s="78">
        <v>88</v>
      </c>
      <c r="X178" s="78">
        <v>5</v>
      </c>
      <c r="Y178" s="78">
        <v>5</v>
      </c>
      <c r="Z178" s="78" t="s">
        <v>414</v>
      </c>
      <c r="AA178" s="78" t="s">
        <v>415</v>
      </c>
      <c r="AB178" s="78" t="s">
        <v>84</v>
      </c>
      <c r="AC178" s="78" t="s">
        <v>85</v>
      </c>
      <c r="AD178" s="78" t="s">
        <v>174</v>
      </c>
      <c r="AG178" s="78" t="s">
        <v>416</v>
      </c>
      <c r="AH178" s="78">
        <v>0</v>
      </c>
      <c r="AI178" s="78">
        <v>0</v>
      </c>
      <c r="AJ178" s="78">
        <v>0</v>
      </c>
      <c r="AK178" s="78">
        <v>0</v>
      </c>
      <c r="AL178" s="78">
        <v>0</v>
      </c>
    </row>
    <row r="179" spans="1:38" x14ac:dyDescent="0.3">
      <c r="A179" s="78" t="s">
        <v>168</v>
      </c>
      <c r="B179" s="78">
        <v>102445</v>
      </c>
      <c r="C179" s="78">
        <v>1</v>
      </c>
      <c r="D179" s="78" t="s">
        <v>417</v>
      </c>
      <c r="E179" s="78" t="s">
        <v>418</v>
      </c>
      <c r="F179" s="78">
        <v>154</v>
      </c>
      <c r="G179" s="78">
        <v>25.17</v>
      </c>
      <c r="H179" s="78">
        <v>83.21</v>
      </c>
      <c r="I179" s="78">
        <v>17.96</v>
      </c>
      <c r="J179" s="78">
        <v>59.4</v>
      </c>
      <c r="K179" s="78">
        <v>149</v>
      </c>
      <c r="T179" s="78">
        <v>3</v>
      </c>
      <c r="U179" s="78">
        <v>1</v>
      </c>
      <c r="V179" s="78" t="s">
        <v>88</v>
      </c>
      <c r="W179" s="78">
        <v>83</v>
      </c>
      <c r="X179" s="78">
        <v>11</v>
      </c>
      <c r="Y179" s="78">
        <v>11</v>
      </c>
      <c r="Z179" s="78" t="s">
        <v>419</v>
      </c>
      <c r="AA179" s="78" t="s">
        <v>420</v>
      </c>
      <c r="AB179" s="78" t="s">
        <v>84</v>
      </c>
      <c r="AC179" s="78" t="s">
        <v>85</v>
      </c>
      <c r="AD179" s="78" t="s">
        <v>174</v>
      </c>
      <c r="AG179" s="78" t="s">
        <v>421</v>
      </c>
      <c r="AH179" s="78">
        <v>5</v>
      </c>
      <c r="AI179" s="78">
        <v>258</v>
      </c>
      <c r="AJ179" s="78">
        <v>23</v>
      </c>
      <c r="AK179" s="78">
        <v>71</v>
      </c>
      <c r="AL179" s="78">
        <v>0.46</v>
      </c>
    </row>
    <row r="180" spans="1:38" x14ac:dyDescent="0.3">
      <c r="A180" s="78" t="s">
        <v>168</v>
      </c>
      <c r="B180" s="78">
        <v>26916</v>
      </c>
      <c r="C180" s="78">
        <v>1</v>
      </c>
      <c r="D180" s="78" t="s">
        <v>422</v>
      </c>
      <c r="E180" s="78" t="s">
        <v>423</v>
      </c>
      <c r="F180" s="78">
        <v>773</v>
      </c>
      <c r="G180" s="78">
        <v>33.44</v>
      </c>
      <c r="H180" s="78">
        <v>110.55</v>
      </c>
      <c r="I180" s="78">
        <v>25.69</v>
      </c>
      <c r="J180" s="78">
        <v>84.93</v>
      </c>
      <c r="K180" s="78">
        <v>336</v>
      </c>
      <c r="T180" s="78">
        <v>3</v>
      </c>
      <c r="U180" s="78">
        <v>2</v>
      </c>
      <c r="V180" s="78" t="s">
        <v>88</v>
      </c>
      <c r="W180" s="78" t="s">
        <v>102</v>
      </c>
      <c r="X180" s="78">
        <v>20</v>
      </c>
      <c r="Y180" s="78">
        <v>20</v>
      </c>
      <c r="Z180" s="78" t="s">
        <v>424</v>
      </c>
      <c r="AA180" s="78" t="s">
        <v>425</v>
      </c>
      <c r="AB180" s="78" t="s">
        <v>84</v>
      </c>
      <c r="AC180" s="78" t="s">
        <v>85</v>
      </c>
      <c r="AD180" s="78" t="s">
        <v>174</v>
      </c>
      <c r="AG180" s="78" t="s">
        <v>426</v>
      </c>
      <c r="AH180" s="78">
        <v>0</v>
      </c>
      <c r="AI180" s="78">
        <v>219</v>
      </c>
      <c r="AJ180" s="78">
        <v>49</v>
      </c>
      <c r="AK180" s="78">
        <v>966</v>
      </c>
      <c r="AL180" s="78">
        <v>1.25</v>
      </c>
    </row>
    <row r="181" spans="1:38" x14ac:dyDescent="0.3">
      <c r="A181" s="78" t="s">
        <v>168</v>
      </c>
      <c r="B181" s="78">
        <v>26916</v>
      </c>
      <c r="C181" s="78">
        <v>2</v>
      </c>
      <c r="D181" s="78" t="s">
        <v>422</v>
      </c>
      <c r="E181" s="78" t="s">
        <v>423</v>
      </c>
      <c r="F181" s="78">
        <v>773</v>
      </c>
      <c r="G181" s="78">
        <v>33.619999999999997</v>
      </c>
      <c r="H181" s="78">
        <v>111.15</v>
      </c>
      <c r="I181" s="78">
        <v>25.69</v>
      </c>
      <c r="J181" s="78">
        <v>84.95</v>
      </c>
      <c r="K181" s="78">
        <v>324</v>
      </c>
      <c r="T181" s="78">
        <v>3</v>
      </c>
      <c r="U181" s="78">
        <v>2</v>
      </c>
      <c r="V181" s="78" t="s">
        <v>88</v>
      </c>
      <c r="W181" s="78" t="s">
        <v>427</v>
      </c>
      <c r="X181" s="78">
        <v>20</v>
      </c>
      <c r="Y181" s="78">
        <v>20</v>
      </c>
      <c r="Z181" s="78" t="s">
        <v>424</v>
      </c>
      <c r="AA181" s="78" t="s">
        <v>425</v>
      </c>
      <c r="AB181" s="78" t="s">
        <v>84</v>
      </c>
      <c r="AC181" s="78" t="s">
        <v>85</v>
      </c>
      <c r="AD181" s="78" t="s">
        <v>174</v>
      </c>
      <c r="AG181" s="78" t="s">
        <v>426</v>
      </c>
      <c r="AH181" s="78">
        <v>0</v>
      </c>
      <c r="AI181" s="78">
        <v>219</v>
      </c>
      <c r="AJ181" s="78">
        <v>49</v>
      </c>
      <c r="AK181" s="78">
        <v>966</v>
      </c>
      <c r="AL181" s="78">
        <v>1.25</v>
      </c>
    </row>
    <row r="182" spans="1:38" x14ac:dyDescent="0.3">
      <c r="A182" s="78" t="s">
        <v>168</v>
      </c>
      <c r="B182" s="78">
        <v>26916</v>
      </c>
      <c r="C182" s="78">
        <v>3</v>
      </c>
      <c r="D182" s="78" t="s">
        <v>422</v>
      </c>
      <c r="E182" s="78" t="s">
        <v>423</v>
      </c>
      <c r="F182" s="78">
        <v>773</v>
      </c>
      <c r="G182" s="78">
        <v>33.65</v>
      </c>
      <c r="H182" s="78">
        <v>111.27</v>
      </c>
      <c r="I182" s="78">
        <v>25.69</v>
      </c>
      <c r="J182" s="78">
        <v>84.95</v>
      </c>
      <c r="K182" s="78">
        <v>37</v>
      </c>
      <c r="T182" s="78">
        <v>3</v>
      </c>
      <c r="U182" s="78">
        <v>2</v>
      </c>
      <c r="V182" s="78" t="s">
        <v>88</v>
      </c>
      <c r="W182" s="78" t="s">
        <v>428</v>
      </c>
      <c r="X182" s="78">
        <v>20</v>
      </c>
      <c r="Y182" s="78">
        <v>20</v>
      </c>
      <c r="Z182" s="78" t="s">
        <v>424</v>
      </c>
      <c r="AA182" s="78" t="s">
        <v>425</v>
      </c>
      <c r="AB182" s="78" t="s">
        <v>84</v>
      </c>
      <c r="AC182" s="78" t="s">
        <v>85</v>
      </c>
      <c r="AD182" s="78" t="s">
        <v>174</v>
      </c>
      <c r="AG182" s="78" t="s">
        <v>426</v>
      </c>
      <c r="AH182" s="78">
        <v>0</v>
      </c>
      <c r="AI182" s="78">
        <v>219</v>
      </c>
      <c r="AJ182" s="78">
        <v>49</v>
      </c>
      <c r="AK182" s="78">
        <v>966</v>
      </c>
      <c r="AL182" s="78">
        <v>1.25</v>
      </c>
    </row>
    <row r="183" spans="1:38" x14ac:dyDescent="0.3">
      <c r="A183" s="78" t="s">
        <v>168</v>
      </c>
      <c r="B183" s="78">
        <v>26916</v>
      </c>
      <c r="C183" s="78">
        <v>4</v>
      </c>
      <c r="D183" s="78" t="s">
        <v>422</v>
      </c>
      <c r="E183" s="78" t="s">
        <v>423</v>
      </c>
      <c r="F183" s="78">
        <v>773</v>
      </c>
      <c r="G183" s="78">
        <v>33.99</v>
      </c>
      <c r="H183" s="78">
        <v>112.39</v>
      </c>
      <c r="I183" s="78">
        <v>25.69</v>
      </c>
      <c r="J183" s="78">
        <v>84.95</v>
      </c>
      <c r="K183" s="78">
        <v>76</v>
      </c>
      <c r="T183" s="78">
        <v>3</v>
      </c>
      <c r="U183" s="78">
        <v>2</v>
      </c>
      <c r="V183" s="78" t="s">
        <v>88</v>
      </c>
      <c r="W183" s="78" t="s">
        <v>429</v>
      </c>
      <c r="X183" s="78">
        <v>20</v>
      </c>
      <c r="Y183" s="78">
        <v>20</v>
      </c>
      <c r="Z183" s="78" t="s">
        <v>424</v>
      </c>
      <c r="AA183" s="78" t="s">
        <v>425</v>
      </c>
      <c r="AB183" s="78" t="s">
        <v>84</v>
      </c>
      <c r="AC183" s="78" t="s">
        <v>85</v>
      </c>
      <c r="AD183" s="78" t="s">
        <v>174</v>
      </c>
      <c r="AG183" s="78" t="s">
        <v>426</v>
      </c>
      <c r="AH183" s="78">
        <v>0</v>
      </c>
      <c r="AI183" s="78">
        <v>219</v>
      </c>
      <c r="AJ183" s="78">
        <v>49</v>
      </c>
      <c r="AK183" s="78">
        <v>966</v>
      </c>
      <c r="AL183" s="78">
        <v>1.25</v>
      </c>
    </row>
    <row r="184" spans="1:38" x14ac:dyDescent="0.3">
      <c r="A184" s="78" t="s">
        <v>168</v>
      </c>
      <c r="B184" s="78">
        <v>131885</v>
      </c>
      <c r="C184" s="78">
        <v>1</v>
      </c>
      <c r="D184" s="78" t="s">
        <v>430</v>
      </c>
      <c r="E184" s="78" t="s">
        <v>431</v>
      </c>
      <c r="F184" s="78">
        <v>80</v>
      </c>
      <c r="G184" s="78">
        <v>26.26</v>
      </c>
      <c r="H184" s="78">
        <v>86.81</v>
      </c>
      <c r="I184" s="78">
        <v>18.010000000000002</v>
      </c>
      <c r="J184" s="78">
        <v>59.54</v>
      </c>
      <c r="K184" s="78">
        <v>52</v>
      </c>
      <c r="T184" s="78">
        <v>3</v>
      </c>
      <c r="U184" s="78">
        <v>2</v>
      </c>
      <c r="V184" s="78" t="s">
        <v>88</v>
      </c>
      <c r="W184" s="78" t="s">
        <v>432</v>
      </c>
      <c r="X184" s="78">
        <v>9</v>
      </c>
      <c r="Y184" s="78">
        <v>9</v>
      </c>
      <c r="Z184" s="78" t="s">
        <v>433</v>
      </c>
      <c r="AA184" s="78" t="s">
        <v>434</v>
      </c>
      <c r="AB184" s="78" t="s">
        <v>84</v>
      </c>
      <c r="AC184" s="78" t="s">
        <v>85</v>
      </c>
      <c r="AD184" s="78" t="s">
        <v>174</v>
      </c>
      <c r="AG184" s="78" t="s">
        <v>435</v>
      </c>
      <c r="AH184" s="78">
        <v>0</v>
      </c>
      <c r="AI184" s="78">
        <v>295</v>
      </c>
      <c r="AJ184" s="78">
        <v>52</v>
      </c>
      <c r="AK184" s="78">
        <v>61</v>
      </c>
      <c r="AL184" s="78">
        <v>0.76</v>
      </c>
    </row>
    <row r="185" spans="1:38" x14ac:dyDescent="0.3">
      <c r="A185" s="78" t="s">
        <v>168</v>
      </c>
      <c r="B185" s="78">
        <v>131885</v>
      </c>
      <c r="C185" s="78">
        <v>2</v>
      </c>
      <c r="D185" s="78" t="s">
        <v>430</v>
      </c>
      <c r="E185" s="78" t="s">
        <v>431</v>
      </c>
      <c r="F185" s="78">
        <v>80</v>
      </c>
      <c r="G185" s="78">
        <v>26.4</v>
      </c>
      <c r="H185" s="78">
        <v>87.3</v>
      </c>
      <c r="I185" s="78">
        <v>18.11</v>
      </c>
      <c r="J185" s="78">
        <v>59.88</v>
      </c>
      <c r="K185" s="78">
        <v>26</v>
      </c>
      <c r="T185" s="78">
        <v>3</v>
      </c>
      <c r="U185" s="78">
        <v>2</v>
      </c>
      <c r="V185" s="78" t="s">
        <v>88</v>
      </c>
      <c r="W185" s="78" t="s">
        <v>436</v>
      </c>
      <c r="X185" s="78">
        <v>9</v>
      </c>
      <c r="Y185" s="78">
        <v>9</v>
      </c>
      <c r="Z185" s="78" t="s">
        <v>433</v>
      </c>
      <c r="AA185" s="78" t="s">
        <v>434</v>
      </c>
      <c r="AB185" s="78" t="s">
        <v>84</v>
      </c>
      <c r="AC185" s="78" t="s">
        <v>85</v>
      </c>
      <c r="AD185" s="78" t="s">
        <v>174</v>
      </c>
      <c r="AG185" s="78" t="s">
        <v>435</v>
      </c>
      <c r="AH185" s="78">
        <v>0</v>
      </c>
      <c r="AI185" s="78">
        <v>295</v>
      </c>
      <c r="AJ185" s="78">
        <v>52</v>
      </c>
      <c r="AK185" s="78">
        <v>61</v>
      </c>
      <c r="AL185" s="78">
        <v>0.76</v>
      </c>
    </row>
    <row r="186" spans="1:38" x14ac:dyDescent="0.3">
      <c r="A186" s="78" t="s">
        <v>168</v>
      </c>
      <c r="B186" s="78">
        <v>131885</v>
      </c>
      <c r="C186" s="78">
        <v>3</v>
      </c>
      <c r="D186" s="78" t="s">
        <v>430</v>
      </c>
      <c r="E186" s="78" t="s">
        <v>431</v>
      </c>
      <c r="F186" s="78">
        <v>80</v>
      </c>
      <c r="G186" s="78">
        <v>37.39</v>
      </c>
      <c r="H186" s="78">
        <v>123.62</v>
      </c>
      <c r="I186" s="78">
        <v>25.64</v>
      </c>
      <c r="J186" s="78">
        <v>84.79</v>
      </c>
      <c r="K186" s="78">
        <v>2</v>
      </c>
      <c r="T186" s="78">
        <v>3</v>
      </c>
      <c r="U186" s="78">
        <v>2</v>
      </c>
      <c r="V186" s="78" t="s">
        <v>88</v>
      </c>
      <c r="W186" s="78">
        <v>123</v>
      </c>
      <c r="X186" s="78">
        <v>9</v>
      </c>
      <c r="Y186" s="78">
        <v>9</v>
      </c>
      <c r="Z186" s="78" t="s">
        <v>433</v>
      </c>
      <c r="AA186" s="78" t="s">
        <v>434</v>
      </c>
      <c r="AB186" s="78" t="s">
        <v>84</v>
      </c>
      <c r="AC186" s="78" t="s">
        <v>85</v>
      </c>
      <c r="AD186" s="78" t="s">
        <v>174</v>
      </c>
      <c r="AG186" s="78" t="s">
        <v>435</v>
      </c>
      <c r="AH186" s="78">
        <v>0</v>
      </c>
      <c r="AI186" s="78">
        <v>295</v>
      </c>
      <c r="AJ186" s="78">
        <v>52</v>
      </c>
      <c r="AK186" s="78">
        <v>61</v>
      </c>
      <c r="AL186" s="78">
        <v>0.76</v>
      </c>
    </row>
    <row r="187" spans="1:38" x14ac:dyDescent="0.3">
      <c r="A187" s="78" t="s">
        <v>168</v>
      </c>
      <c r="B187" s="78">
        <v>4998</v>
      </c>
      <c r="C187" s="78">
        <v>1</v>
      </c>
      <c r="D187" s="78" t="s">
        <v>437</v>
      </c>
      <c r="E187" s="78" t="s">
        <v>80</v>
      </c>
      <c r="F187" s="78">
        <v>765</v>
      </c>
      <c r="G187" s="78">
        <v>17.100000000000001</v>
      </c>
      <c r="H187" s="78">
        <v>56.54</v>
      </c>
      <c r="I187" s="78">
        <v>11.89</v>
      </c>
      <c r="J187" s="78">
        <v>39.33</v>
      </c>
      <c r="K187" s="78">
        <v>60</v>
      </c>
      <c r="T187" s="78">
        <v>2</v>
      </c>
      <c r="U187" s="78">
        <v>1</v>
      </c>
      <c r="V187" s="78" t="s">
        <v>81</v>
      </c>
      <c r="W187" s="78">
        <v>56</v>
      </c>
      <c r="X187" s="78">
        <v>15</v>
      </c>
      <c r="Y187" s="78">
        <v>15</v>
      </c>
      <c r="Z187" s="78" t="s">
        <v>438</v>
      </c>
      <c r="AA187" s="78" t="s">
        <v>439</v>
      </c>
      <c r="AB187" s="78" t="s">
        <v>84</v>
      </c>
      <c r="AC187" s="78" t="s">
        <v>85</v>
      </c>
      <c r="AD187" s="78" t="s">
        <v>174</v>
      </c>
      <c r="AG187" s="78" t="s">
        <v>440</v>
      </c>
      <c r="AH187" s="78">
        <v>0</v>
      </c>
      <c r="AI187" s="78">
        <v>0</v>
      </c>
      <c r="AJ187" s="78">
        <v>0</v>
      </c>
      <c r="AK187" s="78">
        <v>0</v>
      </c>
      <c r="AL187" s="78">
        <v>0</v>
      </c>
    </row>
    <row r="188" spans="1:38" x14ac:dyDescent="0.3">
      <c r="A188" s="78" t="s">
        <v>168</v>
      </c>
      <c r="B188" s="78">
        <v>4998</v>
      </c>
      <c r="C188" s="78">
        <v>2</v>
      </c>
      <c r="D188" s="78" t="s">
        <v>437</v>
      </c>
      <c r="E188" s="78" t="s">
        <v>80</v>
      </c>
      <c r="F188" s="78">
        <v>765</v>
      </c>
      <c r="G188" s="78">
        <v>21.63</v>
      </c>
      <c r="H188" s="78">
        <v>71.510000000000005</v>
      </c>
      <c r="I188" s="78">
        <v>15.05</v>
      </c>
      <c r="J188" s="78">
        <v>49.77</v>
      </c>
      <c r="K188" s="78">
        <v>120</v>
      </c>
      <c r="T188" s="78">
        <v>2</v>
      </c>
      <c r="U188" s="78">
        <v>1</v>
      </c>
      <c r="V188" s="78" t="s">
        <v>81</v>
      </c>
      <c r="W188" s="78">
        <v>71</v>
      </c>
      <c r="X188" s="78">
        <v>15</v>
      </c>
      <c r="Y188" s="78">
        <v>15</v>
      </c>
      <c r="Z188" s="78" t="s">
        <v>438</v>
      </c>
      <c r="AA188" s="78" t="s">
        <v>439</v>
      </c>
      <c r="AB188" s="78" t="s">
        <v>84</v>
      </c>
      <c r="AC188" s="78" t="s">
        <v>85</v>
      </c>
      <c r="AD188" s="78" t="s">
        <v>174</v>
      </c>
      <c r="AG188" s="78" t="s">
        <v>440</v>
      </c>
      <c r="AH188" s="78">
        <v>0</v>
      </c>
      <c r="AI188" s="78">
        <v>0</v>
      </c>
      <c r="AJ188" s="78">
        <v>0</v>
      </c>
      <c r="AK188" s="78">
        <v>0</v>
      </c>
      <c r="AL188" s="78">
        <v>0</v>
      </c>
    </row>
    <row r="189" spans="1:38" x14ac:dyDescent="0.3">
      <c r="A189" s="78" t="s">
        <v>168</v>
      </c>
      <c r="B189" s="78">
        <v>4998</v>
      </c>
      <c r="C189" s="78">
        <v>3</v>
      </c>
      <c r="D189" s="78" t="s">
        <v>437</v>
      </c>
      <c r="E189" s="78" t="s">
        <v>80</v>
      </c>
      <c r="F189" s="78">
        <v>765</v>
      </c>
      <c r="G189" s="78">
        <v>22.59</v>
      </c>
      <c r="H189" s="78">
        <v>74.709999999999994</v>
      </c>
      <c r="I189" s="78">
        <v>18.13</v>
      </c>
      <c r="J189" s="78">
        <v>59.94</v>
      </c>
      <c r="K189" s="78">
        <v>300</v>
      </c>
      <c r="T189" s="78">
        <v>3</v>
      </c>
      <c r="U189" s="78">
        <v>1</v>
      </c>
      <c r="V189" s="78" t="s">
        <v>88</v>
      </c>
      <c r="W189" s="78">
        <v>74</v>
      </c>
      <c r="X189" s="78">
        <v>15</v>
      </c>
      <c r="Y189" s="78">
        <v>15</v>
      </c>
      <c r="Z189" s="78" t="s">
        <v>438</v>
      </c>
      <c r="AA189" s="78" t="s">
        <v>439</v>
      </c>
      <c r="AB189" s="78" t="s">
        <v>84</v>
      </c>
      <c r="AC189" s="78" t="s">
        <v>85</v>
      </c>
      <c r="AD189" s="78" t="s">
        <v>174</v>
      </c>
      <c r="AG189" s="78" t="s">
        <v>440</v>
      </c>
      <c r="AH189" s="78">
        <v>0</v>
      </c>
      <c r="AI189" s="78">
        <v>0</v>
      </c>
      <c r="AJ189" s="78">
        <v>0</v>
      </c>
      <c r="AK189" s="78">
        <v>0</v>
      </c>
      <c r="AL189" s="78">
        <v>0</v>
      </c>
    </row>
    <row r="190" spans="1:38" x14ac:dyDescent="0.3">
      <c r="A190" s="78" t="s">
        <v>168</v>
      </c>
      <c r="B190" s="78">
        <v>4998</v>
      </c>
      <c r="C190" s="78">
        <v>4</v>
      </c>
      <c r="D190" s="78" t="s">
        <v>437</v>
      </c>
      <c r="E190" s="78" t="s">
        <v>80</v>
      </c>
      <c r="F190" s="78">
        <v>765</v>
      </c>
      <c r="G190" s="78">
        <v>24.85</v>
      </c>
      <c r="H190" s="78">
        <v>82.16</v>
      </c>
      <c r="I190" s="78">
        <v>18.09</v>
      </c>
      <c r="J190" s="78">
        <v>59.82</v>
      </c>
      <c r="K190" s="78">
        <v>285</v>
      </c>
      <c r="T190" s="78">
        <v>3</v>
      </c>
      <c r="U190" s="78">
        <v>1</v>
      </c>
      <c r="V190" s="78" t="s">
        <v>81</v>
      </c>
      <c r="W190" s="78">
        <v>82</v>
      </c>
      <c r="X190" s="78">
        <v>15</v>
      </c>
      <c r="Y190" s="78">
        <v>15</v>
      </c>
      <c r="Z190" s="78" t="s">
        <v>438</v>
      </c>
      <c r="AA190" s="78" t="s">
        <v>439</v>
      </c>
      <c r="AB190" s="78" t="s">
        <v>84</v>
      </c>
      <c r="AC190" s="78" t="s">
        <v>85</v>
      </c>
      <c r="AD190" s="78" t="s">
        <v>174</v>
      </c>
      <c r="AG190" s="78" t="s">
        <v>440</v>
      </c>
      <c r="AH190" s="78">
        <v>0</v>
      </c>
      <c r="AI190" s="78">
        <v>0</v>
      </c>
      <c r="AJ190" s="78">
        <v>0</v>
      </c>
      <c r="AK190" s="78">
        <v>0</v>
      </c>
      <c r="AL190" s="78">
        <v>0</v>
      </c>
    </row>
    <row r="191" spans="1:38" x14ac:dyDescent="0.3">
      <c r="A191" s="78" t="s">
        <v>168</v>
      </c>
      <c r="B191" s="78">
        <v>27019</v>
      </c>
      <c r="C191" s="78">
        <v>1</v>
      </c>
      <c r="D191" s="78" t="s">
        <v>441</v>
      </c>
      <c r="E191" s="78" t="s">
        <v>360</v>
      </c>
      <c r="F191" s="78">
        <v>268</v>
      </c>
      <c r="G191" s="78">
        <v>23.64</v>
      </c>
      <c r="H191" s="78">
        <v>78.16</v>
      </c>
      <c r="I191" s="78">
        <v>18.12</v>
      </c>
      <c r="J191" s="78">
        <v>59.91</v>
      </c>
      <c r="K191" s="78">
        <v>268</v>
      </c>
      <c r="T191" s="78">
        <v>2</v>
      </c>
      <c r="U191" s="78">
        <v>1</v>
      </c>
      <c r="V191" s="78" t="s">
        <v>88</v>
      </c>
      <c r="W191" s="78">
        <v>78</v>
      </c>
      <c r="X191" s="78">
        <v>15</v>
      </c>
      <c r="Y191" s="78">
        <v>15</v>
      </c>
      <c r="Z191" s="78" t="s">
        <v>442</v>
      </c>
      <c r="AA191" s="78" t="s">
        <v>443</v>
      </c>
      <c r="AB191" s="78" t="s">
        <v>84</v>
      </c>
      <c r="AC191" s="78" t="s">
        <v>85</v>
      </c>
      <c r="AD191" s="78" t="s">
        <v>174</v>
      </c>
      <c r="AG191" s="78" t="s">
        <v>444</v>
      </c>
      <c r="AH191" s="78">
        <v>0</v>
      </c>
      <c r="AI191" s="78">
        <v>0</v>
      </c>
      <c r="AJ191" s="78">
        <v>0</v>
      </c>
      <c r="AK191" s="78">
        <v>276</v>
      </c>
      <c r="AL191" s="78">
        <v>1.03</v>
      </c>
    </row>
    <row r="192" spans="1:38" x14ac:dyDescent="0.3">
      <c r="A192" s="78" t="s">
        <v>168</v>
      </c>
      <c r="B192" s="78">
        <v>5004</v>
      </c>
      <c r="C192" s="78">
        <v>1</v>
      </c>
      <c r="D192" s="78" t="s">
        <v>445</v>
      </c>
      <c r="E192" s="78" t="s">
        <v>149</v>
      </c>
      <c r="F192" s="78">
        <v>458</v>
      </c>
      <c r="G192" s="78">
        <v>24.58</v>
      </c>
      <c r="H192" s="78">
        <v>81.28</v>
      </c>
      <c r="I192" s="78">
        <v>19.690000000000001</v>
      </c>
      <c r="J192" s="78">
        <v>65.099999999999994</v>
      </c>
      <c r="K192" s="78">
        <v>144</v>
      </c>
      <c r="T192" s="78">
        <v>3</v>
      </c>
      <c r="U192" s="78">
        <v>1</v>
      </c>
      <c r="V192" s="78" t="s">
        <v>88</v>
      </c>
      <c r="W192" s="78">
        <v>81</v>
      </c>
      <c r="X192" s="78">
        <v>15</v>
      </c>
      <c r="Y192" s="78">
        <v>8</v>
      </c>
      <c r="Z192" s="78" t="s">
        <v>446</v>
      </c>
      <c r="AA192" s="78" t="s">
        <v>447</v>
      </c>
      <c r="AB192" s="78" t="s">
        <v>84</v>
      </c>
      <c r="AC192" s="78" t="s">
        <v>85</v>
      </c>
      <c r="AD192" s="78" t="s">
        <v>174</v>
      </c>
      <c r="AG192" s="78" t="s">
        <v>448</v>
      </c>
      <c r="AH192" s="78">
        <v>0</v>
      </c>
      <c r="AI192" s="78">
        <v>0</v>
      </c>
      <c r="AJ192" s="78">
        <v>0</v>
      </c>
      <c r="AK192" s="78">
        <v>229</v>
      </c>
      <c r="AL192" s="78">
        <v>0.5</v>
      </c>
    </row>
    <row r="193" spans="1:38" x14ac:dyDescent="0.3">
      <c r="A193" s="78" t="s">
        <v>168</v>
      </c>
      <c r="B193" s="78">
        <v>5004</v>
      </c>
      <c r="C193" s="78">
        <v>2</v>
      </c>
      <c r="D193" s="78" t="s">
        <v>445</v>
      </c>
      <c r="E193" s="78" t="s">
        <v>149</v>
      </c>
      <c r="F193" s="78">
        <v>458</v>
      </c>
      <c r="G193" s="78">
        <v>29.27</v>
      </c>
      <c r="H193" s="78">
        <v>96.79</v>
      </c>
      <c r="I193" s="78">
        <v>23.62</v>
      </c>
      <c r="J193" s="78">
        <v>78.09</v>
      </c>
      <c r="K193" s="78">
        <v>69</v>
      </c>
      <c r="T193" s="78">
        <v>3</v>
      </c>
      <c r="U193" s="78">
        <v>1</v>
      </c>
      <c r="V193" s="78" t="s">
        <v>88</v>
      </c>
      <c r="W193" s="78">
        <v>96</v>
      </c>
      <c r="X193" s="78">
        <v>15</v>
      </c>
      <c r="Y193" s="78">
        <v>8</v>
      </c>
      <c r="Z193" s="78" t="s">
        <v>446</v>
      </c>
      <c r="AA193" s="78" t="s">
        <v>447</v>
      </c>
      <c r="AB193" s="78" t="s">
        <v>84</v>
      </c>
      <c r="AC193" s="78" t="s">
        <v>85</v>
      </c>
      <c r="AD193" s="78" t="s">
        <v>174</v>
      </c>
      <c r="AG193" s="78" t="s">
        <v>448</v>
      </c>
      <c r="AH193" s="78">
        <v>0</v>
      </c>
      <c r="AI193" s="78">
        <v>0</v>
      </c>
      <c r="AJ193" s="78">
        <v>0</v>
      </c>
      <c r="AK193" s="78">
        <v>229</v>
      </c>
      <c r="AL193" s="78">
        <v>0.5</v>
      </c>
    </row>
    <row r="194" spans="1:38" x14ac:dyDescent="0.3">
      <c r="A194" s="78" t="s">
        <v>168</v>
      </c>
      <c r="B194" s="78">
        <v>5004</v>
      </c>
      <c r="C194" s="78">
        <v>3</v>
      </c>
      <c r="D194" s="78" t="s">
        <v>445</v>
      </c>
      <c r="E194" s="78" t="s">
        <v>149</v>
      </c>
      <c r="F194" s="78">
        <v>458</v>
      </c>
      <c r="G194" s="78">
        <v>31.48</v>
      </c>
      <c r="H194" s="78">
        <v>104.07</v>
      </c>
      <c r="I194" s="78">
        <v>25.7</v>
      </c>
      <c r="J194" s="78">
        <v>84.96</v>
      </c>
      <c r="K194" s="78">
        <v>245</v>
      </c>
      <c r="T194" s="78">
        <v>3</v>
      </c>
      <c r="U194" s="78">
        <v>2</v>
      </c>
      <c r="V194" s="78" t="s">
        <v>88</v>
      </c>
      <c r="W194" s="78">
        <v>104</v>
      </c>
      <c r="X194" s="78">
        <v>15</v>
      </c>
      <c r="Y194" s="78">
        <v>8</v>
      </c>
      <c r="Z194" s="78" t="s">
        <v>446</v>
      </c>
      <c r="AA194" s="78" t="s">
        <v>447</v>
      </c>
      <c r="AB194" s="78" t="s">
        <v>84</v>
      </c>
      <c r="AC194" s="78" t="s">
        <v>85</v>
      </c>
      <c r="AD194" s="78" t="s">
        <v>174</v>
      </c>
      <c r="AG194" s="78" t="s">
        <v>448</v>
      </c>
      <c r="AH194" s="78">
        <v>0</v>
      </c>
      <c r="AI194" s="78">
        <v>0</v>
      </c>
      <c r="AJ194" s="78">
        <v>0</v>
      </c>
      <c r="AK194" s="78">
        <v>229</v>
      </c>
      <c r="AL194" s="78">
        <v>0.5</v>
      </c>
    </row>
    <row r="195" spans="1:38" x14ac:dyDescent="0.3">
      <c r="A195" s="78" t="s">
        <v>168</v>
      </c>
      <c r="B195" s="78">
        <v>5012</v>
      </c>
      <c r="C195" s="78">
        <v>1</v>
      </c>
      <c r="D195" s="78" t="s">
        <v>449</v>
      </c>
      <c r="E195" s="78" t="s">
        <v>450</v>
      </c>
      <c r="F195" s="78">
        <v>1541</v>
      </c>
      <c r="G195" s="78">
        <v>16.579999999999998</v>
      </c>
      <c r="H195" s="78">
        <v>54.81</v>
      </c>
      <c r="I195" s="78">
        <v>11.39</v>
      </c>
      <c r="J195" s="78">
        <v>37.67</v>
      </c>
      <c r="K195" s="78">
        <v>149</v>
      </c>
      <c r="T195" s="78">
        <v>2</v>
      </c>
      <c r="U195" s="78">
        <v>1</v>
      </c>
      <c r="V195" s="78" t="s">
        <v>81</v>
      </c>
      <c r="W195" s="78">
        <v>54</v>
      </c>
      <c r="X195" s="78">
        <v>15</v>
      </c>
      <c r="Y195" s="78">
        <v>15</v>
      </c>
      <c r="Z195" s="78" t="s">
        <v>451</v>
      </c>
      <c r="AA195" s="78" t="s">
        <v>452</v>
      </c>
      <c r="AB195" s="78" t="s">
        <v>84</v>
      </c>
      <c r="AC195" s="78" t="s">
        <v>85</v>
      </c>
      <c r="AD195" s="78" t="s">
        <v>174</v>
      </c>
      <c r="AG195" s="78" t="s">
        <v>453</v>
      </c>
      <c r="AH195" s="78">
        <v>0</v>
      </c>
      <c r="AI195" s="78">
        <v>0</v>
      </c>
      <c r="AJ195" s="78">
        <v>0</v>
      </c>
      <c r="AK195" s="78">
        <v>0</v>
      </c>
      <c r="AL195" s="78">
        <v>0</v>
      </c>
    </row>
    <row r="196" spans="1:38" x14ac:dyDescent="0.3">
      <c r="A196" s="78" t="s">
        <v>168</v>
      </c>
      <c r="B196" s="78">
        <v>5012</v>
      </c>
      <c r="C196" s="78">
        <v>2</v>
      </c>
      <c r="D196" s="78" t="s">
        <v>449</v>
      </c>
      <c r="E196" s="78" t="s">
        <v>450</v>
      </c>
      <c r="F196" s="78">
        <v>1541</v>
      </c>
      <c r="G196" s="78">
        <v>21.11</v>
      </c>
      <c r="H196" s="78">
        <v>69.8</v>
      </c>
      <c r="I196" s="78">
        <v>15.03</v>
      </c>
      <c r="J196" s="78">
        <v>49.69</v>
      </c>
      <c r="K196" s="78">
        <v>149</v>
      </c>
      <c r="T196" s="78">
        <v>2</v>
      </c>
      <c r="U196" s="78">
        <v>1</v>
      </c>
      <c r="V196" s="78" t="s">
        <v>81</v>
      </c>
      <c r="W196" s="78">
        <v>69</v>
      </c>
      <c r="X196" s="78">
        <v>15</v>
      </c>
      <c r="Y196" s="78">
        <v>15</v>
      </c>
      <c r="Z196" s="78" t="s">
        <v>451</v>
      </c>
      <c r="AA196" s="78" t="s">
        <v>452</v>
      </c>
      <c r="AB196" s="78" t="s">
        <v>84</v>
      </c>
      <c r="AC196" s="78" t="s">
        <v>85</v>
      </c>
      <c r="AD196" s="78" t="s">
        <v>174</v>
      </c>
      <c r="AG196" s="78" t="s">
        <v>453</v>
      </c>
      <c r="AH196" s="78">
        <v>0</v>
      </c>
      <c r="AI196" s="78">
        <v>0</v>
      </c>
      <c r="AJ196" s="78">
        <v>0</v>
      </c>
      <c r="AK196" s="78">
        <v>0</v>
      </c>
      <c r="AL196" s="78">
        <v>0</v>
      </c>
    </row>
    <row r="197" spans="1:38" x14ac:dyDescent="0.3">
      <c r="A197" s="78" t="s">
        <v>168</v>
      </c>
      <c r="B197" s="78">
        <v>5012</v>
      </c>
      <c r="C197" s="78">
        <v>3</v>
      </c>
      <c r="D197" s="78" t="s">
        <v>449</v>
      </c>
      <c r="E197" s="78" t="s">
        <v>450</v>
      </c>
      <c r="F197" s="78">
        <v>1541</v>
      </c>
      <c r="G197" s="78">
        <v>23.95</v>
      </c>
      <c r="H197" s="78">
        <v>79.19</v>
      </c>
      <c r="I197" s="78">
        <v>17.579999999999998</v>
      </c>
      <c r="J197" s="78">
        <v>58.14</v>
      </c>
      <c r="K197" s="78">
        <v>1243</v>
      </c>
      <c r="T197" s="78">
        <v>3</v>
      </c>
      <c r="U197" s="78">
        <v>1</v>
      </c>
      <c r="V197" s="78" t="s">
        <v>81</v>
      </c>
      <c r="W197" s="78">
        <v>79</v>
      </c>
      <c r="X197" s="78">
        <v>15</v>
      </c>
      <c r="Y197" s="78">
        <v>15</v>
      </c>
      <c r="Z197" s="78" t="s">
        <v>451</v>
      </c>
      <c r="AA197" s="78" t="s">
        <v>452</v>
      </c>
      <c r="AB197" s="78" t="s">
        <v>84</v>
      </c>
      <c r="AC197" s="78" t="s">
        <v>85</v>
      </c>
      <c r="AD197" s="78" t="s">
        <v>174</v>
      </c>
      <c r="AG197" s="78" t="s">
        <v>453</v>
      </c>
      <c r="AH197" s="78">
        <v>0</v>
      </c>
      <c r="AI197" s="78">
        <v>0</v>
      </c>
      <c r="AJ197" s="78">
        <v>0</v>
      </c>
      <c r="AK197" s="78">
        <v>0</v>
      </c>
      <c r="AL197" s="78">
        <v>0</v>
      </c>
    </row>
    <row r="198" spans="1:38" x14ac:dyDescent="0.3">
      <c r="A198" s="78" t="s">
        <v>168</v>
      </c>
      <c r="B198" s="78">
        <v>139866</v>
      </c>
      <c r="C198" s="78">
        <v>1</v>
      </c>
      <c r="D198" s="78" t="s">
        <v>454</v>
      </c>
      <c r="E198" s="78" t="s">
        <v>293</v>
      </c>
      <c r="F198" s="78">
        <v>100</v>
      </c>
      <c r="G198" s="78">
        <v>19.41</v>
      </c>
      <c r="H198" s="78">
        <v>64.17</v>
      </c>
      <c r="I198" s="78">
        <v>17.66</v>
      </c>
      <c r="J198" s="78">
        <v>58.41</v>
      </c>
      <c r="K198" s="78">
        <v>50</v>
      </c>
      <c r="T198" s="78">
        <v>3</v>
      </c>
      <c r="U198" s="78">
        <v>1</v>
      </c>
      <c r="V198" s="78" t="s">
        <v>88</v>
      </c>
      <c r="W198" s="78" t="s">
        <v>391</v>
      </c>
      <c r="X198" s="78">
        <v>5</v>
      </c>
      <c r="Y198" s="78">
        <v>5</v>
      </c>
      <c r="Z198" s="78" t="s">
        <v>455</v>
      </c>
      <c r="AA198" s="78" t="s">
        <v>456</v>
      </c>
      <c r="AB198" s="78" t="s">
        <v>84</v>
      </c>
      <c r="AC198" s="78" t="s">
        <v>85</v>
      </c>
      <c r="AD198" s="78" t="s">
        <v>174</v>
      </c>
      <c r="AG198" s="78" t="s">
        <v>457</v>
      </c>
      <c r="AH198" s="78">
        <v>0</v>
      </c>
      <c r="AI198" s="78">
        <v>0</v>
      </c>
      <c r="AJ198" s="78">
        <v>0</v>
      </c>
      <c r="AK198" s="78">
        <v>0</v>
      </c>
      <c r="AL198" s="78">
        <v>0</v>
      </c>
    </row>
    <row r="199" spans="1:38" x14ac:dyDescent="0.3">
      <c r="A199" s="78" t="s">
        <v>168</v>
      </c>
      <c r="B199" s="78">
        <v>139866</v>
      </c>
      <c r="C199" s="78">
        <v>2</v>
      </c>
      <c r="D199" s="78" t="s">
        <v>454</v>
      </c>
      <c r="E199" s="78" t="s">
        <v>293</v>
      </c>
      <c r="F199" s="78">
        <v>100</v>
      </c>
      <c r="G199" s="78">
        <v>19.57</v>
      </c>
      <c r="H199" s="78">
        <v>64.709999999999994</v>
      </c>
      <c r="I199" s="78">
        <v>17.829999999999998</v>
      </c>
      <c r="J199" s="78">
        <v>58.95</v>
      </c>
      <c r="K199" s="78">
        <v>50</v>
      </c>
      <c r="T199" s="78">
        <v>2</v>
      </c>
      <c r="U199" s="78">
        <v>1</v>
      </c>
      <c r="V199" s="78" t="s">
        <v>88</v>
      </c>
      <c r="W199" s="78" t="s">
        <v>458</v>
      </c>
      <c r="X199" s="78">
        <v>5</v>
      </c>
      <c r="Y199" s="78">
        <v>5</v>
      </c>
      <c r="Z199" s="78" t="s">
        <v>455</v>
      </c>
      <c r="AA199" s="78" t="s">
        <v>456</v>
      </c>
      <c r="AB199" s="78" t="s">
        <v>84</v>
      </c>
      <c r="AC199" s="78" t="s">
        <v>85</v>
      </c>
      <c r="AD199" s="78" t="s">
        <v>174</v>
      </c>
      <c r="AG199" s="78" t="s">
        <v>457</v>
      </c>
      <c r="AH199" s="78">
        <v>0</v>
      </c>
      <c r="AI199" s="78">
        <v>0</v>
      </c>
      <c r="AJ199" s="78">
        <v>0</v>
      </c>
      <c r="AK199" s="78">
        <v>0</v>
      </c>
      <c r="AL199" s="78">
        <v>0</v>
      </c>
    </row>
    <row r="200" spans="1:38" x14ac:dyDescent="0.3">
      <c r="A200" s="78" t="s">
        <v>168</v>
      </c>
      <c r="B200" s="78">
        <v>136405</v>
      </c>
      <c r="C200" s="78">
        <v>1</v>
      </c>
      <c r="D200" s="78" t="s">
        <v>459</v>
      </c>
      <c r="E200" s="78" t="s">
        <v>460</v>
      </c>
      <c r="F200" s="78">
        <v>18</v>
      </c>
      <c r="G200" s="78">
        <v>30.04</v>
      </c>
      <c r="H200" s="78">
        <v>99.31</v>
      </c>
      <c r="I200" s="78">
        <v>24.81</v>
      </c>
      <c r="J200" s="78">
        <v>82.02</v>
      </c>
      <c r="K200" s="78">
        <v>4</v>
      </c>
      <c r="T200" s="78">
        <v>3</v>
      </c>
      <c r="U200" s="78">
        <v>2</v>
      </c>
      <c r="V200" s="78" t="s">
        <v>88</v>
      </c>
      <c r="W200" s="78" t="s">
        <v>461</v>
      </c>
      <c r="X200" s="78">
        <v>5</v>
      </c>
      <c r="Y200" s="78">
        <v>5</v>
      </c>
      <c r="Z200" s="78" t="s">
        <v>462</v>
      </c>
      <c r="AA200" s="78" t="s">
        <v>463</v>
      </c>
      <c r="AB200" s="78" t="s">
        <v>84</v>
      </c>
      <c r="AC200" s="78" t="s">
        <v>85</v>
      </c>
      <c r="AD200" s="78" t="s">
        <v>174</v>
      </c>
      <c r="AG200" s="78" t="s">
        <v>464</v>
      </c>
      <c r="AH200" s="78">
        <v>0</v>
      </c>
      <c r="AI200" s="78">
        <v>230</v>
      </c>
      <c r="AJ200" s="78">
        <v>47</v>
      </c>
      <c r="AK200" s="78">
        <v>0</v>
      </c>
      <c r="AL200" s="78">
        <v>0</v>
      </c>
    </row>
    <row r="201" spans="1:38" x14ac:dyDescent="0.3">
      <c r="A201" s="78" t="s">
        <v>168</v>
      </c>
      <c r="B201" s="78">
        <v>136405</v>
      </c>
      <c r="C201" s="78">
        <v>2</v>
      </c>
      <c r="D201" s="78" t="s">
        <v>459</v>
      </c>
      <c r="E201" s="78" t="s">
        <v>460</v>
      </c>
      <c r="F201" s="78">
        <v>18</v>
      </c>
      <c r="G201" s="78">
        <v>30.05</v>
      </c>
      <c r="H201" s="78">
        <v>99.36</v>
      </c>
      <c r="I201" s="78">
        <v>24.82</v>
      </c>
      <c r="J201" s="78">
        <v>82.07</v>
      </c>
      <c r="K201" s="78">
        <v>4</v>
      </c>
      <c r="T201" s="78">
        <v>3</v>
      </c>
      <c r="U201" s="78">
        <v>2</v>
      </c>
      <c r="V201" s="78" t="s">
        <v>88</v>
      </c>
      <c r="W201" s="78" t="s">
        <v>465</v>
      </c>
      <c r="X201" s="78">
        <v>5</v>
      </c>
      <c r="Y201" s="78">
        <v>5</v>
      </c>
      <c r="Z201" s="78" t="s">
        <v>462</v>
      </c>
      <c r="AA201" s="78" t="s">
        <v>463</v>
      </c>
      <c r="AB201" s="78" t="s">
        <v>84</v>
      </c>
      <c r="AC201" s="78" t="s">
        <v>85</v>
      </c>
      <c r="AD201" s="78" t="s">
        <v>174</v>
      </c>
      <c r="AG201" s="78" t="s">
        <v>464</v>
      </c>
      <c r="AH201" s="78">
        <v>0</v>
      </c>
      <c r="AI201" s="78">
        <v>230</v>
      </c>
      <c r="AJ201" s="78">
        <v>47</v>
      </c>
      <c r="AK201" s="78">
        <v>0</v>
      </c>
      <c r="AL201" s="78">
        <v>0</v>
      </c>
    </row>
    <row r="202" spans="1:38" x14ac:dyDescent="0.3">
      <c r="A202" s="78" t="s">
        <v>168</v>
      </c>
      <c r="B202" s="78">
        <v>136405</v>
      </c>
      <c r="C202" s="78">
        <v>3</v>
      </c>
      <c r="D202" s="78" t="s">
        <v>459</v>
      </c>
      <c r="E202" s="78" t="s">
        <v>460</v>
      </c>
      <c r="F202" s="78">
        <v>18</v>
      </c>
      <c r="G202" s="78">
        <v>30.05</v>
      </c>
      <c r="H202" s="78">
        <v>99.36</v>
      </c>
      <c r="I202" s="78">
        <v>24.81</v>
      </c>
      <c r="J202" s="78">
        <v>82.02</v>
      </c>
      <c r="K202" s="78">
        <v>1</v>
      </c>
      <c r="T202" s="78">
        <v>3</v>
      </c>
      <c r="U202" s="78">
        <v>2</v>
      </c>
      <c r="V202" s="78" t="s">
        <v>88</v>
      </c>
      <c r="W202" s="78" t="s">
        <v>466</v>
      </c>
      <c r="X202" s="78">
        <v>5</v>
      </c>
      <c r="Y202" s="78">
        <v>5</v>
      </c>
      <c r="Z202" s="78" t="s">
        <v>462</v>
      </c>
      <c r="AA202" s="78" t="s">
        <v>463</v>
      </c>
      <c r="AB202" s="78" t="s">
        <v>84</v>
      </c>
      <c r="AC202" s="78" t="s">
        <v>85</v>
      </c>
      <c r="AD202" s="78" t="s">
        <v>174</v>
      </c>
      <c r="AG202" s="78" t="s">
        <v>464</v>
      </c>
      <c r="AH202" s="78">
        <v>0</v>
      </c>
      <c r="AI202" s="78">
        <v>230</v>
      </c>
      <c r="AJ202" s="78">
        <v>47</v>
      </c>
      <c r="AK202" s="78">
        <v>0</v>
      </c>
      <c r="AL202" s="78">
        <v>0</v>
      </c>
    </row>
    <row r="203" spans="1:38" x14ac:dyDescent="0.3">
      <c r="A203" s="78" t="s">
        <v>168</v>
      </c>
      <c r="B203" s="78">
        <v>136405</v>
      </c>
      <c r="C203" s="78">
        <v>4</v>
      </c>
      <c r="D203" s="78" t="s">
        <v>459</v>
      </c>
      <c r="E203" s="78" t="s">
        <v>460</v>
      </c>
      <c r="F203" s="78">
        <v>18</v>
      </c>
      <c r="G203" s="78">
        <v>30.51</v>
      </c>
      <c r="H203" s="78">
        <v>100.89</v>
      </c>
      <c r="I203" s="78">
        <v>25.24</v>
      </c>
      <c r="J203" s="78">
        <v>83.45</v>
      </c>
      <c r="K203" s="78">
        <v>4</v>
      </c>
      <c r="T203" s="78">
        <v>3</v>
      </c>
      <c r="U203" s="78">
        <v>2</v>
      </c>
      <c r="V203" s="78" t="s">
        <v>88</v>
      </c>
      <c r="W203" s="78" t="s">
        <v>467</v>
      </c>
      <c r="X203" s="78">
        <v>5</v>
      </c>
      <c r="Y203" s="78">
        <v>5</v>
      </c>
      <c r="Z203" s="78" t="s">
        <v>462</v>
      </c>
      <c r="AA203" s="78" t="s">
        <v>463</v>
      </c>
      <c r="AB203" s="78" t="s">
        <v>84</v>
      </c>
      <c r="AC203" s="78" t="s">
        <v>85</v>
      </c>
      <c r="AD203" s="78" t="s">
        <v>174</v>
      </c>
      <c r="AG203" s="78" t="s">
        <v>464</v>
      </c>
      <c r="AH203" s="78">
        <v>0</v>
      </c>
      <c r="AI203" s="78">
        <v>230</v>
      </c>
      <c r="AJ203" s="78">
        <v>47</v>
      </c>
      <c r="AK203" s="78">
        <v>0</v>
      </c>
      <c r="AL203" s="78">
        <v>0</v>
      </c>
    </row>
    <row r="204" spans="1:38" x14ac:dyDescent="0.3">
      <c r="A204" s="78" t="s">
        <v>168</v>
      </c>
      <c r="B204" s="78">
        <v>136405</v>
      </c>
      <c r="C204" s="78">
        <v>5</v>
      </c>
      <c r="D204" s="78" t="s">
        <v>459</v>
      </c>
      <c r="E204" s="78" t="s">
        <v>460</v>
      </c>
      <c r="F204" s="78">
        <v>18</v>
      </c>
      <c r="G204" s="78">
        <v>30.64</v>
      </c>
      <c r="H204" s="78">
        <v>101.29</v>
      </c>
      <c r="I204" s="78">
        <v>25.34</v>
      </c>
      <c r="J204" s="78">
        <v>83.79</v>
      </c>
      <c r="K204" s="78">
        <v>4</v>
      </c>
      <c r="T204" s="78">
        <v>3</v>
      </c>
      <c r="U204" s="78">
        <v>2</v>
      </c>
      <c r="V204" s="78" t="s">
        <v>88</v>
      </c>
      <c r="W204" s="78" t="s">
        <v>468</v>
      </c>
      <c r="X204" s="78">
        <v>5</v>
      </c>
      <c r="Y204" s="78">
        <v>5</v>
      </c>
      <c r="Z204" s="78" t="s">
        <v>462</v>
      </c>
      <c r="AA204" s="78" t="s">
        <v>463</v>
      </c>
      <c r="AB204" s="78" t="s">
        <v>84</v>
      </c>
      <c r="AC204" s="78" t="s">
        <v>85</v>
      </c>
      <c r="AD204" s="78" t="s">
        <v>174</v>
      </c>
      <c r="AG204" s="78" t="s">
        <v>464</v>
      </c>
      <c r="AH204" s="78">
        <v>0</v>
      </c>
      <c r="AI204" s="78">
        <v>230</v>
      </c>
      <c r="AJ204" s="78">
        <v>47</v>
      </c>
      <c r="AK204" s="78">
        <v>0</v>
      </c>
      <c r="AL204" s="78">
        <v>0</v>
      </c>
    </row>
    <row r="205" spans="1:38" x14ac:dyDescent="0.3">
      <c r="A205" s="78" t="s">
        <v>168</v>
      </c>
      <c r="B205" s="78">
        <v>136405</v>
      </c>
      <c r="C205" s="78">
        <v>6</v>
      </c>
      <c r="D205" s="78" t="s">
        <v>459</v>
      </c>
      <c r="E205" s="78" t="s">
        <v>460</v>
      </c>
      <c r="F205" s="78">
        <v>18</v>
      </c>
      <c r="G205" s="78">
        <v>30.65</v>
      </c>
      <c r="H205" s="78">
        <v>101.34</v>
      </c>
      <c r="I205" s="78">
        <v>25.34</v>
      </c>
      <c r="J205" s="78">
        <v>83.79</v>
      </c>
      <c r="K205" s="78">
        <v>1</v>
      </c>
      <c r="T205" s="78">
        <v>3</v>
      </c>
      <c r="U205" s="78">
        <v>2</v>
      </c>
      <c r="V205" s="78" t="s">
        <v>88</v>
      </c>
      <c r="W205" s="78" t="s">
        <v>469</v>
      </c>
      <c r="X205" s="78">
        <v>5</v>
      </c>
      <c r="Y205" s="78">
        <v>5</v>
      </c>
      <c r="Z205" s="78" t="s">
        <v>462</v>
      </c>
      <c r="AA205" s="78" t="s">
        <v>463</v>
      </c>
      <c r="AB205" s="78" t="s">
        <v>84</v>
      </c>
      <c r="AC205" s="78" t="s">
        <v>85</v>
      </c>
      <c r="AD205" s="78" t="s">
        <v>174</v>
      </c>
      <c r="AG205" s="78" t="s">
        <v>464</v>
      </c>
      <c r="AH205" s="78">
        <v>0</v>
      </c>
      <c r="AI205" s="78">
        <v>230</v>
      </c>
      <c r="AJ205" s="78">
        <v>47</v>
      </c>
      <c r="AK205" s="78">
        <v>0</v>
      </c>
      <c r="AL205" s="78">
        <v>0</v>
      </c>
    </row>
    <row r="206" spans="1:38" x14ac:dyDescent="0.3">
      <c r="A206" s="78" t="s">
        <v>168</v>
      </c>
      <c r="B206" s="78">
        <v>133504</v>
      </c>
      <c r="C206" s="78">
        <v>1</v>
      </c>
      <c r="D206" s="78" t="s">
        <v>470</v>
      </c>
      <c r="E206" s="78" t="s">
        <v>471</v>
      </c>
      <c r="F206" s="78">
        <v>35</v>
      </c>
      <c r="G206" s="78">
        <v>32.4</v>
      </c>
      <c r="H206" s="78">
        <v>107.12</v>
      </c>
      <c r="I206" s="78">
        <v>27.99</v>
      </c>
      <c r="J206" s="78">
        <v>92.53</v>
      </c>
      <c r="K206" s="78">
        <v>30</v>
      </c>
      <c r="T206" s="78">
        <v>3</v>
      </c>
      <c r="U206" s="78">
        <v>2</v>
      </c>
      <c r="V206" s="78" t="s">
        <v>88</v>
      </c>
      <c r="W206" s="78">
        <v>107</v>
      </c>
      <c r="X206" s="78">
        <v>5</v>
      </c>
      <c r="Y206" s="78">
        <v>5</v>
      </c>
      <c r="Z206" s="78" t="s">
        <v>472</v>
      </c>
      <c r="AA206" s="78" t="s">
        <v>473</v>
      </c>
      <c r="AB206" s="78" t="s">
        <v>84</v>
      </c>
      <c r="AC206" s="78" t="s">
        <v>85</v>
      </c>
      <c r="AD206" s="78" t="s">
        <v>174</v>
      </c>
      <c r="AG206" s="78" t="s">
        <v>474</v>
      </c>
      <c r="AH206" s="78">
        <v>0</v>
      </c>
      <c r="AI206" s="78">
        <v>164</v>
      </c>
      <c r="AJ206" s="78">
        <v>32</v>
      </c>
      <c r="AK206" s="78">
        <v>0</v>
      </c>
      <c r="AL206" s="78">
        <v>0</v>
      </c>
    </row>
    <row r="207" spans="1:38" x14ac:dyDescent="0.3">
      <c r="A207" s="78" t="s">
        <v>168</v>
      </c>
      <c r="B207" s="78">
        <v>133504</v>
      </c>
      <c r="C207" s="78">
        <v>2</v>
      </c>
      <c r="D207" s="78" t="s">
        <v>470</v>
      </c>
      <c r="E207" s="78" t="s">
        <v>471</v>
      </c>
      <c r="F207" s="78">
        <v>35</v>
      </c>
      <c r="G207" s="78">
        <v>35.96</v>
      </c>
      <c r="H207" s="78">
        <v>118.88</v>
      </c>
      <c r="I207" s="78">
        <v>29.91</v>
      </c>
      <c r="J207" s="78">
        <v>98.89</v>
      </c>
      <c r="K207" s="78">
        <v>5</v>
      </c>
      <c r="T207" s="78">
        <v>3</v>
      </c>
      <c r="U207" s="78">
        <v>2</v>
      </c>
      <c r="V207" s="78" t="s">
        <v>88</v>
      </c>
      <c r="W207" s="78">
        <v>118</v>
      </c>
      <c r="X207" s="78">
        <v>5</v>
      </c>
      <c r="Y207" s="78">
        <v>5</v>
      </c>
      <c r="Z207" s="78" t="s">
        <v>472</v>
      </c>
      <c r="AA207" s="78" t="s">
        <v>473</v>
      </c>
      <c r="AB207" s="78" t="s">
        <v>84</v>
      </c>
      <c r="AC207" s="78" t="s">
        <v>85</v>
      </c>
      <c r="AD207" s="78" t="s">
        <v>174</v>
      </c>
      <c r="AG207" s="78" t="s">
        <v>474</v>
      </c>
      <c r="AH207" s="78">
        <v>0</v>
      </c>
      <c r="AI207" s="78">
        <v>164</v>
      </c>
      <c r="AJ207" s="78">
        <v>32</v>
      </c>
      <c r="AK207" s="78">
        <v>0</v>
      </c>
      <c r="AL207" s="78">
        <v>0</v>
      </c>
    </row>
    <row r="208" spans="1:38" x14ac:dyDescent="0.3">
      <c r="A208" s="78" t="s">
        <v>168</v>
      </c>
      <c r="B208" s="78">
        <v>125674</v>
      </c>
      <c r="C208" s="78">
        <v>1</v>
      </c>
      <c r="D208" s="78" t="s">
        <v>475</v>
      </c>
      <c r="E208" s="78" t="s">
        <v>476</v>
      </c>
      <c r="F208" s="78">
        <v>78</v>
      </c>
      <c r="G208" s="78">
        <v>18.239999999999998</v>
      </c>
      <c r="H208" s="78">
        <v>60.3</v>
      </c>
      <c r="I208" s="78">
        <v>16.52</v>
      </c>
      <c r="J208" s="78">
        <v>54.63</v>
      </c>
      <c r="K208" s="78">
        <v>1</v>
      </c>
      <c r="T208" s="78">
        <v>3</v>
      </c>
      <c r="U208" s="78">
        <v>1</v>
      </c>
      <c r="V208" s="78" t="s">
        <v>88</v>
      </c>
      <c r="W208" s="78">
        <v>60</v>
      </c>
      <c r="X208" s="78">
        <v>3</v>
      </c>
      <c r="Y208" s="78">
        <v>3</v>
      </c>
      <c r="Z208" s="78" t="s">
        <v>477</v>
      </c>
      <c r="AA208" s="78" t="s">
        <v>478</v>
      </c>
      <c r="AB208" s="78" t="s">
        <v>84</v>
      </c>
      <c r="AC208" s="78" t="s">
        <v>85</v>
      </c>
      <c r="AD208" s="78" t="s">
        <v>174</v>
      </c>
      <c r="AG208" s="78" t="s">
        <v>479</v>
      </c>
      <c r="AH208" s="78">
        <v>0</v>
      </c>
      <c r="AI208" s="78">
        <v>0</v>
      </c>
      <c r="AJ208" s="78">
        <v>0</v>
      </c>
      <c r="AK208" s="78">
        <v>0</v>
      </c>
      <c r="AL208" s="78">
        <v>0</v>
      </c>
    </row>
    <row r="209" spans="1:38" x14ac:dyDescent="0.3">
      <c r="A209" s="78" t="s">
        <v>168</v>
      </c>
      <c r="B209" s="78">
        <v>125674</v>
      </c>
      <c r="C209" s="78">
        <v>2</v>
      </c>
      <c r="D209" s="78" t="s">
        <v>475</v>
      </c>
      <c r="E209" s="78" t="s">
        <v>476</v>
      </c>
      <c r="F209" s="78">
        <v>78</v>
      </c>
      <c r="G209" s="78">
        <v>21.61</v>
      </c>
      <c r="H209" s="78">
        <v>71.459999999999994</v>
      </c>
      <c r="I209" s="78">
        <v>19.899999999999999</v>
      </c>
      <c r="J209" s="78">
        <v>65.790000000000006</v>
      </c>
      <c r="K209" s="78">
        <v>35</v>
      </c>
      <c r="T209" s="78">
        <v>3</v>
      </c>
      <c r="U209" s="78">
        <v>1</v>
      </c>
      <c r="V209" s="78" t="s">
        <v>88</v>
      </c>
      <c r="W209" s="78">
        <v>71</v>
      </c>
      <c r="X209" s="78">
        <v>3</v>
      </c>
      <c r="Y209" s="78">
        <v>3</v>
      </c>
      <c r="Z209" s="78" t="s">
        <v>477</v>
      </c>
      <c r="AA209" s="78" t="s">
        <v>478</v>
      </c>
      <c r="AB209" s="78" t="s">
        <v>84</v>
      </c>
      <c r="AC209" s="78" t="s">
        <v>85</v>
      </c>
      <c r="AD209" s="78" t="s">
        <v>174</v>
      </c>
      <c r="AG209" s="78" t="s">
        <v>479</v>
      </c>
      <c r="AH209" s="78">
        <v>0</v>
      </c>
      <c r="AI209" s="78">
        <v>0</v>
      </c>
      <c r="AJ209" s="78">
        <v>0</v>
      </c>
      <c r="AK209" s="78">
        <v>0</v>
      </c>
      <c r="AL209" s="78">
        <v>0</v>
      </c>
    </row>
    <row r="210" spans="1:38" x14ac:dyDescent="0.3">
      <c r="A210" s="78" t="s">
        <v>168</v>
      </c>
      <c r="B210" s="78">
        <v>125674</v>
      </c>
      <c r="C210" s="78">
        <v>3</v>
      </c>
      <c r="D210" s="78" t="s">
        <v>475</v>
      </c>
      <c r="E210" s="78" t="s">
        <v>476</v>
      </c>
      <c r="F210" s="78">
        <v>78</v>
      </c>
      <c r="G210" s="78">
        <v>25.07</v>
      </c>
      <c r="H210" s="78">
        <v>82.89</v>
      </c>
      <c r="I210" s="78">
        <v>23.35</v>
      </c>
      <c r="J210" s="78">
        <v>77.22</v>
      </c>
      <c r="K210" s="78">
        <v>18</v>
      </c>
      <c r="T210" s="78">
        <v>3</v>
      </c>
      <c r="U210" s="78">
        <v>1</v>
      </c>
      <c r="V210" s="78" t="s">
        <v>88</v>
      </c>
      <c r="W210" s="78">
        <v>82</v>
      </c>
      <c r="X210" s="78">
        <v>3</v>
      </c>
      <c r="Y210" s="78">
        <v>3</v>
      </c>
      <c r="Z210" s="78" t="s">
        <v>477</v>
      </c>
      <c r="AA210" s="78" t="s">
        <v>478</v>
      </c>
      <c r="AB210" s="78" t="s">
        <v>84</v>
      </c>
      <c r="AC210" s="78" t="s">
        <v>85</v>
      </c>
      <c r="AD210" s="78" t="s">
        <v>174</v>
      </c>
      <c r="AG210" s="78" t="s">
        <v>479</v>
      </c>
      <c r="AH210" s="78">
        <v>0</v>
      </c>
      <c r="AI210" s="78">
        <v>0</v>
      </c>
      <c r="AJ210" s="78">
        <v>0</v>
      </c>
      <c r="AK210" s="78">
        <v>0</v>
      </c>
      <c r="AL210" s="78">
        <v>0</v>
      </c>
    </row>
    <row r="211" spans="1:38" x14ac:dyDescent="0.3">
      <c r="A211" s="78" t="s">
        <v>168</v>
      </c>
      <c r="B211" s="78">
        <v>125674</v>
      </c>
      <c r="C211" s="78">
        <v>4</v>
      </c>
      <c r="D211" s="78" t="s">
        <v>475</v>
      </c>
      <c r="E211" s="78" t="s">
        <v>476</v>
      </c>
      <c r="F211" s="78">
        <v>78</v>
      </c>
      <c r="G211" s="78">
        <v>33.159999999999997</v>
      </c>
      <c r="H211" s="78">
        <v>109.65</v>
      </c>
      <c r="I211" s="78">
        <v>33.159999999999997</v>
      </c>
      <c r="J211" s="78">
        <v>109.65</v>
      </c>
      <c r="K211" s="78">
        <v>12</v>
      </c>
      <c r="T211" s="78">
        <v>3</v>
      </c>
      <c r="U211" s="78">
        <v>2</v>
      </c>
      <c r="V211" s="78" t="s">
        <v>88</v>
      </c>
      <c r="W211" s="78">
        <v>109</v>
      </c>
      <c r="X211" s="78">
        <v>3</v>
      </c>
      <c r="Y211" s="78">
        <v>3</v>
      </c>
      <c r="Z211" s="78" t="s">
        <v>477</v>
      </c>
      <c r="AA211" s="78" t="s">
        <v>478</v>
      </c>
      <c r="AB211" s="78" t="s">
        <v>84</v>
      </c>
      <c r="AC211" s="78" t="s">
        <v>85</v>
      </c>
      <c r="AD211" s="78" t="s">
        <v>174</v>
      </c>
      <c r="AG211" s="78" t="s">
        <v>479</v>
      </c>
      <c r="AH211" s="78">
        <v>0</v>
      </c>
      <c r="AI211" s="78">
        <v>0</v>
      </c>
      <c r="AJ211" s="78">
        <v>0</v>
      </c>
      <c r="AK211" s="78">
        <v>0</v>
      </c>
      <c r="AL211" s="78">
        <v>0</v>
      </c>
    </row>
    <row r="212" spans="1:38" x14ac:dyDescent="0.3">
      <c r="A212" s="78" t="s">
        <v>168</v>
      </c>
      <c r="B212" s="78">
        <v>125674</v>
      </c>
      <c r="C212" s="78">
        <v>5</v>
      </c>
      <c r="D212" s="78" t="s">
        <v>475</v>
      </c>
      <c r="E212" s="78" t="s">
        <v>476</v>
      </c>
      <c r="F212" s="78">
        <v>78</v>
      </c>
      <c r="G212" s="78">
        <v>37.79</v>
      </c>
      <c r="H212" s="78">
        <v>124.95</v>
      </c>
      <c r="I212" s="78">
        <v>37.79</v>
      </c>
      <c r="J212" s="78">
        <v>124.95</v>
      </c>
      <c r="K212" s="78">
        <v>12</v>
      </c>
      <c r="T212" s="78">
        <v>3</v>
      </c>
      <c r="U212" s="78">
        <v>2</v>
      </c>
      <c r="V212" s="78" t="s">
        <v>88</v>
      </c>
      <c r="W212" s="78">
        <v>124</v>
      </c>
      <c r="X212" s="78">
        <v>3</v>
      </c>
      <c r="Y212" s="78">
        <v>3</v>
      </c>
      <c r="Z212" s="78" t="s">
        <v>477</v>
      </c>
      <c r="AA212" s="78" t="s">
        <v>478</v>
      </c>
      <c r="AB212" s="78" t="s">
        <v>84</v>
      </c>
      <c r="AC212" s="78" t="s">
        <v>85</v>
      </c>
      <c r="AD212" s="78" t="s">
        <v>174</v>
      </c>
      <c r="AG212" s="78" t="s">
        <v>479</v>
      </c>
      <c r="AH212" s="78">
        <v>0</v>
      </c>
      <c r="AI212" s="78">
        <v>0</v>
      </c>
      <c r="AJ212" s="78">
        <v>0</v>
      </c>
      <c r="AK212" s="78">
        <v>0</v>
      </c>
      <c r="AL212" s="78">
        <v>0</v>
      </c>
    </row>
    <row r="213" spans="1:38" x14ac:dyDescent="0.3">
      <c r="A213" s="78" t="s">
        <v>168</v>
      </c>
      <c r="B213" s="78">
        <v>136392</v>
      </c>
      <c r="C213" s="78">
        <v>1</v>
      </c>
      <c r="D213" s="78" t="s">
        <v>480</v>
      </c>
      <c r="E213" s="78" t="s">
        <v>481</v>
      </c>
      <c r="F213" s="78">
        <v>24</v>
      </c>
      <c r="G213" s="78">
        <v>11.39</v>
      </c>
      <c r="H213" s="78">
        <v>37.67</v>
      </c>
      <c r="I213" s="78">
        <v>9.61</v>
      </c>
      <c r="J213" s="78">
        <v>31.78</v>
      </c>
      <c r="K213" s="78">
        <v>4</v>
      </c>
      <c r="T213" s="78">
        <v>1</v>
      </c>
      <c r="U213" s="78">
        <v>1</v>
      </c>
      <c r="V213" s="78" t="s">
        <v>88</v>
      </c>
      <c r="W213" s="78">
        <v>37</v>
      </c>
      <c r="X213" s="78">
        <v>5</v>
      </c>
      <c r="Y213" s="78">
        <v>5</v>
      </c>
      <c r="Z213" s="78" t="s">
        <v>482</v>
      </c>
      <c r="AA213" s="78" t="s">
        <v>483</v>
      </c>
      <c r="AB213" s="78" t="s">
        <v>84</v>
      </c>
      <c r="AC213" s="78" t="s">
        <v>85</v>
      </c>
      <c r="AD213" s="78" t="s">
        <v>174</v>
      </c>
      <c r="AG213" s="78" t="s">
        <v>484</v>
      </c>
      <c r="AH213" s="78">
        <v>0</v>
      </c>
      <c r="AI213" s="78">
        <v>186</v>
      </c>
      <c r="AJ213" s="78">
        <v>50</v>
      </c>
      <c r="AK213" s="78">
        <v>19</v>
      </c>
      <c r="AL213" s="78">
        <v>0.79</v>
      </c>
    </row>
    <row r="214" spans="1:38" x14ac:dyDescent="0.3">
      <c r="A214" s="78" t="s">
        <v>168</v>
      </c>
      <c r="B214" s="78">
        <v>136392</v>
      </c>
      <c r="C214" s="78">
        <v>2</v>
      </c>
      <c r="D214" s="78" t="s">
        <v>480</v>
      </c>
      <c r="E214" s="78" t="s">
        <v>481</v>
      </c>
      <c r="F214" s="78">
        <v>24</v>
      </c>
      <c r="G214" s="78">
        <v>17.68</v>
      </c>
      <c r="H214" s="78">
        <v>58.47</v>
      </c>
      <c r="I214" s="78">
        <v>14.92</v>
      </c>
      <c r="J214" s="78">
        <v>49.33</v>
      </c>
      <c r="K214" s="78">
        <v>20</v>
      </c>
      <c r="T214" s="78">
        <v>1</v>
      </c>
      <c r="U214" s="78">
        <v>1</v>
      </c>
      <c r="V214" s="78" t="s">
        <v>88</v>
      </c>
      <c r="W214" s="78">
        <v>58</v>
      </c>
      <c r="X214" s="78">
        <v>5</v>
      </c>
      <c r="Y214" s="78">
        <v>5</v>
      </c>
      <c r="Z214" s="78" t="s">
        <v>482</v>
      </c>
      <c r="AA214" s="78" t="s">
        <v>483</v>
      </c>
      <c r="AB214" s="78" t="s">
        <v>84</v>
      </c>
      <c r="AC214" s="78" t="s">
        <v>85</v>
      </c>
      <c r="AD214" s="78" t="s">
        <v>174</v>
      </c>
      <c r="AG214" s="78" t="s">
        <v>484</v>
      </c>
      <c r="AH214" s="78">
        <v>0</v>
      </c>
      <c r="AI214" s="78">
        <v>186</v>
      </c>
      <c r="AJ214" s="78">
        <v>50</v>
      </c>
      <c r="AK214" s="78">
        <v>19</v>
      </c>
      <c r="AL214" s="78">
        <v>0.79</v>
      </c>
    </row>
    <row r="215" spans="1:38" x14ac:dyDescent="0.3">
      <c r="A215" s="78" t="s">
        <v>168</v>
      </c>
      <c r="B215" s="78">
        <v>14966</v>
      </c>
      <c r="C215" s="78">
        <v>1</v>
      </c>
      <c r="D215" s="78" t="s">
        <v>485</v>
      </c>
      <c r="E215" s="78" t="s">
        <v>109</v>
      </c>
      <c r="F215" s="78">
        <v>636</v>
      </c>
      <c r="G215" s="78">
        <v>22.61</v>
      </c>
      <c r="H215" s="78">
        <v>74.77</v>
      </c>
      <c r="I215" s="78">
        <v>18.14</v>
      </c>
      <c r="J215" s="78">
        <v>59.99</v>
      </c>
      <c r="K215" s="78">
        <v>64</v>
      </c>
      <c r="T215" s="78">
        <v>3</v>
      </c>
      <c r="U215" s="78">
        <v>1</v>
      </c>
      <c r="V215" s="78" t="s">
        <v>88</v>
      </c>
      <c r="W215" s="78">
        <v>74</v>
      </c>
      <c r="X215" s="78">
        <v>20</v>
      </c>
      <c r="Y215" s="78">
        <v>12</v>
      </c>
      <c r="Z215" s="78" t="s">
        <v>486</v>
      </c>
      <c r="AA215" s="78" t="s">
        <v>487</v>
      </c>
      <c r="AB215" s="78" t="s">
        <v>84</v>
      </c>
      <c r="AC215" s="78" t="s">
        <v>85</v>
      </c>
      <c r="AD215" s="78" t="s">
        <v>174</v>
      </c>
      <c r="AG215" s="78" t="s">
        <v>488</v>
      </c>
      <c r="AH215" s="78">
        <v>0</v>
      </c>
      <c r="AI215" s="78">
        <v>217</v>
      </c>
      <c r="AJ215" s="78">
        <v>17</v>
      </c>
      <c r="AK215" s="78">
        <v>617</v>
      </c>
      <c r="AL215" s="78">
        <v>0.97</v>
      </c>
    </row>
    <row r="216" spans="1:38" x14ac:dyDescent="0.3">
      <c r="A216" s="78" t="s">
        <v>168</v>
      </c>
      <c r="B216" s="78">
        <v>14966</v>
      </c>
      <c r="C216" s="78">
        <v>2</v>
      </c>
      <c r="D216" s="78" t="s">
        <v>485</v>
      </c>
      <c r="E216" s="78" t="s">
        <v>109</v>
      </c>
      <c r="F216" s="78">
        <v>636</v>
      </c>
      <c r="G216" s="78">
        <v>28.34</v>
      </c>
      <c r="H216" s="78">
        <v>93.71</v>
      </c>
      <c r="I216" s="78">
        <v>22.74</v>
      </c>
      <c r="J216" s="78">
        <v>75.180000000000007</v>
      </c>
      <c r="K216" s="78">
        <v>68</v>
      </c>
      <c r="T216" s="78">
        <v>3</v>
      </c>
      <c r="U216" s="78">
        <v>1</v>
      </c>
      <c r="V216" s="78" t="s">
        <v>88</v>
      </c>
      <c r="W216" s="78">
        <v>93</v>
      </c>
      <c r="X216" s="78">
        <v>20</v>
      </c>
      <c r="Y216" s="78">
        <v>12</v>
      </c>
      <c r="Z216" s="78" t="s">
        <v>486</v>
      </c>
      <c r="AA216" s="78" t="s">
        <v>487</v>
      </c>
      <c r="AB216" s="78" t="s">
        <v>84</v>
      </c>
      <c r="AC216" s="78" t="s">
        <v>85</v>
      </c>
      <c r="AD216" s="78" t="s">
        <v>174</v>
      </c>
      <c r="AG216" s="78" t="s">
        <v>488</v>
      </c>
      <c r="AH216" s="78">
        <v>0</v>
      </c>
      <c r="AI216" s="78">
        <v>217</v>
      </c>
      <c r="AJ216" s="78">
        <v>17</v>
      </c>
      <c r="AK216" s="78">
        <v>617</v>
      </c>
      <c r="AL216" s="78">
        <v>0.97</v>
      </c>
    </row>
    <row r="217" spans="1:38" x14ac:dyDescent="0.3">
      <c r="A217" s="78" t="s">
        <v>168</v>
      </c>
      <c r="B217" s="78">
        <v>14966</v>
      </c>
      <c r="C217" s="78">
        <v>3</v>
      </c>
      <c r="D217" s="78" t="s">
        <v>485</v>
      </c>
      <c r="E217" s="78" t="s">
        <v>109</v>
      </c>
      <c r="F217" s="78">
        <v>636</v>
      </c>
      <c r="G217" s="78">
        <v>32.03</v>
      </c>
      <c r="H217" s="78">
        <v>105.9</v>
      </c>
      <c r="I217" s="78">
        <v>25.7</v>
      </c>
      <c r="J217" s="78">
        <v>84.96</v>
      </c>
      <c r="K217" s="78">
        <v>386</v>
      </c>
      <c r="T217" s="78">
        <v>3</v>
      </c>
      <c r="U217" s="78">
        <v>2</v>
      </c>
      <c r="V217" s="78" t="s">
        <v>88</v>
      </c>
      <c r="W217" s="78">
        <v>105</v>
      </c>
      <c r="X217" s="78">
        <v>20</v>
      </c>
      <c r="Y217" s="78">
        <v>12</v>
      </c>
      <c r="Z217" s="78" t="s">
        <v>486</v>
      </c>
      <c r="AA217" s="78" t="s">
        <v>487</v>
      </c>
      <c r="AB217" s="78" t="s">
        <v>84</v>
      </c>
      <c r="AC217" s="78" t="s">
        <v>85</v>
      </c>
      <c r="AD217" s="78" t="s">
        <v>174</v>
      </c>
      <c r="AG217" s="78" t="s">
        <v>488</v>
      </c>
      <c r="AH217" s="78">
        <v>0</v>
      </c>
      <c r="AI217" s="78">
        <v>217</v>
      </c>
      <c r="AJ217" s="78">
        <v>17</v>
      </c>
      <c r="AK217" s="78">
        <v>617</v>
      </c>
      <c r="AL217" s="78">
        <v>0.97</v>
      </c>
    </row>
    <row r="218" spans="1:38" x14ac:dyDescent="0.3">
      <c r="A218" s="78" t="s">
        <v>168</v>
      </c>
      <c r="B218" s="78">
        <v>14966</v>
      </c>
      <c r="C218" s="78">
        <v>4</v>
      </c>
      <c r="D218" s="78" t="s">
        <v>485</v>
      </c>
      <c r="E218" s="78" t="s">
        <v>109</v>
      </c>
      <c r="F218" s="78">
        <v>636</v>
      </c>
      <c r="G218" s="78">
        <v>37.67</v>
      </c>
      <c r="H218" s="78">
        <v>124.56</v>
      </c>
      <c r="I218" s="78">
        <v>30.22</v>
      </c>
      <c r="J218" s="78">
        <v>99.93</v>
      </c>
      <c r="K218" s="78">
        <v>78</v>
      </c>
      <c r="T218" s="78">
        <v>3</v>
      </c>
      <c r="U218" s="78">
        <v>2</v>
      </c>
      <c r="V218" s="78" t="s">
        <v>88</v>
      </c>
      <c r="W218" s="78">
        <v>124</v>
      </c>
      <c r="X218" s="78">
        <v>20</v>
      </c>
      <c r="Y218" s="78">
        <v>12</v>
      </c>
      <c r="Z218" s="78" t="s">
        <v>486</v>
      </c>
      <c r="AA218" s="78" t="s">
        <v>487</v>
      </c>
      <c r="AB218" s="78" t="s">
        <v>84</v>
      </c>
      <c r="AC218" s="78" t="s">
        <v>85</v>
      </c>
      <c r="AD218" s="78" t="s">
        <v>174</v>
      </c>
      <c r="AG218" s="78" t="s">
        <v>488</v>
      </c>
      <c r="AH218" s="78">
        <v>0</v>
      </c>
      <c r="AI218" s="78">
        <v>217</v>
      </c>
      <c r="AJ218" s="78">
        <v>17</v>
      </c>
      <c r="AK218" s="78">
        <v>617</v>
      </c>
      <c r="AL218" s="78">
        <v>0.97</v>
      </c>
    </row>
    <row r="219" spans="1:38" x14ac:dyDescent="0.3">
      <c r="A219" s="78" t="s">
        <v>168</v>
      </c>
      <c r="B219" s="78">
        <v>14966</v>
      </c>
      <c r="C219" s="78">
        <v>5</v>
      </c>
      <c r="D219" s="78" t="s">
        <v>485</v>
      </c>
      <c r="E219" s="78" t="s">
        <v>109</v>
      </c>
      <c r="F219" s="78">
        <v>636</v>
      </c>
      <c r="G219" s="78">
        <v>44.57</v>
      </c>
      <c r="H219" s="78">
        <v>147.34</v>
      </c>
      <c r="I219" s="78">
        <v>35.75</v>
      </c>
      <c r="J219" s="78">
        <v>118.21</v>
      </c>
      <c r="K219" s="78">
        <v>40</v>
      </c>
      <c r="T219" s="78">
        <v>4</v>
      </c>
      <c r="U219" s="78">
        <v>2</v>
      </c>
      <c r="V219" s="78" t="s">
        <v>88</v>
      </c>
      <c r="W219" s="78">
        <v>147</v>
      </c>
      <c r="X219" s="78">
        <v>20</v>
      </c>
      <c r="Y219" s="78">
        <v>12</v>
      </c>
      <c r="Z219" s="78" t="s">
        <v>486</v>
      </c>
      <c r="AA219" s="78" t="s">
        <v>487</v>
      </c>
      <c r="AB219" s="78" t="s">
        <v>84</v>
      </c>
      <c r="AC219" s="78" t="s">
        <v>85</v>
      </c>
      <c r="AD219" s="78" t="s">
        <v>174</v>
      </c>
      <c r="AG219" s="78" t="s">
        <v>488</v>
      </c>
      <c r="AH219" s="78">
        <v>0</v>
      </c>
      <c r="AI219" s="78">
        <v>217</v>
      </c>
      <c r="AJ219" s="78">
        <v>17</v>
      </c>
      <c r="AK219" s="78">
        <v>617</v>
      </c>
      <c r="AL219" s="78">
        <v>0.97</v>
      </c>
    </row>
    <row r="220" spans="1:38" x14ac:dyDescent="0.3">
      <c r="A220" s="78" t="s">
        <v>168</v>
      </c>
      <c r="B220" s="78">
        <v>4990</v>
      </c>
      <c r="C220" s="78">
        <v>1</v>
      </c>
      <c r="D220" s="78" t="s">
        <v>489</v>
      </c>
      <c r="E220" s="78" t="s">
        <v>490</v>
      </c>
      <c r="F220" s="78">
        <v>670</v>
      </c>
      <c r="G220" s="78">
        <v>28.87</v>
      </c>
      <c r="H220" s="78">
        <v>95.46</v>
      </c>
      <c r="I220" s="78">
        <v>22.36</v>
      </c>
      <c r="J220" s="78">
        <v>73.92</v>
      </c>
      <c r="K220" s="78">
        <v>128</v>
      </c>
      <c r="T220" s="78">
        <v>3</v>
      </c>
      <c r="U220" s="78">
        <v>1</v>
      </c>
      <c r="V220" s="78" t="s">
        <v>88</v>
      </c>
      <c r="W220" s="78">
        <v>95</v>
      </c>
      <c r="X220" s="78">
        <v>20</v>
      </c>
      <c r="Y220" s="78">
        <v>16</v>
      </c>
      <c r="Z220" s="78" t="s">
        <v>491</v>
      </c>
      <c r="AA220" s="78" t="s">
        <v>492</v>
      </c>
      <c r="AB220" s="78" t="s">
        <v>84</v>
      </c>
      <c r="AC220" s="78" t="s">
        <v>85</v>
      </c>
      <c r="AD220" s="78" t="s">
        <v>174</v>
      </c>
      <c r="AG220" s="78" t="s">
        <v>493</v>
      </c>
      <c r="AH220" s="78">
        <v>0</v>
      </c>
      <c r="AI220" s="78">
        <v>234</v>
      </c>
      <c r="AJ220" s="78">
        <v>19</v>
      </c>
      <c r="AK220" s="78">
        <v>746</v>
      </c>
      <c r="AL220" s="78">
        <v>1.1100000000000001</v>
      </c>
    </row>
    <row r="221" spans="1:38" x14ac:dyDescent="0.3">
      <c r="A221" s="78" t="s">
        <v>168</v>
      </c>
      <c r="B221" s="78">
        <v>4990</v>
      </c>
      <c r="C221" s="78">
        <v>2</v>
      </c>
      <c r="D221" s="78" t="s">
        <v>489</v>
      </c>
      <c r="E221" s="78" t="s">
        <v>490</v>
      </c>
      <c r="F221" s="78">
        <v>670</v>
      </c>
      <c r="G221" s="78">
        <v>32.47</v>
      </c>
      <c r="H221" s="78">
        <v>107.36</v>
      </c>
      <c r="I221" s="78">
        <v>25.7</v>
      </c>
      <c r="J221" s="78">
        <v>84.99</v>
      </c>
      <c r="K221" s="78">
        <v>422</v>
      </c>
      <c r="T221" s="78">
        <v>3</v>
      </c>
      <c r="U221" s="78">
        <v>2</v>
      </c>
      <c r="V221" s="78" t="s">
        <v>88</v>
      </c>
      <c r="W221" s="78">
        <v>107</v>
      </c>
      <c r="X221" s="78">
        <v>20</v>
      </c>
      <c r="Y221" s="78">
        <v>16</v>
      </c>
      <c r="Z221" s="78" t="s">
        <v>491</v>
      </c>
      <c r="AA221" s="78" t="s">
        <v>492</v>
      </c>
      <c r="AB221" s="78" t="s">
        <v>84</v>
      </c>
      <c r="AC221" s="78" t="s">
        <v>85</v>
      </c>
      <c r="AD221" s="78" t="s">
        <v>174</v>
      </c>
      <c r="AG221" s="78" t="s">
        <v>493</v>
      </c>
      <c r="AH221" s="78">
        <v>0</v>
      </c>
      <c r="AI221" s="78">
        <v>234</v>
      </c>
      <c r="AJ221" s="78">
        <v>19</v>
      </c>
      <c r="AK221" s="78">
        <v>746</v>
      </c>
      <c r="AL221" s="78">
        <v>1.1100000000000001</v>
      </c>
    </row>
    <row r="222" spans="1:38" x14ac:dyDescent="0.3">
      <c r="A222" s="78" t="s">
        <v>168</v>
      </c>
      <c r="B222" s="78">
        <v>4990</v>
      </c>
      <c r="C222" s="78">
        <v>3</v>
      </c>
      <c r="D222" s="78" t="s">
        <v>489</v>
      </c>
      <c r="E222" s="78" t="s">
        <v>490</v>
      </c>
      <c r="F222" s="78">
        <v>670</v>
      </c>
      <c r="G222" s="78">
        <v>42.24</v>
      </c>
      <c r="H222" s="78">
        <v>139.65</v>
      </c>
      <c r="I222" s="78">
        <v>34.78</v>
      </c>
      <c r="J222" s="78">
        <v>114.99</v>
      </c>
      <c r="K222" s="78">
        <v>40</v>
      </c>
      <c r="T222" s="78">
        <v>4</v>
      </c>
      <c r="U222" s="78">
        <v>2</v>
      </c>
      <c r="V222" s="78" t="s">
        <v>88</v>
      </c>
      <c r="W222" s="78">
        <v>139</v>
      </c>
      <c r="X222" s="78">
        <v>20</v>
      </c>
      <c r="Y222" s="78">
        <v>16</v>
      </c>
      <c r="Z222" s="78" t="s">
        <v>491</v>
      </c>
      <c r="AA222" s="78" t="s">
        <v>492</v>
      </c>
      <c r="AB222" s="78" t="s">
        <v>84</v>
      </c>
      <c r="AC222" s="78" t="s">
        <v>85</v>
      </c>
      <c r="AD222" s="78" t="s">
        <v>174</v>
      </c>
      <c r="AG222" s="78" t="s">
        <v>493</v>
      </c>
      <c r="AH222" s="78">
        <v>0</v>
      </c>
      <c r="AI222" s="78">
        <v>234</v>
      </c>
      <c r="AJ222" s="78">
        <v>19</v>
      </c>
      <c r="AK222" s="78">
        <v>746</v>
      </c>
      <c r="AL222" s="78">
        <v>1.1100000000000001</v>
      </c>
    </row>
    <row r="223" spans="1:38" x14ac:dyDescent="0.3">
      <c r="A223" s="78" t="s">
        <v>168</v>
      </c>
      <c r="B223" s="78">
        <v>4990</v>
      </c>
      <c r="C223" s="78">
        <v>4</v>
      </c>
      <c r="D223" s="78" t="s">
        <v>489</v>
      </c>
      <c r="E223" s="78" t="s">
        <v>490</v>
      </c>
      <c r="F223" s="78">
        <v>670</v>
      </c>
      <c r="G223" s="78">
        <v>48.75</v>
      </c>
      <c r="H223" s="78">
        <v>161.19</v>
      </c>
      <c r="I223" s="78">
        <v>40.82</v>
      </c>
      <c r="J223" s="78">
        <v>134.97</v>
      </c>
      <c r="K223" s="78">
        <v>80</v>
      </c>
      <c r="T223" s="78">
        <v>4</v>
      </c>
      <c r="U223" s="78">
        <v>2</v>
      </c>
      <c r="V223" s="78" t="s">
        <v>88</v>
      </c>
      <c r="W223" s="78">
        <v>161</v>
      </c>
      <c r="X223" s="78">
        <v>20</v>
      </c>
      <c r="Y223" s="78">
        <v>16</v>
      </c>
      <c r="Z223" s="78" t="s">
        <v>491</v>
      </c>
      <c r="AA223" s="78" t="s">
        <v>492</v>
      </c>
      <c r="AB223" s="78" t="s">
        <v>84</v>
      </c>
      <c r="AC223" s="78" t="s">
        <v>85</v>
      </c>
      <c r="AD223" s="78" t="s">
        <v>174</v>
      </c>
      <c r="AG223" s="78" t="s">
        <v>493</v>
      </c>
      <c r="AH223" s="78">
        <v>0</v>
      </c>
      <c r="AI223" s="78">
        <v>234</v>
      </c>
      <c r="AJ223" s="78">
        <v>19</v>
      </c>
      <c r="AK223" s="78">
        <v>746</v>
      </c>
      <c r="AL223" s="78">
        <v>1.1100000000000001</v>
      </c>
    </row>
    <row r="224" spans="1:38" x14ac:dyDescent="0.3">
      <c r="A224" s="78" t="s">
        <v>168</v>
      </c>
      <c r="B224" s="78">
        <v>4965</v>
      </c>
      <c r="C224" s="78">
        <v>1</v>
      </c>
      <c r="D224" s="78" t="s">
        <v>494</v>
      </c>
      <c r="E224" s="78" t="s">
        <v>495</v>
      </c>
      <c r="F224" s="78">
        <v>114</v>
      </c>
      <c r="G224" s="78">
        <v>22.5</v>
      </c>
      <c r="H224" s="78">
        <v>74.39</v>
      </c>
      <c r="I224" s="78">
        <v>18.100000000000001</v>
      </c>
      <c r="J224" s="78">
        <v>59.84</v>
      </c>
      <c r="K224" s="78">
        <v>114</v>
      </c>
      <c r="T224" s="78">
        <v>2</v>
      </c>
      <c r="U224" s="78">
        <v>1</v>
      </c>
      <c r="V224" s="78" t="s">
        <v>88</v>
      </c>
      <c r="W224" s="78">
        <v>74</v>
      </c>
      <c r="X224" s="78">
        <v>15</v>
      </c>
      <c r="Y224" s="78">
        <v>12</v>
      </c>
      <c r="Z224" s="78" t="s">
        <v>496</v>
      </c>
      <c r="AA224" s="78" t="s">
        <v>497</v>
      </c>
      <c r="AB224" s="78" t="s">
        <v>84</v>
      </c>
      <c r="AC224" s="78" t="s">
        <v>85</v>
      </c>
      <c r="AD224" s="78" t="s">
        <v>174</v>
      </c>
      <c r="AG224" s="78" t="s">
        <v>498</v>
      </c>
      <c r="AH224" s="78">
        <v>0</v>
      </c>
      <c r="AI224" s="78">
        <v>242</v>
      </c>
      <c r="AJ224" s="78">
        <v>22</v>
      </c>
      <c r="AK224" s="78">
        <v>104</v>
      </c>
      <c r="AL224" s="78">
        <v>0.91</v>
      </c>
    </row>
    <row r="225" spans="1:38" x14ac:dyDescent="0.3">
      <c r="A225" s="78" t="s">
        <v>168</v>
      </c>
      <c r="B225" s="78">
        <v>4984</v>
      </c>
      <c r="C225" s="78">
        <v>1</v>
      </c>
      <c r="D225" s="78" t="s">
        <v>499</v>
      </c>
      <c r="E225" s="78" t="s">
        <v>500</v>
      </c>
      <c r="F225" s="78">
        <v>572</v>
      </c>
      <c r="G225" s="78">
        <v>27.39</v>
      </c>
      <c r="H225" s="78">
        <v>90.55</v>
      </c>
      <c r="I225" s="78">
        <v>22.39</v>
      </c>
      <c r="J225" s="78">
        <v>74.02</v>
      </c>
      <c r="K225" s="78">
        <v>234</v>
      </c>
      <c r="T225" s="78">
        <v>3</v>
      </c>
      <c r="U225" s="78">
        <v>1</v>
      </c>
      <c r="V225" s="78" t="s">
        <v>88</v>
      </c>
      <c r="W225" s="78">
        <v>90</v>
      </c>
      <c r="X225" s="78">
        <v>13</v>
      </c>
      <c r="Y225" s="78">
        <v>13</v>
      </c>
      <c r="Z225" s="78" t="s">
        <v>501</v>
      </c>
      <c r="AA225" s="78" t="s">
        <v>502</v>
      </c>
      <c r="AB225" s="78" t="s">
        <v>84</v>
      </c>
      <c r="AC225" s="78" t="s">
        <v>85</v>
      </c>
      <c r="AD225" s="78" t="s">
        <v>174</v>
      </c>
      <c r="AG225" s="78" t="s">
        <v>503</v>
      </c>
      <c r="AH225" s="78">
        <v>0</v>
      </c>
      <c r="AI225" s="78">
        <v>200</v>
      </c>
      <c r="AJ225" s="78">
        <v>17</v>
      </c>
      <c r="AK225" s="78">
        <v>312</v>
      </c>
      <c r="AL225" s="78">
        <v>0.55000000000000004</v>
      </c>
    </row>
    <row r="226" spans="1:38" x14ac:dyDescent="0.3">
      <c r="A226" s="78" t="s">
        <v>168</v>
      </c>
      <c r="B226" s="78">
        <v>4984</v>
      </c>
      <c r="C226" s="78">
        <v>2</v>
      </c>
      <c r="D226" s="78" t="s">
        <v>499</v>
      </c>
      <c r="E226" s="78" t="s">
        <v>500</v>
      </c>
      <c r="F226" s="78">
        <v>572</v>
      </c>
      <c r="G226" s="78">
        <v>31.59</v>
      </c>
      <c r="H226" s="78">
        <v>104.46</v>
      </c>
      <c r="I226" s="78">
        <v>25.66</v>
      </c>
      <c r="J226" s="78">
        <v>84.84</v>
      </c>
      <c r="K226" s="78">
        <v>286</v>
      </c>
      <c r="T226" s="78">
        <v>3</v>
      </c>
      <c r="U226" s="78">
        <v>2</v>
      </c>
      <c r="V226" s="78" t="s">
        <v>88</v>
      </c>
      <c r="W226" s="78">
        <v>104</v>
      </c>
      <c r="X226" s="78">
        <v>13</v>
      </c>
      <c r="Y226" s="78">
        <v>13</v>
      </c>
      <c r="Z226" s="78" t="s">
        <v>501</v>
      </c>
      <c r="AA226" s="78" t="s">
        <v>502</v>
      </c>
      <c r="AB226" s="78" t="s">
        <v>84</v>
      </c>
      <c r="AC226" s="78" t="s">
        <v>85</v>
      </c>
      <c r="AD226" s="78" t="s">
        <v>174</v>
      </c>
      <c r="AG226" s="78" t="s">
        <v>503</v>
      </c>
      <c r="AH226" s="78">
        <v>0</v>
      </c>
      <c r="AI226" s="78">
        <v>200</v>
      </c>
      <c r="AJ226" s="78">
        <v>17</v>
      </c>
      <c r="AK226" s="78">
        <v>312</v>
      </c>
      <c r="AL226" s="78">
        <v>0.55000000000000004</v>
      </c>
    </row>
    <row r="227" spans="1:38" x14ac:dyDescent="0.3">
      <c r="A227" s="78" t="s">
        <v>168</v>
      </c>
      <c r="B227" s="78">
        <v>4984</v>
      </c>
      <c r="C227" s="78">
        <v>3</v>
      </c>
      <c r="D227" s="78" t="s">
        <v>499</v>
      </c>
      <c r="E227" s="78" t="s">
        <v>500</v>
      </c>
      <c r="F227" s="78">
        <v>572</v>
      </c>
      <c r="G227" s="78">
        <v>46.4</v>
      </c>
      <c r="H227" s="78">
        <v>153.41999999999999</v>
      </c>
      <c r="I227" s="78">
        <v>39.85</v>
      </c>
      <c r="J227" s="78">
        <v>131.75</v>
      </c>
      <c r="K227" s="78">
        <v>52</v>
      </c>
      <c r="T227" s="78">
        <v>4</v>
      </c>
      <c r="U227" s="78">
        <v>2</v>
      </c>
      <c r="V227" s="78" t="s">
        <v>88</v>
      </c>
      <c r="W227" s="78">
        <v>153</v>
      </c>
      <c r="X227" s="78">
        <v>13</v>
      </c>
      <c r="Y227" s="78">
        <v>13</v>
      </c>
      <c r="Z227" s="78" t="s">
        <v>501</v>
      </c>
      <c r="AA227" s="78" t="s">
        <v>502</v>
      </c>
      <c r="AB227" s="78" t="s">
        <v>84</v>
      </c>
      <c r="AC227" s="78" t="s">
        <v>85</v>
      </c>
      <c r="AD227" s="78" t="s">
        <v>174</v>
      </c>
      <c r="AG227" s="78" t="s">
        <v>503</v>
      </c>
      <c r="AH227" s="78">
        <v>0</v>
      </c>
      <c r="AI227" s="78">
        <v>200</v>
      </c>
      <c r="AJ227" s="78">
        <v>17</v>
      </c>
      <c r="AK227" s="78">
        <v>312</v>
      </c>
      <c r="AL227" s="78">
        <v>0.55000000000000004</v>
      </c>
    </row>
    <row r="228" spans="1:38" x14ac:dyDescent="0.3">
      <c r="A228" s="78" t="s">
        <v>168</v>
      </c>
      <c r="B228" s="78">
        <v>139522</v>
      </c>
      <c r="C228" s="78">
        <v>1</v>
      </c>
      <c r="D228" s="78" t="s">
        <v>504</v>
      </c>
      <c r="E228" s="78" t="s">
        <v>505</v>
      </c>
      <c r="F228" s="78">
        <v>16</v>
      </c>
      <c r="G228" s="78">
        <v>22.5</v>
      </c>
      <c r="H228" s="78">
        <v>74.400000000000006</v>
      </c>
      <c r="I228" s="78">
        <v>17.920000000000002</v>
      </c>
      <c r="J228" s="78">
        <v>59.25</v>
      </c>
      <c r="K228" s="78">
        <v>4</v>
      </c>
      <c r="T228" s="78">
        <v>3</v>
      </c>
      <c r="U228" s="78">
        <v>1</v>
      </c>
      <c r="V228" s="78" t="s">
        <v>88</v>
      </c>
      <c r="W228" s="78" t="s">
        <v>133</v>
      </c>
      <c r="X228" s="78">
        <v>5</v>
      </c>
      <c r="Y228" s="78">
        <v>5</v>
      </c>
      <c r="Z228" s="78" t="s">
        <v>506</v>
      </c>
      <c r="AA228" s="78" t="s">
        <v>507</v>
      </c>
      <c r="AB228" s="78" t="s">
        <v>84</v>
      </c>
      <c r="AC228" s="78" t="s">
        <v>85</v>
      </c>
      <c r="AD228" s="78" t="s">
        <v>174</v>
      </c>
      <c r="AG228" s="78" t="s">
        <v>508</v>
      </c>
      <c r="AH228" s="78">
        <v>0</v>
      </c>
      <c r="AI228" s="78">
        <v>158</v>
      </c>
      <c r="AJ228" s="78">
        <v>50</v>
      </c>
      <c r="AK228" s="78">
        <v>13</v>
      </c>
      <c r="AL228" s="78">
        <v>0.81</v>
      </c>
    </row>
    <row r="229" spans="1:38" x14ac:dyDescent="0.3">
      <c r="A229" s="78" t="s">
        <v>168</v>
      </c>
      <c r="B229" s="78">
        <v>139522</v>
      </c>
      <c r="C229" s="78">
        <v>2</v>
      </c>
      <c r="D229" s="78" t="s">
        <v>504</v>
      </c>
      <c r="E229" s="78" t="s">
        <v>505</v>
      </c>
      <c r="F229" s="78">
        <v>16</v>
      </c>
      <c r="G229" s="78">
        <v>22.59</v>
      </c>
      <c r="H229" s="78">
        <v>74.7</v>
      </c>
      <c r="I229" s="78">
        <v>17.989999999999998</v>
      </c>
      <c r="J229" s="78">
        <v>59.49</v>
      </c>
      <c r="K229" s="78">
        <v>4</v>
      </c>
      <c r="T229" s="78">
        <v>3</v>
      </c>
      <c r="U229" s="78">
        <v>1</v>
      </c>
      <c r="V229" s="78" t="s">
        <v>88</v>
      </c>
      <c r="W229" s="78" t="s">
        <v>129</v>
      </c>
      <c r="X229" s="78">
        <v>5</v>
      </c>
      <c r="Y229" s="78">
        <v>5</v>
      </c>
      <c r="Z229" s="78" t="s">
        <v>506</v>
      </c>
      <c r="AA229" s="78" t="s">
        <v>507</v>
      </c>
      <c r="AB229" s="78" t="s">
        <v>84</v>
      </c>
      <c r="AC229" s="78" t="s">
        <v>85</v>
      </c>
      <c r="AD229" s="78" t="s">
        <v>174</v>
      </c>
      <c r="AG229" s="78" t="s">
        <v>508</v>
      </c>
      <c r="AH229" s="78">
        <v>0</v>
      </c>
      <c r="AI229" s="78">
        <v>158</v>
      </c>
      <c r="AJ229" s="78">
        <v>50</v>
      </c>
      <c r="AK229" s="78">
        <v>13</v>
      </c>
      <c r="AL229" s="78">
        <v>0.81</v>
      </c>
    </row>
    <row r="230" spans="1:38" x14ac:dyDescent="0.3">
      <c r="A230" s="78" t="s">
        <v>168</v>
      </c>
      <c r="B230" s="78">
        <v>139522</v>
      </c>
      <c r="C230" s="78">
        <v>3</v>
      </c>
      <c r="D230" s="78" t="s">
        <v>504</v>
      </c>
      <c r="E230" s="78" t="s">
        <v>505</v>
      </c>
      <c r="F230" s="78">
        <v>16</v>
      </c>
      <c r="G230" s="78">
        <v>22.72</v>
      </c>
      <c r="H230" s="78">
        <v>75.11</v>
      </c>
      <c r="I230" s="78">
        <v>18.09</v>
      </c>
      <c r="J230" s="78">
        <v>59.81</v>
      </c>
      <c r="K230" s="78">
        <v>4</v>
      </c>
      <c r="T230" s="78">
        <v>3</v>
      </c>
      <c r="U230" s="78">
        <v>1</v>
      </c>
      <c r="V230" s="78" t="s">
        <v>88</v>
      </c>
      <c r="W230" s="78" t="s">
        <v>509</v>
      </c>
      <c r="X230" s="78">
        <v>5</v>
      </c>
      <c r="Y230" s="78">
        <v>5</v>
      </c>
      <c r="Z230" s="78" t="s">
        <v>506</v>
      </c>
      <c r="AA230" s="78" t="s">
        <v>507</v>
      </c>
      <c r="AB230" s="78" t="s">
        <v>84</v>
      </c>
      <c r="AC230" s="78" t="s">
        <v>85</v>
      </c>
      <c r="AD230" s="78" t="s">
        <v>174</v>
      </c>
      <c r="AG230" s="78" t="s">
        <v>508</v>
      </c>
      <c r="AH230" s="78">
        <v>0</v>
      </c>
      <c r="AI230" s="78">
        <v>158</v>
      </c>
      <c r="AJ230" s="78">
        <v>50</v>
      </c>
      <c r="AK230" s="78">
        <v>13</v>
      </c>
      <c r="AL230" s="78">
        <v>0.81</v>
      </c>
    </row>
    <row r="231" spans="1:38" x14ac:dyDescent="0.3">
      <c r="A231" s="78" t="s">
        <v>168</v>
      </c>
      <c r="B231" s="78">
        <v>139522</v>
      </c>
      <c r="C231" s="78">
        <v>4</v>
      </c>
      <c r="D231" s="78" t="s">
        <v>504</v>
      </c>
      <c r="E231" s="78" t="s">
        <v>505</v>
      </c>
      <c r="F231" s="78">
        <v>16</v>
      </c>
      <c r="G231" s="78">
        <v>22.76</v>
      </c>
      <c r="H231" s="78">
        <v>75.260000000000005</v>
      </c>
      <c r="I231" s="78">
        <v>18.12</v>
      </c>
      <c r="J231" s="78">
        <v>59.93</v>
      </c>
      <c r="K231" s="78">
        <v>4</v>
      </c>
      <c r="T231" s="78">
        <v>3</v>
      </c>
      <c r="U231" s="78">
        <v>1</v>
      </c>
      <c r="V231" s="78" t="s">
        <v>88</v>
      </c>
      <c r="W231" s="78" t="s">
        <v>510</v>
      </c>
      <c r="X231" s="78">
        <v>5</v>
      </c>
      <c r="Y231" s="78">
        <v>5</v>
      </c>
      <c r="Z231" s="78" t="s">
        <v>506</v>
      </c>
      <c r="AA231" s="78" t="s">
        <v>507</v>
      </c>
      <c r="AB231" s="78" t="s">
        <v>84</v>
      </c>
      <c r="AC231" s="78" t="s">
        <v>85</v>
      </c>
      <c r="AD231" s="78" t="s">
        <v>174</v>
      </c>
      <c r="AG231" s="78" t="s">
        <v>508</v>
      </c>
      <c r="AH231" s="78">
        <v>0</v>
      </c>
      <c r="AI231" s="78">
        <v>158</v>
      </c>
      <c r="AJ231" s="78">
        <v>50</v>
      </c>
      <c r="AK231" s="78">
        <v>13</v>
      </c>
      <c r="AL231" s="78">
        <v>0.81</v>
      </c>
    </row>
    <row r="232" spans="1:38" x14ac:dyDescent="0.3">
      <c r="A232" s="78" t="s">
        <v>168</v>
      </c>
      <c r="B232" s="78">
        <v>142718</v>
      </c>
      <c r="C232" s="78">
        <v>1</v>
      </c>
      <c r="D232" s="78" t="s">
        <v>511</v>
      </c>
      <c r="E232" s="78" t="s">
        <v>512</v>
      </c>
      <c r="F232" s="78">
        <v>12</v>
      </c>
      <c r="G232" s="78">
        <v>16.11</v>
      </c>
      <c r="H232" s="78">
        <v>53.27</v>
      </c>
      <c r="I232" s="78">
        <v>13.68</v>
      </c>
      <c r="J232" s="78">
        <v>45.23</v>
      </c>
      <c r="K232" s="78">
        <v>4</v>
      </c>
      <c r="T232" s="78">
        <v>2</v>
      </c>
      <c r="U232" s="78">
        <v>1</v>
      </c>
      <c r="V232" s="78" t="s">
        <v>88</v>
      </c>
      <c r="W232" s="78">
        <v>53</v>
      </c>
      <c r="X232" s="78">
        <v>8</v>
      </c>
      <c r="Y232" s="78">
        <v>8</v>
      </c>
      <c r="Z232" s="78" t="s">
        <v>513</v>
      </c>
      <c r="AA232" s="78" t="s">
        <v>514</v>
      </c>
      <c r="AB232" s="78" t="s">
        <v>84</v>
      </c>
      <c r="AC232" s="78" t="s">
        <v>85</v>
      </c>
      <c r="AD232" s="78" t="s">
        <v>174</v>
      </c>
      <c r="AG232" s="78" t="s">
        <v>515</v>
      </c>
      <c r="AH232" s="78">
        <v>0</v>
      </c>
      <c r="AI232" s="78">
        <v>249</v>
      </c>
      <c r="AJ232" s="78">
        <v>54</v>
      </c>
      <c r="AK232" s="78">
        <v>9</v>
      </c>
      <c r="AL232" s="78">
        <v>0.75</v>
      </c>
    </row>
    <row r="233" spans="1:38" x14ac:dyDescent="0.3">
      <c r="A233" s="78" t="s">
        <v>168</v>
      </c>
      <c r="B233" s="78">
        <v>142718</v>
      </c>
      <c r="C233" s="78">
        <v>2</v>
      </c>
      <c r="D233" s="78" t="s">
        <v>511</v>
      </c>
      <c r="E233" s="78" t="s">
        <v>512</v>
      </c>
      <c r="F233" s="78">
        <v>12</v>
      </c>
      <c r="G233" s="78">
        <v>16.579999999999998</v>
      </c>
      <c r="H233" s="78">
        <v>54.83</v>
      </c>
      <c r="I233" s="78">
        <v>14.08</v>
      </c>
      <c r="J233" s="78">
        <v>46.55</v>
      </c>
      <c r="K233" s="78">
        <v>4</v>
      </c>
      <c r="T233" s="78">
        <v>2</v>
      </c>
      <c r="U233" s="78">
        <v>1</v>
      </c>
      <c r="V233" s="78" t="s">
        <v>88</v>
      </c>
      <c r="W233" s="78" t="s">
        <v>516</v>
      </c>
      <c r="X233" s="78">
        <v>8</v>
      </c>
      <c r="Y233" s="78">
        <v>8</v>
      </c>
      <c r="Z233" s="78" t="s">
        <v>513</v>
      </c>
      <c r="AA233" s="78" t="s">
        <v>514</v>
      </c>
      <c r="AB233" s="78" t="s">
        <v>84</v>
      </c>
      <c r="AC233" s="78" t="s">
        <v>85</v>
      </c>
      <c r="AD233" s="78" t="s">
        <v>174</v>
      </c>
      <c r="AG233" s="78" t="s">
        <v>515</v>
      </c>
      <c r="AH233" s="78">
        <v>0</v>
      </c>
      <c r="AI233" s="78">
        <v>249</v>
      </c>
      <c r="AJ233" s="78">
        <v>54</v>
      </c>
      <c r="AK233" s="78">
        <v>9</v>
      </c>
      <c r="AL233" s="78">
        <v>0.75</v>
      </c>
    </row>
    <row r="234" spans="1:38" x14ac:dyDescent="0.3">
      <c r="A234" s="78" t="s">
        <v>168</v>
      </c>
      <c r="B234" s="78">
        <v>142718</v>
      </c>
      <c r="C234" s="78">
        <v>3</v>
      </c>
      <c r="D234" s="78" t="s">
        <v>511</v>
      </c>
      <c r="E234" s="78" t="s">
        <v>512</v>
      </c>
      <c r="F234" s="78">
        <v>12</v>
      </c>
      <c r="G234" s="78">
        <v>17.16</v>
      </c>
      <c r="H234" s="78">
        <v>56.76</v>
      </c>
      <c r="I234" s="78">
        <v>14.57</v>
      </c>
      <c r="J234" s="78">
        <v>48.19</v>
      </c>
      <c r="K234" s="78">
        <v>4</v>
      </c>
      <c r="T234" s="78">
        <v>2</v>
      </c>
      <c r="U234" s="78">
        <v>1</v>
      </c>
      <c r="V234" s="78" t="s">
        <v>88</v>
      </c>
      <c r="W234" s="78" t="s">
        <v>225</v>
      </c>
      <c r="X234" s="78">
        <v>8</v>
      </c>
      <c r="Y234" s="78">
        <v>8</v>
      </c>
      <c r="Z234" s="78" t="s">
        <v>513</v>
      </c>
      <c r="AA234" s="78" t="s">
        <v>514</v>
      </c>
      <c r="AB234" s="78" t="s">
        <v>84</v>
      </c>
      <c r="AC234" s="78" t="s">
        <v>85</v>
      </c>
      <c r="AD234" s="78" t="s">
        <v>174</v>
      </c>
      <c r="AG234" s="78" t="s">
        <v>515</v>
      </c>
      <c r="AH234" s="78">
        <v>0</v>
      </c>
      <c r="AI234" s="78">
        <v>249</v>
      </c>
      <c r="AJ234" s="78">
        <v>54</v>
      </c>
      <c r="AK234" s="78">
        <v>9</v>
      </c>
      <c r="AL234" s="78">
        <v>0.75</v>
      </c>
    </row>
    <row r="235" spans="1:38" x14ac:dyDescent="0.3">
      <c r="A235" s="78" t="s">
        <v>168</v>
      </c>
      <c r="B235" s="78">
        <v>14967</v>
      </c>
      <c r="C235" s="78">
        <v>1</v>
      </c>
      <c r="D235" s="78" t="s">
        <v>517</v>
      </c>
      <c r="E235" s="78" t="s">
        <v>518</v>
      </c>
      <c r="F235" s="78">
        <v>390</v>
      </c>
      <c r="G235" s="78">
        <v>18.29</v>
      </c>
      <c r="H235" s="78">
        <v>60.49</v>
      </c>
      <c r="I235" s="78">
        <v>16.78</v>
      </c>
      <c r="J235" s="78">
        <v>55.48</v>
      </c>
      <c r="K235" s="78">
        <v>100</v>
      </c>
      <c r="T235" s="78">
        <v>3</v>
      </c>
      <c r="U235" s="78">
        <v>1</v>
      </c>
      <c r="V235" s="78" t="s">
        <v>88</v>
      </c>
      <c r="W235" s="78">
        <v>60</v>
      </c>
      <c r="X235" s="78">
        <v>5</v>
      </c>
      <c r="Y235" s="78">
        <v>5</v>
      </c>
      <c r="Z235" s="78" t="s">
        <v>519</v>
      </c>
      <c r="AA235" s="78" t="s">
        <v>520</v>
      </c>
      <c r="AB235" s="78" t="s">
        <v>84</v>
      </c>
      <c r="AC235" s="78" t="s">
        <v>85</v>
      </c>
      <c r="AD235" s="78" t="s">
        <v>174</v>
      </c>
      <c r="AG235" s="78" t="s">
        <v>521</v>
      </c>
      <c r="AH235" s="78">
        <v>0</v>
      </c>
      <c r="AI235" s="78">
        <v>0</v>
      </c>
      <c r="AJ235" s="78">
        <v>0</v>
      </c>
      <c r="AK235" s="78">
        <v>0</v>
      </c>
      <c r="AL235" s="78">
        <v>0</v>
      </c>
    </row>
    <row r="236" spans="1:38" x14ac:dyDescent="0.3">
      <c r="A236" s="78" t="s">
        <v>168</v>
      </c>
      <c r="B236" s="78">
        <v>14967</v>
      </c>
      <c r="C236" s="78">
        <v>2</v>
      </c>
      <c r="D236" s="78" t="s">
        <v>517</v>
      </c>
      <c r="E236" s="78" t="s">
        <v>518</v>
      </c>
      <c r="F236" s="78">
        <v>390</v>
      </c>
      <c r="G236" s="78">
        <v>18.5</v>
      </c>
      <c r="H236" s="78">
        <v>61.18</v>
      </c>
      <c r="I236" s="78">
        <v>16.739999999999998</v>
      </c>
      <c r="J236" s="78">
        <v>55.36</v>
      </c>
      <c r="K236" s="78">
        <v>170</v>
      </c>
      <c r="T236" s="78">
        <v>2</v>
      </c>
      <c r="U236" s="78">
        <v>1</v>
      </c>
      <c r="V236" s="78" t="s">
        <v>81</v>
      </c>
      <c r="W236" s="78">
        <v>61</v>
      </c>
      <c r="X236" s="78">
        <v>5</v>
      </c>
      <c r="Y236" s="78">
        <v>5</v>
      </c>
      <c r="Z236" s="78" t="s">
        <v>519</v>
      </c>
      <c r="AA236" s="78" t="s">
        <v>520</v>
      </c>
      <c r="AB236" s="78" t="s">
        <v>84</v>
      </c>
      <c r="AC236" s="78" t="s">
        <v>85</v>
      </c>
      <c r="AD236" s="78" t="s">
        <v>174</v>
      </c>
      <c r="AG236" s="78" t="s">
        <v>521</v>
      </c>
      <c r="AH236" s="78">
        <v>0</v>
      </c>
      <c r="AI236" s="78">
        <v>0</v>
      </c>
      <c r="AJ236" s="78">
        <v>0</v>
      </c>
      <c r="AK236" s="78">
        <v>0</v>
      </c>
      <c r="AL236" s="78">
        <v>0</v>
      </c>
    </row>
    <row r="237" spans="1:38" x14ac:dyDescent="0.3">
      <c r="A237" s="78" t="s">
        <v>168</v>
      </c>
      <c r="B237" s="78">
        <v>14967</v>
      </c>
      <c r="C237" s="78">
        <v>3</v>
      </c>
      <c r="D237" s="78" t="s">
        <v>517</v>
      </c>
      <c r="E237" s="78" t="s">
        <v>518</v>
      </c>
      <c r="F237" s="78">
        <v>390</v>
      </c>
      <c r="G237" s="78">
        <v>21.99</v>
      </c>
      <c r="H237" s="78">
        <v>72.7</v>
      </c>
      <c r="I237" s="78">
        <v>19.89</v>
      </c>
      <c r="J237" s="78">
        <v>65.78</v>
      </c>
      <c r="K237" s="78">
        <v>120</v>
      </c>
      <c r="T237" s="78">
        <v>3</v>
      </c>
      <c r="U237" s="78">
        <v>1</v>
      </c>
      <c r="V237" s="78" t="s">
        <v>88</v>
      </c>
      <c r="W237" s="78">
        <v>72</v>
      </c>
      <c r="X237" s="78">
        <v>5</v>
      </c>
      <c r="Y237" s="78">
        <v>5</v>
      </c>
      <c r="Z237" s="78" t="s">
        <v>519</v>
      </c>
      <c r="AA237" s="78" t="s">
        <v>520</v>
      </c>
      <c r="AB237" s="78" t="s">
        <v>84</v>
      </c>
      <c r="AC237" s="78" t="s">
        <v>85</v>
      </c>
      <c r="AD237" s="78" t="s">
        <v>174</v>
      </c>
      <c r="AG237" s="78" t="s">
        <v>521</v>
      </c>
      <c r="AH237" s="78">
        <v>0</v>
      </c>
      <c r="AI237" s="78">
        <v>0</v>
      </c>
      <c r="AJ237" s="78">
        <v>0</v>
      </c>
      <c r="AK237" s="78">
        <v>0</v>
      </c>
      <c r="AL237" s="78">
        <v>0</v>
      </c>
    </row>
    <row r="238" spans="1:38" x14ac:dyDescent="0.3">
      <c r="A238" s="78" t="s">
        <v>168</v>
      </c>
      <c r="B238" s="78">
        <v>130728</v>
      </c>
      <c r="C238" s="78">
        <v>1</v>
      </c>
      <c r="D238" s="78" t="s">
        <v>522</v>
      </c>
      <c r="E238" s="78" t="s">
        <v>523</v>
      </c>
      <c r="F238" s="78">
        <v>36</v>
      </c>
      <c r="G238" s="78">
        <v>24.73</v>
      </c>
      <c r="H238" s="78">
        <v>81.77</v>
      </c>
      <c r="I238" s="78">
        <v>18.87</v>
      </c>
      <c r="J238" s="78">
        <v>62.4</v>
      </c>
      <c r="K238" s="78">
        <v>2</v>
      </c>
      <c r="T238" s="78">
        <v>3</v>
      </c>
      <c r="U238" s="78">
        <v>2</v>
      </c>
      <c r="V238" s="78" t="s">
        <v>88</v>
      </c>
      <c r="W238" s="78">
        <v>81</v>
      </c>
      <c r="X238" s="78">
        <v>13</v>
      </c>
      <c r="Y238" s="78">
        <v>13</v>
      </c>
      <c r="Z238" s="78" t="s">
        <v>524</v>
      </c>
      <c r="AA238" s="78" t="s">
        <v>525</v>
      </c>
      <c r="AB238" s="78" t="s">
        <v>84</v>
      </c>
      <c r="AC238" s="78" t="s">
        <v>85</v>
      </c>
      <c r="AD238" s="78" t="s">
        <v>174</v>
      </c>
      <c r="AG238" s="78" t="s">
        <v>526</v>
      </c>
      <c r="AH238" s="78">
        <v>0</v>
      </c>
      <c r="AI238" s="78">
        <v>397</v>
      </c>
      <c r="AJ238" s="78">
        <v>46</v>
      </c>
      <c r="AK238" s="78">
        <v>17</v>
      </c>
      <c r="AL238" s="78">
        <v>0.47</v>
      </c>
    </row>
    <row r="239" spans="1:38" x14ac:dyDescent="0.3">
      <c r="A239" s="78" t="s">
        <v>168</v>
      </c>
      <c r="B239" s="78">
        <v>130728</v>
      </c>
      <c r="C239" s="78">
        <v>2</v>
      </c>
      <c r="D239" s="78" t="s">
        <v>522</v>
      </c>
      <c r="E239" s="78" t="s">
        <v>523</v>
      </c>
      <c r="F239" s="78">
        <v>36</v>
      </c>
      <c r="G239" s="78">
        <v>29.96</v>
      </c>
      <c r="H239" s="78">
        <v>99.06</v>
      </c>
      <c r="I239" s="78">
        <v>22.86</v>
      </c>
      <c r="J239" s="78">
        <v>75.599999999999994</v>
      </c>
      <c r="K239" s="78">
        <v>2</v>
      </c>
      <c r="T239" s="78">
        <v>3</v>
      </c>
      <c r="U239" s="78">
        <v>2</v>
      </c>
      <c r="V239" s="78" t="s">
        <v>88</v>
      </c>
      <c r="W239" s="78">
        <v>99</v>
      </c>
      <c r="X239" s="78">
        <v>13</v>
      </c>
      <c r="Y239" s="78">
        <v>13</v>
      </c>
      <c r="Z239" s="78" t="s">
        <v>524</v>
      </c>
      <c r="AA239" s="78" t="s">
        <v>525</v>
      </c>
      <c r="AB239" s="78" t="s">
        <v>84</v>
      </c>
      <c r="AC239" s="78" t="s">
        <v>85</v>
      </c>
      <c r="AD239" s="78" t="s">
        <v>174</v>
      </c>
      <c r="AG239" s="78" t="s">
        <v>526</v>
      </c>
      <c r="AH239" s="78">
        <v>0</v>
      </c>
      <c r="AI239" s="78">
        <v>397</v>
      </c>
      <c r="AJ239" s="78">
        <v>46</v>
      </c>
      <c r="AK239" s="78">
        <v>17</v>
      </c>
      <c r="AL239" s="78">
        <v>0.47</v>
      </c>
    </row>
    <row r="240" spans="1:38" x14ac:dyDescent="0.3">
      <c r="A240" s="78" t="s">
        <v>168</v>
      </c>
      <c r="B240" s="78">
        <v>130728</v>
      </c>
      <c r="C240" s="78">
        <v>3</v>
      </c>
      <c r="D240" s="78" t="s">
        <v>522</v>
      </c>
      <c r="E240" s="78" t="s">
        <v>523</v>
      </c>
      <c r="F240" s="78">
        <v>36</v>
      </c>
      <c r="G240" s="78">
        <v>33.6</v>
      </c>
      <c r="H240" s="78">
        <v>111.09</v>
      </c>
      <c r="I240" s="78">
        <v>25.64</v>
      </c>
      <c r="J240" s="78">
        <v>84.78</v>
      </c>
      <c r="K240" s="78">
        <v>26</v>
      </c>
      <c r="T240" s="78">
        <v>3</v>
      </c>
      <c r="U240" s="78">
        <v>2</v>
      </c>
      <c r="V240" s="78" t="s">
        <v>88</v>
      </c>
      <c r="W240" s="78">
        <v>111</v>
      </c>
      <c r="X240" s="78">
        <v>13</v>
      </c>
      <c r="Y240" s="78">
        <v>13</v>
      </c>
      <c r="Z240" s="78" t="s">
        <v>524</v>
      </c>
      <c r="AA240" s="78" t="s">
        <v>525</v>
      </c>
      <c r="AB240" s="78" t="s">
        <v>84</v>
      </c>
      <c r="AC240" s="78" t="s">
        <v>85</v>
      </c>
      <c r="AD240" s="78" t="s">
        <v>174</v>
      </c>
      <c r="AG240" s="78" t="s">
        <v>526</v>
      </c>
      <c r="AH240" s="78">
        <v>0</v>
      </c>
      <c r="AI240" s="78">
        <v>397</v>
      </c>
      <c r="AJ240" s="78">
        <v>46</v>
      </c>
      <c r="AK240" s="78">
        <v>17</v>
      </c>
      <c r="AL240" s="78">
        <v>0.47</v>
      </c>
    </row>
    <row r="241" spans="1:38" x14ac:dyDescent="0.3">
      <c r="A241" s="78" t="s">
        <v>168</v>
      </c>
      <c r="B241" s="78">
        <v>130728</v>
      </c>
      <c r="C241" s="78">
        <v>4</v>
      </c>
      <c r="D241" s="78" t="s">
        <v>522</v>
      </c>
      <c r="E241" s="78" t="s">
        <v>523</v>
      </c>
      <c r="F241" s="78">
        <v>36</v>
      </c>
      <c r="G241" s="78">
        <v>56.74</v>
      </c>
      <c r="H241" s="78">
        <v>187.58</v>
      </c>
      <c r="I241" s="78">
        <v>43.29</v>
      </c>
      <c r="J241" s="78">
        <v>143.13</v>
      </c>
      <c r="K241" s="78">
        <v>6</v>
      </c>
      <c r="T241" s="78">
        <v>3</v>
      </c>
      <c r="U241" s="78">
        <v>2</v>
      </c>
      <c r="V241" s="78" t="s">
        <v>88</v>
      </c>
      <c r="W241" s="78">
        <v>187</v>
      </c>
      <c r="X241" s="78">
        <v>13</v>
      </c>
      <c r="Y241" s="78">
        <v>13</v>
      </c>
      <c r="Z241" s="78" t="s">
        <v>524</v>
      </c>
      <c r="AA241" s="78" t="s">
        <v>525</v>
      </c>
      <c r="AB241" s="78" t="s">
        <v>84</v>
      </c>
      <c r="AC241" s="78" t="s">
        <v>85</v>
      </c>
      <c r="AD241" s="78" t="s">
        <v>174</v>
      </c>
      <c r="AG241" s="78" t="s">
        <v>526</v>
      </c>
      <c r="AH241" s="78">
        <v>0</v>
      </c>
      <c r="AI241" s="78">
        <v>397</v>
      </c>
      <c r="AJ241" s="78">
        <v>46</v>
      </c>
      <c r="AK241" s="78">
        <v>17</v>
      </c>
      <c r="AL241" s="78">
        <v>0.47</v>
      </c>
    </row>
    <row r="242" spans="1:38" x14ac:dyDescent="0.3">
      <c r="A242" s="78" t="s">
        <v>168</v>
      </c>
      <c r="B242" s="78">
        <v>5016</v>
      </c>
      <c r="C242" s="78">
        <v>1</v>
      </c>
      <c r="D242" s="78" t="s">
        <v>527</v>
      </c>
      <c r="E242" s="78" t="s">
        <v>181</v>
      </c>
      <c r="F242" s="78">
        <v>100</v>
      </c>
      <c r="G242" s="78">
        <v>21.1</v>
      </c>
      <c r="H242" s="78">
        <v>69.77</v>
      </c>
      <c r="I242" s="78">
        <v>17.579999999999998</v>
      </c>
      <c r="J242" s="78">
        <v>58.14</v>
      </c>
      <c r="K242" s="78">
        <v>50</v>
      </c>
      <c r="T242" s="78">
        <v>3</v>
      </c>
      <c r="U242" s="78">
        <v>1</v>
      </c>
      <c r="V242" s="78" t="s">
        <v>88</v>
      </c>
      <c r="W242" s="78" t="s">
        <v>528</v>
      </c>
      <c r="X242" s="78">
        <v>5</v>
      </c>
      <c r="Y242" s="78">
        <v>5</v>
      </c>
      <c r="Z242" s="78" t="s">
        <v>529</v>
      </c>
      <c r="AA242" s="78" t="s">
        <v>530</v>
      </c>
      <c r="AB242" s="78" t="s">
        <v>84</v>
      </c>
      <c r="AC242" s="78" t="s">
        <v>85</v>
      </c>
      <c r="AD242" s="78" t="s">
        <v>174</v>
      </c>
      <c r="AG242" s="78" t="s">
        <v>531</v>
      </c>
      <c r="AH242" s="78">
        <v>0</v>
      </c>
      <c r="AI242" s="78">
        <v>78</v>
      </c>
      <c r="AJ242" s="78">
        <v>15</v>
      </c>
      <c r="AK242" s="78">
        <v>0</v>
      </c>
      <c r="AL242" s="78">
        <v>0</v>
      </c>
    </row>
    <row r="243" spans="1:38" x14ac:dyDescent="0.3">
      <c r="A243" s="78" t="s">
        <v>168</v>
      </c>
      <c r="B243" s="78">
        <v>5016</v>
      </c>
      <c r="C243" s="78">
        <v>2</v>
      </c>
      <c r="D243" s="78" t="s">
        <v>527</v>
      </c>
      <c r="E243" s="78" t="s">
        <v>181</v>
      </c>
      <c r="F243" s="78">
        <v>100</v>
      </c>
      <c r="G243" s="78">
        <v>21.47</v>
      </c>
      <c r="H243" s="78">
        <v>71</v>
      </c>
      <c r="I243" s="78">
        <v>18.059999999999999</v>
      </c>
      <c r="J243" s="78">
        <v>59.72</v>
      </c>
      <c r="K243" s="78">
        <v>50</v>
      </c>
      <c r="T243" s="78">
        <v>3</v>
      </c>
      <c r="U243" s="78">
        <v>1</v>
      </c>
      <c r="V243" s="78" t="s">
        <v>88</v>
      </c>
      <c r="W243" s="78" t="s">
        <v>182</v>
      </c>
      <c r="X243" s="78">
        <v>5</v>
      </c>
      <c r="Y243" s="78">
        <v>5</v>
      </c>
      <c r="Z243" s="78" t="s">
        <v>529</v>
      </c>
      <c r="AA243" s="78" t="s">
        <v>530</v>
      </c>
      <c r="AB243" s="78" t="s">
        <v>84</v>
      </c>
      <c r="AC243" s="78" t="s">
        <v>85</v>
      </c>
      <c r="AD243" s="78" t="s">
        <v>174</v>
      </c>
      <c r="AG243" s="78" t="s">
        <v>531</v>
      </c>
      <c r="AH243" s="78">
        <v>0</v>
      </c>
      <c r="AI243" s="78">
        <v>78</v>
      </c>
      <c r="AJ243" s="78">
        <v>15</v>
      </c>
      <c r="AK243" s="78">
        <v>0</v>
      </c>
      <c r="AL243" s="78">
        <v>0</v>
      </c>
    </row>
    <row r="244" spans="1:38" x14ac:dyDescent="0.3">
      <c r="A244" s="78" t="s">
        <v>168</v>
      </c>
      <c r="B244" s="78">
        <v>24067</v>
      </c>
      <c r="C244" s="78">
        <v>1</v>
      </c>
      <c r="D244" s="78" t="s">
        <v>532</v>
      </c>
      <c r="E244" s="78" t="s">
        <v>533</v>
      </c>
      <c r="F244" s="78">
        <v>65</v>
      </c>
      <c r="G244" s="78">
        <v>23.18</v>
      </c>
      <c r="H244" s="78">
        <v>76.66</v>
      </c>
      <c r="I244" s="78">
        <v>19.809999999999999</v>
      </c>
      <c r="J244" s="78">
        <v>65.489999999999995</v>
      </c>
      <c r="K244" s="78">
        <v>25</v>
      </c>
      <c r="T244" s="78">
        <v>2</v>
      </c>
      <c r="U244" s="78">
        <v>1</v>
      </c>
      <c r="V244" s="78" t="s">
        <v>88</v>
      </c>
      <c r="W244" s="78">
        <v>76</v>
      </c>
      <c r="X244" s="78">
        <v>5</v>
      </c>
      <c r="Y244" s="78">
        <v>5</v>
      </c>
      <c r="Z244" s="78" t="s">
        <v>534</v>
      </c>
      <c r="AA244" s="78" t="s">
        <v>535</v>
      </c>
      <c r="AB244" s="78" t="s">
        <v>84</v>
      </c>
      <c r="AC244" s="78" t="s">
        <v>85</v>
      </c>
      <c r="AD244" s="78" t="s">
        <v>174</v>
      </c>
      <c r="AG244" s="78" t="s">
        <v>536</v>
      </c>
      <c r="AH244" s="78">
        <v>0</v>
      </c>
      <c r="AI244" s="78">
        <v>0</v>
      </c>
      <c r="AJ244" s="78">
        <v>0</v>
      </c>
      <c r="AK244" s="78">
        <v>0</v>
      </c>
      <c r="AL244" s="78">
        <v>0</v>
      </c>
    </row>
    <row r="245" spans="1:38" x14ac:dyDescent="0.3">
      <c r="A245" s="78" t="s">
        <v>168</v>
      </c>
      <c r="B245" s="78">
        <v>24067</v>
      </c>
      <c r="C245" s="78">
        <v>2</v>
      </c>
      <c r="D245" s="78" t="s">
        <v>532</v>
      </c>
      <c r="E245" s="78" t="s">
        <v>533</v>
      </c>
      <c r="F245" s="78">
        <v>65</v>
      </c>
      <c r="G245" s="78">
        <v>26.44</v>
      </c>
      <c r="H245" s="78">
        <v>87.42</v>
      </c>
      <c r="I245" s="78">
        <v>23.06</v>
      </c>
      <c r="J245" s="78">
        <v>76.25</v>
      </c>
      <c r="K245" s="78">
        <v>15</v>
      </c>
      <c r="T245" s="78">
        <v>3</v>
      </c>
      <c r="U245" s="78">
        <v>1</v>
      </c>
      <c r="V245" s="78" t="s">
        <v>88</v>
      </c>
      <c r="W245" s="78">
        <v>87</v>
      </c>
      <c r="X245" s="78">
        <v>5</v>
      </c>
      <c r="Y245" s="78">
        <v>5</v>
      </c>
      <c r="Z245" s="78" t="s">
        <v>534</v>
      </c>
      <c r="AA245" s="78" t="s">
        <v>535</v>
      </c>
      <c r="AB245" s="78" t="s">
        <v>84</v>
      </c>
      <c r="AC245" s="78" t="s">
        <v>85</v>
      </c>
      <c r="AD245" s="78" t="s">
        <v>174</v>
      </c>
      <c r="AG245" s="78" t="s">
        <v>536</v>
      </c>
      <c r="AH245" s="78">
        <v>0</v>
      </c>
      <c r="AI245" s="78">
        <v>0</v>
      </c>
      <c r="AJ245" s="78">
        <v>0</v>
      </c>
      <c r="AK245" s="78">
        <v>0</v>
      </c>
      <c r="AL245" s="78">
        <v>0</v>
      </c>
    </row>
    <row r="246" spans="1:38" x14ac:dyDescent="0.3">
      <c r="A246" s="78" t="s">
        <v>168</v>
      </c>
      <c r="B246" s="78">
        <v>24067</v>
      </c>
      <c r="C246" s="78">
        <v>3</v>
      </c>
      <c r="D246" s="78" t="s">
        <v>532</v>
      </c>
      <c r="E246" s="78" t="s">
        <v>533</v>
      </c>
      <c r="F246" s="78">
        <v>65</v>
      </c>
      <c r="G246" s="78">
        <v>27.04</v>
      </c>
      <c r="H246" s="78">
        <v>89.42</v>
      </c>
      <c r="I246" s="78">
        <v>23.55</v>
      </c>
      <c r="J246" s="78">
        <v>77.86</v>
      </c>
      <c r="K246" s="78">
        <v>25</v>
      </c>
      <c r="T246" s="78">
        <v>3</v>
      </c>
      <c r="U246" s="78">
        <v>1</v>
      </c>
      <c r="V246" s="78" t="s">
        <v>88</v>
      </c>
      <c r="W246" s="78">
        <v>89</v>
      </c>
      <c r="X246" s="78">
        <v>5</v>
      </c>
      <c r="Y246" s="78">
        <v>5</v>
      </c>
      <c r="Z246" s="78" t="s">
        <v>534</v>
      </c>
      <c r="AA246" s="78" t="s">
        <v>535</v>
      </c>
      <c r="AB246" s="78" t="s">
        <v>84</v>
      </c>
      <c r="AC246" s="78" t="s">
        <v>85</v>
      </c>
      <c r="AD246" s="78" t="s">
        <v>174</v>
      </c>
      <c r="AG246" s="78" t="s">
        <v>536</v>
      </c>
      <c r="AH246" s="78">
        <v>0</v>
      </c>
      <c r="AI246" s="78">
        <v>0</v>
      </c>
      <c r="AJ246" s="78">
        <v>0</v>
      </c>
      <c r="AK246" s="78">
        <v>0</v>
      </c>
      <c r="AL246" s="78">
        <v>0</v>
      </c>
    </row>
    <row r="247" spans="1:38" x14ac:dyDescent="0.3">
      <c r="A247" s="78" t="s">
        <v>537</v>
      </c>
      <c r="B247" s="78">
        <v>115362</v>
      </c>
      <c r="C247" s="78">
        <v>1</v>
      </c>
      <c r="D247" s="78" t="s">
        <v>538</v>
      </c>
      <c r="E247" s="78" t="s">
        <v>539</v>
      </c>
      <c r="F247" s="78">
        <v>942</v>
      </c>
      <c r="G247" s="78">
        <v>34.89</v>
      </c>
      <c r="H247" s="78">
        <v>115.34</v>
      </c>
      <c r="I247" s="78">
        <v>25.69</v>
      </c>
      <c r="J247" s="78">
        <v>84.93</v>
      </c>
      <c r="K247" s="78">
        <v>318</v>
      </c>
      <c r="T247" s="78">
        <v>3</v>
      </c>
      <c r="U247" s="78">
        <v>2</v>
      </c>
      <c r="V247" s="78" t="s">
        <v>88</v>
      </c>
      <c r="W247" s="78" t="s">
        <v>179</v>
      </c>
      <c r="X247" s="78">
        <v>40</v>
      </c>
      <c r="Y247" s="78">
        <v>30</v>
      </c>
      <c r="Z247" s="78" t="s">
        <v>540</v>
      </c>
      <c r="AA247" s="78" t="s">
        <v>541</v>
      </c>
      <c r="AB247" s="78" t="s">
        <v>84</v>
      </c>
      <c r="AC247" s="78" t="s">
        <v>85</v>
      </c>
      <c r="AD247" s="78" t="s">
        <v>542</v>
      </c>
      <c r="AG247" s="78" t="s">
        <v>543</v>
      </c>
      <c r="AH247" s="78">
        <v>0</v>
      </c>
      <c r="AI247" s="78">
        <v>422</v>
      </c>
      <c r="AJ247" s="78">
        <v>71</v>
      </c>
      <c r="AK247" s="78">
        <v>1206</v>
      </c>
      <c r="AL247" s="78">
        <v>1.28</v>
      </c>
    </row>
    <row r="248" spans="1:38" x14ac:dyDescent="0.3">
      <c r="A248" s="78" t="s">
        <v>537</v>
      </c>
      <c r="B248" s="78">
        <v>115362</v>
      </c>
      <c r="C248" s="78">
        <v>2</v>
      </c>
      <c r="D248" s="78" t="s">
        <v>538</v>
      </c>
      <c r="E248" s="78" t="s">
        <v>539</v>
      </c>
      <c r="F248" s="78">
        <v>942</v>
      </c>
      <c r="G248" s="78">
        <v>34.94</v>
      </c>
      <c r="H248" s="78">
        <v>115.52</v>
      </c>
      <c r="I248" s="78">
        <v>25.7</v>
      </c>
      <c r="J248" s="78">
        <v>84.96</v>
      </c>
      <c r="K248" s="78">
        <v>316</v>
      </c>
      <c r="T248" s="78">
        <v>3</v>
      </c>
      <c r="U248" s="78">
        <v>2</v>
      </c>
      <c r="V248" s="78" t="s">
        <v>88</v>
      </c>
      <c r="W248" s="78" t="s">
        <v>544</v>
      </c>
      <c r="X248" s="78">
        <v>40</v>
      </c>
      <c r="Y248" s="78">
        <v>30</v>
      </c>
      <c r="Z248" s="78" t="s">
        <v>540</v>
      </c>
      <c r="AA248" s="78" t="s">
        <v>541</v>
      </c>
      <c r="AB248" s="78" t="s">
        <v>84</v>
      </c>
      <c r="AC248" s="78" t="s">
        <v>85</v>
      </c>
      <c r="AD248" s="78" t="s">
        <v>542</v>
      </c>
      <c r="AG248" s="78" t="s">
        <v>543</v>
      </c>
      <c r="AH248" s="78">
        <v>0</v>
      </c>
      <c r="AI248" s="78">
        <v>422</v>
      </c>
      <c r="AJ248" s="78">
        <v>71</v>
      </c>
      <c r="AK248" s="78">
        <v>1206</v>
      </c>
      <c r="AL248" s="78">
        <v>1.28</v>
      </c>
    </row>
    <row r="249" spans="1:38" x14ac:dyDescent="0.3">
      <c r="A249" s="78" t="s">
        <v>537</v>
      </c>
      <c r="B249" s="78">
        <v>115362</v>
      </c>
      <c r="C249" s="78">
        <v>3</v>
      </c>
      <c r="D249" s="78" t="s">
        <v>538</v>
      </c>
      <c r="E249" s="78" t="s">
        <v>539</v>
      </c>
      <c r="F249" s="78">
        <v>942</v>
      </c>
      <c r="G249" s="78">
        <v>34.869999999999997</v>
      </c>
      <c r="H249" s="78">
        <v>115.3</v>
      </c>
      <c r="I249" s="78">
        <v>25.7</v>
      </c>
      <c r="J249" s="78">
        <v>84.98</v>
      </c>
      <c r="K249" s="78">
        <v>308</v>
      </c>
      <c r="T249" s="78">
        <v>3</v>
      </c>
      <c r="U249" s="78">
        <v>2</v>
      </c>
      <c r="V249" s="78" t="s">
        <v>88</v>
      </c>
      <c r="W249" s="78" t="s">
        <v>286</v>
      </c>
      <c r="X249" s="78">
        <v>40</v>
      </c>
      <c r="Y249" s="78">
        <v>30</v>
      </c>
      <c r="Z249" s="78" t="s">
        <v>540</v>
      </c>
      <c r="AA249" s="78" t="s">
        <v>541</v>
      </c>
      <c r="AB249" s="78" t="s">
        <v>84</v>
      </c>
      <c r="AC249" s="78" t="s">
        <v>85</v>
      </c>
      <c r="AD249" s="78" t="s">
        <v>542</v>
      </c>
      <c r="AG249" s="78" t="s">
        <v>543</v>
      </c>
      <c r="AH249" s="78">
        <v>0</v>
      </c>
      <c r="AI249" s="78">
        <v>422</v>
      </c>
      <c r="AJ249" s="78">
        <v>71</v>
      </c>
      <c r="AK249" s="78">
        <v>1206</v>
      </c>
      <c r="AL249" s="78">
        <v>1.28</v>
      </c>
    </row>
    <row r="250" spans="1:38" x14ac:dyDescent="0.3">
      <c r="A250" s="78" t="s">
        <v>537</v>
      </c>
      <c r="B250" s="78">
        <v>103553</v>
      </c>
      <c r="C250" s="78">
        <v>1</v>
      </c>
      <c r="D250" s="78" t="s">
        <v>545</v>
      </c>
      <c r="E250" s="78" t="s">
        <v>546</v>
      </c>
      <c r="F250" s="78">
        <v>614</v>
      </c>
      <c r="G250" s="78">
        <v>32.89</v>
      </c>
      <c r="H250" s="78">
        <v>108.74</v>
      </c>
      <c r="I250" s="78">
        <v>23.06</v>
      </c>
      <c r="J250" s="78">
        <v>76.260000000000005</v>
      </c>
      <c r="K250" s="78">
        <v>248</v>
      </c>
      <c r="T250" s="78">
        <v>3</v>
      </c>
      <c r="U250" s="78">
        <v>2</v>
      </c>
      <c r="V250" s="78" t="s">
        <v>88</v>
      </c>
      <c r="W250" s="78">
        <v>108</v>
      </c>
      <c r="X250" s="78">
        <v>33</v>
      </c>
      <c r="Y250" s="78">
        <v>31</v>
      </c>
      <c r="Z250" s="78" t="s">
        <v>547</v>
      </c>
      <c r="AA250" s="78" t="s">
        <v>548</v>
      </c>
      <c r="AB250" s="78" t="s">
        <v>84</v>
      </c>
      <c r="AC250" s="78" t="s">
        <v>85</v>
      </c>
      <c r="AD250" s="78" t="s">
        <v>542</v>
      </c>
      <c r="AG250" s="78" t="s">
        <v>549</v>
      </c>
      <c r="AH250" s="78">
        <v>0</v>
      </c>
      <c r="AI250" s="78">
        <v>419</v>
      </c>
      <c r="AJ250" s="78">
        <v>70</v>
      </c>
      <c r="AK250" s="78">
        <v>770</v>
      </c>
      <c r="AL250" s="78">
        <v>1.25</v>
      </c>
    </row>
    <row r="251" spans="1:38" x14ac:dyDescent="0.3">
      <c r="A251" s="78" t="s">
        <v>537</v>
      </c>
      <c r="B251" s="78">
        <v>103553</v>
      </c>
      <c r="C251" s="78">
        <v>2</v>
      </c>
      <c r="D251" s="78" t="s">
        <v>545</v>
      </c>
      <c r="E251" s="78" t="s">
        <v>546</v>
      </c>
      <c r="F251" s="78">
        <v>614</v>
      </c>
      <c r="G251" s="78">
        <v>36.44</v>
      </c>
      <c r="H251" s="78">
        <v>120.47</v>
      </c>
      <c r="I251" s="78">
        <v>25.69</v>
      </c>
      <c r="J251" s="78">
        <v>84.93</v>
      </c>
      <c r="K251" s="78">
        <v>244</v>
      </c>
      <c r="T251" s="78">
        <v>3</v>
      </c>
      <c r="U251" s="78">
        <v>2</v>
      </c>
      <c r="V251" s="78" t="s">
        <v>88</v>
      </c>
      <c r="W251" s="78">
        <v>120</v>
      </c>
      <c r="X251" s="78">
        <v>33</v>
      </c>
      <c r="Y251" s="78">
        <v>31</v>
      </c>
      <c r="Z251" s="78" t="s">
        <v>547</v>
      </c>
      <c r="AA251" s="78" t="s">
        <v>548</v>
      </c>
      <c r="AB251" s="78" t="s">
        <v>84</v>
      </c>
      <c r="AC251" s="78" t="s">
        <v>85</v>
      </c>
      <c r="AD251" s="78" t="s">
        <v>542</v>
      </c>
      <c r="AG251" s="78" t="s">
        <v>549</v>
      </c>
      <c r="AH251" s="78">
        <v>0</v>
      </c>
      <c r="AI251" s="78">
        <v>419</v>
      </c>
      <c r="AJ251" s="78">
        <v>70</v>
      </c>
      <c r="AK251" s="78">
        <v>770</v>
      </c>
      <c r="AL251" s="78">
        <v>1.25</v>
      </c>
    </row>
    <row r="252" spans="1:38" x14ac:dyDescent="0.3">
      <c r="A252" s="78" t="s">
        <v>537</v>
      </c>
      <c r="B252" s="78">
        <v>103553</v>
      </c>
      <c r="C252" s="78">
        <v>3</v>
      </c>
      <c r="D252" s="78" t="s">
        <v>545</v>
      </c>
      <c r="E252" s="78" t="s">
        <v>546</v>
      </c>
      <c r="F252" s="78">
        <v>614</v>
      </c>
      <c r="G252" s="78">
        <v>36.51</v>
      </c>
      <c r="H252" s="78">
        <v>120.7</v>
      </c>
      <c r="I252" s="78">
        <v>25.69</v>
      </c>
      <c r="J252" s="78">
        <v>84.93</v>
      </c>
      <c r="K252" s="78">
        <v>122</v>
      </c>
      <c r="T252" s="78">
        <v>3</v>
      </c>
      <c r="U252" s="78">
        <v>2</v>
      </c>
      <c r="V252" s="78" t="s">
        <v>88</v>
      </c>
      <c r="W252" s="78">
        <v>120</v>
      </c>
      <c r="X252" s="78">
        <v>33</v>
      </c>
      <c r="Y252" s="78">
        <v>31</v>
      </c>
      <c r="Z252" s="78" t="s">
        <v>547</v>
      </c>
      <c r="AA252" s="78" t="s">
        <v>548</v>
      </c>
      <c r="AB252" s="78" t="s">
        <v>84</v>
      </c>
      <c r="AC252" s="78" t="s">
        <v>85</v>
      </c>
      <c r="AD252" s="78" t="s">
        <v>542</v>
      </c>
      <c r="AG252" s="78" t="s">
        <v>549</v>
      </c>
      <c r="AH252" s="78">
        <v>0</v>
      </c>
      <c r="AI252" s="78">
        <v>419</v>
      </c>
      <c r="AJ252" s="78">
        <v>70</v>
      </c>
      <c r="AK252" s="78">
        <v>770</v>
      </c>
      <c r="AL252" s="78">
        <v>1.25</v>
      </c>
    </row>
    <row r="253" spans="1:38" x14ac:dyDescent="0.3">
      <c r="A253" s="78" t="s">
        <v>537</v>
      </c>
      <c r="B253" s="78">
        <v>119697</v>
      </c>
      <c r="C253" s="78">
        <v>1</v>
      </c>
      <c r="D253" s="78" t="s">
        <v>550</v>
      </c>
      <c r="E253" s="78" t="s">
        <v>551</v>
      </c>
      <c r="F253" s="78">
        <v>101</v>
      </c>
      <c r="G253" s="78">
        <v>9.92</v>
      </c>
      <c r="H253" s="78">
        <v>32.82</v>
      </c>
      <c r="I253" s="78">
        <v>8.07</v>
      </c>
      <c r="J253" s="78">
        <v>26.68</v>
      </c>
      <c r="K253" s="78">
        <v>1</v>
      </c>
      <c r="T253" s="78">
        <v>1</v>
      </c>
      <c r="U253" s="78">
        <v>1</v>
      </c>
      <c r="V253" s="78" t="s">
        <v>88</v>
      </c>
      <c r="W253" s="78">
        <v>32</v>
      </c>
      <c r="X253" s="78">
        <v>10</v>
      </c>
      <c r="Y253" s="78">
        <v>7</v>
      </c>
      <c r="Z253" s="78" t="s">
        <v>552</v>
      </c>
      <c r="AA253" s="78" t="s">
        <v>553</v>
      </c>
      <c r="AB253" s="78" t="s">
        <v>84</v>
      </c>
      <c r="AC253" s="78" t="s">
        <v>85</v>
      </c>
      <c r="AD253" s="78" t="s">
        <v>542</v>
      </c>
      <c r="AG253" s="78" t="s">
        <v>554</v>
      </c>
      <c r="AH253" s="78">
        <v>0</v>
      </c>
      <c r="AI253" s="78">
        <v>0</v>
      </c>
      <c r="AJ253" s="78">
        <v>0</v>
      </c>
      <c r="AK253" s="78">
        <v>52</v>
      </c>
      <c r="AL253" s="78">
        <v>0.51</v>
      </c>
    </row>
    <row r="254" spans="1:38" x14ac:dyDescent="0.3">
      <c r="A254" s="78" t="s">
        <v>537</v>
      </c>
      <c r="B254" s="78">
        <v>119697</v>
      </c>
      <c r="C254" s="78">
        <v>2</v>
      </c>
      <c r="D254" s="78" t="s">
        <v>550</v>
      </c>
      <c r="E254" s="78" t="s">
        <v>551</v>
      </c>
      <c r="F254" s="78">
        <v>101</v>
      </c>
      <c r="G254" s="78">
        <v>18.32</v>
      </c>
      <c r="H254" s="78">
        <v>60.58</v>
      </c>
      <c r="I254" s="78">
        <v>14.89</v>
      </c>
      <c r="J254" s="78">
        <v>49.24</v>
      </c>
      <c r="K254" s="78">
        <v>1</v>
      </c>
      <c r="T254" s="78">
        <v>1</v>
      </c>
      <c r="U254" s="78">
        <v>1</v>
      </c>
      <c r="V254" s="78" t="s">
        <v>88</v>
      </c>
      <c r="W254" s="78">
        <v>60</v>
      </c>
      <c r="X254" s="78">
        <v>10</v>
      </c>
      <c r="Y254" s="78">
        <v>7</v>
      </c>
      <c r="Z254" s="78" t="s">
        <v>552</v>
      </c>
      <c r="AA254" s="78" t="s">
        <v>553</v>
      </c>
      <c r="AB254" s="78" t="s">
        <v>84</v>
      </c>
      <c r="AC254" s="78" t="s">
        <v>85</v>
      </c>
      <c r="AD254" s="78" t="s">
        <v>542</v>
      </c>
      <c r="AG254" s="78" t="s">
        <v>554</v>
      </c>
      <c r="AH254" s="78">
        <v>0</v>
      </c>
      <c r="AI254" s="78">
        <v>0</v>
      </c>
      <c r="AJ254" s="78">
        <v>0</v>
      </c>
      <c r="AK254" s="78">
        <v>52</v>
      </c>
      <c r="AL254" s="78">
        <v>0.51</v>
      </c>
    </row>
    <row r="255" spans="1:38" x14ac:dyDescent="0.3">
      <c r="A255" s="78" t="s">
        <v>537</v>
      </c>
      <c r="B255" s="78">
        <v>119697</v>
      </c>
      <c r="C255" s="78">
        <v>3</v>
      </c>
      <c r="D255" s="78" t="s">
        <v>550</v>
      </c>
      <c r="E255" s="78" t="s">
        <v>551</v>
      </c>
      <c r="F255" s="78">
        <v>101</v>
      </c>
      <c r="G255" s="78">
        <v>18.739999999999998</v>
      </c>
      <c r="H255" s="78">
        <v>61.97</v>
      </c>
      <c r="I255" s="78">
        <v>15.06</v>
      </c>
      <c r="J255" s="78">
        <v>49.8</v>
      </c>
      <c r="K255" s="78">
        <v>9</v>
      </c>
      <c r="T255" s="78">
        <v>1</v>
      </c>
      <c r="U255" s="78">
        <v>1</v>
      </c>
      <c r="V255" s="78" t="s">
        <v>88</v>
      </c>
      <c r="W255" s="78" t="s">
        <v>555</v>
      </c>
      <c r="X255" s="78">
        <v>10</v>
      </c>
      <c r="Y255" s="78">
        <v>7</v>
      </c>
      <c r="Z255" s="78" t="s">
        <v>552</v>
      </c>
      <c r="AA255" s="78" t="s">
        <v>553</v>
      </c>
      <c r="AB255" s="78" t="s">
        <v>84</v>
      </c>
      <c r="AC255" s="78" t="s">
        <v>85</v>
      </c>
      <c r="AD255" s="78" t="s">
        <v>542</v>
      </c>
      <c r="AG255" s="78" t="s">
        <v>554</v>
      </c>
      <c r="AH255" s="78">
        <v>0</v>
      </c>
      <c r="AI255" s="78">
        <v>0</v>
      </c>
      <c r="AJ255" s="78">
        <v>0</v>
      </c>
      <c r="AK255" s="78">
        <v>52</v>
      </c>
      <c r="AL255" s="78">
        <v>0.51</v>
      </c>
    </row>
    <row r="256" spans="1:38" x14ac:dyDescent="0.3">
      <c r="A256" s="78" t="s">
        <v>537</v>
      </c>
      <c r="B256" s="78">
        <v>119697</v>
      </c>
      <c r="C256" s="78">
        <v>4</v>
      </c>
      <c r="D256" s="78" t="s">
        <v>550</v>
      </c>
      <c r="E256" s="78" t="s">
        <v>551</v>
      </c>
      <c r="F256" s="78">
        <v>101</v>
      </c>
      <c r="G256" s="78">
        <v>18.57</v>
      </c>
      <c r="H256" s="78">
        <v>61.39</v>
      </c>
      <c r="I256" s="78">
        <v>15.09</v>
      </c>
      <c r="J256" s="78">
        <v>49.9</v>
      </c>
      <c r="K256" s="78">
        <v>7</v>
      </c>
      <c r="T256" s="78">
        <v>3</v>
      </c>
      <c r="U256" s="78">
        <v>1</v>
      </c>
      <c r="V256" s="78" t="s">
        <v>88</v>
      </c>
      <c r="W256" s="78" t="s">
        <v>556</v>
      </c>
      <c r="X256" s="78">
        <v>10</v>
      </c>
      <c r="Y256" s="78">
        <v>7</v>
      </c>
      <c r="Z256" s="78" t="s">
        <v>552</v>
      </c>
      <c r="AA256" s="78" t="s">
        <v>553</v>
      </c>
      <c r="AB256" s="78" t="s">
        <v>84</v>
      </c>
      <c r="AC256" s="78" t="s">
        <v>85</v>
      </c>
      <c r="AD256" s="78" t="s">
        <v>542</v>
      </c>
      <c r="AG256" s="78" t="s">
        <v>554</v>
      </c>
      <c r="AH256" s="78">
        <v>0</v>
      </c>
      <c r="AI256" s="78">
        <v>0</v>
      </c>
      <c r="AJ256" s="78">
        <v>0</v>
      </c>
      <c r="AK256" s="78">
        <v>52</v>
      </c>
      <c r="AL256" s="78">
        <v>0.51</v>
      </c>
    </row>
    <row r="257" spans="1:38" x14ac:dyDescent="0.3">
      <c r="A257" s="78" t="s">
        <v>537</v>
      </c>
      <c r="B257" s="78">
        <v>119697</v>
      </c>
      <c r="C257" s="78">
        <v>5</v>
      </c>
      <c r="D257" s="78" t="s">
        <v>550</v>
      </c>
      <c r="E257" s="78" t="s">
        <v>551</v>
      </c>
      <c r="F257" s="78">
        <v>101</v>
      </c>
      <c r="G257" s="78">
        <v>18.55</v>
      </c>
      <c r="H257" s="78">
        <v>61.33</v>
      </c>
      <c r="I257" s="78">
        <v>15.07</v>
      </c>
      <c r="J257" s="78">
        <v>49.85</v>
      </c>
      <c r="K257" s="78">
        <v>6</v>
      </c>
      <c r="T257" s="78">
        <v>3</v>
      </c>
      <c r="U257" s="78">
        <v>1</v>
      </c>
      <c r="V257" s="78" t="s">
        <v>88</v>
      </c>
      <c r="W257" s="78" t="s">
        <v>557</v>
      </c>
      <c r="X257" s="78">
        <v>10</v>
      </c>
      <c r="Y257" s="78">
        <v>7</v>
      </c>
      <c r="Z257" s="78" t="s">
        <v>552</v>
      </c>
      <c r="AA257" s="78" t="s">
        <v>553</v>
      </c>
      <c r="AB257" s="78" t="s">
        <v>84</v>
      </c>
      <c r="AC257" s="78" t="s">
        <v>85</v>
      </c>
      <c r="AD257" s="78" t="s">
        <v>542</v>
      </c>
      <c r="AG257" s="78" t="s">
        <v>554</v>
      </c>
      <c r="AH257" s="78">
        <v>0</v>
      </c>
      <c r="AI257" s="78">
        <v>0</v>
      </c>
      <c r="AJ257" s="78">
        <v>0</v>
      </c>
      <c r="AK257" s="78">
        <v>52</v>
      </c>
      <c r="AL257" s="78">
        <v>0.51</v>
      </c>
    </row>
    <row r="258" spans="1:38" x14ac:dyDescent="0.3">
      <c r="A258" s="78" t="s">
        <v>537</v>
      </c>
      <c r="B258" s="78">
        <v>119697</v>
      </c>
      <c r="C258" s="78">
        <v>6</v>
      </c>
      <c r="D258" s="78" t="s">
        <v>550</v>
      </c>
      <c r="E258" s="78" t="s">
        <v>551</v>
      </c>
      <c r="F258" s="78">
        <v>101</v>
      </c>
      <c r="G258" s="78">
        <v>18.59</v>
      </c>
      <c r="H258" s="78">
        <v>61.48</v>
      </c>
      <c r="I258" s="78">
        <v>15.11</v>
      </c>
      <c r="J258" s="78">
        <v>49.97</v>
      </c>
      <c r="K258" s="78">
        <v>6</v>
      </c>
      <c r="T258" s="78">
        <v>3</v>
      </c>
      <c r="U258" s="78">
        <v>1</v>
      </c>
      <c r="V258" s="78" t="s">
        <v>88</v>
      </c>
      <c r="W258" s="78" t="s">
        <v>558</v>
      </c>
      <c r="X258" s="78">
        <v>10</v>
      </c>
      <c r="Y258" s="78">
        <v>7</v>
      </c>
      <c r="Z258" s="78" t="s">
        <v>552</v>
      </c>
      <c r="AA258" s="78" t="s">
        <v>553</v>
      </c>
      <c r="AB258" s="78" t="s">
        <v>84</v>
      </c>
      <c r="AC258" s="78" t="s">
        <v>85</v>
      </c>
      <c r="AD258" s="78" t="s">
        <v>542</v>
      </c>
      <c r="AG258" s="78" t="s">
        <v>554</v>
      </c>
      <c r="AH258" s="78">
        <v>0</v>
      </c>
      <c r="AI258" s="78">
        <v>0</v>
      </c>
      <c r="AJ258" s="78">
        <v>0</v>
      </c>
      <c r="AK258" s="78">
        <v>52</v>
      </c>
      <c r="AL258" s="78">
        <v>0.51</v>
      </c>
    </row>
    <row r="259" spans="1:38" x14ac:dyDescent="0.3">
      <c r="A259" s="78" t="s">
        <v>537</v>
      </c>
      <c r="B259" s="78">
        <v>119697</v>
      </c>
      <c r="C259" s="78">
        <v>7</v>
      </c>
      <c r="D259" s="78" t="s">
        <v>550</v>
      </c>
      <c r="E259" s="78" t="s">
        <v>551</v>
      </c>
      <c r="F259" s="78">
        <v>101</v>
      </c>
      <c r="G259" s="78">
        <v>18.57</v>
      </c>
      <c r="H259" s="78">
        <v>61.42</v>
      </c>
      <c r="I259" s="78">
        <v>15.1</v>
      </c>
      <c r="J259" s="78">
        <v>49.92</v>
      </c>
      <c r="K259" s="78">
        <v>2</v>
      </c>
      <c r="T259" s="78">
        <v>3</v>
      </c>
      <c r="U259" s="78">
        <v>1</v>
      </c>
      <c r="V259" s="78" t="s">
        <v>88</v>
      </c>
      <c r="W259" s="78" t="s">
        <v>559</v>
      </c>
      <c r="X259" s="78">
        <v>10</v>
      </c>
      <c r="Y259" s="78">
        <v>7</v>
      </c>
      <c r="Z259" s="78" t="s">
        <v>552</v>
      </c>
      <c r="AA259" s="78" t="s">
        <v>553</v>
      </c>
      <c r="AB259" s="78" t="s">
        <v>84</v>
      </c>
      <c r="AC259" s="78" t="s">
        <v>85</v>
      </c>
      <c r="AD259" s="78" t="s">
        <v>542</v>
      </c>
      <c r="AG259" s="78" t="s">
        <v>554</v>
      </c>
      <c r="AH259" s="78">
        <v>0</v>
      </c>
      <c r="AI259" s="78">
        <v>0</v>
      </c>
      <c r="AJ259" s="78">
        <v>0</v>
      </c>
      <c r="AK259" s="78">
        <v>52</v>
      </c>
      <c r="AL259" s="78">
        <v>0.51</v>
      </c>
    </row>
    <row r="260" spans="1:38" x14ac:dyDescent="0.3">
      <c r="A260" s="78" t="s">
        <v>537</v>
      </c>
      <c r="B260" s="78">
        <v>119697</v>
      </c>
      <c r="C260" s="78">
        <v>8</v>
      </c>
      <c r="D260" s="78" t="s">
        <v>550</v>
      </c>
      <c r="E260" s="78" t="s">
        <v>551</v>
      </c>
      <c r="F260" s="78">
        <v>101</v>
      </c>
      <c r="G260" s="78">
        <v>18.579999999999998</v>
      </c>
      <c r="H260" s="78">
        <v>61.43</v>
      </c>
      <c r="I260" s="78">
        <v>15.1</v>
      </c>
      <c r="J260" s="78">
        <v>49.93</v>
      </c>
      <c r="K260" s="78">
        <v>1</v>
      </c>
      <c r="T260" s="78">
        <v>3</v>
      </c>
      <c r="U260" s="78">
        <v>1</v>
      </c>
      <c r="V260" s="78" t="s">
        <v>88</v>
      </c>
      <c r="W260" s="78" t="s">
        <v>560</v>
      </c>
      <c r="X260" s="78">
        <v>10</v>
      </c>
      <c r="Y260" s="78">
        <v>7</v>
      </c>
      <c r="Z260" s="78" t="s">
        <v>552</v>
      </c>
      <c r="AA260" s="78" t="s">
        <v>553</v>
      </c>
      <c r="AB260" s="78" t="s">
        <v>84</v>
      </c>
      <c r="AC260" s="78" t="s">
        <v>85</v>
      </c>
      <c r="AD260" s="78" t="s">
        <v>542</v>
      </c>
      <c r="AG260" s="78" t="s">
        <v>554</v>
      </c>
      <c r="AH260" s="78">
        <v>0</v>
      </c>
      <c r="AI260" s="78">
        <v>0</v>
      </c>
      <c r="AJ260" s="78">
        <v>0</v>
      </c>
      <c r="AK260" s="78">
        <v>52</v>
      </c>
      <c r="AL260" s="78">
        <v>0.51</v>
      </c>
    </row>
    <row r="261" spans="1:38" x14ac:dyDescent="0.3">
      <c r="A261" s="78" t="s">
        <v>537</v>
      </c>
      <c r="B261" s="78">
        <v>119697</v>
      </c>
      <c r="C261" s="78">
        <v>9</v>
      </c>
      <c r="D261" s="78" t="s">
        <v>550</v>
      </c>
      <c r="E261" s="78" t="s">
        <v>551</v>
      </c>
      <c r="F261" s="78">
        <v>101</v>
      </c>
      <c r="G261" s="78">
        <v>18.77</v>
      </c>
      <c r="H261" s="78">
        <v>62.08</v>
      </c>
      <c r="I261" s="78">
        <v>15.08</v>
      </c>
      <c r="J261" s="78">
        <v>49.88</v>
      </c>
      <c r="K261" s="78">
        <v>9</v>
      </c>
      <c r="T261" s="78">
        <v>3</v>
      </c>
      <c r="U261" s="78">
        <v>1</v>
      </c>
      <c r="V261" s="78" t="s">
        <v>88</v>
      </c>
      <c r="W261" s="78" t="s">
        <v>561</v>
      </c>
      <c r="X261" s="78">
        <v>10</v>
      </c>
      <c r="Y261" s="78">
        <v>7</v>
      </c>
      <c r="Z261" s="78" t="s">
        <v>552</v>
      </c>
      <c r="AA261" s="78" t="s">
        <v>553</v>
      </c>
      <c r="AB261" s="78" t="s">
        <v>84</v>
      </c>
      <c r="AC261" s="78" t="s">
        <v>85</v>
      </c>
      <c r="AD261" s="78" t="s">
        <v>542</v>
      </c>
      <c r="AG261" s="78" t="s">
        <v>554</v>
      </c>
      <c r="AH261" s="78">
        <v>0</v>
      </c>
      <c r="AI261" s="78">
        <v>0</v>
      </c>
      <c r="AJ261" s="78">
        <v>0</v>
      </c>
      <c r="AK261" s="78">
        <v>52</v>
      </c>
      <c r="AL261" s="78">
        <v>0.51</v>
      </c>
    </row>
    <row r="262" spans="1:38" x14ac:dyDescent="0.3">
      <c r="A262" s="78" t="s">
        <v>537</v>
      </c>
      <c r="B262" s="78">
        <v>119697</v>
      </c>
      <c r="C262" s="78">
        <v>10</v>
      </c>
      <c r="D262" s="78" t="s">
        <v>550</v>
      </c>
      <c r="E262" s="78" t="s">
        <v>551</v>
      </c>
      <c r="F262" s="78">
        <v>101</v>
      </c>
      <c r="G262" s="78">
        <v>18.8</v>
      </c>
      <c r="H262" s="78">
        <v>62.16</v>
      </c>
      <c r="I262" s="78">
        <v>15.1</v>
      </c>
      <c r="J262" s="78">
        <v>49.95</v>
      </c>
      <c r="K262" s="78">
        <v>8</v>
      </c>
      <c r="T262" s="78">
        <v>3</v>
      </c>
      <c r="U262" s="78">
        <v>1</v>
      </c>
      <c r="V262" s="78" t="s">
        <v>88</v>
      </c>
      <c r="W262" s="78" t="s">
        <v>562</v>
      </c>
      <c r="X262" s="78">
        <v>10</v>
      </c>
      <c r="Y262" s="78">
        <v>7</v>
      </c>
      <c r="Z262" s="78" t="s">
        <v>552</v>
      </c>
      <c r="AA262" s="78" t="s">
        <v>553</v>
      </c>
      <c r="AB262" s="78" t="s">
        <v>84</v>
      </c>
      <c r="AC262" s="78" t="s">
        <v>85</v>
      </c>
      <c r="AD262" s="78" t="s">
        <v>542</v>
      </c>
      <c r="AG262" s="78" t="s">
        <v>554</v>
      </c>
      <c r="AH262" s="78">
        <v>0</v>
      </c>
      <c r="AI262" s="78">
        <v>0</v>
      </c>
      <c r="AJ262" s="78">
        <v>0</v>
      </c>
      <c r="AK262" s="78">
        <v>52</v>
      </c>
      <c r="AL262" s="78">
        <v>0.51</v>
      </c>
    </row>
    <row r="263" spans="1:38" x14ac:dyDescent="0.3">
      <c r="A263" s="78" t="s">
        <v>537</v>
      </c>
      <c r="B263" s="78">
        <v>119697</v>
      </c>
      <c r="C263" s="78">
        <v>11</v>
      </c>
      <c r="D263" s="78" t="s">
        <v>550</v>
      </c>
      <c r="E263" s="78" t="s">
        <v>551</v>
      </c>
      <c r="F263" s="78">
        <v>101</v>
      </c>
      <c r="G263" s="78">
        <v>18.98</v>
      </c>
      <c r="H263" s="78">
        <v>62.75</v>
      </c>
      <c r="I263" s="78">
        <v>14.06</v>
      </c>
      <c r="J263" s="78">
        <v>46.5</v>
      </c>
      <c r="K263" s="78">
        <v>1</v>
      </c>
      <c r="T263" s="78">
        <v>3</v>
      </c>
      <c r="U263" s="78">
        <v>1</v>
      </c>
      <c r="V263" s="78" t="s">
        <v>88</v>
      </c>
      <c r="W263" s="78" t="s">
        <v>563</v>
      </c>
      <c r="X263" s="78">
        <v>10</v>
      </c>
      <c r="Y263" s="78">
        <v>7</v>
      </c>
      <c r="Z263" s="78" t="s">
        <v>552</v>
      </c>
      <c r="AA263" s="78" t="s">
        <v>553</v>
      </c>
      <c r="AB263" s="78" t="s">
        <v>84</v>
      </c>
      <c r="AC263" s="78" t="s">
        <v>85</v>
      </c>
      <c r="AD263" s="78" t="s">
        <v>542</v>
      </c>
      <c r="AG263" s="78" t="s">
        <v>554</v>
      </c>
      <c r="AH263" s="78">
        <v>0</v>
      </c>
      <c r="AI263" s="78">
        <v>0</v>
      </c>
      <c r="AJ263" s="78">
        <v>0</v>
      </c>
      <c r="AK263" s="78">
        <v>52</v>
      </c>
      <c r="AL263" s="78">
        <v>0.51</v>
      </c>
    </row>
    <row r="264" spans="1:38" x14ac:dyDescent="0.3">
      <c r="A264" s="78" t="s">
        <v>537</v>
      </c>
      <c r="B264" s="78">
        <v>119697</v>
      </c>
      <c r="C264" s="78">
        <v>12</v>
      </c>
      <c r="D264" s="78" t="s">
        <v>550</v>
      </c>
      <c r="E264" s="78" t="s">
        <v>551</v>
      </c>
      <c r="F264" s="78">
        <v>101</v>
      </c>
      <c r="G264" s="78">
        <v>19.25</v>
      </c>
      <c r="H264" s="78">
        <v>63.64</v>
      </c>
      <c r="I264" s="78">
        <v>15.04</v>
      </c>
      <c r="J264" s="78">
        <v>49.74</v>
      </c>
      <c r="K264" s="78">
        <v>9</v>
      </c>
      <c r="T264" s="78">
        <v>1</v>
      </c>
      <c r="U264" s="78">
        <v>1</v>
      </c>
      <c r="V264" s="78" t="s">
        <v>88</v>
      </c>
      <c r="W264" s="78" t="s">
        <v>564</v>
      </c>
      <c r="X264" s="78">
        <v>10</v>
      </c>
      <c r="Y264" s="78">
        <v>7</v>
      </c>
      <c r="Z264" s="78" t="s">
        <v>552</v>
      </c>
      <c r="AA264" s="78" t="s">
        <v>553</v>
      </c>
      <c r="AB264" s="78" t="s">
        <v>84</v>
      </c>
      <c r="AC264" s="78" t="s">
        <v>85</v>
      </c>
      <c r="AD264" s="78" t="s">
        <v>542</v>
      </c>
      <c r="AG264" s="78" t="s">
        <v>554</v>
      </c>
      <c r="AH264" s="78">
        <v>0</v>
      </c>
      <c r="AI264" s="78">
        <v>0</v>
      </c>
      <c r="AJ264" s="78">
        <v>0</v>
      </c>
      <c r="AK264" s="78">
        <v>52</v>
      </c>
      <c r="AL264" s="78">
        <v>0.51</v>
      </c>
    </row>
    <row r="265" spans="1:38" x14ac:dyDescent="0.3">
      <c r="A265" s="78" t="s">
        <v>537</v>
      </c>
      <c r="B265" s="78">
        <v>119697</v>
      </c>
      <c r="C265" s="78">
        <v>13</v>
      </c>
      <c r="D265" s="78" t="s">
        <v>550</v>
      </c>
      <c r="E265" s="78" t="s">
        <v>551</v>
      </c>
      <c r="F265" s="78">
        <v>101</v>
      </c>
      <c r="G265" s="78">
        <v>19.29</v>
      </c>
      <c r="H265" s="78">
        <v>63.78</v>
      </c>
      <c r="I265" s="78">
        <v>15.07</v>
      </c>
      <c r="J265" s="78">
        <v>49.85</v>
      </c>
      <c r="K265" s="78">
        <v>9</v>
      </c>
      <c r="T265" s="78">
        <v>3</v>
      </c>
      <c r="U265" s="78">
        <v>1</v>
      </c>
      <c r="V265" s="78" t="s">
        <v>88</v>
      </c>
      <c r="W265" s="78" t="s">
        <v>565</v>
      </c>
      <c r="X265" s="78">
        <v>10</v>
      </c>
      <c r="Y265" s="78">
        <v>7</v>
      </c>
      <c r="Z265" s="78" t="s">
        <v>552</v>
      </c>
      <c r="AA265" s="78" t="s">
        <v>553</v>
      </c>
      <c r="AB265" s="78" t="s">
        <v>84</v>
      </c>
      <c r="AC265" s="78" t="s">
        <v>85</v>
      </c>
      <c r="AD265" s="78" t="s">
        <v>542</v>
      </c>
      <c r="AG265" s="78" t="s">
        <v>554</v>
      </c>
      <c r="AH265" s="78">
        <v>0</v>
      </c>
      <c r="AI265" s="78">
        <v>0</v>
      </c>
      <c r="AJ265" s="78">
        <v>0</v>
      </c>
      <c r="AK265" s="78">
        <v>52</v>
      </c>
      <c r="AL265" s="78">
        <v>0.51</v>
      </c>
    </row>
    <row r="266" spans="1:38" x14ac:dyDescent="0.3">
      <c r="A266" s="78" t="s">
        <v>537</v>
      </c>
      <c r="B266" s="78">
        <v>119697</v>
      </c>
      <c r="C266" s="78">
        <v>14</v>
      </c>
      <c r="D266" s="78" t="s">
        <v>550</v>
      </c>
      <c r="E266" s="78" t="s">
        <v>551</v>
      </c>
      <c r="F266" s="78">
        <v>101</v>
      </c>
      <c r="G266" s="78">
        <v>19.3</v>
      </c>
      <c r="H266" s="78">
        <v>63.82</v>
      </c>
      <c r="I266" s="78">
        <v>15.08</v>
      </c>
      <c r="J266" s="78">
        <v>49.88</v>
      </c>
      <c r="K266" s="78">
        <v>9</v>
      </c>
      <c r="T266" s="78">
        <v>3</v>
      </c>
      <c r="U266" s="78">
        <v>1</v>
      </c>
      <c r="V266" s="78" t="s">
        <v>88</v>
      </c>
      <c r="W266" s="78" t="s">
        <v>566</v>
      </c>
      <c r="X266" s="78">
        <v>10</v>
      </c>
      <c r="Y266" s="78">
        <v>7</v>
      </c>
      <c r="Z266" s="78" t="s">
        <v>552</v>
      </c>
      <c r="AA266" s="78" t="s">
        <v>553</v>
      </c>
      <c r="AB266" s="78" t="s">
        <v>84</v>
      </c>
      <c r="AC266" s="78" t="s">
        <v>85</v>
      </c>
      <c r="AD266" s="78" t="s">
        <v>542</v>
      </c>
      <c r="AG266" s="78" t="s">
        <v>554</v>
      </c>
      <c r="AH266" s="78">
        <v>0</v>
      </c>
      <c r="AI266" s="78">
        <v>0</v>
      </c>
      <c r="AJ266" s="78">
        <v>0</v>
      </c>
      <c r="AK266" s="78">
        <v>52</v>
      </c>
      <c r="AL266" s="78">
        <v>0.51</v>
      </c>
    </row>
    <row r="267" spans="1:38" x14ac:dyDescent="0.3">
      <c r="A267" s="78" t="s">
        <v>537</v>
      </c>
      <c r="B267" s="78">
        <v>119697</v>
      </c>
      <c r="C267" s="78">
        <v>15</v>
      </c>
      <c r="D267" s="78" t="s">
        <v>550</v>
      </c>
      <c r="E267" s="78" t="s">
        <v>551</v>
      </c>
      <c r="F267" s="78">
        <v>101</v>
      </c>
      <c r="G267" s="78">
        <v>19.059999999999999</v>
      </c>
      <c r="H267" s="78">
        <v>63.03</v>
      </c>
      <c r="I267" s="78">
        <v>14.13</v>
      </c>
      <c r="J267" s="78">
        <v>46.72</v>
      </c>
      <c r="K267" s="78">
        <v>1</v>
      </c>
      <c r="T267" s="78">
        <v>1</v>
      </c>
      <c r="U267" s="78">
        <v>1</v>
      </c>
      <c r="V267" s="78" t="s">
        <v>88</v>
      </c>
      <c r="W267" s="78" t="s">
        <v>567</v>
      </c>
      <c r="X267" s="78">
        <v>10</v>
      </c>
      <c r="Y267" s="78">
        <v>7</v>
      </c>
      <c r="Z267" s="78" t="s">
        <v>552</v>
      </c>
      <c r="AA267" s="78" t="s">
        <v>553</v>
      </c>
      <c r="AB267" s="78" t="s">
        <v>84</v>
      </c>
      <c r="AC267" s="78" t="s">
        <v>85</v>
      </c>
      <c r="AD267" s="78" t="s">
        <v>542</v>
      </c>
      <c r="AG267" s="78" t="s">
        <v>554</v>
      </c>
      <c r="AH267" s="78">
        <v>0</v>
      </c>
      <c r="AI267" s="78">
        <v>0</v>
      </c>
      <c r="AJ267" s="78">
        <v>0</v>
      </c>
      <c r="AK267" s="78">
        <v>52</v>
      </c>
      <c r="AL267" s="78">
        <v>0.51</v>
      </c>
    </row>
    <row r="268" spans="1:38" x14ac:dyDescent="0.3">
      <c r="A268" s="78" t="s">
        <v>537</v>
      </c>
      <c r="B268" s="78">
        <v>119697</v>
      </c>
      <c r="C268" s="78">
        <v>16</v>
      </c>
      <c r="D268" s="78" t="s">
        <v>550</v>
      </c>
      <c r="E268" s="78" t="s">
        <v>551</v>
      </c>
      <c r="F268" s="78">
        <v>101</v>
      </c>
      <c r="G268" s="78">
        <v>19.649999999999999</v>
      </c>
      <c r="H268" s="78">
        <v>64.98</v>
      </c>
      <c r="I268" s="78">
        <v>14.56</v>
      </c>
      <c r="J268" s="78">
        <v>48.16</v>
      </c>
      <c r="K268" s="78">
        <v>1</v>
      </c>
      <c r="T268" s="78">
        <v>1</v>
      </c>
      <c r="U268" s="78">
        <v>1</v>
      </c>
      <c r="V268" s="78" t="s">
        <v>88</v>
      </c>
      <c r="W268" s="78" t="s">
        <v>391</v>
      </c>
      <c r="X268" s="78">
        <v>10</v>
      </c>
      <c r="Y268" s="78">
        <v>7</v>
      </c>
      <c r="Z268" s="78" t="s">
        <v>552</v>
      </c>
      <c r="AA268" s="78" t="s">
        <v>553</v>
      </c>
      <c r="AB268" s="78" t="s">
        <v>84</v>
      </c>
      <c r="AC268" s="78" t="s">
        <v>85</v>
      </c>
      <c r="AD268" s="78" t="s">
        <v>542</v>
      </c>
      <c r="AG268" s="78" t="s">
        <v>554</v>
      </c>
      <c r="AH268" s="78">
        <v>0</v>
      </c>
      <c r="AI268" s="78">
        <v>0</v>
      </c>
      <c r="AJ268" s="78">
        <v>0</v>
      </c>
      <c r="AK268" s="78">
        <v>52</v>
      </c>
      <c r="AL268" s="78">
        <v>0.51</v>
      </c>
    </row>
    <row r="269" spans="1:38" x14ac:dyDescent="0.3">
      <c r="A269" s="78" t="s">
        <v>537</v>
      </c>
      <c r="B269" s="78">
        <v>119697</v>
      </c>
      <c r="C269" s="78">
        <v>17</v>
      </c>
      <c r="D269" s="78" t="s">
        <v>550</v>
      </c>
      <c r="E269" s="78" t="s">
        <v>551</v>
      </c>
      <c r="F269" s="78">
        <v>101</v>
      </c>
      <c r="G269" s="78">
        <v>20.34</v>
      </c>
      <c r="H269" s="78">
        <v>67.239999999999995</v>
      </c>
      <c r="I269" s="78">
        <v>15.07</v>
      </c>
      <c r="J269" s="78">
        <v>49.84</v>
      </c>
      <c r="K269" s="78">
        <v>9</v>
      </c>
      <c r="T269" s="78">
        <v>1</v>
      </c>
      <c r="U269" s="78">
        <v>1</v>
      </c>
      <c r="V269" s="78" t="s">
        <v>88</v>
      </c>
      <c r="W269" s="78" t="s">
        <v>142</v>
      </c>
      <c r="X269" s="78">
        <v>10</v>
      </c>
      <c r="Y269" s="78">
        <v>7</v>
      </c>
      <c r="Z269" s="78" t="s">
        <v>552</v>
      </c>
      <c r="AA269" s="78" t="s">
        <v>553</v>
      </c>
      <c r="AB269" s="78" t="s">
        <v>84</v>
      </c>
      <c r="AC269" s="78" t="s">
        <v>85</v>
      </c>
      <c r="AD269" s="78" t="s">
        <v>542</v>
      </c>
      <c r="AG269" s="78" t="s">
        <v>554</v>
      </c>
      <c r="AH269" s="78">
        <v>0</v>
      </c>
      <c r="AI269" s="78">
        <v>0</v>
      </c>
      <c r="AJ269" s="78">
        <v>0</v>
      </c>
      <c r="AK269" s="78">
        <v>52</v>
      </c>
      <c r="AL269" s="78">
        <v>0.51</v>
      </c>
    </row>
    <row r="270" spans="1:38" x14ac:dyDescent="0.3">
      <c r="A270" s="78" t="s">
        <v>537</v>
      </c>
      <c r="B270" s="78">
        <v>119697</v>
      </c>
      <c r="C270" s="78">
        <v>18</v>
      </c>
      <c r="D270" s="78" t="s">
        <v>550</v>
      </c>
      <c r="E270" s="78" t="s">
        <v>551</v>
      </c>
      <c r="F270" s="78">
        <v>101</v>
      </c>
      <c r="G270" s="78">
        <v>20.309999999999999</v>
      </c>
      <c r="H270" s="78">
        <v>67.150000000000006</v>
      </c>
      <c r="I270" s="78">
        <v>15.05</v>
      </c>
      <c r="J270" s="78">
        <v>49.77</v>
      </c>
      <c r="K270" s="78">
        <v>6</v>
      </c>
      <c r="T270" s="78">
        <v>3</v>
      </c>
      <c r="U270" s="78">
        <v>1</v>
      </c>
      <c r="V270" s="78" t="s">
        <v>88</v>
      </c>
      <c r="W270" s="78" t="s">
        <v>568</v>
      </c>
      <c r="X270" s="78">
        <v>10</v>
      </c>
      <c r="Y270" s="78">
        <v>7</v>
      </c>
      <c r="Z270" s="78" t="s">
        <v>552</v>
      </c>
      <c r="AA270" s="78" t="s">
        <v>553</v>
      </c>
      <c r="AB270" s="78" t="s">
        <v>84</v>
      </c>
      <c r="AC270" s="78" t="s">
        <v>85</v>
      </c>
      <c r="AD270" s="78" t="s">
        <v>542</v>
      </c>
      <c r="AG270" s="78" t="s">
        <v>554</v>
      </c>
      <c r="AH270" s="78">
        <v>0</v>
      </c>
      <c r="AI270" s="78">
        <v>0</v>
      </c>
      <c r="AJ270" s="78">
        <v>0</v>
      </c>
      <c r="AK270" s="78">
        <v>52</v>
      </c>
      <c r="AL270" s="78">
        <v>0.51</v>
      </c>
    </row>
    <row r="271" spans="1:38" x14ac:dyDescent="0.3">
      <c r="A271" s="78" t="s">
        <v>537</v>
      </c>
      <c r="B271" s="78">
        <v>119697</v>
      </c>
      <c r="C271" s="78">
        <v>19</v>
      </c>
      <c r="D271" s="78" t="s">
        <v>550</v>
      </c>
      <c r="E271" s="78" t="s">
        <v>551</v>
      </c>
      <c r="F271" s="78">
        <v>101</v>
      </c>
      <c r="G271" s="78">
        <v>20.350000000000001</v>
      </c>
      <c r="H271" s="78">
        <v>67.28</v>
      </c>
      <c r="I271" s="78">
        <v>15.08</v>
      </c>
      <c r="J271" s="78">
        <v>49.87</v>
      </c>
      <c r="K271" s="78">
        <v>6</v>
      </c>
      <c r="T271" s="78">
        <v>3</v>
      </c>
      <c r="U271" s="78">
        <v>1</v>
      </c>
      <c r="V271" s="78" t="s">
        <v>88</v>
      </c>
      <c r="W271" s="78" t="s">
        <v>569</v>
      </c>
      <c r="X271" s="78">
        <v>10</v>
      </c>
      <c r="Y271" s="78">
        <v>7</v>
      </c>
      <c r="Z271" s="78" t="s">
        <v>552</v>
      </c>
      <c r="AA271" s="78" t="s">
        <v>553</v>
      </c>
      <c r="AB271" s="78" t="s">
        <v>84</v>
      </c>
      <c r="AC271" s="78" t="s">
        <v>85</v>
      </c>
      <c r="AD271" s="78" t="s">
        <v>542</v>
      </c>
      <c r="AG271" s="78" t="s">
        <v>554</v>
      </c>
      <c r="AH271" s="78">
        <v>0</v>
      </c>
      <c r="AI271" s="78">
        <v>0</v>
      </c>
      <c r="AJ271" s="78">
        <v>0</v>
      </c>
      <c r="AK271" s="78">
        <v>52</v>
      </c>
      <c r="AL271" s="78">
        <v>0.51</v>
      </c>
    </row>
    <row r="272" spans="1:38" x14ac:dyDescent="0.3">
      <c r="A272" s="78" t="s">
        <v>570</v>
      </c>
      <c r="B272" s="78">
        <v>128332</v>
      </c>
      <c r="C272" s="78">
        <v>1</v>
      </c>
      <c r="D272" s="78" t="s">
        <v>571</v>
      </c>
      <c r="E272" s="78" t="s">
        <v>460</v>
      </c>
      <c r="F272" s="78">
        <v>126</v>
      </c>
      <c r="G272" s="78">
        <v>20.91</v>
      </c>
      <c r="H272" s="78">
        <v>69.150000000000006</v>
      </c>
      <c r="I272" s="78">
        <v>17.899999999999999</v>
      </c>
      <c r="J272" s="78">
        <v>59.19</v>
      </c>
      <c r="K272" s="78">
        <v>36</v>
      </c>
      <c r="T272" s="78">
        <v>3</v>
      </c>
      <c r="U272" s="78">
        <v>1</v>
      </c>
      <c r="V272" s="78" t="s">
        <v>88</v>
      </c>
      <c r="W272" s="78">
        <v>69</v>
      </c>
      <c r="X272" s="78">
        <v>15</v>
      </c>
      <c r="Y272" s="78">
        <v>10</v>
      </c>
      <c r="Z272" s="78" t="s">
        <v>572</v>
      </c>
      <c r="AA272" s="78" t="s">
        <v>573</v>
      </c>
      <c r="AB272" s="78" t="s">
        <v>84</v>
      </c>
      <c r="AC272" s="78" t="s">
        <v>85</v>
      </c>
      <c r="AD272" s="78" t="s">
        <v>574</v>
      </c>
      <c r="AG272" s="78" t="s">
        <v>575</v>
      </c>
      <c r="AH272" s="78">
        <v>0</v>
      </c>
      <c r="AI272" s="78">
        <v>26</v>
      </c>
      <c r="AJ272" s="78">
        <v>23</v>
      </c>
      <c r="AK272" s="78">
        <v>64</v>
      </c>
      <c r="AL272" s="78">
        <v>0.51</v>
      </c>
    </row>
    <row r="273" spans="1:38" x14ac:dyDescent="0.3">
      <c r="A273" s="78" t="s">
        <v>570</v>
      </c>
      <c r="B273" s="78">
        <v>128332</v>
      </c>
      <c r="C273" s="78">
        <v>2</v>
      </c>
      <c r="D273" s="78" t="s">
        <v>571</v>
      </c>
      <c r="E273" s="78" t="s">
        <v>460</v>
      </c>
      <c r="F273" s="78">
        <v>126</v>
      </c>
      <c r="G273" s="78">
        <v>21.56</v>
      </c>
      <c r="H273" s="78">
        <v>71.3</v>
      </c>
      <c r="I273" s="78">
        <v>18.059999999999999</v>
      </c>
      <c r="J273" s="78">
        <v>59.73</v>
      </c>
      <c r="K273" s="78">
        <v>15</v>
      </c>
      <c r="T273" s="78">
        <v>3</v>
      </c>
      <c r="U273" s="78">
        <v>1</v>
      </c>
      <c r="V273" s="78" t="s">
        <v>88</v>
      </c>
      <c r="W273" s="78">
        <v>71</v>
      </c>
      <c r="X273" s="78">
        <v>15</v>
      </c>
      <c r="Y273" s="78">
        <v>10</v>
      </c>
      <c r="Z273" s="78" t="s">
        <v>572</v>
      </c>
      <c r="AA273" s="78" t="s">
        <v>573</v>
      </c>
      <c r="AB273" s="78" t="s">
        <v>84</v>
      </c>
      <c r="AC273" s="78" t="s">
        <v>85</v>
      </c>
      <c r="AD273" s="78" t="s">
        <v>574</v>
      </c>
      <c r="AG273" s="78" t="s">
        <v>575</v>
      </c>
      <c r="AH273" s="78">
        <v>0</v>
      </c>
      <c r="AI273" s="78">
        <v>26</v>
      </c>
      <c r="AJ273" s="78">
        <v>23</v>
      </c>
      <c r="AK273" s="78">
        <v>64</v>
      </c>
      <c r="AL273" s="78">
        <v>0.51</v>
      </c>
    </row>
    <row r="274" spans="1:38" x14ac:dyDescent="0.3">
      <c r="A274" s="78" t="s">
        <v>570</v>
      </c>
      <c r="B274" s="78">
        <v>128332</v>
      </c>
      <c r="C274" s="78">
        <v>3</v>
      </c>
      <c r="D274" s="78" t="s">
        <v>571</v>
      </c>
      <c r="E274" s="78" t="s">
        <v>460</v>
      </c>
      <c r="F274" s="78">
        <v>126</v>
      </c>
      <c r="G274" s="78">
        <v>29.19</v>
      </c>
      <c r="H274" s="78">
        <v>96.5</v>
      </c>
      <c r="I274" s="78">
        <v>25.69</v>
      </c>
      <c r="J274" s="78">
        <v>84.93</v>
      </c>
      <c r="K274" s="78">
        <v>75</v>
      </c>
      <c r="T274" s="78">
        <v>3</v>
      </c>
      <c r="U274" s="78">
        <v>2</v>
      </c>
      <c r="V274" s="78" t="s">
        <v>88</v>
      </c>
      <c r="W274" s="78">
        <v>96</v>
      </c>
      <c r="X274" s="78">
        <v>15</v>
      </c>
      <c r="Y274" s="78">
        <v>10</v>
      </c>
      <c r="Z274" s="78" t="s">
        <v>572</v>
      </c>
      <c r="AA274" s="78" t="s">
        <v>573</v>
      </c>
      <c r="AB274" s="78" t="s">
        <v>84</v>
      </c>
      <c r="AC274" s="78" t="s">
        <v>85</v>
      </c>
      <c r="AD274" s="78" t="s">
        <v>574</v>
      </c>
      <c r="AG274" s="78" t="s">
        <v>575</v>
      </c>
      <c r="AH274" s="78">
        <v>0</v>
      </c>
      <c r="AI274" s="78">
        <v>26</v>
      </c>
      <c r="AJ274" s="78">
        <v>23</v>
      </c>
      <c r="AK274" s="78">
        <v>64</v>
      </c>
      <c r="AL274" s="78">
        <v>0.51</v>
      </c>
    </row>
    <row r="275" spans="1:38" x14ac:dyDescent="0.3">
      <c r="A275" s="78" t="s">
        <v>570</v>
      </c>
      <c r="B275" s="78">
        <v>116583</v>
      </c>
      <c r="C275" s="78">
        <v>1</v>
      </c>
      <c r="D275" s="78" t="s">
        <v>576</v>
      </c>
      <c r="E275" s="78" t="s">
        <v>577</v>
      </c>
      <c r="F275" s="78">
        <v>105</v>
      </c>
      <c r="G275" s="78">
        <v>22.71</v>
      </c>
      <c r="H275" s="78">
        <v>75.08</v>
      </c>
      <c r="I275" s="78">
        <v>17.61</v>
      </c>
      <c r="J275" s="78">
        <v>58.24</v>
      </c>
      <c r="K275" s="78">
        <v>90</v>
      </c>
      <c r="T275" s="78">
        <v>3</v>
      </c>
      <c r="U275" s="78">
        <v>1</v>
      </c>
      <c r="V275" s="78" t="s">
        <v>88</v>
      </c>
      <c r="W275" s="78">
        <v>75</v>
      </c>
      <c r="X275" s="78">
        <v>15</v>
      </c>
      <c r="Y275" s="78">
        <v>15</v>
      </c>
      <c r="Z275" s="78" t="s">
        <v>578</v>
      </c>
      <c r="AA275" s="78" t="s">
        <v>579</v>
      </c>
      <c r="AB275" s="78" t="s">
        <v>84</v>
      </c>
      <c r="AC275" s="78" t="s">
        <v>85</v>
      </c>
      <c r="AD275" s="78" t="s">
        <v>574</v>
      </c>
      <c r="AG275" s="78" t="s">
        <v>580</v>
      </c>
      <c r="AH275" s="78">
        <v>0</v>
      </c>
      <c r="AI275" s="78">
        <v>249</v>
      </c>
      <c r="AJ275" s="78">
        <v>20</v>
      </c>
      <c r="AK275" s="78">
        <v>79</v>
      </c>
      <c r="AL275" s="78">
        <v>0.75</v>
      </c>
    </row>
    <row r="276" spans="1:38" x14ac:dyDescent="0.3">
      <c r="A276" s="78" t="s">
        <v>570</v>
      </c>
      <c r="B276" s="78">
        <v>116583</v>
      </c>
      <c r="C276" s="78">
        <v>2</v>
      </c>
      <c r="D276" s="78" t="s">
        <v>576</v>
      </c>
      <c r="E276" s="78" t="s">
        <v>577</v>
      </c>
      <c r="F276" s="78">
        <v>105</v>
      </c>
      <c r="G276" s="78">
        <v>31.66</v>
      </c>
      <c r="H276" s="78">
        <v>104.68</v>
      </c>
      <c r="I276" s="78">
        <v>22.76</v>
      </c>
      <c r="J276" s="78">
        <v>75.260000000000005</v>
      </c>
      <c r="K276" s="78">
        <v>15</v>
      </c>
      <c r="T276" s="78">
        <v>3</v>
      </c>
      <c r="U276" s="78">
        <v>2</v>
      </c>
      <c r="V276" s="78" t="s">
        <v>88</v>
      </c>
      <c r="W276" s="78">
        <v>104</v>
      </c>
      <c r="X276" s="78">
        <v>15</v>
      </c>
      <c r="Y276" s="78">
        <v>15</v>
      </c>
      <c r="Z276" s="78" t="s">
        <v>578</v>
      </c>
      <c r="AA276" s="78" t="s">
        <v>579</v>
      </c>
      <c r="AB276" s="78" t="s">
        <v>84</v>
      </c>
      <c r="AC276" s="78" t="s">
        <v>85</v>
      </c>
      <c r="AD276" s="78" t="s">
        <v>574</v>
      </c>
      <c r="AG276" s="78" t="s">
        <v>580</v>
      </c>
      <c r="AH276" s="78">
        <v>0</v>
      </c>
      <c r="AI276" s="78">
        <v>249</v>
      </c>
      <c r="AJ276" s="78">
        <v>20</v>
      </c>
      <c r="AK276" s="78">
        <v>79</v>
      </c>
      <c r="AL276" s="78">
        <v>0.75</v>
      </c>
    </row>
    <row r="277" spans="1:38" x14ac:dyDescent="0.3">
      <c r="A277" s="78" t="s">
        <v>581</v>
      </c>
      <c r="B277" s="78">
        <v>105137</v>
      </c>
      <c r="C277" s="78">
        <v>1</v>
      </c>
      <c r="D277" s="78" t="s">
        <v>582</v>
      </c>
      <c r="E277" s="78" t="s">
        <v>583</v>
      </c>
      <c r="F277" s="78">
        <v>318</v>
      </c>
      <c r="G277" s="78">
        <v>28.71</v>
      </c>
      <c r="H277" s="78">
        <v>94.91</v>
      </c>
      <c r="I277" s="78">
        <v>22.78</v>
      </c>
      <c r="J277" s="78">
        <v>75.319999999999993</v>
      </c>
      <c r="K277" s="78">
        <v>90</v>
      </c>
      <c r="T277" s="78">
        <v>3</v>
      </c>
      <c r="U277" s="78">
        <v>2</v>
      </c>
      <c r="V277" s="78" t="s">
        <v>88</v>
      </c>
      <c r="W277" s="78">
        <v>94</v>
      </c>
      <c r="X277" s="78">
        <v>15</v>
      </c>
      <c r="Y277" s="78">
        <v>13</v>
      </c>
      <c r="Z277" s="78" t="s">
        <v>584</v>
      </c>
      <c r="AA277" s="78" t="s">
        <v>585</v>
      </c>
      <c r="AB277" s="78" t="s">
        <v>84</v>
      </c>
      <c r="AC277" s="78" t="s">
        <v>85</v>
      </c>
      <c r="AD277" s="78" t="s">
        <v>586</v>
      </c>
      <c r="AG277" s="78" t="s">
        <v>587</v>
      </c>
      <c r="AH277" s="78">
        <v>0</v>
      </c>
      <c r="AI277" s="78">
        <v>141</v>
      </c>
      <c r="AJ277" s="78">
        <v>13</v>
      </c>
      <c r="AK277" s="78">
        <v>323</v>
      </c>
      <c r="AL277" s="78">
        <v>1.02</v>
      </c>
    </row>
    <row r="278" spans="1:38" x14ac:dyDescent="0.3">
      <c r="A278" s="78" t="s">
        <v>581</v>
      </c>
      <c r="B278" s="78">
        <v>105137</v>
      </c>
      <c r="C278" s="78">
        <v>2</v>
      </c>
      <c r="D278" s="78" t="s">
        <v>582</v>
      </c>
      <c r="E278" s="78" t="s">
        <v>583</v>
      </c>
      <c r="F278" s="78">
        <v>318</v>
      </c>
      <c r="G278" s="78">
        <v>32.35</v>
      </c>
      <c r="H278" s="78">
        <v>106.95</v>
      </c>
      <c r="I278" s="78">
        <v>25.67</v>
      </c>
      <c r="J278" s="78">
        <v>84.86</v>
      </c>
      <c r="K278" s="78">
        <v>99</v>
      </c>
      <c r="T278" s="78">
        <v>3</v>
      </c>
      <c r="U278" s="78">
        <v>2</v>
      </c>
      <c r="V278" s="78" t="s">
        <v>88</v>
      </c>
      <c r="W278" s="78" t="s">
        <v>135</v>
      </c>
      <c r="X278" s="78">
        <v>15</v>
      </c>
      <c r="Y278" s="78">
        <v>13</v>
      </c>
      <c r="Z278" s="78" t="s">
        <v>584</v>
      </c>
      <c r="AA278" s="78" t="s">
        <v>585</v>
      </c>
      <c r="AB278" s="78" t="s">
        <v>84</v>
      </c>
      <c r="AC278" s="78" t="s">
        <v>85</v>
      </c>
      <c r="AD278" s="78" t="s">
        <v>586</v>
      </c>
      <c r="AG278" s="78" t="s">
        <v>587</v>
      </c>
      <c r="AH278" s="78">
        <v>0</v>
      </c>
      <c r="AI278" s="78">
        <v>141</v>
      </c>
      <c r="AJ278" s="78">
        <v>13</v>
      </c>
      <c r="AK278" s="78">
        <v>323</v>
      </c>
      <c r="AL278" s="78">
        <v>1.02</v>
      </c>
    </row>
    <row r="279" spans="1:38" x14ac:dyDescent="0.3">
      <c r="A279" s="78" t="s">
        <v>581</v>
      </c>
      <c r="B279" s="78">
        <v>105137</v>
      </c>
      <c r="C279" s="78">
        <v>3</v>
      </c>
      <c r="D279" s="78" t="s">
        <v>582</v>
      </c>
      <c r="E279" s="78" t="s">
        <v>583</v>
      </c>
      <c r="F279" s="78">
        <v>318</v>
      </c>
      <c r="G279" s="78">
        <v>32.380000000000003</v>
      </c>
      <c r="H279" s="78">
        <v>107.07</v>
      </c>
      <c r="I279" s="78">
        <v>25.7</v>
      </c>
      <c r="J279" s="78">
        <v>84.97</v>
      </c>
      <c r="K279" s="78">
        <v>129</v>
      </c>
      <c r="T279" s="78">
        <v>3</v>
      </c>
      <c r="U279" s="78">
        <v>2</v>
      </c>
      <c r="V279" s="78" t="s">
        <v>88</v>
      </c>
      <c r="W279" s="78" t="s">
        <v>588</v>
      </c>
      <c r="X279" s="78">
        <v>15</v>
      </c>
      <c r="Y279" s="78">
        <v>13</v>
      </c>
      <c r="Z279" s="78" t="s">
        <v>584</v>
      </c>
      <c r="AA279" s="78" t="s">
        <v>585</v>
      </c>
      <c r="AB279" s="78" t="s">
        <v>84</v>
      </c>
      <c r="AC279" s="78" t="s">
        <v>85</v>
      </c>
      <c r="AD279" s="78" t="s">
        <v>586</v>
      </c>
      <c r="AG279" s="78" t="s">
        <v>587</v>
      </c>
      <c r="AH279" s="78">
        <v>0</v>
      </c>
      <c r="AI279" s="78">
        <v>141</v>
      </c>
      <c r="AJ279" s="78">
        <v>13</v>
      </c>
      <c r="AK279" s="78">
        <v>323</v>
      </c>
      <c r="AL279" s="78">
        <v>1.02</v>
      </c>
    </row>
    <row r="280" spans="1:38" x14ac:dyDescent="0.3">
      <c r="A280" s="78" t="s">
        <v>581</v>
      </c>
      <c r="B280" s="78">
        <v>125193</v>
      </c>
      <c r="C280" s="78">
        <v>1</v>
      </c>
      <c r="D280" s="78" t="s">
        <v>589</v>
      </c>
      <c r="E280" s="78" t="s">
        <v>590</v>
      </c>
      <c r="F280" s="78">
        <v>30</v>
      </c>
      <c r="G280" s="78">
        <v>24.55</v>
      </c>
      <c r="H280" s="78">
        <v>81.16</v>
      </c>
      <c r="I280" s="78">
        <v>20.7</v>
      </c>
      <c r="J280" s="78">
        <v>68.459999999999994</v>
      </c>
      <c r="K280" s="78">
        <v>5</v>
      </c>
      <c r="T280" s="78">
        <v>3</v>
      </c>
      <c r="U280" s="78">
        <v>2</v>
      </c>
      <c r="V280" s="78" t="s">
        <v>88</v>
      </c>
      <c r="W280" s="78">
        <v>81</v>
      </c>
      <c r="X280" s="78">
        <v>5</v>
      </c>
      <c r="Y280" s="78">
        <v>5</v>
      </c>
      <c r="Z280" s="78" t="s">
        <v>591</v>
      </c>
      <c r="AA280" s="78" t="s">
        <v>592</v>
      </c>
      <c r="AB280" s="78" t="s">
        <v>84</v>
      </c>
      <c r="AC280" s="78" t="s">
        <v>85</v>
      </c>
      <c r="AD280" s="78" t="s">
        <v>586</v>
      </c>
      <c r="AG280" s="78" t="s">
        <v>593</v>
      </c>
      <c r="AH280" s="78">
        <v>0</v>
      </c>
      <c r="AI280" s="78">
        <v>0</v>
      </c>
      <c r="AJ280" s="78">
        <v>0</v>
      </c>
      <c r="AK280" s="78">
        <v>0</v>
      </c>
      <c r="AL280" s="78">
        <v>0</v>
      </c>
    </row>
    <row r="281" spans="1:38" x14ac:dyDescent="0.3">
      <c r="A281" s="78" t="s">
        <v>581</v>
      </c>
      <c r="B281" s="78">
        <v>125193</v>
      </c>
      <c r="C281" s="78">
        <v>2</v>
      </c>
      <c r="D281" s="78" t="s">
        <v>589</v>
      </c>
      <c r="E281" s="78" t="s">
        <v>590</v>
      </c>
      <c r="F281" s="78">
        <v>30</v>
      </c>
      <c r="G281" s="78">
        <v>28.79</v>
      </c>
      <c r="H281" s="78">
        <v>95.2</v>
      </c>
      <c r="I281" s="78">
        <v>24.82</v>
      </c>
      <c r="J281" s="78">
        <v>82.05</v>
      </c>
      <c r="K281" s="78">
        <v>10</v>
      </c>
      <c r="T281" s="78">
        <v>3</v>
      </c>
      <c r="U281" s="78">
        <v>2</v>
      </c>
      <c r="V281" s="78" t="s">
        <v>88</v>
      </c>
      <c r="W281" s="78" t="s">
        <v>405</v>
      </c>
      <c r="X281" s="78">
        <v>5</v>
      </c>
      <c r="Y281" s="78">
        <v>5</v>
      </c>
      <c r="Z281" s="78" t="s">
        <v>591</v>
      </c>
      <c r="AA281" s="78" t="s">
        <v>592</v>
      </c>
      <c r="AB281" s="78" t="s">
        <v>84</v>
      </c>
      <c r="AC281" s="78" t="s">
        <v>85</v>
      </c>
      <c r="AD281" s="78" t="s">
        <v>586</v>
      </c>
      <c r="AG281" s="78" t="s">
        <v>593</v>
      </c>
      <c r="AH281" s="78">
        <v>0</v>
      </c>
      <c r="AI281" s="78">
        <v>0</v>
      </c>
      <c r="AJ281" s="78">
        <v>0</v>
      </c>
      <c r="AK281" s="78">
        <v>0</v>
      </c>
      <c r="AL281" s="78">
        <v>0</v>
      </c>
    </row>
    <row r="282" spans="1:38" x14ac:dyDescent="0.3">
      <c r="A282" s="78" t="s">
        <v>581</v>
      </c>
      <c r="B282" s="78">
        <v>125193</v>
      </c>
      <c r="C282" s="78">
        <v>3</v>
      </c>
      <c r="D282" s="78" t="s">
        <v>589</v>
      </c>
      <c r="E282" s="78" t="s">
        <v>590</v>
      </c>
      <c r="F282" s="78">
        <v>30</v>
      </c>
      <c r="G282" s="78">
        <v>28.93</v>
      </c>
      <c r="H282" s="78">
        <v>95.64</v>
      </c>
      <c r="I282" s="78">
        <v>24.95</v>
      </c>
      <c r="J282" s="78">
        <v>82.49</v>
      </c>
      <c r="K282" s="78">
        <v>10</v>
      </c>
      <c r="T282" s="78">
        <v>3</v>
      </c>
      <c r="U282" s="78">
        <v>2</v>
      </c>
      <c r="V282" s="78" t="s">
        <v>88</v>
      </c>
      <c r="W282" s="78" t="s">
        <v>404</v>
      </c>
      <c r="X282" s="78">
        <v>5</v>
      </c>
      <c r="Y282" s="78">
        <v>5</v>
      </c>
      <c r="Z282" s="78" t="s">
        <v>591</v>
      </c>
      <c r="AA282" s="78" t="s">
        <v>592</v>
      </c>
      <c r="AB282" s="78" t="s">
        <v>84</v>
      </c>
      <c r="AC282" s="78" t="s">
        <v>85</v>
      </c>
      <c r="AD282" s="78" t="s">
        <v>586</v>
      </c>
      <c r="AG282" s="78" t="s">
        <v>593</v>
      </c>
      <c r="AH282" s="78">
        <v>0</v>
      </c>
      <c r="AI282" s="78">
        <v>0</v>
      </c>
      <c r="AJ282" s="78">
        <v>0</v>
      </c>
      <c r="AK282" s="78">
        <v>0</v>
      </c>
      <c r="AL282" s="78">
        <v>0</v>
      </c>
    </row>
    <row r="283" spans="1:38" x14ac:dyDescent="0.3">
      <c r="A283" s="78" t="s">
        <v>581</v>
      </c>
      <c r="B283" s="78">
        <v>125193</v>
      </c>
      <c r="C283" s="78">
        <v>4</v>
      </c>
      <c r="D283" s="78" t="s">
        <v>589</v>
      </c>
      <c r="E283" s="78" t="s">
        <v>590</v>
      </c>
      <c r="F283" s="78">
        <v>30</v>
      </c>
      <c r="G283" s="78">
        <v>29.12</v>
      </c>
      <c r="H283" s="78">
        <v>96.28</v>
      </c>
      <c r="I283" s="78">
        <v>25.28</v>
      </c>
      <c r="J283" s="78">
        <v>83.58</v>
      </c>
      <c r="K283" s="78">
        <v>5</v>
      </c>
      <c r="T283" s="78">
        <v>3</v>
      </c>
      <c r="U283" s="78">
        <v>2</v>
      </c>
      <c r="V283" s="78" t="s">
        <v>88</v>
      </c>
      <c r="W283" s="78" t="s">
        <v>594</v>
      </c>
      <c r="X283" s="78">
        <v>5</v>
      </c>
      <c r="Y283" s="78">
        <v>5</v>
      </c>
      <c r="Z283" s="78" t="s">
        <v>591</v>
      </c>
      <c r="AA283" s="78" t="s">
        <v>592</v>
      </c>
      <c r="AB283" s="78" t="s">
        <v>84</v>
      </c>
      <c r="AC283" s="78" t="s">
        <v>85</v>
      </c>
      <c r="AD283" s="78" t="s">
        <v>586</v>
      </c>
      <c r="AG283" s="78" t="s">
        <v>593</v>
      </c>
      <c r="AH283" s="78">
        <v>0</v>
      </c>
      <c r="AI283" s="78">
        <v>0</v>
      </c>
      <c r="AJ283" s="78">
        <v>0</v>
      </c>
      <c r="AK283" s="78">
        <v>0</v>
      </c>
      <c r="AL283" s="78">
        <v>0</v>
      </c>
    </row>
    <row r="284" spans="1:38" x14ac:dyDescent="0.3">
      <c r="A284" s="78" t="s">
        <v>595</v>
      </c>
      <c r="B284" s="78">
        <v>14970</v>
      </c>
      <c r="C284" s="78">
        <v>1</v>
      </c>
      <c r="D284" s="78" t="s">
        <v>596</v>
      </c>
      <c r="E284" s="78" t="s">
        <v>597</v>
      </c>
      <c r="F284" s="78">
        <v>100</v>
      </c>
      <c r="G284" s="78">
        <v>24</v>
      </c>
      <c r="H284" s="78">
        <v>79.34</v>
      </c>
      <c r="I284" s="78">
        <v>22.23</v>
      </c>
      <c r="J284" s="78">
        <v>73.5</v>
      </c>
      <c r="K284" s="78">
        <v>100</v>
      </c>
      <c r="T284" s="78">
        <v>3</v>
      </c>
      <c r="U284" s="78">
        <v>1</v>
      </c>
      <c r="V284" s="78" t="s">
        <v>88</v>
      </c>
      <c r="W284" s="78">
        <v>79</v>
      </c>
      <c r="X284" s="78">
        <v>5</v>
      </c>
      <c r="Y284" s="78">
        <v>5</v>
      </c>
      <c r="Z284" s="78" t="s">
        <v>598</v>
      </c>
      <c r="AA284" s="78" t="s">
        <v>599</v>
      </c>
      <c r="AB284" s="78" t="s">
        <v>84</v>
      </c>
      <c r="AC284" s="78" t="s">
        <v>85</v>
      </c>
      <c r="AD284" s="78" t="s">
        <v>600</v>
      </c>
      <c r="AG284" s="78" t="s">
        <v>601</v>
      </c>
      <c r="AH284" s="78">
        <v>0</v>
      </c>
      <c r="AI284" s="78">
        <v>131</v>
      </c>
      <c r="AJ284" s="78">
        <v>26</v>
      </c>
      <c r="AK284" s="78">
        <v>0</v>
      </c>
      <c r="AL284" s="78">
        <v>0</v>
      </c>
    </row>
    <row r="285" spans="1:38" x14ac:dyDescent="0.3">
      <c r="A285" s="78" t="s">
        <v>595</v>
      </c>
      <c r="B285" s="78">
        <v>5035</v>
      </c>
      <c r="C285" s="78">
        <v>1</v>
      </c>
      <c r="D285" s="78" t="s">
        <v>148</v>
      </c>
      <c r="E285" s="78" t="s">
        <v>156</v>
      </c>
      <c r="F285" s="78">
        <v>716</v>
      </c>
      <c r="G285" s="78">
        <v>24.1</v>
      </c>
      <c r="H285" s="78">
        <v>79.69</v>
      </c>
      <c r="I285" s="78">
        <v>19.71</v>
      </c>
      <c r="J285" s="78">
        <v>65.16</v>
      </c>
      <c r="K285" s="78">
        <v>56</v>
      </c>
      <c r="T285" s="78">
        <v>3</v>
      </c>
      <c r="U285" s="78">
        <v>1</v>
      </c>
      <c r="V285" s="78" t="s">
        <v>88</v>
      </c>
      <c r="W285" s="78">
        <v>79</v>
      </c>
      <c r="X285" s="78">
        <v>15</v>
      </c>
      <c r="Y285" s="78">
        <v>12</v>
      </c>
      <c r="Z285" s="78" t="s">
        <v>602</v>
      </c>
      <c r="AA285" s="78" t="s">
        <v>603</v>
      </c>
      <c r="AB285" s="78" t="s">
        <v>84</v>
      </c>
      <c r="AC285" s="78" t="s">
        <v>85</v>
      </c>
      <c r="AD285" s="78" t="s">
        <v>600</v>
      </c>
      <c r="AG285" s="78" t="s">
        <v>604</v>
      </c>
      <c r="AH285" s="78">
        <v>0</v>
      </c>
      <c r="AI285" s="78">
        <v>0</v>
      </c>
      <c r="AJ285" s="78">
        <v>0</v>
      </c>
      <c r="AK285" s="78">
        <v>0</v>
      </c>
      <c r="AL285" s="78">
        <v>0</v>
      </c>
    </row>
    <row r="286" spans="1:38" x14ac:dyDescent="0.3">
      <c r="A286" s="78" t="s">
        <v>595</v>
      </c>
      <c r="B286" s="78">
        <v>5035</v>
      </c>
      <c r="C286" s="78">
        <v>2</v>
      </c>
      <c r="D286" s="78" t="s">
        <v>148</v>
      </c>
      <c r="E286" s="78" t="s">
        <v>156</v>
      </c>
      <c r="F286" s="78">
        <v>716</v>
      </c>
      <c r="G286" s="78">
        <v>28.15</v>
      </c>
      <c r="H286" s="78">
        <v>93.08</v>
      </c>
      <c r="I286" s="78">
        <v>22.99</v>
      </c>
      <c r="J286" s="78">
        <v>76.02</v>
      </c>
      <c r="K286" s="78">
        <v>198</v>
      </c>
      <c r="T286" s="78">
        <v>3</v>
      </c>
      <c r="U286" s="78">
        <v>1</v>
      </c>
      <c r="V286" s="78" t="s">
        <v>88</v>
      </c>
      <c r="W286" s="78">
        <v>93</v>
      </c>
      <c r="X286" s="78">
        <v>15</v>
      </c>
      <c r="Y286" s="78">
        <v>12</v>
      </c>
      <c r="Z286" s="78" t="s">
        <v>602</v>
      </c>
      <c r="AA286" s="78" t="s">
        <v>603</v>
      </c>
      <c r="AB286" s="78" t="s">
        <v>84</v>
      </c>
      <c r="AC286" s="78" t="s">
        <v>85</v>
      </c>
      <c r="AD286" s="78" t="s">
        <v>600</v>
      </c>
      <c r="AG286" s="78" t="s">
        <v>604</v>
      </c>
      <c r="AH286" s="78">
        <v>0</v>
      </c>
      <c r="AI286" s="78">
        <v>0</v>
      </c>
      <c r="AJ286" s="78">
        <v>0</v>
      </c>
      <c r="AK286" s="78">
        <v>0</v>
      </c>
      <c r="AL286" s="78">
        <v>0</v>
      </c>
    </row>
    <row r="287" spans="1:38" x14ac:dyDescent="0.3">
      <c r="A287" s="78" t="s">
        <v>595</v>
      </c>
      <c r="B287" s="78">
        <v>5035</v>
      </c>
      <c r="C287" s="78">
        <v>3</v>
      </c>
      <c r="D287" s="78" t="s">
        <v>148</v>
      </c>
      <c r="E287" s="78" t="s">
        <v>156</v>
      </c>
      <c r="F287" s="78">
        <v>716</v>
      </c>
      <c r="G287" s="78">
        <v>31.46</v>
      </c>
      <c r="H287" s="78">
        <v>104.01</v>
      </c>
      <c r="I287" s="78">
        <v>25.67</v>
      </c>
      <c r="J287" s="78">
        <v>84.87</v>
      </c>
      <c r="K287" s="78">
        <v>462</v>
      </c>
      <c r="T287" s="78">
        <v>3</v>
      </c>
      <c r="U287" s="78">
        <v>2</v>
      </c>
      <c r="V287" s="78" t="s">
        <v>88</v>
      </c>
      <c r="W287" s="78">
        <v>104</v>
      </c>
      <c r="X287" s="78">
        <v>15</v>
      </c>
      <c r="Y287" s="78">
        <v>12</v>
      </c>
      <c r="Z287" s="78" t="s">
        <v>602</v>
      </c>
      <c r="AA287" s="78" t="s">
        <v>603</v>
      </c>
      <c r="AB287" s="78" t="s">
        <v>84</v>
      </c>
      <c r="AC287" s="78" t="s">
        <v>85</v>
      </c>
      <c r="AD287" s="78" t="s">
        <v>600</v>
      </c>
      <c r="AG287" s="78" t="s">
        <v>604</v>
      </c>
      <c r="AH287" s="78">
        <v>0</v>
      </c>
      <c r="AI287" s="78">
        <v>0</v>
      </c>
      <c r="AJ287" s="78">
        <v>0</v>
      </c>
      <c r="AK287" s="78">
        <v>0</v>
      </c>
      <c r="AL287" s="78">
        <v>0</v>
      </c>
    </row>
    <row r="288" spans="1:38" x14ac:dyDescent="0.3">
      <c r="A288" s="78" t="s">
        <v>595</v>
      </c>
      <c r="B288" s="78">
        <v>24248</v>
      </c>
      <c r="C288" s="78">
        <v>1</v>
      </c>
      <c r="D288" s="78" t="s">
        <v>605</v>
      </c>
      <c r="E288" s="78" t="s">
        <v>211</v>
      </c>
      <c r="F288" s="78">
        <v>90</v>
      </c>
      <c r="G288" s="78">
        <v>31.19</v>
      </c>
      <c r="H288" s="78">
        <v>103.11</v>
      </c>
      <c r="I288" s="78">
        <v>25.7</v>
      </c>
      <c r="J288" s="78">
        <v>84.96</v>
      </c>
      <c r="K288" s="78">
        <v>90</v>
      </c>
      <c r="T288" s="78">
        <v>3</v>
      </c>
      <c r="U288" s="78">
        <v>2</v>
      </c>
      <c r="V288" s="78" t="s">
        <v>88</v>
      </c>
      <c r="W288" s="78">
        <v>103</v>
      </c>
      <c r="X288" s="78">
        <v>15</v>
      </c>
      <c r="Y288" s="78">
        <v>15</v>
      </c>
      <c r="Z288" s="78" t="s">
        <v>606</v>
      </c>
      <c r="AA288" s="78" t="s">
        <v>607</v>
      </c>
      <c r="AB288" s="78" t="s">
        <v>84</v>
      </c>
      <c r="AC288" s="78" t="s">
        <v>85</v>
      </c>
      <c r="AD288" s="78" t="s">
        <v>600</v>
      </c>
      <c r="AG288" s="78" t="s">
        <v>608</v>
      </c>
      <c r="AH288" s="78">
        <v>0</v>
      </c>
      <c r="AI288" s="78">
        <v>206</v>
      </c>
      <c r="AJ288" s="78">
        <v>16</v>
      </c>
      <c r="AK288" s="78">
        <v>93</v>
      </c>
      <c r="AL288" s="78">
        <v>1.03</v>
      </c>
    </row>
    <row r="289" spans="1:38" x14ac:dyDescent="0.3">
      <c r="A289" s="78" t="s">
        <v>595</v>
      </c>
      <c r="B289" s="78">
        <v>110388</v>
      </c>
      <c r="C289" s="78">
        <v>1</v>
      </c>
      <c r="D289" s="78" t="s">
        <v>609</v>
      </c>
      <c r="E289" s="78" t="s">
        <v>610</v>
      </c>
      <c r="F289" s="78">
        <v>28</v>
      </c>
      <c r="G289" s="78">
        <v>25.48</v>
      </c>
      <c r="H289" s="78">
        <v>84.25</v>
      </c>
      <c r="I289" s="78">
        <v>18.059999999999999</v>
      </c>
      <c r="J289" s="78">
        <v>59.72</v>
      </c>
      <c r="K289" s="78">
        <v>21</v>
      </c>
      <c r="T289" s="78">
        <v>3</v>
      </c>
      <c r="U289" s="78">
        <v>1</v>
      </c>
      <c r="V289" s="78" t="s">
        <v>88</v>
      </c>
      <c r="W289" s="78">
        <v>84</v>
      </c>
      <c r="X289" s="78">
        <v>8</v>
      </c>
      <c r="Y289" s="78">
        <v>8</v>
      </c>
      <c r="Z289" s="78" t="s">
        <v>611</v>
      </c>
      <c r="AA289" s="78" t="s">
        <v>612</v>
      </c>
      <c r="AB289" s="78" t="s">
        <v>84</v>
      </c>
      <c r="AC289" s="78" t="s">
        <v>85</v>
      </c>
      <c r="AD289" s="78" t="s">
        <v>600</v>
      </c>
      <c r="AG289" s="78" t="s">
        <v>613</v>
      </c>
      <c r="AH289" s="78">
        <v>0</v>
      </c>
      <c r="AI289" s="78">
        <v>239</v>
      </c>
      <c r="AJ289" s="78">
        <v>38</v>
      </c>
      <c r="AK289" s="78">
        <v>22</v>
      </c>
      <c r="AL289" s="78">
        <v>0.79</v>
      </c>
    </row>
    <row r="290" spans="1:38" x14ac:dyDescent="0.3">
      <c r="A290" s="78" t="s">
        <v>595</v>
      </c>
      <c r="B290" s="78">
        <v>110388</v>
      </c>
      <c r="C290" s="78">
        <v>2</v>
      </c>
      <c r="D290" s="78" t="s">
        <v>609</v>
      </c>
      <c r="E290" s="78" t="s">
        <v>610</v>
      </c>
      <c r="F290" s="78">
        <v>28</v>
      </c>
      <c r="G290" s="78">
        <v>26.22</v>
      </c>
      <c r="H290" s="78">
        <v>86.69</v>
      </c>
      <c r="I290" s="78">
        <v>18.579999999999998</v>
      </c>
      <c r="J290" s="78">
        <v>61.45</v>
      </c>
      <c r="K290" s="78">
        <v>7</v>
      </c>
      <c r="T290" s="78">
        <v>3</v>
      </c>
      <c r="U290" s="78">
        <v>1</v>
      </c>
      <c r="V290" s="78" t="s">
        <v>88</v>
      </c>
      <c r="W290" s="78">
        <v>86</v>
      </c>
      <c r="X290" s="78">
        <v>8</v>
      </c>
      <c r="Y290" s="78">
        <v>8</v>
      </c>
      <c r="Z290" s="78" t="s">
        <v>611</v>
      </c>
      <c r="AA290" s="78" t="s">
        <v>612</v>
      </c>
      <c r="AB290" s="78" t="s">
        <v>84</v>
      </c>
      <c r="AC290" s="78" t="s">
        <v>85</v>
      </c>
      <c r="AD290" s="78" t="s">
        <v>600</v>
      </c>
      <c r="AG290" s="78" t="s">
        <v>613</v>
      </c>
      <c r="AH290" s="78">
        <v>0</v>
      </c>
      <c r="AI290" s="78">
        <v>239</v>
      </c>
      <c r="AJ290" s="78">
        <v>38</v>
      </c>
      <c r="AK290" s="78">
        <v>22</v>
      </c>
      <c r="AL290" s="78">
        <v>0.79</v>
      </c>
    </row>
    <row r="291" spans="1:38" x14ac:dyDescent="0.3">
      <c r="A291" s="78" t="s">
        <v>614</v>
      </c>
      <c r="B291" s="78">
        <v>104842</v>
      </c>
      <c r="C291" s="78">
        <v>1</v>
      </c>
      <c r="D291" s="78" t="s">
        <v>615</v>
      </c>
      <c r="E291" s="78" t="s">
        <v>616</v>
      </c>
      <c r="F291" s="78">
        <v>498</v>
      </c>
      <c r="G291" s="78">
        <v>16.3</v>
      </c>
      <c r="H291" s="78">
        <v>53.9</v>
      </c>
      <c r="I291" s="78">
        <v>12.08</v>
      </c>
      <c r="J291" s="78">
        <v>39.96</v>
      </c>
      <c r="K291" s="78">
        <v>498</v>
      </c>
      <c r="T291" s="78">
        <v>2</v>
      </c>
      <c r="U291" s="78">
        <v>1</v>
      </c>
      <c r="V291" s="78" t="s">
        <v>88</v>
      </c>
      <c r="W291" s="78">
        <v>53</v>
      </c>
      <c r="X291" s="78">
        <v>18</v>
      </c>
      <c r="Y291" s="78">
        <v>13</v>
      </c>
      <c r="Z291" s="78" t="s">
        <v>617</v>
      </c>
      <c r="AA291" s="78" t="s">
        <v>618</v>
      </c>
      <c r="AB291" s="78" t="s">
        <v>84</v>
      </c>
      <c r="AC291" s="78" t="s">
        <v>85</v>
      </c>
      <c r="AD291" s="78" t="s">
        <v>619</v>
      </c>
      <c r="AG291" s="78" t="s">
        <v>620</v>
      </c>
      <c r="AH291" s="78">
        <v>0</v>
      </c>
      <c r="AI291" s="78">
        <v>0</v>
      </c>
      <c r="AJ291" s="78">
        <v>0</v>
      </c>
      <c r="AK291" s="78">
        <v>0</v>
      </c>
      <c r="AL291" s="78">
        <v>0</v>
      </c>
    </row>
    <row r="292" spans="1:38" x14ac:dyDescent="0.3">
      <c r="A292" s="78" t="s">
        <v>614</v>
      </c>
      <c r="B292" s="78">
        <v>27505</v>
      </c>
      <c r="C292" s="78">
        <v>1</v>
      </c>
      <c r="D292" s="78" t="s">
        <v>621</v>
      </c>
      <c r="E292" s="78" t="s">
        <v>622</v>
      </c>
      <c r="F292" s="78">
        <v>950</v>
      </c>
      <c r="G292" s="78">
        <v>33.35</v>
      </c>
      <c r="H292" s="78">
        <v>110.25</v>
      </c>
      <c r="I292" s="78">
        <v>25.61</v>
      </c>
      <c r="J292" s="78">
        <v>84.67</v>
      </c>
      <c r="K292" s="78">
        <v>120</v>
      </c>
      <c r="T292" s="78">
        <v>3</v>
      </c>
      <c r="U292" s="78">
        <v>2</v>
      </c>
      <c r="V292" s="78" t="s">
        <v>81</v>
      </c>
      <c r="W292" s="78" t="s">
        <v>102</v>
      </c>
      <c r="X292" s="78">
        <v>20</v>
      </c>
      <c r="Y292" s="78">
        <v>20</v>
      </c>
      <c r="Z292" s="78" t="s">
        <v>623</v>
      </c>
      <c r="AA292" s="78" t="s">
        <v>624</v>
      </c>
      <c r="AB292" s="78" t="s">
        <v>84</v>
      </c>
      <c r="AC292" s="78" t="s">
        <v>85</v>
      </c>
      <c r="AD292" s="78" t="s">
        <v>619</v>
      </c>
      <c r="AG292" s="78" t="s">
        <v>625</v>
      </c>
      <c r="AH292" s="78">
        <v>0</v>
      </c>
      <c r="AI292" s="78">
        <v>249</v>
      </c>
      <c r="AJ292" s="78">
        <v>15</v>
      </c>
      <c r="AK292" s="78">
        <v>1618</v>
      </c>
      <c r="AL292" s="78">
        <v>1.7</v>
      </c>
    </row>
    <row r="293" spans="1:38" x14ac:dyDescent="0.3">
      <c r="A293" s="78" t="s">
        <v>614</v>
      </c>
      <c r="B293" s="78">
        <v>27505</v>
      </c>
      <c r="C293" s="78">
        <v>2</v>
      </c>
      <c r="D293" s="78" t="s">
        <v>621</v>
      </c>
      <c r="E293" s="78" t="s">
        <v>622</v>
      </c>
      <c r="F293" s="78">
        <v>950</v>
      </c>
      <c r="G293" s="78">
        <v>33.409999999999997</v>
      </c>
      <c r="H293" s="78">
        <v>110.45</v>
      </c>
      <c r="I293" s="78">
        <v>25.66</v>
      </c>
      <c r="J293" s="78">
        <v>84.83</v>
      </c>
      <c r="K293" s="78">
        <v>39</v>
      </c>
      <c r="T293" s="78">
        <v>3</v>
      </c>
      <c r="U293" s="78">
        <v>2</v>
      </c>
      <c r="V293" s="78" t="s">
        <v>81</v>
      </c>
      <c r="W293" s="78" t="s">
        <v>101</v>
      </c>
      <c r="X293" s="78">
        <v>20</v>
      </c>
      <c r="Y293" s="78">
        <v>20</v>
      </c>
      <c r="Z293" s="78" t="s">
        <v>623</v>
      </c>
      <c r="AA293" s="78" t="s">
        <v>624</v>
      </c>
      <c r="AB293" s="78" t="s">
        <v>84</v>
      </c>
      <c r="AC293" s="78" t="s">
        <v>85</v>
      </c>
      <c r="AD293" s="78" t="s">
        <v>619</v>
      </c>
      <c r="AG293" s="78" t="s">
        <v>625</v>
      </c>
      <c r="AH293" s="78">
        <v>0</v>
      </c>
      <c r="AI293" s="78">
        <v>249</v>
      </c>
      <c r="AJ293" s="78">
        <v>15</v>
      </c>
      <c r="AK293" s="78">
        <v>1618</v>
      </c>
      <c r="AL293" s="78">
        <v>1.7</v>
      </c>
    </row>
    <row r="294" spans="1:38" x14ac:dyDescent="0.3">
      <c r="A294" s="78" t="s">
        <v>614</v>
      </c>
      <c r="B294" s="78">
        <v>27505</v>
      </c>
      <c r="C294" s="78">
        <v>3</v>
      </c>
      <c r="D294" s="78" t="s">
        <v>621</v>
      </c>
      <c r="E294" s="78" t="s">
        <v>622</v>
      </c>
      <c r="F294" s="78">
        <v>950</v>
      </c>
      <c r="G294" s="78">
        <v>33.78</v>
      </c>
      <c r="H294" s="78">
        <v>111.67</v>
      </c>
      <c r="I294" s="78">
        <v>25.69</v>
      </c>
      <c r="J294" s="78">
        <v>84.95</v>
      </c>
      <c r="K294" s="78">
        <v>40</v>
      </c>
      <c r="T294" s="78">
        <v>3</v>
      </c>
      <c r="U294" s="78">
        <v>2</v>
      </c>
      <c r="V294" s="78" t="s">
        <v>81</v>
      </c>
      <c r="W294" s="78" t="s">
        <v>428</v>
      </c>
      <c r="X294" s="78">
        <v>20</v>
      </c>
      <c r="Y294" s="78">
        <v>20</v>
      </c>
      <c r="Z294" s="78" t="s">
        <v>623</v>
      </c>
      <c r="AA294" s="78" t="s">
        <v>624</v>
      </c>
      <c r="AB294" s="78" t="s">
        <v>84</v>
      </c>
      <c r="AC294" s="78" t="s">
        <v>85</v>
      </c>
      <c r="AD294" s="78" t="s">
        <v>619</v>
      </c>
      <c r="AG294" s="78" t="s">
        <v>625</v>
      </c>
      <c r="AH294" s="78">
        <v>0</v>
      </c>
      <c r="AI294" s="78">
        <v>249</v>
      </c>
      <c r="AJ294" s="78">
        <v>15</v>
      </c>
      <c r="AK294" s="78">
        <v>1618</v>
      </c>
      <c r="AL294" s="78">
        <v>1.7</v>
      </c>
    </row>
    <row r="295" spans="1:38" x14ac:dyDescent="0.3">
      <c r="A295" s="78" t="s">
        <v>614</v>
      </c>
      <c r="B295" s="78">
        <v>27505</v>
      </c>
      <c r="C295" s="78">
        <v>4</v>
      </c>
      <c r="D295" s="78" t="s">
        <v>621</v>
      </c>
      <c r="E295" s="78" t="s">
        <v>622</v>
      </c>
      <c r="F295" s="78">
        <v>950</v>
      </c>
      <c r="G295" s="78">
        <v>44.31</v>
      </c>
      <c r="H295" s="78">
        <v>146.47999999999999</v>
      </c>
      <c r="I295" s="78">
        <v>34.33</v>
      </c>
      <c r="J295" s="78">
        <v>113.52</v>
      </c>
      <c r="K295" s="78">
        <v>114</v>
      </c>
      <c r="T295" s="78">
        <v>3</v>
      </c>
      <c r="U295" s="78">
        <v>2</v>
      </c>
      <c r="V295" s="78" t="s">
        <v>81</v>
      </c>
      <c r="W295" s="78">
        <v>146</v>
      </c>
      <c r="X295" s="78">
        <v>20</v>
      </c>
      <c r="Y295" s="78">
        <v>20</v>
      </c>
      <c r="Z295" s="78" t="s">
        <v>623</v>
      </c>
      <c r="AA295" s="78" t="s">
        <v>624</v>
      </c>
      <c r="AB295" s="78" t="s">
        <v>84</v>
      </c>
      <c r="AC295" s="78" t="s">
        <v>85</v>
      </c>
      <c r="AD295" s="78" t="s">
        <v>619</v>
      </c>
      <c r="AG295" s="78" t="s">
        <v>625</v>
      </c>
      <c r="AH295" s="78">
        <v>0</v>
      </c>
      <c r="AI295" s="78">
        <v>249</v>
      </c>
      <c r="AJ295" s="78">
        <v>15</v>
      </c>
      <c r="AK295" s="78">
        <v>1618</v>
      </c>
      <c r="AL295" s="78">
        <v>1.7</v>
      </c>
    </row>
    <row r="296" spans="1:38" x14ac:dyDescent="0.3">
      <c r="A296" s="78" t="s">
        <v>614</v>
      </c>
      <c r="B296" s="78">
        <v>27505</v>
      </c>
      <c r="C296" s="78">
        <v>5</v>
      </c>
      <c r="D296" s="78" t="s">
        <v>621</v>
      </c>
      <c r="E296" s="78" t="s">
        <v>622</v>
      </c>
      <c r="F296" s="78">
        <v>950</v>
      </c>
      <c r="G296" s="78">
        <v>48.4</v>
      </c>
      <c r="H296" s="78">
        <v>160.02000000000001</v>
      </c>
      <c r="I296" s="78">
        <v>39.57</v>
      </c>
      <c r="J296" s="78">
        <v>130.82</v>
      </c>
      <c r="K296" s="78">
        <v>320</v>
      </c>
      <c r="T296" s="78">
        <v>4</v>
      </c>
      <c r="U296" s="78">
        <v>2</v>
      </c>
      <c r="V296" s="78" t="s">
        <v>81</v>
      </c>
      <c r="W296" s="78" t="s">
        <v>626</v>
      </c>
      <c r="X296" s="78">
        <v>20</v>
      </c>
      <c r="Y296" s="78">
        <v>20</v>
      </c>
      <c r="Z296" s="78" t="s">
        <v>623</v>
      </c>
      <c r="AA296" s="78" t="s">
        <v>624</v>
      </c>
      <c r="AB296" s="78" t="s">
        <v>84</v>
      </c>
      <c r="AC296" s="78" t="s">
        <v>85</v>
      </c>
      <c r="AD296" s="78" t="s">
        <v>619</v>
      </c>
      <c r="AG296" s="78" t="s">
        <v>625</v>
      </c>
      <c r="AH296" s="78">
        <v>0</v>
      </c>
      <c r="AI296" s="78">
        <v>249</v>
      </c>
      <c r="AJ296" s="78">
        <v>15</v>
      </c>
      <c r="AK296" s="78">
        <v>1618</v>
      </c>
      <c r="AL296" s="78">
        <v>1.7</v>
      </c>
    </row>
    <row r="297" spans="1:38" x14ac:dyDescent="0.3">
      <c r="A297" s="78" t="s">
        <v>614</v>
      </c>
      <c r="B297" s="78">
        <v>27505</v>
      </c>
      <c r="C297" s="78">
        <v>6</v>
      </c>
      <c r="D297" s="78" t="s">
        <v>621</v>
      </c>
      <c r="E297" s="78" t="s">
        <v>622</v>
      </c>
      <c r="F297" s="78">
        <v>950</v>
      </c>
      <c r="G297" s="78">
        <v>48.4</v>
      </c>
      <c r="H297" s="78">
        <v>160.02000000000001</v>
      </c>
      <c r="I297" s="78">
        <v>39.57</v>
      </c>
      <c r="J297" s="78">
        <v>130.82</v>
      </c>
      <c r="K297" s="78">
        <v>78</v>
      </c>
      <c r="T297" s="78">
        <v>4</v>
      </c>
      <c r="U297" s="78">
        <v>2</v>
      </c>
      <c r="V297" s="78" t="s">
        <v>81</v>
      </c>
      <c r="W297" s="78" t="s">
        <v>627</v>
      </c>
      <c r="X297" s="78">
        <v>20</v>
      </c>
      <c r="Y297" s="78">
        <v>20</v>
      </c>
      <c r="Z297" s="78" t="s">
        <v>623</v>
      </c>
      <c r="AA297" s="78" t="s">
        <v>624</v>
      </c>
      <c r="AB297" s="78" t="s">
        <v>84</v>
      </c>
      <c r="AC297" s="78" t="s">
        <v>85</v>
      </c>
      <c r="AD297" s="78" t="s">
        <v>619</v>
      </c>
      <c r="AG297" s="78" t="s">
        <v>625</v>
      </c>
      <c r="AH297" s="78">
        <v>0</v>
      </c>
      <c r="AI297" s="78">
        <v>249</v>
      </c>
      <c r="AJ297" s="78">
        <v>15</v>
      </c>
      <c r="AK297" s="78">
        <v>1618</v>
      </c>
      <c r="AL297" s="78">
        <v>1.7</v>
      </c>
    </row>
    <row r="298" spans="1:38" x14ac:dyDescent="0.3">
      <c r="A298" s="78" t="s">
        <v>614</v>
      </c>
      <c r="B298" s="78">
        <v>27505</v>
      </c>
      <c r="C298" s="78">
        <v>7</v>
      </c>
      <c r="D298" s="78" t="s">
        <v>621</v>
      </c>
      <c r="E298" s="78" t="s">
        <v>622</v>
      </c>
      <c r="F298" s="78">
        <v>950</v>
      </c>
      <c r="G298" s="78">
        <v>53.43</v>
      </c>
      <c r="H298" s="78">
        <v>176.63</v>
      </c>
      <c r="I298" s="78">
        <v>42.27</v>
      </c>
      <c r="J298" s="78">
        <v>139.76</v>
      </c>
      <c r="K298" s="78">
        <v>160</v>
      </c>
      <c r="T298" s="78">
        <v>4</v>
      </c>
      <c r="U298" s="78">
        <v>2</v>
      </c>
      <c r="V298" s="78" t="s">
        <v>81</v>
      </c>
      <c r="W298" s="78">
        <v>176</v>
      </c>
      <c r="X298" s="78">
        <v>20</v>
      </c>
      <c r="Y298" s="78">
        <v>20</v>
      </c>
      <c r="Z298" s="78" t="s">
        <v>623</v>
      </c>
      <c r="AA298" s="78" t="s">
        <v>624</v>
      </c>
      <c r="AB298" s="78" t="s">
        <v>84</v>
      </c>
      <c r="AC298" s="78" t="s">
        <v>85</v>
      </c>
      <c r="AD298" s="78" t="s">
        <v>619</v>
      </c>
      <c r="AG298" s="78" t="s">
        <v>625</v>
      </c>
      <c r="AH298" s="78">
        <v>0</v>
      </c>
      <c r="AI298" s="78">
        <v>249</v>
      </c>
      <c r="AJ298" s="78">
        <v>15</v>
      </c>
      <c r="AK298" s="78">
        <v>1618</v>
      </c>
      <c r="AL298" s="78">
        <v>1.7</v>
      </c>
    </row>
    <row r="299" spans="1:38" x14ac:dyDescent="0.3">
      <c r="A299" s="78" t="s">
        <v>614</v>
      </c>
      <c r="B299" s="78">
        <v>27505</v>
      </c>
      <c r="C299" s="78">
        <v>8</v>
      </c>
      <c r="D299" s="78" t="s">
        <v>621</v>
      </c>
      <c r="E299" s="78" t="s">
        <v>622</v>
      </c>
      <c r="F299" s="78">
        <v>950</v>
      </c>
      <c r="G299" s="78">
        <v>61.46</v>
      </c>
      <c r="H299" s="78">
        <v>203.19</v>
      </c>
      <c r="I299" s="78">
        <v>52.07</v>
      </c>
      <c r="J299" s="78">
        <v>172.15</v>
      </c>
      <c r="K299" s="78">
        <v>40</v>
      </c>
      <c r="T299" s="78">
        <v>4</v>
      </c>
      <c r="U299" s="78">
        <v>2</v>
      </c>
      <c r="V299" s="78" t="s">
        <v>81</v>
      </c>
      <c r="W299" s="78" t="s">
        <v>628</v>
      </c>
      <c r="X299" s="78">
        <v>20</v>
      </c>
      <c r="Y299" s="78">
        <v>20</v>
      </c>
      <c r="Z299" s="78" t="s">
        <v>623</v>
      </c>
      <c r="AA299" s="78" t="s">
        <v>624</v>
      </c>
      <c r="AB299" s="78" t="s">
        <v>84</v>
      </c>
      <c r="AC299" s="78" t="s">
        <v>85</v>
      </c>
      <c r="AD299" s="78" t="s">
        <v>619</v>
      </c>
      <c r="AG299" s="78" t="s">
        <v>625</v>
      </c>
      <c r="AH299" s="78">
        <v>0</v>
      </c>
      <c r="AI299" s="78">
        <v>249</v>
      </c>
      <c r="AJ299" s="78">
        <v>15</v>
      </c>
      <c r="AK299" s="78">
        <v>1618</v>
      </c>
      <c r="AL299" s="78">
        <v>1.7</v>
      </c>
    </row>
    <row r="300" spans="1:38" x14ac:dyDescent="0.3">
      <c r="A300" s="78" t="s">
        <v>614</v>
      </c>
      <c r="B300" s="78">
        <v>27505</v>
      </c>
      <c r="C300" s="78">
        <v>9</v>
      </c>
      <c r="D300" s="78" t="s">
        <v>621</v>
      </c>
      <c r="E300" s="78" t="s">
        <v>622</v>
      </c>
      <c r="F300" s="78">
        <v>950</v>
      </c>
      <c r="G300" s="78">
        <v>61.97</v>
      </c>
      <c r="H300" s="78">
        <v>204.86</v>
      </c>
      <c r="I300" s="78">
        <v>51.63</v>
      </c>
      <c r="J300" s="78">
        <v>170.7</v>
      </c>
      <c r="K300" s="78">
        <v>39</v>
      </c>
      <c r="T300" s="78">
        <v>5</v>
      </c>
      <c r="U300" s="78">
        <v>2</v>
      </c>
      <c r="V300" s="78" t="s">
        <v>81</v>
      </c>
      <c r="W300" s="78" t="s">
        <v>629</v>
      </c>
      <c r="X300" s="78">
        <v>20</v>
      </c>
      <c r="Y300" s="78">
        <v>20</v>
      </c>
      <c r="Z300" s="78" t="s">
        <v>623</v>
      </c>
      <c r="AA300" s="78" t="s">
        <v>624</v>
      </c>
      <c r="AB300" s="78" t="s">
        <v>84</v>
      </c>
      <c r="AC300" s="78" t="s">
        <v>85</v>
      </c>
      <c r="AD300" s="78" t="s">
        <v>619</v>
      </c>
      <c r="AG300" s="78" t="s">
        <v>625</v>
      </c>
      <c r="AH300" s="78">
        <v>0</v>
      </c>
      <c r="AI300" s="78">
        <v>249</v>
      </c>
      <c r="AJ300" s="78">
        <v>15</v>
      </c>
      <c r="AK300" s="78">
        <v>1618</v>
      </c>
      <c r="AL300" s="78">
        <v>1.7</v>
      </c>
    </row>
    <row r="301" spans="1:38" x14ac:dyDescent="0.3">
      <c r="A301" s="78" t="s">
        <v>614</v>
      </c>
      <c r="B301" s="78">
        <v>109106</v>
      </c>
      <c r="C301" s="78">
        <v>1</v>
      </c>
      <c r="D301" s="78" t="s">
        <v>630</v>
      </c>
      <c r="E301" s="78" t="s">
        <v>631</v>
      </c>
      <c r="F301" s="78">
        <v>188</v>
      </c>
      <c r="G301" s="78">
        <v>16.71</v>
      </c>
      <c r="H301" s="78">
        <v>55.25</v>
      </c>
      <c r="I301" s="78">
        <v>11.73</v>
      </c>
      <c r="J301" s="78">
        <v>38.79</v>
      </c>
      <c r="K301" s="78">
        <v>188</v>
      </c>
      <c r="T301" s="78">
        <v>2</v>
      </c>
      <c r="U301" s="78">
        <v>1</v>
      </c>
      <c r="V301" s="78" t="s">
        <v>88</v>
      </c>
      <c r="W301" s="78">
        <v>55</v>
      </c>
      <c r="X301" s="78">
        <v>18</v>
      </c>
      <c r="Y301" s="78">
        <v>9</v>
      </c>
      <c r="Z301" s="78" t="s">
        <v>632</v>
      </c>
      <c r="AA301" s="78" t="s">
        <v>633</v>
      </c>
      <c r="AB301" s="78" t="s">
        <v>84</v>
      </c>
      <c r="AC301" s="78" t="s">
        <v>85</v>
      </c>
      <c r="AD301" s="78" t="s">
        <v>619</v>
      </c>
      <c r="AG301" s="78" t="s">
        <v>634</v>
      </c>
      <c r="AH301" s="78">
        <v>0</v>
      </c>
      <c r="AI301" s="78">
        <v>204</v>
      </c>
      <c r="AJ301" s="78">
        <v>13</v>
      </c>
      <c r="AK301" s="78">
        <v>133</v>
      </c>
      <c r="AL301" s="78">
        <v>0.71</v>
      </c>
    </row>
    <row r="302" spans="1:38" x14ac:dyDescent="0.3">
      <c r="A302" s="78" t="s">
        <v>614</v>
      </c>
      <c r="B302" s="78">
        <v>27504</v>
      </c>
      <c r="C302" s="78">
        <v>1</v>
      </c>
      <c r="D302" s="78" t="s">
        <v>635</v>
      </c>
      <c r="E302" s="78" t="s">
        <v>636</v>
      </c>
      <c r="F302" s="78">
        <v>307</v>
      </c>
      <c r="G302" s="78">
        <v>33.200000000000003</v>
      </c>
      <c r="H302" s="78">
        <v>109.78</v>
      </c>
      <c r="I302" s="78">
        <v>25.69</v>
      </c>
      <c r="J302" s="78">
        <v>84.95</v>
      </c>
      <c r="K302" s="78">
        <v>50</v>
      </c>
      <c r="T302" s="78">
        <v>3</v>
      </c>
      <c r="U302" s="78">
        <v>2</v>
      </c>
      <c r="V302" s="78" t="s">
        <v>81</v>
      </c>
      <c r="W302" s="78">
        <v>109</v>
      </c>
      <c r="X302" s="78">
        <v>15</v>
      </c>
      <c r="Y302" s="78">
        <v>9</v>
      </c>
      <c r="Z302" s="78" t="s">
        <v>637</v>
      </c>
      <c r="AA302" s="78" t="s">
        <v>638</v>
      </c>
      <c r="AB302" s="78" t="s">
        <v>84</v>
      </c>
      <c r="AC302" s="78" t="s">
        <v>85</v>
      </c>
      <c r="AD302" s="78" t="s">
        <v>619</v>
      </c>
      <c r="AG302" s="78" t="s">
        <v>639</v>
      </c>
      <c r="AH302" s="78">
        <v>0</v>
      </c>
      <c r="AI302" s="78">
        <v>244</v>
      </c>
      <c r="AJ302" s="78">
        <v>59</v>
      </c>
      <c r="AK302" s="78">
        <v>450</v>
      </c>
      <c r="AL302" s="78">
        <v>1.47</v>
      </c>
    </row>
    <row r="303" spans="1:38" x14ac:dyDescent="0.3">
      <c r="A303" s="78" t="s">
        <v>614</v>
      </c>
      <c r="B303" s="78">
        <v>27504</v>
      </c>
      <c r="C303" s="78">
        <v>2</v>
      </c>
      <c r="D303" s="78" t="s">
        <v>635</v>
      </c>
      <c r="E303" s="78" t="s">
        <v>636</v>
      </c>
      <c r="F303" s="78">
        <v>307</v>
      </c>
      <c r="G303" s="78">
        <v>39.299999999999997</v>
      </c>
      <c r="H303" s="78">
        <v>129.91999999999999</v>
      </c>
      <c r="I303" s="78">
        <v>31.1</v>
      </c>
      <c r="J303" s="78">
        <v>102.83</v>
      </c>
      <c r="K303" s="78">
        <v>52</v>
      </c>
      <c r="T303" s="78">
        <v>3</v>
      </c>
      <c r="U303" s="78">
        <v>2</v>
      </c>
      <c r="V303" s="78" t="s">
        <v>81</v>
      </c>
      <c r="W303" s="78" t="s">
        <v>209</v>
      </c>
      <c r="X303" s="78">
        <v>15</v>
      </c>
      <c r="Y303" s="78">
        <v>9</v>
      </c>
      <c r="Z303" s="78" t="s">
        <v>637</v>
      </c>
      <c r="AA303" s="78" t="s">
        <v>638</v>
      </c>
      <c r="AB303" s="78" t="s">
        <v>84</v>
      </c>
      <c r="AC303" s="78" t="s">
        <v>85</v>
      </c>
      <c r="AD303" s="78" t="s">
        <v>619</v>
      </c>
      <c r="AG303" s="78" t="s">
        <v>639</v>
      </c>
      <c r="AH303" s="78">
        <v>0</v>
      </c>
      <c r="AI303" s="78">
        <v>244</v>
      </c>
      <c r="AJ303" s="78">
        <v>59</v>
      </c>
      <c r="AK303" s="78">
        <v>450</v>
      </c>
      <c r="AL303" s="78">
        <v>1.47</v>
      </c>
    </row>
    <row r="304" spans="1:38" x14ac:dyDescent="0.3">
      <c r="A304" s="78" t="s">
        <v>614</v>
      </c>
      <c r="B304" s="78">
        <v>27504</v>
      </c>
      <c r="C304" s="78">
        <v>3</v>
      </c>
      <c r="D304" s="78" t="s">
        <v>635</v>
      </c>
      <c r="E304" s="78" t="s">
        <v>636</v>
      </c>
      <c r="F304" s="78">
        <v>307</v>
      </c>
      <c r="G304" s="78">
        <v>39.76</v>
      </c>
      <c r="H304" s="78">
        <v>131.47</v>
      </c>
      <c r="I304" s="78">
        <v>31.63</v>
      </c>
      <c r="J304" s="78">
        <v>104.59</v>
      </c>
      <c r="K304" s="78">
        <v>79</v>
      </c>
      <c r="T304" s="78">
        <v>3</v>
      </c>
      <c r="U304" s="78">
        <v>2</v>
      </c>
      <c r="V304" s="78" t="s">
        <v>81</v>
      </c>
      <c r="W304" s="78" t="s">
        <v>640</v>
      </c>
      <c r="X304" s="78">
        <v>15</v>
      </c>
      <c r="Y304" s="78">
        <v>9</v>
      </c>
      <c r="Z304" s="78" t="s">
        <v>637</v>
      </c>
      <c r="AA304" s="78" t="s">
        <v>638</v>
      </c>
      <c r="AB304" s="78" t="s">
        <v>84</v>
      </c>
      <c r="AC304" s="78" t="s">
        <v>85</v>
      </c>
      <c r="AD304" s="78" t="s">
        <v>619</v>
      </c>
      <c r="AG304" s="78" t="s">
        <v>639</v>
      </c>
      <c r="AH304" s="78">
        <v>0</v>
      </c>
      <c r="AI304" s="78">
        <v>244</v>
      </c>
      <c r="AJ304" s="78">
        <v>59</v>
      </c>
      <c r="AK304" s="78">
        <v>450</v>
      </c>
      <c r="AL304" s="78">
        <v>1.47</v>
      </c>
    </row>
    <row r="305" spans="1:38" x14ac:dyDescent="0.3">
      <c r="A305" s="78" t="s">
        <v>614</v>
      </c>
      <c r="B305" s="78">
        <v>27504</v>
      </c>
      <c r="C305" s="78">
        <v>4</v>
      </c>
      <c r="D305" s="78" t="s">
        <v>635</v>
      </c>
      <c r="E305" s="78" t="s">
        <v>636</v>
      </c>
      <c r="F305" s="78">
        <v>307</v>
      </c>
      <c r="G305" s="78">
        <v>47.88</v>
      </c>
      <c r="H305" s="78">
        <v>158.31</v>
      </c>
      <c r="I305" s="78">
        <v>38.479999999999997</v>
      </c>
      <c r="J305" s="78">
        <v>127.22</v>
      </c>
      <c r="K305" s="78">
        <v>77</v>
      </c>
      <c r="T305" s="78">
        <v>4</v>
      </c>
      <c r="U305" s="78">
        <v>2</v>
      </c>
      <c r="V305" s="78" t="s">
        <v>81</v>
      </c>
      <c r="W305" s="78" t="s">
        <v>641</v>
      </c>
      <c r="X305" s="78">
        <v>15</v>
      </c>
      <c r="Y305" s="78">
        <v>9</v>
      </c>
      <c r="Z305" s="78" t="s">
        <v>637</v>
      </c>
      <c r="AA305" s="78" t="s">
        <v>638</v>
      </c>
      <c r="AB305" s="78" t="s">
        <v>84</v>
      </c>
      <c r="AC305" s="78" t="s">
        <v>85</v>
      </c>
      <c r="AD305" s="78" t="s">
        <v>619</v>
      </c>
      <c r="AG305" s="78" t="s">
        <v>639</v>
      </c>
      <c r="AH305" s="78">
        <v>0</v>
      </c>
      <c r="AI305" s="78">
        <v>244</v>
      </c>
      <c r="AJ305" s="78">
        <v>59</v>
      </c>
      <c r="AK305" s="78">
        <v>450</v>
      </c>
      <c r="AL305" s="78">
        <v>1.47</v>
      </c>
    </row>
    <row r="306" spans="1:38" x14ac:dyDescent="0.3">
      <c r="A306" s="78" t="s">
        <v>614</v>
      </c>
      <c r="B306" s="78">
        <v>27504</v>
      </c>
      <c r="C306" s="78">
        <v>5</v>
      </c>
      <c r="D306" s="78" t="s">
        <v>635</v>
      </c>
      <c r="E306" s="78" t="s">
        <v>636</v>
      </c>
      <c r="F306" s="78">
        <v>307</v>
      </c>
      <c r="G306" s="78">
        <v>47.87</v>
      </c>
      <c r="H306" s="78">
        <v>158.25</v>
      </c>
      <c r="I306" s="78">
        <v>38.049999999999997</v>
      </c>
      <c r="J306" s="78">
        <v>125.79</v>
      </c>
      <c r="K306" s="78">
        <v>22</v>
      </c>
      <c r="T306" s="78">
        <v>4</v>
      </c>
      <c r="U306" s="78">
        <v>2</v>
      </c>
      <c r="V306" s="78" t="s">
        <v>81</v>
      </c>
      <c r="W306" s="78" t="s">
        <v>642</v>
      </c>
      <c r="X306" s="78">
        <v>15</v>
      </c>
      <c r="Y306" s="78">
        <v>9</v>
      </c>
      <c r="Z306" s="78" t="s">
        <v>637</v>
      </c>
      <c r="AA306" s="78" t="s">
        <v>638</v>
      </c>
      <c r="AB306" s="78" t="s">
        <v>84</v>
      </c>
      <c r="AC306" s="78" t="s">
        <v>85</v>
      </c>
      <c r="AD306" s="78" t="s">
        <v>619</v>
      </c>
      <c r="AG306" s="78" t="s">
        <v>639</v>
      </c>
      <c r="AH306" s="78">
        <v>0</v>
      </c>
      <c r="AI306" s="78">
        <v>244</v>
      </c>
      <c r="AJ306" s="78">
        <v>59</v>
      </c>
      <c r="AK306" s="78">
        <v>450</v>
      </c>
      <c r="AL306" s="78">
        <v>1.47</v>
      </c>
    </row>
    <row r="307" spans="1:38" x14ac:dyDescent="0.3">
      <c r="A307" s="78" t="s">
        <v>614</v>
      </c>
      <c r="B307" s="78">
        <v>27504</v>
      </c>
      <c r="C307" s="78">
        <v>6</v>
      </c>
      <c r="D307" s="78" t="s">
        <v>635</v>
      </c>
      <c r="E307" s="78" t="s">
        <v>636</v>
      </c>
      <c r="F307" s="78">
        <v>307</v>
      </c>
      <c r="G307" s="78">
        <v>57.3</v>
      </c>
      <c r="H307" s="78">
        <v>189.45</v>
      </c>
      <c r="I307" s="78">
        <v>45.22</v>
      </c>
      <c r="J307" s="78">
        <v>149.51</v>
      </c>
      <c r="K307" s="78">
        <v>26</v>
      </c>
      <c r="T307" s="78">
        <v>4</v>
      </c>
      <c r="U307" s="78">
        <v>2</v>
      </c>
      <c r="V307" s="78" t="s">
        <v>81</v>
      </c>
      <c r="W307" s="78">
        <v>189</v>
      </c>
      <c r="X307" s="78">
        <v>15</v>
      </c>
      <c r="Y307" s="78">
        <v>9</v>
      </c>
      <c r="Z307" s="78" t="s">
        <v>637</v>
      </c>
      <c r="AA307" s="78" t="s">
        <v>638</v>
      </c>
      <c r="AB307" s="78" t="s">
        <v>84</v>
      </c>
      <c r="AC307" s="78" t="s">
        <v>85</v>
      </c>
      <c r="AD307" s="78" t="s">
        <v>619</v>
      </c>
      <c r="AG307" s="78" t="s">
        <v>639</v>
      </c>
      <c r="AH307" s="78">
        <v>0</v>
      </c>
      <c r="AI307" s="78">
        <v>244</v>
      </c>
      <c r="AJ307" s="78">
        <v>59</v>
      </c>
      <c r="AK307" s="78">
        <v>450</v>
      </c>
      <c r="AL307" s="78">
        <v>1.47</v>
      </c>
    </row>
    <row r="308" spans="1:38" x14ac:dyDescent="0.3">
      <c r="A308" s="78" t="s">
        <v>614</v>
      </c>
      <c r="B308" s="78">
        <v>27504</v>
      </c>
      <c r="C308" s="78">
        <v>7</v>
      </c>
      <c r="D308" s="78" t="s">
        <v>635</v>
      </c>
      <c r="E308" s="78" t="s">
        <v>636</v>
      </c>
      <c r="F308" s="78">
        <v>307</v>
      </c>
      <c r="G308" s="78">
        <v>72.989999999999995</v>
      </c>
      <c r="H308" s="78">
        <v>241.31</v>
      </c>
      <c r="I308" s="78">
        <v>58.89</v>
      </c>
      <c r="J308" s="78">
        <v>194.71</v>
      </c>
      <c r="K308" s="78">
        <v>1</v>
      </c>
      <c r="T308" s="78">
        <v>4</v>
      </c>
      <c r="U308" s="78">
        <v>2</v>
      </c>
      <c r="V308" s="78" t="s">
        <v>81</v>
      </c>
      <c r="W308" s="78">
        <v>241</v>
      </c>
      <c r="X308" s="78">
        <v>15</v>
      </c>
      <c r="Y308" s="78">
        <v>9</v>
      </c>
      <c r="Z308" s="78" t="s">
        <v>637</v>
      </c>
      <c r="AA308" s="78" t="s">
        <v>638</v>
      </c>
      <c r="AB308" s="78" t="s">
        <v>84</v>
      </c>
      <c r="AC308" s="78" t="s">
        <v>85</v>
      </c>
      <c r="AD308" s="78" t="s">
        <v>619</v>
      </c>
      <c r="AG308" s="78" t="s">
        <v>639</v>
      </c>
      <c r="AH308" s="78">
        <v>0</v>
      </c>
      <c r="AI308" s="78">
        <v>244</v>
      </c>
      <c r="AJ308" s="78">
        <v>59</v>
      </c>
      <c r="AK308" s="78">
        <v>450</v>
      </c>
      <c r="AL308" s="78">
        <v>1.47</v>
      </c>
    </row>
    <row r="309" spans="1:38" x14ac:dyDescent="0.3">
      <c r="A309" s="78" t="s">
        <v>614</v>
      </c>
      <c r="B309" s="78">
        <v>128348</v>
      </c>
      <c r="C309" s="78">
        <v>1</v>
      </c>
      <c r="D309" s="78" t="s">
        <v>643</v>
      </c>
      <c r="E309" s="78" t="s">
        <v>644</v>
      </c>
      <c r="F309" s="78">
        <v>23</v>
      </c>
      <c r="G309" s="78">
        <v>10.18</v>
      </c>
      <c r="H309" s="78">
        <v>33.68</v>
      </c>
      <c r="I309" s="78">
        <v>7.48</v>
      </c>
      <c r="J309" s="78">
        <v>24.75</v>
      </c>
      <c r="K309" s="78">
        <v>1</v>
      </c>
      <c r="T309" s="78">
        <v>1</v>
      </c>
      <c r="U309" s="78">
        <v>1</v>
      </c>
      <c r="V309" s="78" t="s">
        <v>88</v>
      </c>
      <c r="W309" s="78">
        <v>33</v>
      </c>
      <c r="X309" s="78">
        <v>6</v>
      </c>
      <c r="Y309" s="78">
        <v>4</v>
      </c>
      <c r="Z309" s="78" t="s">
        <v>645</v>
      </c>
      <c r="AA309" s="78" t="s">
        <v>646</v>
      </c>
      <c r="AB309" s="78" t="s">
        <v>84</v>
      </c>
      <c r="AC309" s="78" t="s">
        <v>85</v>
      </c>
      <c r="AD309" s="78" t="s">
        <v>619</v>
      </c>
      <c r="AG309" s="78" t="s">
        <v>647</v>
      </c>
      <c r="AH309" s="78">
        <v>0</v>
      </c>
      <c r="AI309" s="78">
        <v>189</v>
      </c>
      <c r="AJ309" s="78">
        <v>46</v>
      </c>
      <c r="AK309" s="78">
        <v>15</v>
      </c>
      <c r="AL309" s="78">
        <v>0.65</v>
      </c>
    </row>
    <row r="310" spans="1:38" x14ac:dyDescent="0.3">
      <c r="A310" s="78" t="s">
        <v>614</v>
      </c>
      <c r="B310" s="78">
        <v>128348</v>
      </c>
      <c r="C310" s="78">
        <v>2</v>
      </c>
      <c r="D310" s="78" t="s">
        <v>643</v>
      </c>
      <c r="E310" s="78" t="s">
        <v>644</v>
      </c>
      <c r="F310" s="78">
        <v>23</v>
      </c>
      <c r="G310" s="78">
        <v>12.7</v>
      </c>
      <c r="H310" s="78">
        <v>42</v>
      </c>
      <c r="I310" s="78">
        <v>9.33</v>
      </c>
      <c r="J310" s="78">
        <v>30.87</v>
      </c>
      <c r="K310" s="78">
        <v>2</v>
      </c>
      <c r="T310" s="78">
        <v>1</v>
      </c>
      <c r="U310" s="78">
        <v>1</v>
      </c>
      <c r="V310" s="78" t="s">
        <v>88</v>
      </c>
      <c r="W310" s="78">
        <v>42</v>
      </c>
      <c r="X310" s="78">
        <v>6</v>
      </c>
      <c r="Y310" s="78">
        <v>4</v>
      </c>
      <c r="Z310" s="78" t="s">
        <v>645</v>
      </c>
      <c r="AA310" s="78" t="s">
        <v>646</v>
      </c>
      <c r="AB310" s="78" t="s">
        <v>84</v>
      </c>
      <c r="AC310" s="78" t="s">
        <v>85</v>
      </c>
      <c r="AD310" s="78" t="s">
        <v>619</v>
      </c>
      <c r="AG310" s="78" t="s">
        <v>647</v>
      </c>
      <c r="AH310" s="78">
        <v>0</v>
      </c>
      <c r="AI310" s="78">
        <v>189</v>
      </c>
      <c r="AJ310" s="78">
        <v>46</v>
      </c>
      <c r="AK310" s="78">
        <v>15</v>
      </c>
      <c r="AL310" s="78">
        <v>0.65</v>
      </c>
    </row>
    <row r="311" spans="1:38" x14ac:dyDescent="0.3">
      <c r="A311" s="78" t="s">
        <v>614</v>
      </c>
      <c r="B311" s="78">
        <v>128348</v>
      </c>
      <c r="C311" s="78">
        <v>3</v>
      </c>
      <c r="D311" s="78" t="s">
        <v>643</v>
      </c>
      <c r="E311" s="78" t="s">
        <v>644</v>
      </c>
      <c r="F311" s="78">
        <v>23</v>
      </c>
      <c r="G311" s="78">
        <v>14.46</v>
      </c>
      <c r="H311" s="78">
        <v>47.82</v>
      </c>
      <c r="I311" s="78">
        <v>10.63</v>
      </c>
      <c r="J311" s="78">
        <v>35.15</v>
      </c>
      <c r="K311" s="78">
        <v>5</v>
      </c>
      <c r="T311" s="78">
        <v>1</v>
      </c>
      <c r="U311" s="78">
        <v>1</v>
      </c>
      <c r="V311" s="78" t="s">
        <v>88</v>
      </c>
      <c r="W311" s="78">
        <v>47</v>
      </c>
      <c r="X311" s="78">
        <v>6</v>
      </c>
      <c r="Y311" s="78">
        <v>4</v>
      </c>
      <c r="Z311" s="78" t="s">
        <v>645</v>
      </c>
      <c r="AA311" s="78" t="s">
        <v>646</v>
      </c>
      <c r="AB311" s="78" t="s">
        <v>84</v>
      </c>
      <c r="AC311" s="78" t="s">
        <v>85</v>
      </c>
      <c r="AD311" s="78" t="s">
        <v>619</v>
      </c>
      <c r="AG311" s="78" t="s">
        <v>647</v>
      </c>
      <c r="AH311" s="78">
        <v>0</v>
      </c>
      <c r="AI311" s="78">
        <v>189</v>
      </c>
      <c r="AJ311" s="78">
        <v>46</v>
      </c>
      <c r="AK311" s="78">
        <v>15</v>
      </c>
      <c r="AL311" s="78">
        <v>0.65</v>
      </c>
    </row>
    <row r="312" spans="1:38" x14ac:dyDescent="0.3">
      <c r="A312" s="78" t="s">
        <v>614</v>
      </c>
      <c r="B312" s="78">
        <v>128348</v>
      </c>
      <c r="C312" s="78">
        <v>4</v>
      </c>
      <c r="D312" s="78" t="s">
        <v>643</v>
      </c>
      <c r="E312" s="78" t="s">
        <v>644</v>
      </c>
      <c r="F312" s="78">
        <v>23</v>
      </c>
      <c r="G312" s="78">
        <v>16.190000000000001</v>
      </c>
      <c r="H312" s="78">
        <v>53.54</v>
      </c>
      <c r="I312" s="78">
        <v>11.9</v>
      </c>
      <c r="J312" s="78">
        <v>39.36</v>
      </c>
      <c r="K312" s="78">
        <v>5</v>
      </c>
      <c r="T312" s="78">
        <v>1</v>
      </c>
      <c r="U312" s="78">
        <v>1</v>
      </c>
      <c r="V312" s="78" t="s">
        <v>88</v>
      </c>
      <c r="W312" s="78">
        <v>53</v>
      </c>
      <c r="X312" s="78">
        <v>6</v>
      </c>
      <c r="Y312" s="78">
        <v>4</v>
      </c>
      <c r="Z312" s="78" t="s">
        <v>645</v>
      </c>
      <c r="AA312" s="78" t="s">
        <v>646</v>
      </c>
      <c r="AB312" s="78" t="s">
        <v>84</v>
      </c>
      <c r="AC312" s="78" t="s">
        <v>85</v>
      </c>
      <c r="AD312" s="78" t="s">
        <v>619</v>
      </c>
      <c r="AG312" s="78" t="s">
        <v>647</v>
      </c>
      <c r="AH312" s="78">
        <v>0</v>
      </c>
      <c r="AI312" s="78">
        <v>189</v>
      </c>
      <c r="AJ312" s="78">
        <v>46</v>
      </c>
      <c r="AK312" s="78">
        <v>15</v>
      </c>
      <c r="AL312" s="78">
        <v>0.65</v>
      </c>
    </row>
    <row r="313" spans="1:38" x14ac:dyDescent="0.3">
      <c r="A313" s="78" t="s">
        <v>614</v>
      </c>
      <c r="B313" s="78">
        <v>128348</v>
      </c>
      <c r="C313" s="78">
        <v>5</v>
      </c>
      <c r="D313" s="78" t="s">
        <v>643</v>
      </c>
      <c r="E313" s="78" t="s">
        <v>644</v>
      </c>
      <c r="F313" s="78">
        <v>23</v>
      </c>
      <c r="G313" s="78">
        <v>17.88</v>
      </c>
      <c r="H313" s="78">
        <v>59.14</v>
      </c>
      <c r="I313" s="78">
        <v>13.14</v>
      </c>
      <c r="J313" s="78">
        <v>43.47</v>
      </c>
      <c r="K313" s="78">
        <v>10</v>
      </c>
      <c r="T313" s="78">
        <v>2</v>
      </c>
      <c r="U313" s="78">
        <v>1</v>
      </c>
      <c r="V313" s="78" t="s">
        <v>88</v>
      </c>
      <c r="W313" s="78">
        <v>59</v>
      </c>
      <c r="X313" s="78">
        <v>6</v>
      </c>
      <c r="Y313" s="78">
        <v>4</v>
      </c>
      <c r="Z313" s="78" t="s">
        <v>645</v>
      </c>
      <c r="AA313" s="78" t="s">
        <v>646</v>
      </c>
      <c r="AB313" s="78" t="s">
        <v>84</v>
      </c>
      <c r="AC313" s="78" t="s">
        <v>85</v>
      </c>
      <c r="AD313" s="78" t="s">
        <v>619</v>
      </c>
      <c r="AG313" s="78" t="s">
        <v>647</v>
      </c>
      <c r="AH313" s="78">
        <v>0</v>
      </c>
      <c r="AI313" s="78">
        <v>189</v>
      </c>
      <c r="AJ313" s="78">
        <v>46</v>
      </c>
      <c r="AK313" s="78">
        <v>15</v>
      </c>
      <c r="AL313" s="78">
        <v>0.65</v>
      </c>
    </row>
    <row r="314" spans="1:38" x14ac:dyDescent="0.3">
      <c r="A314" s="78" t="s">
        <v>614</v>
      </c>
      <c r="B314" s="78">
        <v>27131</v>
      </c>
      <c r="C314" s="78">
        <v>1</v>
      </c>
      <c r="D314" s="78" t="s">
        <v>648</v>
      </c>
      <c r="E314" s="78" t="s">
        <v>649</v>
      </c>
      <c r="F314" s="78">
        <v>1460</v>
      </c>
      <c r="G314" s="78">
        <v>19.43</v>
      </c>
      <c r="H314" s="78">
        <v>64.260000000000005</v>
      </c>
      <c r="I314" s="78">
        <v>14.82</v>
      </c>
      <c r="J314" s="78">
        <v>49.01</v>
      </c>
      <c r="K314" s="78">
        <v>36</v>
      </c>
      <c r="T314" s="78">
        <v>2</v>
      </c>
      <c r="U314" s="78">
        <v>1</v>
      </c>
      <c r="V314" s="78" t="s">
        <v>88</v>
      </c>
      <c r="W314" s="78" t="s">
        <v>391</v>
      </c>
      <c r="X314" s="78">
        <v>20</v>
      </c>
      <c r="Y314" s="78">
        <v>15</v>
      </c>
      <c r="Z314" s="78" t="s">
        <v>650</v>
      </c>
      <c r="AA314" s="78" t="s">
        <v>651</v>
      </c>
      <c r="AB314" s="78" t="s">
        <v>84</v>
      </c>
      <c r="AC314" s="78" t="s">
        <v>85</v>
      </c>
      <c r="AD314" s="78" t="s">
        <v>619</v>
      </c>
      <c r="AG314" s="78" t="s">
        <v>652</v>
      </c>
      <c r="AH314" s="78">
        <v>0</v>
      </c>
      <c r="AI314" s="78">
        <v>201</v>
      </c>
      <c r="AJ314" s="78">
        <v>15</v>
      </c>
      <c r="AK314" s="78">
        <v>1319</v>
      </c>
      <c r="AL314" s="78">
        <v>0.9</v>
      </c>
    </row>
    <row r="315" spans="1:38" x14ac:dyDescent="0.3">
      <c r="A315" s="78" t="s">
        <v>614</v>
      </c>
      <c r="B315" s="78">
        <v>27131</v>
      </c>
      <c r="C315" s="78">
        <v>2</v>
      </c>
      <c r="D315" s="78" t="s">
        <v>648</v>
      </c>
      <c r="E315" s="78" t="s">
        <v>649</v>
      </c>
      <c r="F315" s="78">
        <v>1460</v>
      </c>
      <c r="G315" s="78">
        <v>19.77</v>
      </c>
      <c r="H315" s="78">
        <v>65.37</v>
      </c>
      <c r="I315" s="78">
        <v>15.08</v>
      </c>
      <c r="J315" s="78">
        <v>49.86</v>
      </c>
      <c r="K315" s="78">
        <v>529</v>
      </c>
      <c r="T315" s="78">
        <v>2</v>
      </c>
      <c r="U315" s="78">
        <v>1</v>
      </c>
      <c r="V315" s="78" t="s">
        <v>88</v>
      </c>
      <c r="W315" s="78" t="s">
        <v>653</v>
      </c>
      <c r="X315" s="78">
        <v>20</v>
      </c>
      <c r="Y315" s="78">
        <v>15</v>
      </c>
      <c r="Z315" s="78" t="s">
        <v>650</v>
      </c>
      <c r="AA315" s="78" t="s">
        <v>651</v>
      </c>
      <c r="AB315" s="78" t="s">
        <v>84</v>
      </c>
      <c r="AC315" s="78" t="s">
        <v>85</v>
      </c>
      <c r="AD315" s="78" t="s">
        <v>619</v>
      </c>
      <c r="AG315" s="78" t="s">
        <v>652</v>
      </c>
      <c r="AH315" s="78">
        <v>0</v>
      </c>
      <c r="AI315" s="78">
        <v>201</v>
      </c>
      <c r="AJ315" s="78">
        <v>15</v>
      </c>
      <c r="AK315" s="78">
        <v>1319</v>
      </c>
      <c r="AL315" s="78">
        <v>0.9</v>
      </c>
    </row>
    <row r="316" spans="1:38" x14ac:dyDescent="0.3">
      <c r="A316" s="78" t="s">
        <v>614</v>
      </c>
      <c r="B316" s="78">
        <v>27131</v>
      </c>
      <c r="C316" s="78">
        <v>3</v>
      </c>
      <c r="D316" s="78" t="s">
        <v>648</v>
      </c>
      <c r="E316" s="78" t="s">
        <v>649</v>
      </c>
      <c r="F316" s="78">
        <v>1460</v>
      </c>
      <c r="G316" s="78">
        <v>19.66</v>
      </c>
      <c r="H316" s="78">
        <v>65.010000000000005</v>
      </c>
      <c r="I316" s="78">
        <v>14.99</v>
      </c>
      <c r="J316" s="78">
        <v>49.58</v>
      </c>
      <c r="K316" s="78">
        <v>55</v>
      </c>
      <c r="T316" s="78">
        <v>2</v>
      </c>
      <c r="U316" s="78">
        <v>1</v>
      </c>
      <c r="V316" s="78" t="s">
        <v>88</v>
      </c>
      <c r="W316" s="78" t="s">
        <v>228</v>
      </c>
      <c r="X316" s="78">
        <v>20</v>
      </c>
      <c r="Y316" s="78">
        <v>15</v>
      </c>
      <c r="Z316" s="78" t="s">
        <v>650</v>
      </c>
      <c r="AA316" s="78" t="s">
        <v>651</v>
      </c>
      <c r="AB316" s="78" t="s">
        <v>84</v>
      </c>
      <c r="AC316" s="78" t="s">
        <v>85</v>
      </c>
      <c r="AD316" s="78" t="s">
        <v>619</v>
      </c>
      <c r="AG316" s="78" t="s">
        <v>652</v>
      </c>
      <c r="AH316" s="78">
        <v>0</v>
      </c>
      <c r="AI316" s="78">
        <v>201</v>
      </c>
      <c r="AJ316" s="78">
        <v>15</v>
      </c>
      <c r="AK316" s="78">
        <v>1319</v>
      </c>
      <c r="AL316" s="78">
        <v>0.9</v>
      </c>
    </row>
    <row r="317" spans="1:38" x14ac:dyDescent="0.3">
      <c r="A317" s="78" t="s">
        <v>614</v>
      </c>
      <c r="B317" s="78">
        <v>27131</v>
      </c>
      <c r="C317" s="78">
        <v>4</v>
      </c>
      <c r="D317" s="78" t="s">
        <v>648</v>
      </c>
      <c r="E317" s="78" t="s">
        <v>649</v>
      </c>
      <c r="F317" s="78">
        <v>1460</v>
      </c>
      <c r="G317" s="78">
        <v>23.56</v>
      </c>
      <c r="H317" s="78">
        <v>77.91</v>
      </c>
      <c r="I317" s="78">
        <v>17.97</v>
      </c>
      <c r="J317" s="78">
        <v>59.42</v>
      </c>
      <c r="K317" s="78">
        <v>759</v>
      </c>
      <c r="T317" s="78">
        <v>3</v>
      </c>
      <c r="U317" s="78">
        <v>1</v>
      </c>
      <c r="V317" s="78" t="s">
        <v>88</v>
      </c>
      <c r="W317" s="78" t="s">
        <v>654</v>
      </c>
      <c r="X317" s="78">
        <v>20</v>
      </c>
      <c r="Y317" s="78">
        <v>15</v>
      </c>
      <c r="Z317" s="78" t="s">
        <v>650</v>
      </c>
      <c r="AA317" s="78" t="s">
        <v>651</v>
      </c>
      <c r="AB317" s="78" t="s">
        <v>84</v>
      </c>
      <c r="AC317" s="78" t="s">
        <v>85</v>
      </c>
      <c r="AD317" s="78" t="s">
        <v>619</v>
      </c>
      <c r="AG317" s="78" t="s">
        <v>652</v>
      </c>
      <c r="AH317" s="78">
        <v>0</v>
      </c>
      <c r="AI317" s="78">
        <v>201</v>
      </c>
      <c r="AJ317" s="78">
        <v>15</v>
      </c>
      <c r="AK317" s="78">
        <v>1319</v>
      </c>
      <c r="AL317" s="78">
        <v>0.9</v>
      </c>
    </row>
    <row r="318" spans="1:38" x14ac:dyDescent="0.3">
      <c r="A318" s="78" t="s">
        <v>614</v>
      </c>
      <c r="B318" s="78">
        <v>27131</v>
      </c>
      <c r="C318" s="78">
        <v>5</v>
      </c>
      <c r="D318" s="78" t="s">
        <v>648</v>
      </c>
      <c r="E318" s="78" t="s">
        <v>649</v>
      </c>
      <c r="F318" s="78">
        <v>1460</v>
      </c>
      <c r="G318" s="78">
        <v>23.48</v>
      </c>
      <c r="H318" s="78">
        <v>77.63</v>
      </c>
      <c r="I318" s="78">
        <v>17.91</v>
      </c>
      <c r="J318" s="78">
        <v>59.21</v>
      </c>
      <c r="K318" s="78">
        <v>81</v>
      </c>
      <c r="T318" s="78">
        <v>3</v>
      </c>
      <c r="U318" s="78">
        <v>1</v>
      </c>
      <c r="V318" s="78" t="s">
        <v>88</v>
      </c>
      <c r="W318" s="78" t="s">
        <v>655</v>
      </c>
      <c r="X318" s="78">
        <v>20</v>
      </c>
      <c r="Y318" s="78">
        <v>15</v>
      </c>
      <c r="Z318" s="78" t="s">
        <v>650</v>
      </c>
      <c r="AA318" s="78" t="s">
        <v>651</v>
      </c>
      <c r="AB318" s="78" t="s">
        <v>84</v>
      </c>
      <c r="AC318" s="78" t="s">
        <v>85</v>
      </c>
      <c r="AD318" s="78" t="s">
        <v>619</v>
      </c>
      <c r="AG318" s="78" t="s">
        <v>652</v>
      </c>
      <c r="AH318" s="78">
        <v>0</v>
      </c>
      <c r="AI318" s="78">
        <v>201</v>
      </c>
      <c r="AJ318" s="78">
        <v>15</v>
      </c>
      <c r="AK318" s="78">
        <v>1319</v>
      </c>
      <c r="AL318" s="78">
        <v>0.9</v>
      </c>
    </row>
    <row r="319" spans="1:38" x14ac:dyDescent="0.3">
      <c r="A319" s="78" t="s">
        <v>614</v>
      </c>
      <c r="B319" s="78">
        <v>114910</v>
      </c>
      <c r="C319" s="78">
        <v>1</v>
      </c>
      <c r="D319" s="78" t="s">
        <v>656</v>
      </c>
      <c r="E319" s="78" t="s">
        <v>657</v>
      </c>
      <c r="F319" s="78">
        <v>346</v>
      </c>
      <c r="G319" s="78">
        <v>13.68</v>
      </c>
      <c r="H319" s="78">
        <v>45.24</v>
      </c>
      <c r="I319" s="78">
        <v>9.92</v>
      </c>
      <c r="J319" s="78">
        <v>32.81</v>
      </c>
      <c r="K319" s="78">
        <v>12</v>
      </c>
      <c r="T319" s="78">
        <v>2</v>
      </c>
      <c r="U319" s="78">
        <v>1</v>
      </c>
      <c r="V319" s="78" t="s">
        <v>88</v>
      </c>
      <c r="W319" s="78">
        <v>45</v>
      </c>
      <c r="X319" s="78">
        <v>15</v>
      </c>
      <c r="Y319" s="78">
        <v>9</v>
      </c>
      <c r="Z319" s="78" t="s">
        <v>658</v>
      </c>
      <c r="AA319" s="78" t="s">
        <v>659</v>
      </c>
      <c r="AB319" s="78" t="s">
        <v>84</v>
      </c>
      <c r="AC319" s="78" t="s">
        <v>85</v>
      </c>
      <c r="AD319" s="78" t="s">
        <v>619</v>
      </c>
      <c r="AG319" s="78" t="s">
        <v>660</v>
      </c>
      <c r="AH319" s="78">
        <v>0</v>
      </c>
      <c r="AI319" s="78">
        <v>369</v>
      </c>
      <c r="AJ319" s="78">
        <v>34</v>
      </c>
      <c r="AK319" s="78">
        <v>207</v>
      </c>
      <c r="AL319" s="78">
        <v>0.6</v>
      </c>
    </row>
    <row r="320" spans="1:38" x14ac:dyDescent="0.3">
      <c r="A320" s="78" t="s">
        <v>614</v>
      </c>
      <c r="B320" s="78">
        <v>114910</v>
      </c>
      <c r="C320" s="78">
        <v>2</v>
      </c>
      <c r="D320" s="78" t="s">
        <v>656</v>
      </c>
      <c r="E320" s="78" t="s">
        <v>657</v>
      </c>
      <c r="F320" s="78">
        <v>346</v>
      </c>
      <c r="G320" s="78">
        <v>16.66</v>
      </c>
      <c r="H320" s="78">
        <v>55.08</v>
      </c>
      <c r="I320" s="78">
        <v>12.08</v>
      </c>
      <c r="J320" s="78">
        <v>39.950000000000003</v>
      </c>
      <c r="K320" s="78">
        <v>334</v>
      </c>
      <c r="T320" s="78">
        <v>2</v>
      </c>
      <c r="U320" s="78">
        <v>1</v>
      </c>
      <c r="V320" s="78" t="s">
        <v>88</v>
      </c>
      <c r="W320" s="78">
        <v>55</v>
      </c>
      <c r="X320" s="78">
        <v>15</v>
      </c>
      <c r="Y320" s="78">
        <v>9</v>
      </c>
      <c r="Z320" s="78" t="s">
        <v>658</v>
      </c>
      <c r="AA320" s="78" t="s">
        <v>659</v>
      </c>
      <c r="AB320" s="78" t="s">
        <v>84</v>
      </c>
      <c r="AC320" s="78" t="s">
        <v>85</v>
      </c>
      <c r="AD320" s="78" t="s">
        <v>619</v>
      </c>
      <c r="AG320" s="78" t="s">
        <v>660</v>
      </c>
      <c r="AH320" s="78">
        <v>0</v>
      </c>
      <c r="AI320" s="78">
        <v>369</v>
      </c>
      <c r="AJ320" s="78">
        <v>34</v>
      </c>
      <c r="AK320" s="78">
        <v>207</v>
      </c>
      <c r="AL320" s="78">
        <v>0.6</v>
      </c>
    </row>
    <row r="321" spans="1:38" x14ac:dyDescent="0.3">
      <c r="A321" s="78" t="s">
        <v>614</v>
      </c>
      <c r="B321" s="78">
        <v>27503</v>
      </c>
      <c r="C321" s="78">
        <v>1</v>
      </c>
      <c r="D321" s="78" t="s">
        <v>661</v>
      </c>
      <c r="E321" s="78" t="s">
        <v>662</v>
      </c>
      <c r="F321" s="78">
        <v>317</v>
      </c>
      <c r="G321" s="78">
        <v>35.04</v>
      </c>
      <c r="H321" s="78">
        <v>115.85</v>
      </c>
      <c r="I321" s="78">
        <v>25.67</v>
      </c>
      <c r="J321" s="78">
        <v>84.86</v>
      </c>
      <c r="K321" s="78">
        <v>233</v>
      </c>
      <c r="T321" s="78">
        <v>3</v>
      </c>
      <c r="U321" s="78">
        <v>2</v>
      </c>
      <c r="V321" s="78" t="s">
        <v>88</v>
      </c>
      <c r="W321" s="78">
        <v>115</v>
      </c>
      <c r="X321" s="78">
        <v>15</v>
      </c>
      <c r="Y321" s="78">
        <v>15</v>
      </c>
      <c r="Z321" s="78" t="s">
        <v>663</v>
      </c>
      <c r="AA321" s="78" t="s">
        <v>664</v>
      </c>
      <c r="AB321" s="78" t="s">
        <v>84</v>
      </c>
      <c r="AC321" s="78" t="s">
        <v>85</v>
      </c>
      <c r="AD321" s="78" t="s">
        <v>619</v>
      </c>
      <c r="AG321" s="78" t="s">
        <v>665</v>
      </c>
      <c r="AH321" s="78">
        <v>0</v>
      </c>
      <c r="AI321" s="78">
        <v>238</v>
      </c>
      <c r="AJ321" s="78">
        <v>35</v>
      </c>
      <c r="AK321" s="78">
        <v>388</v>
      </c>
      <c r="AL321" s="78">
        <v>1.22</v>
      </c>
    </row>
    <row r="322" spans="1:38" x14ac:dyDescent="0.3">
      <c r="A322" s="78" t="s">
        <v>614</v>
      </c>
      <c r="B322" s="78">
        <v>27503</v>
      </c>
      <c r="C322" s="78">
        <v>2</v>
      </c>
      <c r="D322" s="78" t="s">
        <v>661</v>
      </c>
      <c r="E322" s="78" t="s">
        <v>662</v>
      </c>
      <c r="F322" s="78">
        <v>317</v>
      </c>
      <c r="G322" s="78">
        <v>48.31</v>
      </c>
      <c r="H322" s="78">
        <v>159.72</v>
      </c>
      <c r="I322" s="78">
        <v>40.049999999999997</v>
      </c>
      <c r="J322" s="78">
        <v>132.41</v>
      </c>
      <c r="K322" s="78">
        <v>84</v>
      </c>
      <c r="T322" s="78">
        <v>4</v>
      </c>
      <c r="U322" s="78">
        <v>2</v>
      </c>
      <c r="V322" s="78" t="s">
        <v>88</v>
      </c>
      <c r="W322" s="78">
        <v>159</v>
      </c>
      <c r="X322" s="78">
        <v>15</v>
      </c>
      <c r="Y322" s="78">
        <v>15</v>
      </c>
      <c r="Z322" s="78" t="s">
        <v>663</v>
      </c>
      <c r="AA322" s="78" t="s">
        <v>664</v>
      </c>
      <c r="AB322" s="78" t="s">
        <v>84</v>
      </c>
      <c r="AC322" s="78" t="s">
        <v>85</v>
      </c>
      <c r="AD322" s="78" t="s">
        <v>619</v>
      </c>
      <c r="AG322" s="78" t="s">
        <v>665</v>
      </c>
      <c r="AH322" s="78">
        <v>0</v>
      </c>
      <c r="AI322" s="78">
        <v>238</v>
      </c>
      <c r="AJ322" s="78">
        <v>35</v>
      </c>
      <c r="AK322" s="78">
        <v>388</v>
      </c>
      <c r="AL322" s="78">
        <v>1.22</v>
      </c>
    </row>
    <row r="323" spans="1:38" x14ac:dyDescent="0.3">
      <c r="A323" s="78" t="s">
        <v>614</v>
      </c>
      <c r="B323" s="78">
        <v>104840</v>
      </c>
      <c r="C323" s="78">
        <v>1</v>
      </c>
      <c r="D323" s="78" t="s">
        <v>666</v>
      </c>
      <c r="E323" s="78" t="s">
        <v>631</v>
      </c>
      <c r="F323" s="78">
        <v>276</v>
      </c>
      <c r="G323" s="78">
        <v>20.84</v>
      </c>
      <c r="H323" s="78">
        <v>68.92</v>
      </c>
      <c r="I323" s="78">
        <v>14.79</v>
      </c>
      <c r="J323" s="78">
        <v>48.91</v>
      </c>
      <c r="K323" s="78">
        <v>78</v>
      </c>
      <c r="T323" s="78">
        <v>2</v>
      </c>
      <c r="U323" s="78">
        <v>1</v>
      </c>
      <c r="V323" s="78" t="s">
        <v>88</v>
      </c>
      <c r="W323" s="78" t="s">
        <v>667</v>
      </c>
      <c r="X323" s="78">
        <v>18</v>
      </c>
      <c r="Y323" s="78">
        <v>13</v>
      </c>
      <c r="Z323" s="78" t="s">
        <v>668</v>
      </c>
      <c r="AA323" s="78" t="s">
        <v>669</v>
      </c>
      <c r="AB323" s="78" t="s">
        <v>84</v>
      </c>
      <c r="AC323" s="78" t="s">
        <v>85</v>
      </c>
      <c r="AD323" s="78" t="s">
        <v>619</v>
      </c>
      <c r="AG323" s="78" t="s">
        <v>670</v>
      </c>
      <c r="AH323" s="78">
        <v>0</v>
      </c>
      <c r="AI323" s="78">
        <v>0</v>
      </c>
      <c r="AJ323" s="78">
        <v>0</v>
      </c>
      <c r="AK323" s="78">
        <v>0</v>
      </c>
      <c r="AL323" s="78">
        <v>0</v>
      </c>
    </row>
    <row r="324" spans="1:38" x14ac:dyDescent="0.3">
      <c r="A324" s="78" t="s">
        <v>614</v>
      </c>
      <c r="B324" s="78">
        <v>104840</v>
      </c>
      <c r="C324" s="78">
        <v>2</v>
      </c>
      <c r="D324" s="78" t="s">
        <v>666</v>
      </c>
      <c r="E324" s="78" t="s">
        <v>631</v>
      </c>
      <c r="F324" s="78">
        <v>276</v>
      </c>
      <c r="G324" s="78">
        <v>20.94</v>
      </c>
      <c r="H324" s="78">
        <v>69.25</v>
      </c>
      <c r="I324" s="78">
        <v>14.86</v>
      </c>
      <c r="J324" s="78">
        <v>49.14</v>
      </c>
      <c r="K324" s="78">
        <v>198</v>
      </c>
      <c r="T324" s="78">
        <v>2</v>
      </c>
      <c r="U324" s="78">
        <v>1</v>
      </c>
      <c r="V324" s="78" t="s">
        <v>88</v>
      </c>
      <c r="W324" s="78" t="s">
        <v>528</v>
      </c>
      <c r="X324" s="78">
        <v>18</v>
      </c>
      <c r="Y324" s="78">
        <v>13</v>
      </c>
      <c r="Z324" s="78" t="s">
        <v>668</v>
      </c>
      <c r="AA324" s="78" t="s">
        <v>669</v>
      </c>
      <c r="AB324" s="78" t="s">
        <v>84</v>
      </c>
      <c r="AC324" s="78" t="s">
        <v>85</v>
      </c>
      <c r="AD324" s="78" t="s">
        <v>619</v>
      </c>
      <c r="AG324" s="78" t="s">
        <v>670</v>
      </c>
      <c r="AH324" s="78">
        <v>0</v>
      </c>
      <c r="AI324" s="78">
        <v>0</v>
      </c>
      <c r="AJ324" s="78">
        <v>0</v>
      </c>
      <c r="AK324" s="78">
        <v>0</v>
      </c>
      <c r="AL324" s="78">
        <v>0</v>
      </c>
    </row>
    <row r="325" spans="1:38" x14ac:dyDescent="0.3">
      <c r="A325" s="78" t="s">
        <v>614</v>
      </c>
      <c r="B325" s="78">
        <v>126472</v>
      </c>
      <c r="C325" s="78">
        <v>1</v>
      </c>
      <c r="D325" s="78" t="s">
        <v>671</v>
      </c>
      <c r="E325" s="78" t="s">
        <v>672</v>
      </c>
      <c r="F325" s="78">
        <v>16</v>
      </c>
      <c r="G325" s="78">
        <v>26.21</v>
      </c>
      <c r="H325" s="78">
        <v>86.66</v>
      </c>
      <c r="I325" s="78">
        <v>22.65</v>
      </c>
      <c r="J325" s="78">
        <v>74.900000000000006</v>
      </c>
      <c r="K325" s="78">
        <v>16</v>
      </c>
      <c r="T325" s="78">
        <v>3</v>
      </c>
      <c r="U325" s="78">
        <v>2</v>
      </c>
      <c r="V325" s="78" t="s">
        <v>88</v>
      </c>
      <c r="W325" s="78">
        <v>86</v>
      </c>
      <c r="X325" s="78">
        <v>5</v>
      </c>
      <c r="Y325" s="78">
        <v>5</v>
      </c>
      <c r="Z325" s="78" t="s">
        <v>673</v>
      </c>
      <c r="AA325" s="78" t="s">
        <v>674</v>
      </c>
      <c r="AB325" s="78" t="s">
        <v>84</v>
      </c>
      <c r="AC325" s="78" t="s">
        <v>85</v>
      </c>
      <c r="AD325" s="78" t="s">
        <v>619</v>
      </c>
      <c r="AG325" s="78" t="s">
        <v>675</v>
      </c>
      <c r="AH325" s="78">
        <v>0</v>
      </c>
      <c r="AI325" s="78">
        <v>214</v>
      </c>
      <c r="AJ325" s="78">
        <v>20</v>
      </c>
      <c r="AK325" s="78">
        <v>16</v>
      </c>
      <c r="AL325" s="78">
        <v>1</v>
      </c>
    </row>
    <row r="326" spans="1:38" x14ac:dyDescent="0.3">
      <c r="A326" s="78" t="s">
        <v>614</v>
      </c>
      <c r="B326" s="78">
        <v>16988</v>
      </c>
      <c r="C326" s="78">
        <v>1</v>
      </c>
      <c r="D326" s="78" t="s">
        <v>676</v>
      </c>
      <c r="E326" s="78" t="s">
        <v>677</v>
      </c>
      <c r="F326" s="78">
        <v>874</v>
      </c>
      <c r="G326" s="78">
        <v>20.66</v>
      </c>
      <c r="H326" s="78">
        <v>68.3</v>
      </c>
      <c r="I326" s="78">
        <v>15.2</v>
      </c>
      <c r="J326" s="78">
        <v>50.28</v>
      </c>
      <c r="K326" s="78">
        <v>288</v>
      </c>
      <c r="T326" s="78">
        <v>2</v>
      </c>
      <c r="U326" s="78">
        <v>1</v>
      </c>
      <c r="V326" s="78" t="s">
        <v>81</v>
      </c>
      <c r="W326" s="78" t="s">
        <v>678</v>
      </c>
      <c r="X326" s="78">
        <v>20</v>
      </c>
      <c r="Y326" s="78">
        <v>15</v>
      </c>
      <c r="Z326" s="78" t="s">
        <v>679</v>
      </c>
      <c r="AA326" s="78" t="s">
        <v>680</v>
      </c>
      <c r="AB326" s="78" t="s">
        <v>84</v>
      </c>
      <c r="AC326" s="78" t="s">
        <v>85</v>
      </c>
      <c r="AD326" s="78" t="s">
        <v>619</v>
      </c>
      <c r="AG326" s="78" t="s">
        <v>681</v>
      </c>
      <c r="AH326" s="78">
        <v>0</v>
      </c>
      <c r="AI326" s="78">
        <v>209</v>
      </c>
      <c r="AJ326" s="78">
        <v>17</v>
      </c>
      <c r="AK326" s="78">
        <v>782</v>
      </c>
      <c r="AL326" s="78">
        <v>0.89</v>
      </c>
    </row>
    <row r="327" spans="1:38" x14ac:dyDescent="0.3">
      <c r="A327" s="78" t="s">
        <v>614</v>
      </c>
      <c r="B327" s="78">
        <v>16988</v>
      </c>
      <c r="C327" s="78">
        <v>2</v>
      </c>
      <c r="D327" s="78" t="s">
        <v>676</v>
      </c>
      <c r="E327" s="78" t="s">
        <v>677</v>
      </c>
      <c r="F327" s="78">
        <v>874</v>
      </c>
      <c r="G327" s="78">
        <v>21.34</v>
      </c>
      <c r="H327" s="78">
        <v>70.55</v>
      </c>
      <c r="I327" s="78">
        <v>15.71</v>
      </c>
      <c r="J327" s="78">
        <v>51.94</v>
      </c>
      <c r="K327" s="78">
        <v>4</v>
      </c>
      <c r="T327" s="78">
        <v>2</v>
      </c>
      <c r="U327" s="78">
        <v>1</v>
      </c>
      <c r="V327" s="78" t="s">
        <v>88</v>
      </c>
      <c r="W327" s="78" t="s">
        <v>682</v>
      </c>
      <c r="X327" s="78">
        <v>20</v>
      </c>
      <c r="Y327" s="78">
        <v>15</v>
      </c>
      <c r="Z327" s="78" t="s">
        <v>679</v>
      </c>
      <c r="AA327" s="78" t="s">
        <v>680</v>
      </c>
      <c r="AB327" s="78" t="s">
        <v>84</v>
      </c>
      <c r="AC327" s="78" t="s">
        <v>85</v>
      </c>
      <c r="AD327" s="78" t="s">
        <v>619</v>
      </c>
      <c r="AG327" s="78" t="s">
        <v>681</v>
      </c>
      <c r="AH327" s="78">
        <v>0</v>
      </c>
      <c r="AI327" s="78">
        <v>209</v>
      </c>
      <c r="AJ327" s="78">
        <v>17</v>
      </c>
      <c r="AK327" s="78">
        <v>782</v>
      </c>
      <c r="AL327" s="78">
        <v>0.89</v>
      </c>
    </row>
    <row r="328" spans="1:38" x14ac:dyDescent="0.3">
      <c r="A328" s="78" t="s">
        <v>614</v>
      </c>
      <c r="B328" s="78">
        <v>16988</v>
      </c>
      <c r="C328" s="78">
        <v>3</v>
      </c>
      <c r="D328" s="78" t="s">
        <v>676</v>
      </c>
      <c r="E328" s="78" t="s">
        <v>677</v>
      </c>
      <c r="F328" s="78">
        <v>874</v>
      </c>
      <c r="G328" s="78">
        <v>24.4</v>
      </c>
      <c r="H328" s="78">
        <v>80.67</v>
      </c>
      <c r="I328" s="78">
        <v>17.96</v>
      </c>
      <c r="J328" s="78">
        <v>59.39</v>
      </c>
      <c r="K328" s="78">
        <v>267</v>
      </c>
      <c r="T328" s="78">
        <v>3</v>
      </c>
      <c r="U328" s="78">
        <v>1</v>
      </c>
      <c r="V328" s="78" t="s">
        <v>88</v>
      </c>
      <c r="W328" s="78" t="s">
        <v>176</v>
      </c>
      <c r="X328" s="78">
        <v>20</v>
      </c>
      <c r="Y328" s="78">
        <v>15</v>
      </c>
      <c r="Z328" s="78" t="s">
        <v>679</v>
      </c>
      <c r="AA328" s="78" t="s">
        <v>680</v>
      </c>
      <c r="AB328" s="78" t="s">
        <v>84</v>
      </c>
      <c r="AC328" s="78" t="s">
        <v>85</v>
      </c>
      <c r="AD328" s="78" t="s">
        <v>619</v>
      </c>
      <c r="AG328" s="78" t="s">
        <v>681</v>
      </c>
      <c r="AH328" s="78">
        <v>0</v>
      </c>
      <c r="AI328" s="78">
        <v>209</v>
      </c>
      <c r="AJ328" s="78">
        <v>17</v>
      </c>
      <c r="AK328" s="78">
        <v>782</v>
      </c>
      <c r="AL328" s="78">
        <v>0.89</v>
      </c>
    </row>
    <row r="329" spans="1:38" x14ac:dyDescent="0.3">
      <c r="A329" s="78" t="s">
        <v>614</v>
      </c>
      <c r="B329" s="78">
        <v>16988</v>
      </c>
      <c r="C329" s="78">
        <v>4</v>
      </c>
      <c r="D329" s="78" t="s">
        <v>676</v>
      </c>
      <c r="E329" s="78" t="s">
        <v>677</v>
      </c>
      <c r="F329" s="78">
        <v>874</v>
      </c>
      <c r="G329" s="78">
        <v>24.41</v>
      </c>
      <c r="H329" s="78">
        <v>80.7</v>
      </c>
      <c r="I329" s="78">
        <v>17.97</v>
      </c>
      <c r="J329" s="78">
        <v>59.41</v>
      </c>
      <c r="K329" s="78">
        <v>76</v>
      </c>
      <c r="T329" s="78">
        <v>3</v>
      </c>
      <c r="U329" s="78">
        <v>1</v>
      </c>
      <c r="V329" s="78" t="s">
        <v>88</v>
      </c>
      <c r="W329" s="78" t="s">
        <v>683</v>
      </c>
      <c r="X329" s="78">
        <v>20</v>
      </c>
      <c r="Y329" s="78">
        <v>15</v>
      </c>
      <c r="Z329" s="78" t="s">
        <v>679</v>
      </c>
      <c r="AA329" s="78" t="s">
        <v>680</v>
      </c>
      <c r="AB329" s="78" t="s">
        <v>84</v>
      </c>
      <c r="AC329" s="78" t="s">
        <v>85</v>
      </c>
      <c r="AD329" s="78" t="s">
        <v>619</v>
      </c>
      <c r="AG329" s="78" t="s">
        <v>681</v>
      </c>
      <c r="AH329" s="78">
        <v>0</v>
      </c>
      <c r="AI329" s="78">
        <v>209</v>
      </c>
      <c r="AJ329" s="78">
        <v>17</v>
      </c>
      <c r="AK329" s="78">
        <v>782</v>
      </c>
      <c r="AL329" s="78">
        <v>0.89</v>
      </c>
    </row>
    <row r="330" spans="1:38" x14ac:dyDescent="0.3">
      <c r="A330" s="78" t="s">
        <v>614</v>
      </c>
      <c r="B330" s="78">
        <v>16988</v>
      </c>
      <c r="C330" s="78">
        <v>5</v>
      </c>
      <c r="D330" s="78" t="s">
        <v>676</v>
      </c>
      <c r="E330" s="78" t="s">
        <v>677</v>
      </c>
      <c r="F330" s="78">
        <v>874</v>
      </c>
      <c r="G330" s="78">
        <v>24.38</v>
      </c>
      <c r="H330" s="78">
        <v>80.61</v>
      </c>
      <c r="I330" s="78">
        <v>17.95</v>
      </c>
      <c r="J330" s="78">
        <v>59.34</v>
      </c>
      <c r="K330" s="78">
        <v>15</v>
      </c>
      <c r="T330" s="78">
        <v>3</v>
      </c>
      <c r="U330" s="78">
        <v>1</v>
      </c>
      <c r="V330" s="78" t="s">
        <v>88</v>
      </c>
      <c r="W330" s="78" t="s">
        <v>171</v>
      </c>
      <c r="X330" s="78">
        <v>20</v>
      </c>
      <c r="Y330" s="78">
        <v>15</v>
      </c>
      <c r="Z330" s="78" t="s">
        <v>679</v>
      </c>
      <c r="AA330" s="78" t="s">
        <v>680</v>
      </c>
      <c r="AB330" s="78" t="s">
        <v>84</v>
      </c>
      <c r="AC330" s="78" t="s">
        <v>85</v>
      </c>
      <c r="AD330" s="78" t="s">
        <v>619</v>
      </c>
      <c r="AG330" s="78" t="s">
        <v>681</v>
      </c>
      <c r="AH330" s="78">
        <v>0</v>
      </c>
      <c r="AI330" s="78">
        <v>209</v>
      </c>
      <c r="AJ330" s="78">
        <v>17</v>
      </c>
      <c r="AK330" s="78">
        <v>782</v>
      </c>
      <c r="AL330" s="78">
        <v>0.89</v>
      </c>
    </row>
    <row r="331" spans="1:38" x14ac:dyDescent="0.3">
      <c r="A331" s="78" t="s">
        <v>614</v>
      </c>
      <c r="B331" s="78">
        <v>16988</v>
      </c>
      <c r="C331" s="78">
        <v>6</v>
      </c>
      <c r="D331" s="78" t="s">
        <v>676</v>
      </c>
      <c r="E331" s="78" t="s">
        <v>677</v>
      </c>
      <c r="F331" s="78">
        <v>874</v>
      </c>
      <c r="G331" s="78">
        <v>34.65</v>
      </c>
      <c r="H331" s="78">
        <v>114.57</v>
      </c>
      <c r="I331" s="78">
        <v>25.51</v>
      </c>
      <c r="J331" s="78">
        <v>84.34</v>
      </c>
      <c r="K331" s="78">
        <v>224</v>
      </c>
      <c r="T331" s="78">
        <v>3</v>
      </c>
      <c r="U331" s="78">
        <v>1</v>
      </c>
      <c r="V331" s="78" t="s">
        <v>88</v>
      </c>
      <c r="W331" s="78">
        <v>114</v>
      </c>
      <c r="X331" s="78">
        <v>20</v>
      </c>
      <c r="Y331" s="78">
        <v>15</v>
      </c>
      <c r="Z331" s="78" t="s">
        <v>679</v>
      </c>
      <c r="AA331" s="78" t="s">
        <v>680</v>
      </c>
      <c r="AB331" s="78" t="s">
        <v>84</v>
      </c>
      <c r="AC331" s="78" t="s">
        <v>85</v>
      </c>
      <c r="AD331" s="78" t="s">
        <v>619</v>
      </c>
      <c r="AG331" s="78" t="s">
        <v>681</v>
      </c>
      <c r="AH331" s="78">
        <v>0</v>
      </c>
      <c r="AI331" s="78">
        <v>209</v>
      </c>
      <c r="AJ331" s="78">
        <v>17</v>
      </c>
      <c r="AK331" s="78">
        <v>782</v>
      </c>
      <c r="AL331" s="78">
        <v>0.89</v>
      </c>
    </row>
    <row r="332" spans="1:38" x14ac:dyDescent="0.3">
      <c r="A332" s="78" t="s">
        <v>684</v>
      </c>
      <c r="B332" s="78">
        <v>27527</v>
      </c>
      <c r="C332" s="78">
        <v>1</v>
      </c>
      <c r="D332" s="78" t="s">
        <v>685</v>
      </c>
      <c r="E332" s="78" t="s">
        <v>686</v>
      </c>
      <c r="F332" s="78">
        <v>351</v>
      </c>
      <c r="G332" s="78">
        <v>24.36</v>
      </c>
      <c r="H332" s="78">
        <v>80.55</v>
      </c>
      <c r="I332" s="78">
        <v>18.12</v>
      </c>
      <c r="J332" s="78">
        <v>59.93</v>
      </c>
      <c r="K332" s="78">
        <v>149</v>
      </c>
      <c r="T332" s="78">
        <v>3</v>
      </c>
      <c r="U332" s="78">
        <v>2</v>
      </c>
      <c r="V332" s="78" t="s">
        <v>88</v>
      </c>
      <c r="W332" s="78">
        <v>80</v>
      </c>
      <c r="X332" s="78">
        <v>15</v>
      </c>
      <c r="Y332" s="78">
        <v>14</v>
      </c>
      <c r="Z332" s="78" t="s">
        <v>687</v>
      </c>
      <c r="AA332" s="78" t="s">
        <v>688</v>
      </c>
      <c r="AB332" s="78" t="s">
        <v>84</v>
      </c>
      <c r="AC332" s="78" t="s">
        <v>85</v>
      </c>
      <c r="AD332" s="78" t="s">
        <v>689</v>
      </c>
      <c r="AG332" s="78" t="s">
        <v>690</v>
      </c>
      <c r="AH332" s="78">
        <v>0</v>
      </c>
      <c r="AI332" s="78">
        <v>226</v>
      </c>
      <c r="AJ332" s="78">
        <v>20</v>
      </c>
      <c r="AK332" s="78">
        <v>386</v>
      </c>
      <c r="AL332" s="78">
        <v>1.1000000000000001</v>
      </c>
    </row>
    <row r="333" spans="1:38" x14ac:dyDescent="0.3">
      <c r="A333" s="78" t="s">
        <v>684</v>
      </c>
      <c r="B333" s="78">
        <v>27527</v>
      </c>
      <c r="C333" s="78">
        <v>2</v>
      </c>
      <c r="D333" s="78" t="s">
        <v>685</v>
      </c>
      <c r="E333" s="78" t="s">
        <v>686</v>
      </c>
      <c r="F333" s="78">
        <v>351</v>
      </c>
      <c r="G333" s="78">
        <v>36.26</v>
      </c>
      <c r="H333" s="78">
        <v>119.87</v>
      </c>
      <c r="I333" s="78">
        <v>25.7</v>
      </c>
      <c r="J333" s="78">
        <v>84.98</v>
      </c>
      <c r="K333" s="78">
        <v>202</v>
      </c>
      <c r="T333" s="78">
        <v>3</v>
      </c>
      <c r="U333" s="78">
        <v>2</v>
      </c>
      <c r="V333" s="78" t="s">
        <v>81</v>
      </c>
      <c r="W333" s="78">
        <v>119</v>
      </c>
      <c r="X333" s="78">
        <v>15</v>
      </c>
      <c r="Y333" s="78">
        <v>14</v>
      </c>
      <c r="Z333" s="78" t="s">
        <v>687</v>
      </c>
      <c r="AA333" s="78" t="s">
        <v>688</v>
      </c>
      <c r="AB333" s="78" t="s">
        <v>84</v>
      </c>
      <c r="AC333" s="78" t="s">
        <v>85</v>
      </c>
      <c r="AD333" s="78" t="s">
        <v>689</v>
      </c>
      <c r="AG333" s="78" t="s">
        <v>690</v>
      </c>
      <c r="AH333" s="78">
        <v>0</v>
      </c>
      <c r="AI333" s="78">
        <v>226</v>
      </c>
      <c r="AJ333" s="78">
        <v>20</v>
      </c>
      <c r="AK333" s="78">
        <v>386</v>
      </c>
      <c r="AL333" s="78">
        <v>1.1000000000000001</v>
      </c>
    </row>
    <row r="334" spans="1:38" x14ac:dyDescent="0.3">
      <c r="A334" s="78" t="s">
        <v>684</v>
      </c>
      <c r="B334" s="78">
        <v>27526</v>
      </c>
      <c r="C334" s="78">
        <v>1</v>
      </c>
      <c r="D334" s="78" t="s">
        <v>691</v>
      </c>
      <c r="E334" s="78" t="s">
        <v>692</v>
      </c>
      <c r="F334" s="78">
        <v>499</v>
      </c>
      <c r="G334" s="78">
        <v>24.22</v>
      </c>
      <c r="H334" s="78">
        <v>80.09</v>
      </c>
      <c r="I334" s="78">
        <v>18.14</v>
      </c>
      <c r="J334" s="78">
        <v>59.97</v>
      </c>
      <c r="K334" s="78">
        <v>139</v>
      </c>
      <c r="T334" s="78">
        <v>3</v>
      </c>
      <c r="U334" s="78">
        <v>1</v>
      </c>
      <c r="V334" s="78" t="s">
        <v>88</v>
      </c>
      <c r="W334" s="78">
        <v>80</v>
      </c>
      <c r="X334" s="78">
        <v>15</v>
      </c>
      <c r="Y334" s="78">
        <v>14</v>
      </c>
      <c r="Z334" s="78" t="s">
        <v>693</v>
      </c>
      <c r="AA334" s="78" t="s">
        <v>694</v>
      </c>
      <c r="AB334" s="78" t="s">
        <v>84</v>
      </c>
      <c r="AC334" s="78" t="s">
        <v>85</v>
      </c>
      <c r="AD334" s="78" t="s">
        <v>689</v>
      </c>
      <c r="AG334" s="78" t="s">
        <v>695</v>
      </c>
      <c r="AH334" s="78">
        <v>0</v>
      </c>
      <c r="AI334" s="78">
        <v>229</v>
      </c>
      <c r="AJ334" s="78">
        <v>20</v>
      </c>
      <c r="AK334" s="78">
        <v>510</v>
      </c>
      <c r="AL334" s="78">
        <v>1.02</v>
      </c>
    </row>
    <row r="335" spans="1:38" x14ac:dyDescent="0.3">
      <c r="A335" s="78" t="s">
        <v>684</v>
      </c>
      <c r="B335" s="78">
        <v>27526</v>
      </c>
      <c r="C335" s="78">
        <v>2</v>
      </c>
      <c r="D335" s="78" t="s">
        <v>691</v>
      </c>
      <c r="E335" s="78" t="s">
        <v>692</v>
      </c>
      <c r="F335" s="78">
        <v>499</v>
      </c>
      <c r="G335" s="78">
        <v>33.53</v>
      </c>
      <c r="H335" s="78">
        <v>110.85</v>
      </c>
      <c r="I335" s="78">
        <v>25.7</v>
      </c>
      <c r="J335" s="78">
        <v>84.99</v>
      </c>
      <c r="K335" s="78">
        <v>360</v>
      </c>
      <c r="T335" s="78">
        <v>3</v>
      </c>
      <c r="U335" s="78">
        <v>2</v>
      </c>
      <c r="V335" s="78" t="s">
        <v>88</v>
      </c>
      <c r="W335" s="78">
        <v>110</v>
      </c>
      <c r="X335" s="78">
        <v>15</v>
      </c>
      <c r="Y335" s="78">
        <v>14</v>
      </c>
      <c r="Z335" s="78" t="s">
        <v>693</v>
      </c>
      <c r="AA335" s="78" t="s">
        <v>694</v>
      </c>
      <c r="AB335" s="78" t="s">
        <v>84</v>
      </c>
      <c r="AC335" s="78" t="s">
        <v>85</v>
      </c>
      <c r="AD335" s="78" t="s">
        <v>689</v>
      </c>
      <c r="AG335" s="78" t="s">
        <v>695</v>
      </c>
      <c r="AH335" s="78">
        <v>0</v>
      </c>
      <c r="AI335" s="78">
        <v>229</v>
      </c>
      <c r="AJ335" s="78">
        <v>20</v>
      </c>
      <c r="AK335" s="78">
        <v>510</v>
      </c>
      <c r="AL335" s="78">
        <v>1.02</v>
      </c>
    </row>
    <row r="336" spans="1:38" x14ac:dyDescent="0.3">
      <c r="A336" s="78" t="s">
        <v>684</v>
      </c>
      <c r="B336" s="78">
        <v>110132</v>
      </c>
      <c r="C336" s="78">
        <v>1</v>
      </c>
      <c r="D336" s="78" t="s">
        <v>696</v>
      </c>
      <c r="E336" s="78" t="s">
        <v>697</v>
      </c>
      <c r="F336" s="78">
        <v>540</v>
      </c>
      <c r="G336" s="78">
        <v>30.2</v>
      </c>
      <c r="H336" s="78">
        <v>99.84</v>
      </c>
      <c r="I336" s="78">
        <v>22.68</v>
      </c>
      <c r="J336" s="78">
        <v>74.98</v>
      </c>
      <c r="K336" s="78">
        <v>72</v>
      </c>
      <c r="T336" s="78">
        <v>3</v>
      </c>
      <c r="U336" s="78">
        <v>2</v>
      </c>
      <c r="V336" s="78" t="s">
        <v>88</v>
      </c>
      <c r="W336" s="78" t="s">
        <v>465</v>
      </c>
      <c r="X336" s="78">
        <v>25</v>
      </c>
      <c r="Y336" s="78">
        <v>16</v>
      </c>
      <c r="Z336" s="78" t="s">
        <v>698</v>
      </c>
      <c r="AA336" s="78" t="s">
        <v>699</v>
      </c>
      <c r="AB336" s="78" t="s">
        <v>84</v>
      </c>
      <c r="AC336" s="78" t="s">
        <v>85</v>
      </c>
      <c r="AD336" s="78" t="s">
        <v>689</v>
      </c>
      <c r="AG336" s="78" t="s">
        <v>700</v>
      </c>
      <c r="AH336" s="78">
        <v>0</v>
      </c>
      <c r="AI336" s="78">
        <v>0</v>
      </c>
      <c r="AJ336" s="78">
        <v>0</v>
      </c>
      <c r="AK336" s="78">
        <v>712</v>
      </c>
      <c r="AL336" s="78">
        <v>1.32</v>
      </c>
    </row>
    <row r="337" spans="1:38" x14ac:dyDescent="0.3">
      <c r="A337" s="78" t="s">
        <v>684</v>
      </c>
      <c r="B337" s="78">
        <v>110132</v>
      </c>
      <c r="C337" s="78">
        <v>2</v>
      </c>
      <c r="D337" s="78" t="s">
        <v>696</v>
      </c>
      <c r="E337" s="78" t="s">
        <v>697</v>
      </c>
      <c r="F337" s="78">
        <v>540</v>
      </c>
      <c r="G337" s="78">
        <v>30.24</v>
      </c>
      <c r="H337" s="78">
        <v>99.99</v>
      </c>
      <c r="I337" s="78">
        <v>22.67</v>
      </c>
      <c r="J337" s="78">
        <v>74.97</v>
      </c>
      <c r="K337" s="78">
        <v>49</v>
      </c>
      <c r="T337" s="78">
        <v>3</v>
      </c>
      <c r="U337" s="78">
        <v>2</v>
      </c>
      <c r="V337" s="78" t="s">
        <v>88</v>
      </c>
      <c r="W337" s="78" t="s">
        <v>701</v>
      </c>
      <c r="X337" s="78">
        <v>25</v>
      </c>
      <c r="Y337" s="78">
        <v>16</v>
      </c>
      <c r="Z337" s="78" t="s">
        <v>698</v>
      </c>
      <c r="AA337" s="78" t="s">
        <v>699</v>
      </c>
      <c r="AB337" s="78" t="s">
        <v>84</v>
      </c>
      <c r="AC337" s="78" t="s">
        <v>85</v>
      </c>
      <c r="AD337" s="78" t="s">
        <v>689</v>
      </c>
      <c r="AG337" s="78" t="s">
        <v>700</v>
      </c>
      <c r="AH337" s="78">
        <v>0</v>
      </c>
      <c r="AI337" s="78">
        <v>0</v>
      </c>
      <c r="AJ337" s="78">
        <v>0</v>
      </c>
      <c r="AK337" s="78">
        <v>712</v>
      </c>
      <c r="AL337" s="78">
        <v>1.32</v>
      </c>
    </row>
    <row r="338" spans="1:38" x14ac:dyDescent="0.3">
      <c r="A338" s="78" t="s">
        <v>684</v>
      </c>
      <c r="B338" s="78">
        <v>110132</v>
      </c>
      <c r="C338" s="78">
        <v>3</v>
      </c>
      <c r="D338" s="78" t="s">
        <v>696</v>
      </c>
      <c r="E338" s="78" t="s">
        <v>697</v>
      </c>
      <c r="F338" s="78">
        <v>540</v>
      </c>
      <c r="G338" s="78">
        <v>30.4</v>
      </c>
      <c r="H338" s="78">
        <v>100.52</v>
      </c>
      <c r="I338" s="78">
        <v>22.68</v>
      </c>
      <c r="J338" s="78">
        <v>74.989999999999995</v>
      </c>
      <c r="K338" s="78">
        <v>188</v>
      </c>
      <c r="T338" s="78">
        <v>3</v>
      </c>
      <c r="U338" s="78">
        <v>2</v>
      </c>
      <c r="V338" s="78" t="s">
        <v>88</v>
      </c>
      <c r="W338" s="78" t="s">
        <v>702</v>
      </c>
      <c r="X338" s="78">
        <v>25</v>
      </c>
      <c r="Y338" s="78">
        <v>16</v>
      </c>
      <c r="Z338" s="78" t="s">
        <v>698</v>
      </c>
      <c r="AA338" s="78" t="s">
        <v>699</v>
      </c>
      <c r="AB338" s="78" t="s">
        <v>84</v>
      </c>
      <c r="AC338" s="78" t="s">
        <v>85</v>
      </c>
      <c r="AD338" s="78" t="s">
        <v>689</v>
      </c>
      <c r="AG338" s="78" t="s">
        <v>700</v>
      </c>
      <c r="AH338" s="78">
        <v>0</v>
      </c>
      <c r="AI338" s="78">
        <v>0</v>
      </c>
      <c r="AJ338" s="78">
        <v>0</v>
      </c>
      <c r="AK338" s="78">
        <v>712</v>
      </c>
      <c r="AL338" s="78">
        <v>1.32</v>
      </c>
    </row>
    <row r="339" spans="1:38" x14ac:dyDescent="0.3">
      <c r="A339" s="78" t="s">
        <v>684</v>
      </c>
      <c r="B339" s="78">
        <v>110132</v>
      </c>
      <c r="C339" s="78">
        <v>4</v>
      </c>
      <c r="D339" s="78" t="s">
        <v>696</v>
      </c>
      <c r="E339" s="78" t="s">
        <v>697</v>
      </c>
      <c r="F339" s="78">
        <v>540</v>
      </c>
      <c r="G339" s="78">
        <v>30.25</v>
      </c>
      <c r="H339" s="78">
        <v>100.01</v>
      </c>
      <c r="I339" s="78">
        <v>22.68</v>
      </c>
      <c r="J339" s="78">
        <v>74.98</v>
      </c>
      <c r="K339" s="78">
        <v>50</v>
      </c>
      <c r="T339" s="78">
        <v>3</v>
      </c>
      <c r="U339" s="78">
        <v>2</v>
      </c>
      <c r="V339" s="78" t="s">
        <v>88</v>
      </c>
      <c r="W339" s="78" t="s">
        <v>703</v>
      </c>
      <c r="X339" s="78">
        <v>25</v>
      </c>
      <c r="Y339" s="78">
        <v>16</v>
      </c>
      <c r="Z339" s="78" t="s">
        <v>698</v>
      </c>
      <c r="AA339" s="78" t="s">
        <v>699</v>
      </c>
      <c r="AB339" s="78" t="s">
        <v>84</v>
      </c>
      <c r="AC339" s="78" t="s">
        <v>85</v>
      </c>
      <c r="AD339" s="78" t="s">
        <v>689</v>
      </c>
      <c r="AG339" s="78" t="s">
        <v>700</v>
      </c>
      <c r="AH339" s="78">
        <v>0</v>
      </c>
      <c r="AI339" s="78">
        <v>0</v>
      </c>
      <c r="AJ339" s="78">
        <v>0</v>
      </c>
      <c r="AK339" s="78">
        <v>712</v>
      </c>
      <c r="AL339" s="78">
        <v>1.32</v>
      </c>
    </row>
    <row r="340" spans="1:38" x14ac:dyDescent="0.3">
      <c r="A340" s="78" t="s">
        <v>684</v>
      </c>
      <c r="B340" s="78">
        <v>110132</v>
      </c>
      <c r="C340" s="78">
        <v>5</v>
      </c>
      <c r="D340" s="78" t="s">
        <v>696</v>
      </c>
      <c r="E340" s="78" t="s">
        <v>697</v>
      </c>
      <c r="F340" s="78">
        <v>540</v>
      </c>
      <c r="G340" s="78">
        <v>30.48</v>
      </c>
      <c r="H340" s="78">
        <v>100.77</v>
      </c>
      <c r="I340" s="78">
        <v>22.68</v>
      </c>
      <c r="J340" s="78">
        <v>74.989999999999995</v>
      </c>
      <c r="K340" s="78">
        <v>15</v>
      </c>
      <c r="T340" s="78">
        <v>3</v>
      </c>
      <c r="U340" s="78">
        <v>2</v>
      </c>
      <c r="V340" s="78" t="s">
        <v>88</v>
      </c>
      <c r="W340" s="78" t="s">
        <v>467</v>
      </c>
      <c r="X340" s="78">
        <v>25</v>
      </c>
      <c r="Y340" s="78">
        <v>16</v>
      </c>
      <c r="Z340" s="78" t="s">
        <v>698</v>
      </c>
      <c r="AA340" s="78" t="s">
        <v>699</v>
      </c>
      <c r="AB340" s="78" t="s">
        <v>84</v>
      </c>
      <c r="AC340" s="78" t="s">
        <v>85</v>
      </c>
      <c r="AD340" s="78" t="s">
        <v>689</v>
      </c>
      <c r="AG340" s="78" t="s">
        <v>700</v>
      </c>
      <c r="AH340" s="78">
        <v>0</v>
      </c>
      <c r="AI340" s="78">
        <v>0</v>
      </c>
      <c r="AJ340" s="78">
        <v>0</v>
      </c>
      <c r="AK340" s="78">
        <v>712</v>
      </c>
      <c r="AL340" s="78">
        <v>1.32</v>
      </c>
    </row>
    <row r="341" spans="1:38" x14ac:dyDescent="0.3">
      <c r="A341" s="78" t="s">
        <v>684</v>
      </c>
      <c r="B341" s="78">
        <v>110132</v>
      </c>
      <c r="C341" s="78">
        <v>6</v>
      </c>
      <c r="D341" s="78" t="s">
        <v>696</v>
      </c>
      <c r="E341" s="78" t="s">
        <v>697</v>
      </c>
      <c r="F341" s="78">
        <v>540</v>
      </c>
      <c r="G341" s="78">
        <v>39.450000000000003</v>
      </c>
      <c r="H341" s="78">
        <v>130.44</v>
      </c>
      <c r="I341" s="78">
        <v>30.78</v>
      </c>
      <c r="J341" s="78">
        <v>101.78</v>
      </c>
      <c r="K341" s="78">
        <v>166</v>
      </c>
      <c r="T341" s="78">
        <v>3</v>
      </c>
      <c r="U341" s="78">
        <v>2</v>
      </c>
      <c r="V341" s="78" t="s">
        <v>88</v>
      </c>
      <c r="W341" s="78">
        <v>130</v>
      </c>
      <c r="X341" s="78">
        <v>25</v>
      </c>
      <c r="Y341" s="78">
        <v>16</v>
      </c>
      <c r="Z341" s="78" t="s">
        <v>698</v>
      </c>
      <c r="AA341" s="78" t="s">
        <v>699</v>
      </c>
      <c r="AB341" s="78" t="s">
        <v>84</v>
      </c>
      <c r="AC341" s="78" t="s">
        <v>85</v>
      </c>
      <c r="AD341" s="78" t="s">
        <v>689</v>
      </c>
      <c r="AG341" s="78" t="s">
        <v>700</v>
      </c>
      <c r="AH341" s="78">
        <v>0</v>
      </c>
      <c r="AI341" s="78">
        <v>0</v>
      </c>
      <c r="AJ341" s="78">
        <v>0</v>
      </c>
      <c r="AK341" s="78">
        <v>712</v>
      </c>
      <c r="AL341" s="78">
        <v>1.32</v>
      </c>
    </row>
    <row r="342" spans="1:38" x14ac:dyDescent="0.3">
      <c r="A342" s="78" t="s">
        <v>684</v>
      </c>
      <c r="B342" s="78">
        <v>106162</v>
      </c>
      <c r="C342" s="78">
        <v>1</v>
      </c>
      <c r="D342" s="78" t="s">
        <v>704</v>
      </c>
      <c r="E342" s="78" t="s">
        <v>705</v>
      </c>
      <c r="F342" s="78">
        <v>1078</v>
      </c>
      <c r="G342" s="78">
        <v>24.29</v>
      </c>
      <c r="H342" s="78">
        <v>80.33</v>
      </c>
      <c r="I342" s="78">
        <v>18.14</v>
      </c>
      <c r="J342" s="78">
        <v>59.99</v>
      </c>
      <c r="K342" s="78">
        <v>141</v>
      </c>
      <c r="T342" s="78">
        <v>3</v>
      </c>
      <c r="U342" s="78">
        <v>2</v>
      </c>
      <c r="V342" s="78" t="s">
        <v>88</v>
      </c>
      <c r="W342" s="78">
        <v>80</v>
      </c>
      <c r="X342" s="78">
        <v>25</v>
      </c>
      <c r="Y342" s="78">
        <v>12</v>
      </c>
      <c r="Z342" s="78" t="s">
        <v>706</v>
      </c>
      <c r="AA342" s="78" t="s">
        <v>707</v>
      </c>
      <c r="AB342" s="78" t="s">
        <v>84</v>
      </c>
      <c r="AC342" s="78" t="s">
        <v>85</v>
      </c>
      <c r="AD342" s="78" t="s">
        <v>689</v>
      </c>
      <c r="AG342" s="78" t="s">
        <v>708</v>
      </c>
      <c r="AH342" s="78">
        <v>0</v>
      </c>
      <c r="AI342" s="78">
        <v>249</v>
      </c>
      <c r="AJ342" s="78">
        <v>20</v>
      </c>
      <c r="AK342" s="78">
        <v>1299</v>
      </c>
      <c r="AL342" s="78">
        <v>1.21</v>
      </c>
    </row>
    <row r="343" spans="1:38" x14ac:dyDescent="0.3">
      <c r="A343" s="78" t="s">
        <v>684</v>
      </c>
      <c r="B343" s="78">
        <v>106162</v>
      </c>
      <c r="C343" s="78">
        <v>2</v>
      </c>
      <c r="D343" s="78" t="s">
        <v>704</v>
      </c>
      <c r="E343" s="78" t="s">
        <v>705</v>
      </c>
      <c r="F343" s="78">
        <v>1078</v>
      </c>
      <c r="G343" s="78">
        <v>33.659999999999997</v>
      </c>
      <c r="H343" s="78">
        <v>111.3</v>
      </c>
      <c r="I343" s="78">
        <v>25.7</v>
      </c>
      <c r="J343" s="78">
        <v>84.99</v>
      </c>
      <c r="K343" s="78">
        <v>435</v>
      </c>
      <c r="T343" s="78">
        <v>3</v>
      </c>
      <c r="U343" s="78">
        <v>2</v>
      </c>
      <c r="V343" s="78" t="s">
        <v>88</v>
      </c>
      <c r="W343" s="78" t="s">
        <v>709</v>
      </c>
      <c r="X343" s="78">
        <v>25</v>
      </c>
      <c r="Y343" s="78">
        <v>12</v>
      </c>
      <c r="Z343" s="78" t="s">
        <v>706</v>
      </c>
      <c r="AA343" s="78" t="s">
        <v>707</v>
      </c>
      <c r="AB343" s="78" t="s">
        <v>84</v>
      </c>
      <c r="AC343" s="78" t="s">
        <v>85</v>
      </c>
      <c r="AD343" s="78" t="s">
        <v>689</v>
      </c>
      <c r="AG343" s="78" t="s">
        <v>708</v>
      </c>
      <c r="AH343" s="78">
        <v>0</v>
      </c>
      <c r="AI343" s="78">
        <v>249</v>
      </c>
      <c r="AJ343" s="78">
        <v>20</v>
      </c>
      <c r="AK343" s="78">
        <v>1299</v>
      </c>
      <c r="AL343" s="78">
        <v>1.21</v>
      </c>
    </row>
    <row r="344" spans="1:38" x14ac:dyDescent="0.3">
      <c r="A344" s="78" t="s">
        <v>684</v>
      </c>
      <c r="B344" s="78">
        <v>106162</v>
      </c>
      <c r="C344" s="78">
        <v>3</v>
      </c>
      <c r="D344" s="78" t="s">
        <v>704</v>
      </c>
      <c r="E344" s="78" t="s">
        <v>705</v>
      </c>
      <c r="F344" s="78">
        <v>1078</v>
      </c>
      <c r="G344" s="78">
        <v>33.67</v>
      </c>
      <c r="H344" s="78">
        <v>111.31</v>
      </c>
      <c r="I344" s="78">
        <v>25.7</v>
      </c>
      <c r="J344" s="78">
        <v>84.99</v>
      </c>
      <c r="K344" s="78">
        <v>40</v>
      </c>
      <c r="T344" s="78">
        <v>3</v>
      </c>
      <c r="U344" s="78">
        <v>2</v>
      </c>
      <c r="V344" s="78" t="s">
        <v>88</v>
      </c>
      <c r="W344" s="78" t="s">
        <v>710</v>
      </c>
      <c r="X344" s="78">
        <v>25</v>
      </c>
      <c r="Y344" s="78">
        <v>12</v>
      </c>
      <c r="Z344" s="78" t="s">
        <v>706</v>
      </c>
      <c r="AA344" s="78" t="s">
        <v>707</v>
      </c>
      <c r="AB344" s="78" t="s">
        <v>84</v>
      </c>
      <c r="AC344" s="78" t="s">
        <v>85</v>
      </c>
      <c r="AD344" s="78" t="s">
        <v>689</v>
      </c>
      <c r="AG344" s="78" t="s">
        <v>708</v>
      </c>
      <c r="AH344" s="78">
        <v>0</v>
      </c>
      <c r="AI344" s="78">
        <v>249</v>
      </c>
      <c r="AJ344" s="78">
        <v>20</v>
      </c>
      <c r="AK344" s="78">
        <v>1299</v>
      </c>
      <c r="AL344" s="78">
        <v>1.21</v>
      </c>
    </row>
    <row r="345" spans="1:38" x14ac:dyDescent="0.3">
      <c r="A345" s="78" t="s">
        <v>684</v>
      </c>
      <c r="B345" s="78">
        <v>106162</v>
      </c>
      <c r="C345" s="78">
        <v>4</v>
      </c>
      <c r="D345" s="78" t="s">
        <v>704</v>
      </c>
      <c r="E345" s="78" t="s">
        <v>705</v>
      </c>
      <c r="F345" s="78">
        <v>1078</v>
      </c>
      <c r="G345" s="78">
        <v>34.17</v>
      </c>
      <c r="H345" s="78">
        <v>112.98</v>
      </c>
      <c r="I345" s="78">
        <v>25.7</v>
      </c>
      <c r="J345" s="78">
        <v>84.98</v>
      </c>
      <c r="K345" s="78">
        <v>200</v>
      </c>
      <c r="T345" s="78">
        <v>3</v>
      </c>
      <c r="U345" s="78">
        <v>2</v>
      </c>
      <c r="V345" s="78" t="s">
        <v>88</v>
      </c>
      <c r="W345" s="78" t="s">
        <v>711</v>
      </c>
      <c r="X345" s="78">
        <v>25</v>
      </c>
      <c r="Y345" s="78">
        <v>12</v>
      </c>
      <c r="Z345" s="78" t="s">
        <v>706</v>
      </c>
      <c r="AA345" s="78" t="s">
        <v>707</v>
      </c>
      <c r="AB345" s="78" t="s">
        <v>84</v>
      </c>
      <c r="AC345" s="78" t="s">
        <v>85</v>
      </c>
      <c r="AD345" s="78" t="s">
        <v>689</v>
      </c>
      <c r="AG345" s="78" t="s">
        <v>708</v>
      </c>
      <c r="AH345" s="78">
        <v>0</v>
      </c>
      <c r="AI345" s="78">
        <v>249</v>
      </c>
      <c r="AJ345" s="78">
        <v>20</v>
      </c>
      <c r="AK345" s="78">
        <v>1299</v>
      </c>
      <c r="AL345" s="78">
        <v>1.21</v>
      </c>
    </row>
    <row r="346" spans="1:38" x14ac:dyDescent="0.3">
      <c r="A346" s="78" t="s">
        <v>684</v>
      </c>
      <c r="B346" s="78">
        <v>106162</v>
      </c>
      <c r="C346" s="78">
        <v>5</v>
      </c>
      <c r="D346" s="78" t="s">
        <v>704</v>
      </c>
      <c r="E346" s="78" t="s">
        <v>705</v>
      </c>
      <c r="F346" s="78">
        <v>1078</v>
      </c>
      <c r="G346" s="78">
        <v>33.94</v>
      </c>
      <c r="H346" s="78">
        <v>112.21</v>
      </c>
      <c r="I346" s="78">
        <v>25.7</v>
      </c>
      <c r="J346" s="78">
        <v>84.98</v>
      </c>
      <c r="K346" s="78">
        <v>134</v>
      </c>
      <c r="T346" s="78">
        <v>3</v>
      </c>
      <c r="U346" s="78">
        <v>2</v>
      </c>
      <c r="V346" s="78" t="s">
        <v>88</v>
      </c>
      <c r="W346" s="78" t="s">
        <v>712</v>
      </c>
      <c r="X346" s="78">
        <v>25</v>
      </c>
      <c r="Y346" s="78">
        <v>12</v>
      </c>
      <c r="Z346" s="78" t="s">
        <v>706</v>
      </c>
      <c r="AA346" s="78" t="s">
        <v>707</v>
      </c>
      <c r="AB346" s="78" t="s">
        <v>84</v>
      </c>
      <c r="AC346" s="78" t="s">
        <v>85</v>
      </c>
      <c r="AD346" s="78" t="s">
        <v>689</v>
      </c>
      <c r="AG346" s="78" t="s">
        <v>708</v>
      </c>
      <c r="AH346" s="78">
        <v>0</v>
      </c>
      <c r="AI346" s="78">
        <v>249</v>
      </c>
      <c r="AJ346" s="78">
        <v>20</v>
      </c>
      <c r="AK346" s="78">
        <v>1299</v>
      </c>
      <c r="AL346" s="78">
        <v>1.21</v>
      </c>
    </row>
    <row r="347" spans="1:38" x14ac:dyDescent="0.3">
      <c r="A347" s="78" t="s">
        <v>684</v>
      </c>
      <c r="B347" s="78">
        <v>106162</v>
      </c>
      <c r="C347" s="78">
        <v>6</v>
      </c>
      <c r="D347" s="78" t="s">
        <v>704</v>
      </c>
      <c r="E347" s="78" t="s">
        <v>705</v>
      </c>
      <c r="F347" s="78">
        <v>1078</v>
      </c>
      <c r="G347" s="78">
        <v>34.049999999999997</v>
      </c>
      <c r="H347" s="78">
        <v>112.58</v>
      </c>
      <c r="I347" s="78">
        <v>25.7</v>
      </c>
      <c r="J347" s="78">
        <v>84.97</v>
      </c>
      <c r="K347" s="78">
        <v>54</v>
      </c>
      <c r="T347" s="78">
        <v>3</v>
      </c>
      <c r="U347" s="78">
        <v>2</v>
      </c>
      <c r="V347" s="78" t="s">
        <v>88</v>
      </c>
      <c r="W347" s="78" t="s">
        <v>429</v>
      </c>
      <c r="X347" s="78">
        <v>25</v>
      </c>
      <c r="Y347" s="78">
        <v>12</v>
      </c>
      <c r="Z347" s="78" t="s">
        <v>706</v>
      </c>
      <c r="AA347" s="78" t="s">
        <v>707</v>
      </c>
      <c r="AB347" s="78" t="s">
        <v>84</v>
      </c>
      <c r="AC347" s="78" t="s">
        <v>85</v>
      </c>
      <c r="AD347" s="78" t="s">
        <v>689</v>
      </c>
      <c r="AG347" s="78" t="s">
        <v>708</v>
      </c>
      <c r="AH347" s="78">
        <v>0</v>
      </c>
      <c r="AI347" s="78">
        <v>249</v>
      </c>
      <c r="AJ347" s="78">
        <v>20</v>
      </c>
      <c r="AK347" s="78">
        <v>1299</v>
      </c>
      <c r="AL347" s="78">
        <v>1.21</v>
      </c>
    </row>
    <row r="348" spans="1:38" x14ac:dyDescent="0.3">
      <c r="A348" s="78" t="s">
        <v>684</v>
      </c>
      <c r="B348" s="78">
        <v>106162</v>
      </c>
      <c r="C348" s="78">
        <v>7</v>
      </c>
      <c r="D348" s="78" t="s">
        <v>704</v>
      </c>
      <c r="E348" s="78" t="s">
        <v>705</v>
      </c>
      <c r="F348" s="78">
        <v>1078</v>
      </c>
      <c r="G348" s="78">
        <v>39.840000000000003</v>
      </c>
      <c r="H348" s="78">
        <v>131.72999999999999</v>
      </c>
      <c r="I348" s="78">
        <v>30.38</v>
      </c>
      <c r="J348" s="78">
        <v>100.43</v>
      </c>
      <c r="K348" s="78">
        <v>74</v>
      </c>
      <c r="T348" s="78">
        <v>4</v>
      </c>
      <c r="U348" s="78">
        <v>2</v>
      </c>
      <c r="V348" s="78" t="s">
        <v>88</v>
      </c>
      <c r="W348" s="78">
        <v>131</v>
      </c>
      <c r="X348" s="78">
        <v>25</v>
      </c>
      <c r="Y348" s="78">
        <v>12</v>
      </c>
      <c r="Z348" s="78" t="s">
        <v>706</v>
      </c>
      <c r="AA348" s="78" t="s">
        <v>707</v>
      </c>
      <c r="AB348" s="78" t="s">
        <v>84</v>
      </c>
      <c r="AC348" s="78" t="s">
        <v>85</v>
      </c>
      <c r="AD348" s="78" t="s">
        <v>689</v>
      </c>
      <c r="AG348" s="78" t="s">
        <v>708</v>
      </c>
      <c r="AH348" s="78">
        <v>0</v>
      </c>
      <c r="AI348" s="78">
        <v>249</v>
      </c>
      <c r="AJ348" s="78">
        <v>20</v>
      </c>
      <c r="AK348" s="78">
        <v>1299</v>
      </c>
      <c r="AL348" s="78">
        <v>1.21</v>
      </c>
    </row>
    <row r="349" spans="1:38" x14ac:dyDescent="0.3">
      <c r="A349" s="78" t="s">
        <v>684</v>
      </c>
      <c r="B349" s="78">
        <v>27793</v>
      </c>
      <c r="C349" s="78">
        <v>1</v>
      </c>
      <c r="D349" s="78" t="s">
        <v>713</v>
      </c>
      <c r="E349" s="78" t="s">
        <v>714</v>
      </c>
      <c r="F349" s="78">
        <v>354</v>
      </c>
      <c r="G349" s="78">
        <v>48.65</v>
      </c>
      <c r="H349" s="78">
        <v>160.84</v>
      </c>
      <c r="I349" s="78">
        <v>39.07</v>
      </c>
      <c r="J349" s="78">
        <v>129.19</v>
      </c>
      <c r="K349" s="78">
        <v>174</v>
      </c>
      <c r="T349" s="78">
        <v>4</v>
      </c>
      <c r="U349" s="78">
        <v>2</v>
      </c>
      <c r="V349" s="78" t="s">
        <v>88</v>
      </c>
      <c r="W349" s="78">
        <v>160</v>
      </c>
      <c r="X349" s="78">
        <v>15</v>
      </c>
      <c r="Y349" s="78">
        <v>14</v>
      </c>
      <c r="Z349" s="78" t="s">
        <v>715</v>
      </c>
      <c r="AA349" s="78" t="s">
        <v>716</v>
      </c>
      <c r="AB349" s="78" t="s">
        <v>84</v>
      </c>
      <c r="AC349" s="78" t="s">
        <v>85</v>
      </c>
      <c r="AD349" s="78" t="s">
        <v>689</v>
      </c>
      <c r="AG349" s="78" t="s">
        <v>717</v>
      </c>
      <c r="AH349" s="78">
        <v>0</v>
      </c>
      <c r="AI349" s="78">
        <v>214</v>
      </c>
      <c r="AJ349" s="78">
        <v>18</v>
      </c>
      <c r="AK349" s="78">
        <v>706</v>
      </c>
      <c r="AL349" s="78">
        <v>1.99</v>
      </c>
    </row>
    <row r="350" spans="1:38" x14ac:dyDescent="0.3">
      <c r="A350" s="78" t="s">
        <v>684</v>
      </c>
      <c r="B350" s="78">
        <v>27793</v>
      </c>
      <c r="C350" s="78">
        <v>2</v>
      </c>
      <c r="D350" s="78" t="s">
        <v>713</v>
      </c>
      <c r="E350" s="78" t="s">
        <v>714</v>
      </c>
      <c r="F350" s="78">
        <v>354</v>
      </c>
      <c r="G350" s="78">
        <v>56.16</v>
      </c>
      <c r="H350" s="78">
        <v>185.67</v>
      </c>
      <c r="I350" s="78">
        <v>46.17</v>
      </c>
      <c r="J350" s="78">
        <v>152.66</v>
      </c>
      <c r="K350" s="78">
        <v>120</v>
      </c>
      <c r="T350" s="78">
        <v>4</v>
      </c>
      <c r="U350" s="78">
        <v>2</v>
      </c>
      <c r="V350" s="78" t="s">
        <v>88</v>
      </c>
      <c r="W350" s="78">
        <v>185</v>
      </c>
      <c r="X350" s="78">
        <v>15</v>
      </c>
      <c r="Y350" s="78">
        <v>14</v>
      </c>
      <c r="Z350" s="78" t="s">
        <v>715</v>
      </c>
      <c r="AA350" s="78" t="s">
        <v>716</v>
      </c>
      <c r="AB350" s="78" t="s">
        <v>84</v>
      </c>
      <c r="AC350" s="78" t="s">
        <v>85</v>
      </c>
      <c r="AD350" s="78" t="s">
        <v>689</v>
      </c>
      <c r="AG350" s="78" t="s">
        <v>717</v>
      </c>
      <c r="AH350" s="78">
        <v>0</v>
      </c>
      <c r="AI350" s="78">
        <v>214</v>
      </c>
      <c r="AJ350" s="78">
        <v>18</v>
      </c>
      <c r="AK350" s="78">
        <v>706</v>
      </c>
      <c r="AL350" s="78">
        <v>1.99</v>
      </c>
    </row>
    <row r="351" spans="1:38" x14ac:dyDescent="0.3">
      <c r="A351" s="78" t="s">
        <v>684</v>
      </c>
      <c r="B351" s="78">
        <v>27793</v>
      </c>
      <c r="C351" s="78">
        <v>3</v>
      </c>
      <c r="D351" s="78" t="s">
        <v>713</v>
      </c>
      <c r="E351" s="78" t="s">
        <v>714</v>
      </c>
      <c r="F351" s="78">
        <v>354</v>
      </c>
      <c r="G351" s="78">
        <v>65.260000000000005</v>
      </c>
      <c r="H351" s="78">
        <v>215.75</v>
      </c>
      <c r="I351" s="78">
        <v>54.78</v>
      </c>
      <c r="J351" s="78">
        <v>181.1</v>
      </c>
      <c r="K351" s="78">
        <v>60</v>
      </c>
      <c r="T351" s="78">
        <v>5</v>
      </c>
      <c r="U351" s="78">
        <v>2</v>
      </c>
      <c r="V351" s="78" t="s">
        <v>88</v>
      </c>
      <c r="W351" s="78">
        <v>215</v>
      </c>
      <c r="X351" s="78">
        <v>15</v>
      </c>
      <c r="Y351" s="78">
        <v>14</v>
      </c>
      <c r="Z351" s="78" t="s">
        <v>715</v>
      </c>
      <c r="AA351" s="78" t="s">
        <v>716</v>
      </c>
      <c r="AB351" s="78" t="s">
        <v>84</v>
      </c>
      <c r="AC351" s="78" t="s">
        <v>85</v>
      </c>
      <c r="AD351" s="78" t="s">
        <v>689</v>
      </c>
      <c r="AG351" s="78" t="s">
        <v>717</v>
      </c>
      <c r="AH351" s="78">
        <v>0</v>
      </c>
      <c r="AI351" s="78">
        <v>214</v>
      </c>
      <c r="AJ351" s="78">
        <v>18</v>
      </c>
      <c r="AK351" s="78">
        <v>706</v>
      </c>
      <c r="AL351" s="78">
        <v>1.99</v>
      </c>
    </row>
    <row r="352" spans="1:38" x14ac:dyDescent="0.3">
      <c r="A352" s="78" t="s">
        <v>684</v>
      </c>
      <c r="B352" s="78">
        <v>27794</v>
      </c>
      <c r="C352" s="78">
        <v>1</v>
      </c>
      <c r="D352" s="78" t="s">
        <v>718</v>
      </c>
      <c r="E352" s="78" t="s">
        <v>719</v>
      </c>
      <c r="F352" s="78">
        <v>198</v>
      </c>
      <c r="G352" s="78">
        <v>22.95</v>
      </c>
      <c r="H352" s="78">
        <v>75.900000000000006</v>
      </c>
      <c r="I352" s="78">
        <v>18.14</v>
      </c>
      <c r="J352" s="78">
        <v>59.97</v>
      </c>
      <c r="K352" s="78">
        <v>72</v>
      </c>
      <c r="T352" s="78">
        <v>3</v>
      </c>
      <c r="U352" s="78">
        <v>1</v>
      </c>
      <c r="V352" s="78" t="s">
        <v>88</v>
      </c>
      <c r="W352" s="78" t="s">
        <v>720</v>
      </c>
      <c r="X352" s="78">
        <v>15</v>
      </c>
      <c r="Y352" s="78">
        <v>6</v>
      </c>
      <c r="Z352" s="78" t="s">
        <v>721</v>
      </c>
      <c r="AA352" s="78" t="s">
        <v>722</v>
      </c>
      <c r="AB352" s="78" t="s">
        <v>84</v>
      </c>
      <c r="AC352" s="78" t="s">
        <v>85</v>
      </c>
      <c r="AD352" s="78" t="s">
        <v>689</v>
      </c>
      <c r="AG352" s="78" t="s">
        <v>723</v>
      </c>
      <c r="AH352" s="78">
        <v>0</v>
      </c>
      <c r="AI352" s="78">
        <v>0</v>
      </c>
      <c r="AJ352" s="78">
        <v>0</v>
      </c>
      <c r="AK352" s="78">
        <v>0</v>
      </c>
      <c r="AL352" s="78">
        <v>0</v>
      </c>
    </row>
    <row r="353" spans="1:38" x14ac:dyDescent="0.3">
      <c r="A353" s="78" t="s">
        <v>684</v>
      </c>
      <c r="B353" s="78">
        <v>27794</v>
      </c>
      <c r="C353" s="78">
        <v>2</v>
      </c>
      <c r="D353" s="78" t="s">
        <v>718</v>
      </c>
      <c r="E353" s="78" t="s">
        <v>719</v>
      </c>
      <c r="F353" s="78">
        <v>198</v>
      </c>
      <c r="G353" s="78">
        <v>23.64</v>
      </c>
      <c r="H353" s="78">
        <v>78.180000000000007</v>
      </c>
      <c r="I353" s="78">
        <v>18.13</v>
      </c>
      <c r="J353" s="78">
        <v>59.94</v>
      </c>
      <c r="K353" s="78">
        <v>126</v>
      </c>
      <c r="T353" s="78">
        <v>3</v>
      </c>
      <c r="U353" s="78">
        <v>1</v>
      </c>
      <c r="V353" s="78" t="s">
        <v>88</v>
      </c>
      <c r="W353" s="78" t="s">
        <v>724</v>
      </c>
      <c r="X353" s="78">
        <v>15</v>
      </c>
      <c r="Y353" s="78">
        <v>6</v>
      </c>
      <c r="Z353" s="78" t="s">
        <v>721</v>
      </c>
      <c r="AA353" s="78" t="s">
        <v>722</v>
      </c>
      <c r="AB353" s="78" t="s">
        <v>84</v>
      </c>
      <c r="AC353" s="78" t="s">
        <v>85</v>
      </c>
      <c r="AD353" s="78" t="s">
        <v>689</v>
      </c>
      <c r="AG353" s="78" t="s">
        <v>723</v>
      </c>
      <c r="AH353" s="78">
        <v>0</v>
      </c>
      <c r="AI353" s="78">
        <v>0</v>
      </c>
      <c r="AJ353" s="78">
        <v>0</v>
      </c>
      <c r="AK353" s="78">
        <v>0</v>
      </c>
      <c r="AL353" s="78">
        <v>0</v>
      </c>
    </row>
    <row r="354" spans="1:38" x14ac:dyDescent="0.3">
      <c r="A354" s="78" t="s">
        <v>684</v>
      </c>
      <c r="B354" s="78">
        <v>27010</v>
      </c>
      <c r="C354" s="78">
        <v>1</v>
      </c>
      <c r="D354" s="78" t="s">
        <v>725</v>
      </c>
      <c r="E354" s="78" t="s">
        <v>726</v>
      </c>
      <c r="F354" s="78">
        <v>654</v>
      </c>
      <c r="G354" s="78">
        <v>34.19</v>
      </c>
      <c r="H354" s="78">
        <v>113.03</v>
      </c>
      <c r="I354" s="78">
        <v>25.53</v>
      </c>
      <c r="J354" s="78">
        <v>84.4</v>
      </c>
      <c r="K354" s="78">
        <v>205</v>
      </c>
      <c r="T354" s="78">
        <v>3</v>
      </c>
      <c r="U354" s="78">
        <v>2</v>
      </c>
      <c r="V354" s="78" t="s">
        <v>88</v>
      </c>
      <c r="W354" s="78" t="s">
        <v>727</v>
      </c>
      <c r="X354" s="78">
        <v>15</v>
      </c>
      <c r="Y354" s="78">
        <v>10</v>
      </c>
      <c r="Z354" s="78" t="s">
        <v>728</v>
      </c>
      <c r="AA354" s="78" t="s">
        <v>729</v>
      </c>
      <c r="AB354" s="78" t="s">
        <v>84</v>
      </c>
      <c r="AC354" s="78" t="s">
        <v>85</v>
      </c>
      <c r="AD354" s="78" t="s">
        <v>689</v>
      </c>
      <c r="AG354" s="78" t="s">
        <v>730</v>
      </c>
      <c r="AH354" s="78">
        <v>0</v>
      </c>
      <c r="AI354" s="78">
        <v>238</v>
      </c>
      <c r="AJ354" s="78">
        <v>24</v>
      </c>
      <c r="AK354" s="78">
        <v>974</v>
      </c>
      <c r="AL354" s="78">
        <v>1.49</v>
      </c>
    </row>
    <row r="355" spans="1:38" x14ac:dyDescent="0.3">
      <c r="A355" s="78" t="s">
        <v>684</v>
      </c>
      <c r="B355" s="78">
        <v>27010</v>
      </c>
      <c r="C355" s="78">
        <v>2</v>
      </c>
      <c r="D355" s="78" t="s">
        <v>725</v>
      </c>
      <c r="E355" s="78" t="s">
        <v>726</v>
      </c>
      <c r="F355" s="78">
        <v>654</v>
      </c>
      <c r="G355" s="78">
        <v>34.880000000000003</v>
      </c>
      <c r="H355" s="78">
        <v>115.31</v>
      </c>
      <c r="I355" s="78">
        <v>25.67</v>
      </c>
      <c r="J355" s="78">
        <v>84.86</v>
      </c>
      <c r="K355" s="78">
        <v>60</v>
      </c>
      <c r="T355" s="78">
        <v>3</v>
      </c>
      <c r="U355" s="78">
        <v>2</v>
      </c>
      <c r="V355" s="78" t="s">
        <v>88</v>
      </c>
      <c r="W355" s="78" t="s">
        <v>544</v>
      </c>
      <c r="X355" s="78">
        <v>15</v>
      </c>
      <c r="Y355" s="78">
        <v>10</v>
      </c>
      <c r="Z355" s="78" t="s">
        <v>728</v>
      </c>
      <c r="AA355" s="78" t="s">
        <v>729</v>
      </c>
      <c r="AB355" s="78" t="s">
        <v>84</v>
      </c>
      <c r="AC355" s="78" t="s">
        <v>85</v>
      </c>
      <c r="AD355" s="78" t="s">
        <v>689</v>
      </c>
      <c r="AG355" s="78" t="s">
        <v>730</v>
      </c>
      <c r="AH355" s="78">
        <v>0</v>
      </c>
      <c r="AI355" s="78">
        <v>238</v>
      </c>
      <c r="AJ355" s="78">
        <v>24</v>
      </c>
      <c r="AK355" s="78">
        <v>974</v>
      </c>
      <c r="AL355" s="78">
        <v>1.49</v>
      </c>
    </row>
    <row r="356" spans="1:38" x14ac:dyDescent="0.3">
      <c r="A356" s="78" t="s">
        <v>684</v>
      </c>
      <c r="B356" s="78">
        <v>27010</v>
      </c>
      <c r="C356" s="78">
        <v>3</v>
      </c>
      <c r="D356" s="78" t="s">
        <v>725</v>
      </c>
      <c r="E356" s="78" t="s">
        <v>726</v>
      </c>
      <c r="F356" s="78">
        <v>654</v>
      </c>
      <c r="G356" s="78">
        <v>40.92</v>
      </c>
      <c r="H356" s="78">
        <v>135.30000000000001</v>
      </c>
      <c r="I356" s="78">
        <v>31.4</v>
      </c>
      <c r="J356" s="78">
        <v>103.82</v>
      </c>
      <c r="K356" s="78">
        <v>163</v>
      </c>
      <c r="T356" s="78">
        <v>3</v>
      </c>
      <c r="U356" s="78">
        <v>2</v>
      </c>
      <c r="V356" s="78" t="s">
        <v>88</v>
      </c>
      <c r="W356" s="78" t="s">
        <v>731</v>
      </c>
      <c r="X356" s="78">
        <v>15</v>
      </c>
      <c r="Y356" s="78">
        <v>10</v>
      </c>
      <c r="Z356" s="78" t="s">
        <v>728</v>
      </c>
      <c r="AA356" s="78" t="s">
        <v>729</v>
      </c>
      <c r="AB356" s="78" t="s">
        <v>84</v>
      </c>
      <c r="AC356" s="78" t="s">
        <v>85</v>
      </c>
      <c r="AD356" s="78" t="s">
        <v>689</v>
      </c>
      <c r="AG356" s="78" t="s">
        <v>730</v>
      </c>
      <c r="AH356" s="78">
        <v>0</v>
      </c>
      <c r="AI356" s="78">
        <v>238</v>
      </c>
      <c r="AJ356" s="78">
        <v>24</v>
      </c>
      <c r="AK356" s="78">
        <v>974</v>
      </c>
      <c r="AL356" s="78">
        <v>1.49</v>
      </c>
    </row>
    <row r="357" spans="1:38" x14ac:dyDescent="0.3">
      <c r="A357" s="78" t="s">
        <v>684</v>
      </c>
      <c r="B357" s="78">
        <v>27010</v>
      </c>
      <c r="C357" s="78">
        <v>4</v>
      </c>
      <c r="D357" s="78" t="s">
        <v>725</v>
      </c>
      <c r="E357" s="78" t="s">
        <v>726</v>
      </c>
      <c r="F357" s="78">
        <v>654</v>
      </c>
      <c r="G357" s="78">
        <v>40.89</v>
      </c>
      <c r="H357" s="78">
        <v>135.18</v>
      </c>
      <c r="I357" s="78">
        <v>31.5</v>
      </c>
      <c r="J357" s="78">
        <v>104.16</v>
      </c>
      <c r="K357" s="78">
        <v>113</v>
      </c>
      <c r="T357" s="78">
        <v>3</v>
      </c>
      <c r="U357" s="78">
        <v>2</v>
      </c>
      <c r="V357" s="78" t="s">
        <v>88</v>
      </c>
      <c r="W357" s="78" t="s">
        <v>732</v>
      </c>
      <c r="X357" s="78">
        <v>15</v>
      </c>
      <c r="Y357" s="78">
        <v>10</v>
      </c>
      <c r="Z357" s="78" t="s">
        <v>728</v>
      </c>
      <c r="AA357" s="78" t="s">
        <v>729</v>
      </c>
      <c r="AB357" s="78" t="s">
        <v>84</v>
      </c>
      <c r="AC357" s="78" t="s">
        <v>85</v>
      </c>
      <c r="AD357" s="78" t="s">
        <v>689</v>
      </c>
      <c r="AG357" s="78" t="s">
        <v>730</v>
      </c>
      <c r="AH357" s="78">
        <v>0</v>
      </c>
      <c r="AI357" s="78">
        <v>238</v>
      </c>
      <c r="AJ357" s="78">
        <v>24</v>
      </c>
      <c r="AK357" s="78">
        <v>974</v>
      </c>
      <c r="AL357" s="78">
        <v>1.49</v>
      </c>
    </row>
    <row r="358" spans="1:38" x14ac:dyDescent="0.3">
      <c r="A358" s="78" t="s">
        <v>684</v>
      </c>
      <c r="B358" s="78">
        <v>27010</v>
      </c>
      <c r="C358" s="78">
        <v>5</v>
      </c>
      <c r="D358" s="78" t="s">
        <v>725</v>
      </c>
      <c r="E358" s="78" t="s">
        <v>726</v>
      </c>
      <c r="F358" s="78">
        <v>654</v>
      </c>
      <c r="G358" s="78">
        <v>45.97</v>
      </c>
      <c r="H358" s="78">
        <v>151.97</v>
      </c>
      <c r="I358" s="78">
        <v>36.69</v>
      </c>
      <c r="J358" s="78">
        <v>121.3</v>
      </c>
      <c r="K358" s="78">
        <v>52</v>
      </c>
      <c r="T358" s="78">
        <v>4</v>
      </c>
      <c r="U358" s="78">
        <v>2</v>
      </c>
      <c r="V358" s="78" t="s">
        <v>88</v>
      </c>
      <c r="W358" s="78">
        <v>151</v>
      </c>
      <c r="X358" s="78">
        <v>15</v>
      </c>
      <c r="Y358" s="78">
        <v>10</v>
      </c>
      <c r="Z358" s="78" t="s">
        <v>728</v>
      </c>
      <c r="AA358" s="78" t="s">
        <v>729</v>
      </c>
      <c r="AB358" s="78" t="s">
        <v>84</v>
      </c>
      <c r="AC358" s="78" t="s">
        <v>85</v>
      </c>
      <c r="AD358" s="78" t="s">
        <v>689</v>
      </c>
      <c r="AG358" s="78" t="s">
        <v>730</v>
      </c>
      <c r="AH358" s="78">
        <v>0</v>
      </c>
      <c r="AI358" s="78">
        <v>238</v>
      </c>
      <c r="AJ358" s="78">
        <v>24</v>
      </c>
      <c r="AK358" s="78">
        <v>974</v>
      </c>
      <c r="AL358" s="78">
        <v>1.49</v>
      </c>
    </row>
    <row r="359" spans="1:38" x14ac:dyDescent="0.3">
      <c r="A359" s="78" t="s">
        <v>684</v>
      </c>
      <c r="B359" s="78">
        <v>27010</v>
      </c>
      <c r="C359" s="78">
        <v>6</v>
      </c>
      <c r="D359" s="78" t="s">
        <v>725</v>
      </c>
      <c r="E359" s="78" t="s">
        <v>726</v>
      </c>
      <c r="F359" s="78">
        <v>654</v>
      </c>
      <c r="G359" s="78">
        <v>54.98</v>
      </c>
      <c r="H359" s="78">
        <v>181.77</v>
      </c>
      <c r="I359" s="78">
        <v>45.34</v>
      </c>
      <c r="J359" s="78">
        <v>149.9</v>
      </c>
      <c r="K359" s="78">
        <v>57</v>
      </c>
      <c r="T359" s="78">
        <v>4</v>
      </c>
      <c r="U359" s="78">
        <v>2</v>
      </c>
      <c r="V359" s="78" t="s">
        <v>88</v>
      </c>
      <c r="W359" s="78">
        <v>181</v>
      </c>
      <c r="X359" s="78">
        <v>15</v>
      </c>
      <c r="Y359" s="78">
        <v>10</v>
      </c>
      <c r="Z359" s="78" t="s">
        <v>728</v>
      </c>
      <c r="AA359" s="78" t="s">
        <v>729</v>
      </c>
      <c r="AB359" s="78" t="s">
        <v>84</v>
      </c>
      <c r="AC359" s="78" t="s">
        <v>85</v>
      </c>
      <c r="AD359" s="78" t="s">
        <v>689</v>
      </c>
      <c r="AG359" s="78" t="s">
        <v>730</v>
      </c>
      <c r="AH359" s="78">
        <v>0</v>
      </c>
      <c r="AI359" s="78">
        <v>238</v>
      </c>
      <c r="AJ359" s="78">
        <v>24</v>
      </c>
      <c r="AK359" s="78">
        <v>974</v>
      </c>
      <c r="AL359" s="78">
        <v>1.49</v>
      </c>
    </row>
    <row r="360" spans="1:38" x14ac:dyDescent="0.3">
      <c r="A360" s="78" t="s">
        <v>684</v>
      </c>
      <c r="B360" s="78">
        <v>27010</v>
      </c>
      <c r="C360" s="78">
        <v>7</v>
      </c>
      <c r="D360" s="78" t="s">
        <v>725</v>
      </c>
      <c r="E360" s="78" t="s">
        <v>726</v>
      </c>
      <c r="F360" s="78">
        <v>654</v>
      </c>
      <c r="G360" s="78">
        <v>63.27</v>
      </c>
      <c r="H360" s="78">
        <v>209.16</v>
      </c>
      <c r="I360" s="78">
        <v>48.43</v>
      </c>
      <c r="J360" s="78">
        <v>160.13</v>
      </c>
      <c r="K360" s="78">
        <v>4</v>
      </c>
      <c r="T360" s="78">
        <v>5</v>
      </c>
      <c r="U360" s="78">
        <v>2</v>
      </c>
      <c r="V360" s="78" t="s">
        <v>88</v>
      </c>
      <c r="W360" s="78">
        <v>209</v>
      </c>
      <c r="X360" s="78">
        <v>15</v>
      </c>
      <c r="Y360" s="78">
        <v>10</v>
      </c>
      <c r="Z360" s="78" t="s">
        <v>728</v>
      </c>
      <c r="AA360" s="78" t="s">
        <v>729</v>
      </c>
      <c r="AB360" s="78" t="s">
        <v>84</v>
      </c>
      <c r="AC360" s="78" t="s">
        <v>85</v>
      </c>
      <c r="AD360" s="78" t="s">
        <v>689</v>
      </c>
      <c r="AG360" s="78" t="s">
        <v>730</v>
      </c>
      <c r="AH360" s="78">
        <v>0</v>
      </c>
      <c r="AI360" s="78">
        <v>238</v>
      </c>
      <c r="AJ360" s="78">
        <v>24</v>
      </c>
      <c r="AK360" s="78">
        <v>974</v>
      </c>
      <c r="AL360" s="78">
        <v>1.49</v>
      </c>
    </row>
    <row r="361" spans="1:38" x14ac:dyDescent="0.3">
      <c r="A361" s="78" t="s">
        <v>684</v>
      </c>
      <c r="B361" s="78">
        <v>112656</v>
      </c>
      <c r="C361" s="78">
        <v>1</v>
      </c>
      <c r="D361" s="78" t="s">
        <v>733</v>
      </c>
      <c r="E361" s="78" t="s">
        <v>734</v>
      </c>
      <c r="F361" s="78">
        <v>805</v>
      </c>
      <c r="G361" s="78">
        <v>24.29</v>
      </c>
      <c r="H361" s="78">
        <v>80.33</v>
      </c>
      <c r="I361" s="78">
        <v>18.12</v>
      </c>
      <c r="J361" s="78">
        <v>59.93</v>
      </c>
      <c r="K361" s="78">
        <v>78</v>
      </c>
      <c r="T361" s="78">
        <v>3</v>
      </c>
      <c r="U361" s="78">
        <v>1</v>
      </c>
      <c r="V361" s="78" t="s">
        <v>88</v>
      </c>
      <c r="W361" s="78">
        <v>80</v>
      </c>
      <c r="X361" s="78">
        <v>25</v>
      </c>
      <c r="Y361" s="78">
        <v>16</v>
      </c>
      <c r="Z361" s="78" t="s">
        <v>735</v>
      </c>
      <c r="AA361" s="78" t="s">
        <v>736</v>
      </c>
      <c r="AB361" s="78" t="s">
        <v>84</v>
      </c>
      <c r="AC361" s="78" t="s">
        <v>85</v>
      </c>
      <c r="AD361" s="78" t="s">
        <v>689</v>
      </c>
      <c r="AG361" s="78" t="s">
        <v>737</v>
      </c>
      <c r="AH361" s="78">
        <v>0</v>
      </c>
      <c r="AI361" s="78">
        <v>248</v>
      </c>
      <c r="AJ361" s="78">
        <v>23</v>
      </c>
      <c r="AK361" s="78">
        <v>1008</v>
      </c>
      <c r="AL361" s="78">
        <v>1.25</v>
      </c>
    </row>
    <row r="362" spans="1:38" x14ac:dyDescent="0.3">
      <c r="A362" s="78" t="s">
        <v>684</v>
      </c>
      <c r="B362" s="78">
        <v>112656</v>
      </c>
      <c r="C362" s="78">
        <v>2</v>
      </c>
      <c r="D362" s="78" t="s">
        <v>733</v>
      </c>
      <c r="E362" s="78" t="s">
        <v>734</v>
      </c>
      <c r="F362" s="78">
        <v>805</v>
      </c>
      <c r="G362" s="78">
        <v>26.59</v>
      </c>
      <c r="H362" s="78">
        <v>87.91</v>
      </c>
      <c r="I362" s="78">
        <v>19.93</v>
      </c>
      <c r="J362" s="78">
        <v>65.900000000000006</v>
      </c>
      <c r="K362" s="78">
        <v>47</v>
      </c>
      <c r="T362" s="78">
        <v>3</v>
      </c>
      <c r="U362" s="78">
        <v>2</v>
      </c>
      <c r="V362" s="78" t="s">
        <v>88</v>
      </c>
      <c r="W362" s="78" t="s">
        <v>436</v>
      </c>
      <c r="X362" s="78">
        <v>25</v>
      </c>
      <c r="Y362" s="78">
        <v>16</v>
      </c>
      <c r="Z362" s="78" t="s">
        <v>735</v>
      </c>
      <c r="AA362" s="78" t="s">
        <v>736</v>
      </c>
      <c r="AB362" s="78" t="s">
        <v>84</v>
      </c>
      <c r="AC362" s="78" t="s">
        <v>85</v>
      </c>
      <c r="AD362" s="78" t="s">
        <v>689</v>
      </c>
      <c r="AG362" s="78" t="s">
        <v>737</v>
      </c>
      <c r="AH362" s="78">
        <v>0</v>
      </c>
      <c r="AI362" s="78">
        <v>248</v>
      </c>
      <c r="AJ362" s="78">
        <v>23</v>
      </c>
      <c r="AK362" s="78">
        <v>1008</v>
      </c>
      <c r="AL362" s="78">
        <v>1.25</v>
      </c>
    </row>
    <row r="363" spans="1:38" x14ac:dyDescent="0.3">
      <c r="A363" s="78" t="s">
        <v>684</v>
      </c>
      <c r="B363" s="78">
        <v>112656</v>
      </c>
      <c r="C363" s="78">
        <v>3</v>
      </c>
      <c r="D363" s="78" t="s">
        <v>733</v>
      </c>
      <c r="E363" s="78" t="s">
        <v>734</v>
      </c>
      <c r="F363" s="78">
        <v>805</v>
      </c>
      <c r="G363" s="78">
        <v>26.81</v>
      </c>
      <c r="H363" s="78">
        <v>88.66</v>
      </c>
      <c r="I363" s="78">
        <v>19.940000000000001</v>
      </c>
      <c r="J363" s="78">
        <v>65.930000000000007</v>
      </c>
      <c r="K363" s="78">
        <v>44</v>
      </c>
      <c r="T363" s="78">
        <v>3</v>
      </c>
      <c r="U363" s="78">
        <v>2</v>
      </c>
      <c r="V363" s="78" t="s">
        <v>88</v>
      </c>
      <c r="W363" s="78" t="s">
        <v>738</v>
      </c>
      <c r="X363" s="78">
        <v>25</v>
      </c>
      <c r="Y363" s="78">
        <v>16</v>
      </c>
      <c r="Z363" s="78" t="s">
        <v>735</v>
      </c>
      <c r="AA363" s="78" t="s">
        <v>736</v>
      </c>
      <c r="AB363" s="78" t="s">
        <v>84</v>
      </c>
      <c r="AC363" s="78" t="s">
        <v>85</v>
      </c>
      <c r="AD363" s="78" t="s">
        <v>689</v>
      </c>
      <c r="AG363" s="78" t="s">
        <v>737</v>
      </c>
      <c r="AH363" s="78">
        <v>0</v>
      </c>
      <c r="AI363" s="78">
        <v>248</v>
      </c>
      <c r="AJ363" s="78">
        <v>23</v>
      </c>
      <c r="AK363" s="78">
        <v>1008</v>
      </c>
      <c r="AL363" s="78">
        <v>1.25</v>
      </c>
    </row>
    <row r="364" spans="1:38" x14ac:dyDescent="0.3">
      <c r="A364" s="78" t="s">
        <v>684</v>
      </c>
      <c r="B364" s="78">
        <v>112656</v>
      </c>
      <c r="C364" s="78">
        <v>4</v>
      </c>
      <c r="D364" s="78" t="s">
        <v>733</v>
      </c>
      <c r="E364" s="78" t="s">
        <v>734</v>
      </c>
      <c r="F364" s="78">
        <v>805</v>
      </c>
      <c r="G364" s="78">
        <v>30.23</v>
      </c>
      <c r="H364" s="78">
        <v>99.96</v>
      </c>
      <c r="I364" s="78">
        <v>22.66</v>
      </c>
      <c r="J364" s="78">
        <v>74.91</v>
      </c>
      <c r="K364" s="78">
        <v>186</v>
      </c>
      <c r="T364" s="78">
        <v>3</v>
      </c>
      <c r="U364" s="78">
        <v>2</v>
      </c>
      <c r="V364" s="78" t="s">
        <v>88</v>
      </c>
      <c r="W364" s="78" t="s">
        <v>461</v>
      </c>
      <c r="X364" s="78">
        <v>25</v>
      </c>
      <c r="Y364" s="78">
        <v>16</v>
      </c>
      <c r="Z364" s="78" t="s">
        <v>735</v>
      </c>
      <c r="AA364" s="78" t="s">
        <v>736</v>
      </c>
      <c r="AB364" s="78" t="s">
        <v>84</v>
      </c>
      <c r="AC364" s="78" t="s">
        <v>85</v>
      </c>
      <c r="AD364" s="78" t="s">
        <v>689</v>
      </c>
      <c r="AG364" s="78" t="s">
        <v>737</v>
      </c>
      <c r="AH364" s="78">
        <v>0</v>
      </c>
      <c r="AI364" s="78">
        <v>248</v>
      </c>
      <c r="AJ364" s="78">
        <v>23</v>
      </c>
      <c r="AK364" s="78">
        <v>1008</v>
      </c>
      <c r="AL364" s="78">
        <v>1.25</v>
      </c>
    </row>
    <row r="365" spans="1:38" x14ac:dyDescent="0.3">
      <c r="A365" s="78" t="s">
        <v>684</v>
      </c>
      <c r="B365" s="78">
        <v>112656</v>
      </c>
      <c r="C365" s="78">
        <v>5</v>
      </c>
      <c r="D365" s="78" t="s">
        <v>733</v>
      </c>
      <c r="E365" s="78" t="s">
        <v>734</v>
      </c>
      <c r="F365" s="78">
        <v>805</v>
      </c>
      <c r="G365" s="78">
        <v>30.15</v>
      </c>
      <c r="H365" s="78">
        <v>99.67</v>
      </c>
      <c r="I365" s="78">
        <v>22.65</v>
      </c>
      <c r="J365" s="78">
        <v>74.900000000000006</v>
      </c>
      <c r="K365" s="78">
        <v>18</v>
      </c>
      <c r="T365" s="78">
        <v>3</v>
      </c>
      <c r="U365" s="78">
        <v>2</v>
      </c>
      <c r="V365" s="78" t="s">
        <v>88</v>
      </c>
      <c r="W365" s="78" t="s">
        <v>701</v>
      </c>
      <c r="X365" s="78">
        <v>25</v>
      </c>
      <c r="Y365" s="78">
        <v>16</v>
      </c>
      <c r="Z365" s="78" t="s">
        <v>735</v>
      </c>
      <c r="AA365" s="78" t="s">
        <v>736</v>
      </c>
      <c r="AB365" s="78" t="s">
        <v>84</v>
      </c>
      <c r="AC365" s="78" t="s">
        <v>85</v>
      </c>
      <c r="AD365" s="78" t="s">
        <v>689</v>
      </c>
      <c r="AG365" s="78" t="s">
        <v>737</v>
      </c>
      <c r="AH365" s="78">
        <v>0</v>
      </c>
      <c r="AI365" s="78">
        <v>248</v>
      </c>
      <c r="AJ365" s="78">
        <v>23</v>
      </c>
      <c r="AK365" s="78">
        <v>1008</v>
      </c>
      <c r="AL365" s="78">
        <v>1.25</v>
      </c>
    </row>
    <row r="366" spans="1:38" x14ac:dyDescent="0.3">
      <c r="A366" s="78" t="s">
        <v>684</v>
      </c>
      <c r="B366" s="78">
        <v>112656</v>
      </c>
      <c r="C366" s="78">
        <v>6</v>
      </c>
      <c r="D366" s="78" t="s">
        <v>733</v>
      </c>
      <c r="E366" s="78" t="s">
        <v>734</v>
      </c>
      <c r="F366" s="78">
        <v>805</v>
      </c>
      <c r="G366" s="78">
        <v>30.37</v>
      </c>
      <c r="H366" s="78">
        <v>100.4</v>
      </c>
      <c r="I366" s="78">
        <v>22.65</v>
      </c>
      <c r="J366" s="78">
        <v>74.88</v>
      </c>
      <c r="K366" s="78">
        <v>44</v>
      </c>
      <c r="T366" s="78">
        <v>3</v>
      </c>
      <c r="U366" s="78">
        <v>2</v>
      </c>
      <c r="V366" s="78" t="s">
        <v>88</v>
      </c>
      <c r="W366" s="78" t="s">
        <v>739</v>
      </c>
      <c r="X366" s="78">
        <v>25</v>
      </c>
      <c r="Y366" s="78">
        <v>16</v>
      </c>
      <c r="Z366" s="78" t="s">
        <v>735</v>
      </c>
      <c r="AA366" s="78" t="s">
        <v>736</v>
      </c>
      <c r="AB366" s="78" t="s">
        <v>84</v>
      </c>
      <c r="AC366" s="78" t="s">
        <v>85</v>
      </c>
      <c r="AD366" s="78" t="s">
        <v>689</v>
      </c>
      <c r="AG366" s="78" t="s">
        <v>737</v>
      </c>
      <c r="AH366" s="78">
        <v>0</v>
      </c>
      <c r="AI366" s="78">
        <v>248</v>
      </c>
      <c r="AJ366" s="78">
        <v>23</v>
      </c>
      <c r="AK366" s="78">
        <v>1008</v>
      </c>
      <c r="AL366" s="78">
        <v>1.25</v>
      </c>
    </row>
    <row r="367" spans="1:38" x14ac:dyDescent="0.3">
      <c r="A367" s="78" t="s">
        <v>684</v>
      </c>
      <c r="B367" s="78">
        <v>112656</v>
      </c>
      <c r="C367" s="78">
        <v>7</v>
      </c>
      <c r="D367" s="78" t="s">
        <v>733</v>
      </c>
      <c r="E367" s="78" t="s">
        <v>734</v>
      </c>
      <c r="F367" s="78">
        <v>805</v>
      </c>
      <c r="G367" s="78">
        <v>30.29</v>
      </c>
      <c r="H367" s="78">
        <v>100.14</v>
      </c>
      <c r="I367" s="78">
        <v>22.68</v>
      </c>
      <c r="J367" s="78">
        <v>74.989999999999995</v>
      </c>
      <c r="K367" s="78">
        <v>40</v>
      </c>
      <c r="T367" s="78">
        <v>3</v>
      </c>
      <c r="U367" s="78">
        <v>2</v>
      </c>
      <c r="V367" s="78" t="s">
        <v>88</v>
      </c>
      <c r="W367" s="78" t="s">
        <v>467</v>
      </c>
      <c r="X367" s="78">
        <v>25</v>
      </c>
      <c r="Y367" s="78">
        <v>16</v>
      </c>
      <c r="Z367" s="78" t="s">
        <v>735</v>
      </c>
      <c r="AA367" s="78" t="s">
        <v>736</v>
      </c>
      <c r="AB367" s="78" t="s">
        <v>84</v>
      </c>
      <c r="AC367" s="78" t="s">
        <v>85</v>
      </c>
      <c r="AD367" s="78" t="s">
        <v>689</v>
      </c>
      <c r="AG367" s="78" t="s">
        <v>737</v>
      </c>
      <c r="AH367" s="78">
        <v>0</v>
      </c>
      <c r="AI367" s="78">
        <v>248</v>
      </c>
      <c r="AJ367" s="78">
        <v>23</v>
      </c>
      <c r="AK367" s="78">
        <v>1008</v>
      </c>
      <c r="AL367" s="78">
        <v>1.25</v>
      </c>
    </row>
    <row r="368" spans="1:38" x14ac:dyDescent="0.3">
      <c r="A368" s="78" t="s">
        <v>684</v>
      </c>
      <c r="B368" s="78">
        <v>112656</v>
      </c>
      <c r="C368" s="78">
        <v>8</v>
      </c>
      <c r="D368" s="78" t="s">
        <v>733</v>
      </c>
      <c r="E368" s="78" t="s">
        <v>734</v>
      </c>
      <c r="F368" s="78">
        <v>805</v>
      </c>
      <c r="G368" s="78">
        <v>33.979999999999997</v>
      </c>
      <c r="H368" s="78">
        <v>112.36</v>
      </c>
      <c r="I368" s="78">
        <v>25.67</v>
      </c>
      <c r="J368" s="78">
        <v>84.86</v>
      </c>
      <c r="K368" s="78">
        <v>274</v>
      </c>
      <c r="T368" s="78">
        <v>4</v>
      </c>
      <c r="U368" s="78">
        <v>2</v>
      </c>
      <c r="V368" s="78" t="s">
        <v>88</v>
      </c>
      <c r="W368" s="78">
        <v>112</v>
      </c>
      <c r="X368" s="78">
        <v>25</v>
      </c>
      <c r="Y368" s="78">
        <v>16</v>
      </c>
      <c r="Z368" s="78" t="s">
        <v>735</v>
      </c>
      <c r="AA368" s="78" t="s">
        <v>736</v>
      </c>
      <c r="AB368" s="78" t="s">
        <v>84</v>
      </c>
      <c r="AC368" s="78" t="s">
        <v>85</v>
      </c>
      <c r="AD368" s="78" t="s">
        <v>689</v>
      </c>
      <c r="AG368" s="78" t="s">
        <v>737</v>
      </c>
      <c r="AH368" s="78">
        <v>0</v>
      </c>
      <c r="AI368" s="78">
        <v>248</v>
      </c>
      <c r="AJ368" s="78">
        <v>23</v>
      </c>
      <c r="AK368" s="78">
        <v>1008</v>
      </c>
      <c r="AL368" s="78">
        <v>1.25</v>
      </c>
    </row>
    <row r="369" spans="1:38" x14ac:dyDescent="0.3">
      <c r="A369" s="78" t="s">
        <v>684</v>
      </c>
      <c r="B369" s="78">
        <v>112656</v>
      </c>
      <c r="C369" s="78">
        <v>9</v>
      </c>
      <c r="D369" s="78" t="s">
        <v>733</v>
      </c>
      <c r="E369" s="78" t="s">
        <v>734</v>
      </c>
      <c r="F369" s="78">
        <v>805</v>
      </c>
      <c r="G369" s="78">
        <v>40.74</v>
      </c>
      <c r="H369" s="78">
        <v>134.69999999999999</v>
      </c>
      <c r="I369" s="78">
        <v>30.8</v>
      </c>
      <c r="J369" s="78">
        <v>101.84</v>
      </c>
      <c r="K369" s="78">
        <v>70</v>
      </c>
      <c r="T369" s="78">
        <v>4</v>
      </c>
      <c r="U369" s="78">
        <v>2</v>
      </c>
      <c r="V369" s="78" t="s">
        <v>88</v>
      </c>
      <c r="W369" s="78">
        <v>134</v>
      </c>
      <c r="X369" s="78">
        <v>25</v>
      </c>
      <c r="Y369" s="78">
        <v>16</v>
      </c>
      <c r="Z369" s="78" t="s">
        <v>735</v>
      </c>
      <c r="AA369" s="78" t="s">
        <v>736</v>
      </c>
      <c r="AB369" s="78" t="s">
        <v>84</v>
      </c>
      <c r="AC369" s="78" t="s">
        <v>85</v>
      </c>
      <c r="AD369" s="78" t="s">
        <v>689</v>
      </c>
      <c r="AG369" s="78" t="s">
        <v>737</v>
      </c>
      <c r="AH369" s="78">
        <v>0</v>
      </c>
      <c r="AI369" s="78">
        <v>248</v>
      </c>
      <c r="AJ369" s="78">
        <v>23</v>
      </c>
      <c r="AK369" s="78">
        <v>1008</v>
      </c>
      <c r="AL369" s="78">
        <v>1.25</v>
      </c>
    </row>
    <row r="370" spans="1:38" x14ac:dyDescent="0.3">
      <c r="A370" s="78" t="s">
        <v>684</v>
      </c>
      <c r="B370" s="78">
        <v>112656</v>
      </c>
      <c r="C370" s="78">
        <v>10</v>
      </c>
      <c r="D370" s="78" t="s">
        <v>733</v>
      </c>
      <c r="E370" s="78" t="s">
        <v>734</v>
      </c>
      <c r="F370" s="78">
        <v>805</v>
      </c>
      <c r="G370" s="78">
        <v>52.7</v>
      </c>
      <c r="H370" s="78">
        <v>174.24</v>
      </c>
      <c r="I370" s="78">
        <v>38.92</v>
      </c>
      <c r="J370" s="78">
        <v>128.68</v>
      </c>
      <c r="K370" s="78">
        <v>4</v>
      </c>
      <c r="T370" s="78">
        <v>4</v>
      </c>
      <c r="U370" s="78">
        <v>2</v>
      </c>
      <c r="V370" s="78" t="s">
        <v>88</v>
      </c>
      <c r="W370" s="78">
        <v>174</v>
      </c>
      <c r="X370" s="78">
        <v>25</v>
      </c>
      <c r="Y370" s="78">
        <v>16</v>
      </c>
      <c r="Z370" s="78" t="s">
        <v>735</v>
      </c>
      <c r="AA370" s="78" t="s">
        <v>736</v>
      </c>
      <c r="AB370" s="78" t="s">
        <v>84</v>
      </c>
      <c r="AC370" s="78" t="s">
        <v>85</v>
      </c>
      <c r="AD370" s="78" t="s">
        <v>689</v>
      </c>
      <c r="AG370" s="78" t="s">
        <v>737</v>
      </c>
      <c r="AH370" s="78">
        <v>0</v>
      </c>
      <c r="AI370" s="78">
        <v>248</v>
      </c>
      <c r="AJ370" s="78">
        <v>23</v>
      </c>
      <c r="AK370" s="78">
        <v>1008</v>
      </c>
      <c r="AL370" s="78">
        <v>1.25</v>
      </c>
    </row>
    <row r="371" spans="1:38" x14ac:dyDescent="0.3">
      <c r="A371" s="78" t="s">
        <v>740</v>
      </c>
      <c r="B371" s="78">
        <v>5042</v>
      </c>
      <c r="C371" s="78">
        <v>1</v>
      </c>
      <c r="D371" s="78" t="s">
        <v>741</v>
      </c>
      <c r="E371" s="78" t="s">
        <v>742</v>
      </c>
      <c r="F371" s="78">
        <v>358</v>
      </c>
      <c r="G371" s="78">
        <v>23.05</v>
      </c>
      <c r="H371" s="78">
        <v>76.22</v>
      </c>
      <c r="I371" s="78">
        <v>18.02</v>
      </c>
      <c r="J371" s="78">
        <v>59.58</v>
      </c>
      <c r="K371" s="78">
        <v>150</v>
      </c>
      <c r="T371" s="78">
        <v>3</v>
      </c>
      <c r="U371" s="78">
        <v>1</v>
      </c>
      <c r="V371" s="78" t="s">
        <v>88</v>
      </c>
      <c r="W371" s="78">
        <v>76</v>
      </c>
      <c r="X371" s="78">
        <v>15</v>
      </c>
      <c r="Y371" s="78">
        <v>14</v>
      </c>
      <c r="Z371" s="78" t="s">
        <v>743</v>
      </c>
      <c r="AA371" s="78" t="s">
        <v>744</v>
      </c>
      <c r="AB371" s="78" t="s">
        <v>84</v>
      </c>
      <c r="AC371" s="78" t="s">
        <v>85</v>
      </c>
      <c r="AD371" s="78" t="s">
        <v>745</v>
      </c>
      <c r="AG371" s="78" t="s">
        <v>746</v>
      </c>
      <c r="AH371" s="78">
        <v>0</v>
      </c>
      <c r="AI371" s="78">
        <v>175</v>
      </c>
      <c r="AJ371" s="78">
        <v>18</v>
      </c>
      <c r="AK371" s="78">
        <v>332</v>
      </c>
      <c r="AL371" s="78">
        <v>0.93</v>
      </c>
    </row>
    <row r="372" spans="1:38" x14ac:dyDescent="0.3">
      <c r="A372" s="78" t="s">
        <v>740</v>
      </c>
      <c r="B372" s="78">
        <v>5042</v>
      </c>
      <c r="C372" s="78">
        <v>2</v>
      </c>
      <c r="D372" s="78" t="s">
        <v>741</v>
      </c>
      <c r="E372" s="78" t="s">
        <v>742</v>
      </c>
      <c r="F372" s="78">
        <v>358</v>
      </c>
      <c r="G372" s="78">
        <v>31.15</v>
      </c>
      <c r="H372" s="78">
        <v>102.98</v>
      </c>
      <c r="I372" s="78">
        <v>25.59</v>
      </c>
      <c r="J372" s="78">
        <v>84.6</v>
      </c>
      <c r="K372" s="78">
        <v>208</v>
      </c>
      <c r="T372" s="78">
        <v>3</v>
      </c>
      <c r="U372" s="78">
        <v>2</v>
      </c>
      <c r="V372" s="78" t="s">
        <v>88</v>
      </c>
      <c r="W372" s="78">
        <v>102</v>
      </c>
      <c r="X372" s="78">
        <v>15</v>
      </c>
      <c r="Y372" s="78">
        <v>14</v>
      </c>
      <c r="Z372" s="78" t="s">
        <v>743</v>
      </c>
      <c r="AA372" s="78" t="s">
        <v>744</v>
      </c>
      <c r="AB372" s="78" t="s">
        <v>84</v>
      </c>
      <c r="AC372" s="78" t="s">
        <v>85</v>
      </c>
      <c r="AD372" s="78" t="s">
        <v>745</v>
      </c>
      <c r="AG372" s="78" t="s">
        <v>746</v>
      </c>
      <c r="AH372" s="78">
        <v>0</v>
      </c>
      <c r="AI372" s="78">
        <v>175</v>
      </c>
      <c r="AJ372" s="78">
        <v>18</v>
      </c>
      <c r="AK372" s="78">
        <v>332</v>
      </c>
      <c r="AL372" s="78">
        <v>0.93</v>
      </c>
    </row>
    <row r="373" spans="1:38" x14ac:dyDescent="0.3">
      <c r="A373" s="78" t="s">
        <v>740</v>
      </c>
      <c r="B373" s="78">
        <v>5036</v>
      </c>
      <c r="C373" s="78">
        <v>1</v>
      </c>
      <c r="D373" s="78" t="s">
        <v>747</v>
      </c>
      <c r="E373" s="78" t="s">
        <v>748</v>
      </c>
      <c r="F373" s="78">
        <v>342</v>
      </c>
      <c r="G373" s="78">
        <v>27.02</v>
      </c>
      <c r="H373" s="78">
        <v>89.35</v>
      </c>
      <c r="I373" s="78">
        <v>22.1</v>
      </c>
      <c r="J373" s="78">
        <v>73.09</v>
      </c>
      <c r="K373" s="78">
        <v>138</v>
      </c>
      <c r="T373" s="78">
        <v>3</v>
      </c>
      <c r="U373" s="78">
        <v>2</v>
      </c>
      <c r="V373" s="78" t="s">
        <v>88</v>
      </c>
      <c r="W373" s="78">
        <v>89</v>
      </c>
      <c r="X373" s="78">
        <v>13</v>
      </c>
      <c r="Y373" s="78">
        <v>10</v>
      </c>
      <c r="Z373" s="78" t="s">
        <v>749</v>
      </c>
      <c r="AA373" s="78" t="s">
        <v>750</v>
      </c>
      <c r="AB373" s="78" t="s">
        <v>84</v>
      </c>
      <c r="AC373" s="78" t="s">
        <v>85</v>
      </c>
      <c r="AD373" s="78" t="s">
        <v>745</v>
      </c>
      <c r="AG373" s="78" t="s">
        <v>751</v>
      </c>
      <c r="AH373" s="78">
        <v>0</v>
      </c>
      <c r="AI373" s="78">
        <v>0</v>
      </c>
      <c r="AJ373" s="78">
        <v>0</v>
      </c>
      <c r="AK373" s="78">
        <v>342</v>
      </c>
      <c r="AL373" s="78">
        <v>1</v>
      </c>
    </row>
    <row r="374" spans="1:38" x14ac:dyDescent="0.3">
      <c r="A374" s="78" t="s">
        <v>740</v>
      </c>
      <c r="B374" s="78">
        <v>5036</v>
      </c>
      <c r="C374" s="78">
        <v>2</v>
      </c>
      <c r="D374" s="78" t="s">
        <v>747</v>
      </c>
      <c r="E374" s="78" t="s">
        <v>748</v>
      </c>
      <c r="F374" s="78">
        <v>342</v>
      </c>
      <c r="G374" s="78">
        <v>30.85</v>
      </c>
      <c r="H374" s="78">
        <v>102</v>
      </c>
      <c r="I374" s="78">
        <v>25.64</v>
      </c>
      <c r="J374" s="78">
        <v>84.79</v>
      </c>
      <c r="K374" s="78">
        <v>204</v>
      </c>
      <c r="T374" s="78">
        <v>3</v>
      </c>
      <c r="U374" s="78">
        <v>2</v>
      </c>
      <c r="V374" s="78" t="s">
        <v>88</v>
      </c>
      <c r="W374" s="78">
        <v>102</v>
      </c>
      <c r="X374" s="78">
        <v>13</v>
      </c>
      <c r="Y374" s="78">
        <v>10</v>
      </c>
      <c r="Z374" s="78" t="s">
        <v>749</v>
      </c>
      <c r="AA374" s="78" t="s">
        <v>750</v>
      </c>
      <c r="AB374" s="78" t="s">
        <v>84</v>
      </c>
      <c r="AC374" s="78" t="s">
        <v>85</v>
      </c>
      <c r="AD374" s="78" t="s">
        <v>745</v>
      </c>
      <c r="AG374" s="78" t="s">
        <v>751</v>
      </c>
      <c r="AH374" s="78">
        <v>0</v>
      </c>
      <c r="AI374" s="78">
        <v>0</v>
      </c>
      <c r="AJ374" s="78">
        <v>0</v>
      </c>
      <c r="AK374" s="78">
        <v>342</v>
      </c>
      <c r="AL374" s="78">
        <v>1</v>
      </c>
    </row>
    <row r="375" spans="1:38" x14ac:dyDescent="0.3">
      <c r="A375" s="78" t="s">
        <v>740</v>
      </c>
      <c r="B375" s="78">
        <v>125020</v>
      </c>
      <c r="C375" s="78">
        <v>1</v>
      </c>
      <c r="D375" s="78" t="s">
        <v>752</v>
      </c>
      <c r="E375" s="78" t="s">
        <v>753</v>
      </c>
      <c r="F375" s="78">
        <v>19</v>
      </c>
      <c r="G375" s="78">
        <v>31.76</v>
      </c>
      <c r="H375" s="78">
        <v>105</v>
      </c>
      <c r="I375" s="78">
        <v>24.34</v>
      </c>
      <c r="J375" s="78">
        <v>80.47</v>
      </c>
      <c r="K375" s="78">
        <v>19</v>
      </c>
      <c r="T375" s="78">
        <v>3</v>
      </c>
      <c r="U375" s="78">
        <v>2</v>
      </c>
      <c r="V375" s="78" t="s">
        <v>88</v>
      </c>
      <c r="W375" s="78">
        <v>105</v>
      </c>
      <c r="X375" s="78">
        <v>8</v>
      </c>
      <c r="Y375" s="78">
        <v>7</v>
      </c>
      <c r="Z375" s="78" t="s">
        <v>754</v>
      </c>
      <c r="AA375" s="78" t="s">
        <v>755</v>
      </c>
      <c r="AB375" s="78" t="s">
        <v>84</v>
      </c>
      <c r="AC375" s="78" t="s">
        <v>85</v>
      </c>
      <c r="AD375" s="78" t="s">
        <v>745</v>
      </c>
      <c r="AG375" s="78" t="s">
        <v>756</v>
      </c>
      <c r="AH375" s="78">
        <v>0</v>
      </c>
      <c r="AI375" s="78">
        <v>127</v>
      </c>
      <c r="AJ375" s="78">
        <v>24</v>
      </c>
      <c r="AK375" s="78">
        <v>22</v>
      </c>
      <c r="AL375" s="78">
        <v>1.1599999999999999</v>
      </c>
    </row>
    <row r="376" spans="1:38" x14ac:dyDescent="0.3">
      <c r="A376" s="78" t="s">
        <v>757</v>
      </c>
      <c r="B376" s="78">
        <v>5044</v>
      </c>
      <c r="C376" s="78">
        <v>1</v>
      </c>
      <c r="D376" s="78" t="s">
        <v>758</v>
      </c>
      <c r="E376" s="78" t="s">
        <v>759</v>
      </c>
      <c r="F376" s="78">
        <v>280</v>
      </c>
      <c r="G376" s="78">
        <v>13.27</v>
      </c>
      <c r="H376" s="78">
        <v>43.87</v>
      </c>
      <c r="I376" s="78">
        <v>10.39</v>
      </c>
      <c r="J376" s="78">
        <v>34.380000000000003</v>
      </c>
      <c r="K376" s="78">
        <v>40</v>
      </c>
      <c r="T376" s="78">
        <v>2</v>
      </c>
      <c r="U376" s="78">
        <v>1</v>
      </c>
      <c r="V376" s="78" t="s">
        <v>88</v>
      </c>
      <c r="W376" s="78" t="s">
        <v>760</v>
      </c>
      <c r="X376" s="78">
        <v>5</v>
      </c>
      <c r="Y376" s="78">
        <v>5</v>
      </c>
      <c r="Z376" s="78" t="s">
        <v>761</v>
      </c>
      <c r="AA376" s="78" t="s">
        <v>762</v>
      </c>
      <c r="AB376" s="78" t="s">
        <v>84</v>
      </c>
      <c r="AC376" s="78" t="s">
        <v>85</v>
      </c>
      <c r="AD376" s="78" t="s">
        <v>763</v>
      </c>
      <c r="AG376" s="78" t="s">
        <v>764</v>
      </c>
      <c r="AH376" s="78">
        <v>0</v>
      </c>
      <c r="AI376" s="78">
        <v>0</v>
      </c>
      <c r="AJ376" s="78">
        <v>0</v>
      </c>
      <c r="AK376" s="78">
        <v>0</v>
      </c>
      <c r="AL376" s="78">
        <v>0</v>
      </c>
    </row>
    <row r="377" spans="1:38" x14ac:dyDescent="0.3">
      <c r="A377" s="78" t="s">
        <v>757</v>
      </c>
      <c r="B377" s="78">
        <v>5044</v>
      </c>
      <c r="C377" s="78">
        <v>2</v>
      </c>
      <c r="D377" s="78" t="s">
        <v>758</v>
      </c>
      <c r="E377" s="78" t="s">
        <v>759</v>
      </c>
      <c r="F377" s="78">
        <v>280</v>
      </c>
      <c r="G377" s="78">
        <v>13.35</v>
      </c>
      <c r="H377" s="78">
        <v>44.14</v>
      </c>
      <c r="I377" s="78">
        <v>10.48</v>
      </c>
      <c r="J377" s="78">
        <v>34.65</v>
      </c>
      <c r="K377" s="78">
        <v>40</v>
      </c>
      <c r="T377" s="78">
        <v>2</v>
      </c>
      <c r="U377" s="78">
        <v>1</v>
      </c>
      <c r="V377" s="78" t="s">
        <v>88</v>
      </c>
      <c r="W377" s="78" t="s">
        <v>765</v>
      </c>
      <c r="X377" s="78">
        <v>5</v>
      </c>
      <c r="Y377" s="78">
        <v>5</v>
      </c>
      <c r="Z377" s="78" t="s">
        <v>761</v>
      </c>
      <c r="AA377" s="78" t="s">
        <v>762</v>
      </c>
      <c r="AB377" s="78" t="s">
        <v>84</v>
      </c>
      <c r="AC377" s="78" t="s">
        <v>85</v>
      </c>
      <c r="AD377" s="78" t="s">
        <v>763</v>
      </c>
      <c r="AG377" s="78" t="s">
        <v>764</v>
      </c>
      <c r="AH377" s="78">
        <v>0</v>
      </c>
      <c r="AI377" s="78">
        <v>0</v>
      </c>
      <c r="AJ377" s="78">
        <v>0</v>
      </c>
      <c r="AK377" s="78">
        <v>0</v>
      </c>
      <c r="AL377" s="78">
        <v>0</v>
      </c>
    </row>
    <row r="378" spans="1:38" x14ac:dyDescent="0.3">
      <c r="A378" s="78" t="s">
        <v>757</v>
      </c>
      <c r="B378" s="78">
        <v>5044</v>
      </c>
      <c r="C378" s="78">
        <v>3</v>
      </c>
      <c r="D378" s="78" t="s">
        <v>758</v>
      </c>
      <c r="E378" s="78" t="s">
        <v>759</v>
      </c>
      <c r="F378" s="78">
        <v>280</v>
      </c>
      <c r="G378" s="78">
        <v>16.16</v>
      </c>
      <c r="H378" s="78">
        <v>53.43</v>
      </c>
      <c r="I378" s="78">
        <v>13.16</v>
      </c>
      <c r="J378" s="78">
        <v>43.52</v>
      </c>
      <c r="K378" s="78">
        <v>150</v>
      </c>
      <c r="T378" s="78">
        <v>3</v>
      </c>
      <c r="U378" s="78">
        <v>1</v>
      </c>
      <c r="V378" s="78" t="s">
        <v>88</v>
      </c>
      <c r="W378" s="78" t="s">
        <v>334</v>
      </c>
      <c r="X378" s="78">
        <v>5</v>
      </c>
      <c r="Y378" s="78">
        <v>5</v>
      </c>
      <c r="Z378" s="78" t="s">
        <v>761</v>
      </c>
      <c r="AA378" s="78" t="s">
        <v>762</v>
      </c>
      <c r="AB378" s="78" t="s">
        <v>84</v>
      </c>
      <c r="AC378" s="78" t="s">
        <v>85</v>
      </c>
      <c r="AD378" s="78" t="s">
        <v>763</v>
      </c>
      <c r="AG378" s="78" t="s">
        <v>764</v>
      </c>
      <c r="AH378" s="78">
        <v>0</v>
      </c>
      <c r="AI378" s="78">
        <v>0</v>
      </c>
      <c r="AJ378" s="78">
        <v>0</v>
      </c>
      <c r="AK378" s="78">
        <v>0</v>
      </c>
      <c r="AL378" s="78">
        <v>0</v>
      </c>
    </row>
    <row r="379" spans="1:38" x14ac:dyDescent="0.3">
      <c r="A379" s="78" t="s">
        <v>757</v>
      </c>
      <c r="B379" s="78">
        <v>5044</v>
      </c>
      <c r="C379" s="78">
        <v>4</v>
      </c>
      <c r="D379" s="78" t="s">
        <v>758</v>
      </c>
      <c r="E379" s="78" t="s">
        <v>759</v>
      </c>
      <c r="F379" s="78">
        <v>280</v>
      </c>
      <c r="G379" s="78">
        <v>16.34</v>
      </c>
      <c r="H379" s="78">
        <v>54.03</v>
      </c>
      <c r="I379" s="78">
        <v>13.34</v>
      </c>
      <c r="J379" s="78">
        <v>44.12</v>
      </c>
      <c r="K379" s="78">
        <v>50</v>
      </c>
      <c r="T379" s="78">
        <v>3</v>
      </c>
      <c r="U379" s="78">
        <v>1</v>
      </c>
      <c r="V379" s="78" t="s">
        <v>88</v>
      </c>
      <c r="W379" s="78" t="s">
        <v>335</v>
      </c>
      <c r="X379" s="78">
        <v>5</v>
      </c>
      <c r="Y379" s="78">
        <v>5</v>
      </c>
      <c r="Z379" s="78" t="s">
        <v>761</v>
      </c>
      <c r="AA379" s="78" t="s">
        <v>762</v>
      </c>
      <c r="AB379" s="78" t="s">
        <v>84</v>
      </c>
      <c r="AC379" s="78" t="s">
        <v>85</v>
      </c>
      <c r="AD379" s="78" t="s">
        <v>763</v>
      </c>
      <c r="AG379" s="78" t="s">
        <v>764</v>
      </c>
      <c r="AH379" s="78">
        <v>0</v>
      </c>
      <c r="AI379" s="78">
        <v>0</v>
      </c>
      <c r="AJ379" s="78">
        <v>0</v>
      </c>
      <c r="AK379" s="78">
        <v>0</v>
      </c>
      <c r="AL379" s="78">
        <v>0</v>
      </c>
    </row>
    <row r="380" spans="1:38" x14ac:dyDescent="0.3">
      <c r="A380" s="78" t="s">
        <v>757</v>
      </c>
      <c r="B380" s="78">
        <v>144163</v>
      </c>
      <c r="C380" s="78">
        <v>1</v>
      </c>
      <c r="D380" s="78" t="s">
        <v>766</v>
      </c>
      <c r="E380" s="78" t="s">
        <v>767</v>
      </c>
      <c r="F380" s="78">
        <v>175</v>
      </c>
      <c r="G380" s="78">
        <v>26.99</v>
      </c>
      <c r="H380" s="78">
        <v>89.25</v>
      </c>
      <c r="I380" s="78">
        <v>18.14</v>
      </c>
      <c r="J380" s="78">
        <v>59.98</v>
      </c>
      <c r="K380" s="78">
        <v>146</v>
      </c>
      <c r="T380" s="78">
        <v>3</v>
      </c>
      <c r="U380" s="78">
        <v>2</v>
      </c>
      <c r="V380" s="78" t="s">
        <v>88</v>
      </c>
      <c r="W380" s="78" t="s">
        <v>768</v>
      </c>
      <c r="X380" s="78">
        <v>18</v>
      </c>
      <c r="Y380" s="78">
        <v>9</v>
      </c>
      <c r="Z380" s="78" t="s">
        <v>769</v>
      </c>
      <c r="AA380" s="78" t="s">
        <v>770</v>
      </c>
      <c r="AB380" s="78" t="s">
        <v>84</v>
      </c>
      <c r="AC380" s="78" t="s">
        <v>85</v>
      </c>
      <c r="AD380" s="78" t="s">
        <v>763</v>
      </c>
      <c r="AG380" s="78" t="s">
        <v>771</v>
      </c>
      <c r="AH380" s="78">
        <v>0</v>
      </c>
      <c r="AI380" s="78">
        <v>170</v>
      </c>
      <c r="AJ380" s="78">
        <v>19</v>
      </c>
      <c r="AK380" s="78">
        <v>182</v>
      </c>
      <c r="AL380" s="78">
        <v>1.04</v>
      </c>
    </row>
    <row r="381" spans="1:38" x14ac:dyDescent="0.3">
      <c r="A381" s="78" t="s">
        <v>757</v>
      </c>
      <c r="B381" s="78">
        <v>144163</v>
      </c>
      <c r="C381" s="78">
        <v>2</v>
      </c>
      <c r="D381" s="78" t="s">
        <v>766</v>
      </c>
      <c r="E381" s="78" t="s">
        <v>767</v>
      </c>
      <c r="F381" s="78">
        <v>175</v>
      </c>
      <c r="G381" s="78">
        <v>27.13</v>
      </c>
      <c r="H381" s="78">
        <v>89.71</v>
      </c>
      <c r="I381" s="78">
        <v>18.14</v>
      </c>
      <c r="J381" s="78">
        <v>59.98</v>
      </c>
      <c r="K381" s="78">
        <v>29</v>
      </c>
      <c r="T381" s="78">
        <v>3</v>
      </c>
      <c r="U381" s="78">
        <v>2</v>
      </c>
      <c r="V381" s="78" t="s">
        <v>88</v>
      </c>
      <c r="W381" s="78" t="s">
        <v>772</v>
      </c>
      <c r="X381" s="78">
        <v>18</v>
      </c>
      <c r="Y381" s="78">
        <v>9</v>
      </c>
      <c r="Z381" s="78" t="s">
        <v>769</v>
      </c>
      <c r="AA381" s="78" t="s">
        <v>770</v>
      </c>
      <c r="AB381" s="78" t="s">
        <v>84</v>
      </c>
      <c r="AC381" s="78" t="s">
        <v>85</v>
      </c>
      <c r="AD381" s="78" t="s">
        <v>763</v>
      </c>
      <c r="AG381" s="78" t="s">
        <v>771</v>
      </c>
      <c r="AH381" s="78">
        <v>0</v>
      </c>
      <c r="AI381" s="78">
        <v>170</v>
      </c>
      <c r="AJ381" s="78">
        <v>19</v>
      </c>
      <c r="AK381" s="78">
        <v>182</v>
      </c>
      <c r="AL381" s="78">
        <v>1.04</v>
      </c>
    </row>
    <row r="382" spans="1:38" x14ac:dyDescent="0.3">
      <c r="A382" s="78" t="s">
        <v>757</v>
      </c>
      <c r="B382" s="78">
        <v>107967</v>
      </c>
      <c r="C382" s="78">
        <v>1</v>
      </c>
      <c r="D382" s="78" t="s">
        <v>773</v>
      </c>
      <c r="E382" s="78" t="s">
        <v>774</v>
      </c>
      <c r="F382" s="78">
        <v>225</v>
      </c>
      <c r="G382" s="78">
        <v>16.96</v>
      </c>
      <c r="H382" s="78">
        <v>56.08</v>
      </c>
      <c r="I382" s="78">
        <v>12.08</v>
      </c>
      <c r="J382" s="78">
        <v>39.96</v>
      </c>
      <c r="K382" s="78">
        <v>225</v>
      </c>
      <c r="T382" s="78">
        <v>2</v>
      </c>
      <c r="U382" s="78">
        <v>1</v>
      </c>
      <c r="V382" s="78" t="s">
        <v>81</v>
      </c>
      <c r="W382" s="78">
        <v>56</v>
      </c>
      <c r="X382" s="78">
        <v>17</v>
      </c>
      <c r="Y382" s="78">
        <v>9</v>
      </c>
      <c r="Z382" s="78" t="s">
        <v>775</v>
      </c>
      <c r="AA382" s="78" t="s">
        <v>776</v>
      </c>
      <c r="AB382" s="78" t="s">
        <v>84</v>
      </c>
      <c r="AC382" s="78" t="s">
        <v>85</v>
      </c>
      <c r="AD382" s="78" t="s">
        <v>763</v>
      </c>
      <c r="AG382" s="78" t="s">
        <v>777</v>
      </c>
      <c r="AH382" s="78">
        <v>0</v>
      </c>
      <c r="AI382" s="78">
        <v>298</v>
      </c>
      <c r="AJ382" s="78">
        <v>26</v>
      </c>
      <c r="AK382" s="78">
        <v>137</v>
      </c>
      <c r="AL382" s="78">
        <v>0.61</v>
      </c>
    </row>
    <row r="383" spans="1:38" x14ac:dyDescent="0.3">
      <c r="A383" s="78" t="s">
        <v>757</v>
      </c>
      <c r="B383" s="78">
        <v>5045</v>
      </c>
      <c r="C383" s="78">
        <v>1</v>
      </c>
      <c r="D383" s="78" t="s">
        <v>778</v>
      </c>
      <c r="E383" s="78" t="s">
        <v>779</v>
      </c>
      <c r="F383" s="78">
        <v>200</v>
      </c>
      <c r="G383" s="78">
        <v>13.47</v>
      </c>
      <c r="H383" s="78">
        <v>44.54</v>
      </c>
      <c r="I383" s="78">
        <v>10.7</v>
      </c>
      <c r="J383" s="78">
        <v>35.4</v>
      </c>
      <c r="K383" s="78">
        <v>100</v>
      </c>
      <c r="T383" s="78">
        <v>2</v>
      </c>
      <c r="U383" s="78">
        <v>1</v>
      </c>
      <c r="V383" s="78" t="s">
        <v>88</v>
      </c>
      <c r="W383" s="78">
        <v>44</v>
      </c>
      <c r="X383" s="78">
        <v>13</v>
      </c>
      <c r="Y383" s="78">
        <v>5</v>
      </c>
      <c r="Z383" s="78" t="s">
        <v>780</v>
      </c>
      <c r="AA383" s="78" t="s">
        <v>781</v>
      </c>
      <c r="AB383" s="78" t="s">
        <v>84</v>
      </c>
      <c r="AC383" s="78" t="s">
        <v>85</v>
      </c>
      <c r="AD383" s="78" t="s">
        <v>763</v>
      </c>
      <c r="AG383" s="78" t="s">
        <v>782</v>
      </c>
      <c r="AH383" s="78">
        <v>0</v>
      </c>
      <c r="AI383" s="78">
        <v>0</v>
      </c>
      <c r="AJ383" s="78">
        <v>0</v>
      </c>
      <c r="AK383" s="78">
        <v>0</v>
      </c>
      <c r="AL383" s="78">
        <v>0</v>
      </c>
    </row>
    <row r="384" spans="1:38" x14ac:dyDescent="0.3">
      <c r="A384" s="78" t="s">
        <v>757</v>
      </c>
      <c r="B384" s="78">
        <v>5045</v>
      </c>
      <c r="C384" s="78">
        <v>2</v>
      </c>
      <c r="D384" s="78" t="s">
        <v>778</v>
      </c>
      <c r="E384" s="78" t="s">
        <v>779</v>
      </c>
      <c r="F384" s="78">
        <v>200</v>
      </c>
      <c r="G384" s="78">
        <v>18.12</v>
      </c>
      <c r="H384" s="78">
        <v>59.91</v>
      </c>
      <c r="I384" s="78">
        <v>14.67</v>
      </c>
      <c r="J384" s="78">
        <v>48.52</v>
      </c>
      <c r="K384" s="78">
        <v>100</v>
      </c>
      <c r="T384" s="78">
        <v>3</v>
      </c>
      <c r="U384" s="78">
        <v>1</v>
      </c>
      <c r="V384" s="78" t="s">
        <v>88</v>
      </c>
      <c r="W384" s="78">
        <v>59</v>
      </c>
      <c r="X384" s="78">
        <v>13</v>
      </c>
      <c r="Y384" s="78">
        <v>5</v>
      </c>
      <c r="Z384" s="78" t="s">
        <v>780</v>
      </c>
      <c r="AA384" s="78" t="s">
        <v>781</v>
      </c>
      <c r="AB384" s="78" t="s">
        <v>84</v>
      </c>
      <c r="AC384" s="78" t="s">
        <v>85</v>
      </c>
      <c r="AD384" s="78" t="s">
        <v>763</v>
      </c>
      <c r="AG384" s="78" t="s">
        <v>782</v>
      </c>
      <c r="AH384" s="78">
        <v>0</v>
      </c>
      <c r="AI384" s="78">
        <v>0</v>
      </c>
      <c r="AJ384" s="78">
        <v>0</v>
      </c>
      <c r="AK384" s="78">
        <v>0</v>
      </c>
      <c r="AL384" s="78">
        <v>0</v>
      </c>
    </row>
    <row r="385" spans="1:38" x14ac:dyDescent="0.3">
      <c r="A385" s="78" t="s">
        <v>757</v>
      </c>
      <c r="B385" s="78">
        <v>143519</v>
      </c>
      <c r="C385" s="78">
        <v>1</v>
      </c>
      <c r="D385" s="78" t="s">
        <v>783</v>
      </c>
      <c r="E385" s="78" t="s">
        <v>784</v>
      </c>
      <c r="F385" s="78">
        <v>19</v>
      </c>
      <c r="G385" s="78">
        <v>37.1</v>
      </c>
      <c r="H385" s="78">
        <v>122.65</v>
      </c>
      <c r="I385" s="78">
        <v>31.9</v>
      </c>
      <c r="J385" s="78">
        <v>105.48</v>
      </c>
      <c r="K385" s="78">
        <v>15</v>
      </c>
      <c r="T385" s="78">
        <v>3</v>
      </c>
      <c r="U385" s="78">
        <v>2</v>
      </c>
      <c r="V385" s="78" t="s">
        <v>88</v>
      </c>
      <c r="W385" s="78" t="s">
        <v>785</v>
      </c>
      <c r="X385" s="78">
        <v>5</v>
      </c>
      <c r="Y385" s="78">
        <v>4</v>
      </c>
      <c r="Z385" s="78" t="s">
        <v>786</v>
      </c>
      <c r="AA385" s="78" t="s">
        <v>787</v>
      </c>
      <c r="AB385" s="78" t="s">
        <v>84</v>
      </c>
      <c r="AC385" s="78" t="s">
        <v>85</v>
      </c>
      <c r="AD385" s="78" t="s">
        <v>763</v>
      </c>
      <c r="AG385" s="78" t="s">
        <v>788</v>
      </c>
      <c r="AH385" s="78">
        <v>0</v>
      </c>
      <c r="AI385" s="78">
        <v>170</v>
      </c>
      <c r="AJ385" s="78">
        <v>39</v>
      </c>
      <c r="AK385" s="78">
        <v>16</v>
      </c>
      <c r="AL385" s="78">
        <v>0.84</v>
      </c>
    </row>
    <row r="386" spans="1:38" x14ac:dyDescent="0.3">
      <c r="A386" s="78" t="s">
        <v>757</v>
      </c>
      <c r="B386" s="78">
        <v>143519</v>
      </c>
      <c r="C386" s="78">
        <v>2</v>
      </c>
      <c r="D386" s="78" t="s">
        <v>783</v>
      </c>
      <c r="E386" s="78" t="s">
        <v>784</v>
      </c>
      <c r="F386" s="78">
        <v>19</v>
      </c>
      <c r="G386" s="78">
        <v>37.090000000000003</v>
      </c>
      <c r="H386" s="78">
        <v>122.64</v>
      </c>
      <c r="I386" s="78">
        <v>31.9</v>
      </c>
      <c r="J386" s="78">
        <v>105.48</v>
      </c>
      <c r="K386" s="78">
        <v>4</v>
      </c>
      <c r="T386" s="78">
        <v>3</v>
      </c>
      <c r="U386" s="78">
        <v>2</v>
      </c>
      <c r="V386" s="78" t="s">
        <v>88</v>
      </c>
      <c r="W386" s="78" t="s">
        <v>789</v>
      </c>
      <c r="X386" s="78">
        <v>5</v>
      </c>
      <c r="Y386" s="78">
        <v>4</v>
      </c>
      <c r="Z386" s="78" t="s">
        <v>786</v>
      </c>
      <c r="AA386" s="78" t="s">
        <v>787</v>
      </c>
      <c r="AB386" s="78" t="s">
        <v>84</v>
      </c>
      <c r="AC386" s="78" t="s">
        <v>85</v>
      </c>
      <c r="AD386" s="78" t="s">
        <v>763</v>
      </c>
      <c r="AG386" s="78" t="s">
        <v>788</v>
      </c>
      <c r="AH386" s="78">
        <v>0</v>
      </c>
      <c r="AI386" s="78">
        <v>170</v>
      </c>
      <c r="AJ386" s="78">
        <v>39</v>
      </c>
      <c r="AK386" s="78">
        <v>16</v>
      </c>
      <c r="AL386" s="78">
        <v>0.84</v>
      </c>
    </row>
    <row r="387" spans="1:38" x14ac:dyDescent="0.3">
      <c r="A387" s="78" t="s">
        <v>757</v>
      </c>
      <c r="B387" s="78">
        <v>5046</v>
      </c>
      <c r="C387" s="78">
        <v>1</v>
      </c>
      <c r="D387" s="78" t="s">
        <v>790</v>
      </c>
      <c r="E387" s="78" t="s">
        <v>791</v>
      </c>
      <c r="F387" s="78">
        <v>380</v>
      </c>
      <c r="G387" s="78">
        <v>22.95</v>
      </c>
      <c r="H387" s="78">
        <v>75.900000000000006</v>
      </c>
      <c r="I387" s="78">
        <v>17.95</v>
      </c>
      <c r="J387" s="78">
        <v>59.35</v>
      </c>
      <c r="K387" s="78">
        <v>254</v>
      </c>
      <c r="T387" s="78">
        <v>3</v>
      </c>
      <c r="U387" s="78">
        <v>1</v>
      </c>
      <c r="V387" s="78" t="s">
        <v>88</v>
      </c>
      <c r="W387" s="78">
        <v>75</v>
      </c>
      <c r="X387" s="78">
        <v>14</v>
      </c>
      <c r="Y387" s="78">
        <v>9</v>
      </c>
      <c r="Z387" s="78" t="s">
        <v>792</v>
      </c>
      <c r="AA387" s="78" t="s">
        <v>793</v>
      </c>
      <c r="AB387" s="78" t="s">
        <v>84</v>
      </c>
      <c r="AC387" s="78" t="s">
        <v>85</v>
      </c>
      <c r="AD387" s="78" t="s">
        <v>763</v>
      </c>
      <c r="AG387" s="78" t="s">
        <v>794</v>
      </c>
      <c r="AH387" s="78">
        <v>0</v>
      </c>
      <c r="AI387" s="78">
        <v>217</v>
      </c>
      <c r="AJ387" s="78">
        <v>92</v>
      </c>
      <c r="AK387" s="78">
        <v>380</v>
      </c>
      <c r="AL387" s="78">
        <v>1</v>
      </c>
    </row>
    <row r="388" spans="1:38" x14ac:dyDescent="0.3">
      <c r="A388" s="78" t="s">
        <v>757</v>
      </c>
      <c r="B388" s="78">
        <v>5046</v>
      </c>
      <c r="C388" s="78">
        <v>2</v>
      </c>
      <c r="D388" s="78" t="s">
        <v>790</v>
      </c>
      <c r="E388" s="78" t="s">
        <v>791</v>
      </c>
      <c r="F388" s="78">
        <v>380</v>
      </c>
      <c r="G388" s="78">
        <v>31.11</v>
      </c>
      <c r="H388" s="78">
        <v>102.85</v>
      </c>
      <c r="I388" s="78">
        <v>25.54</v>
      </c>
      <c r="J388" s="78">
        <v>84.46</v>
      </c>
      <c r="K388" s="78">
        <v>126</v>
      </c>
      <c r="T388" s="78">
        <v>3</v>
      </c>
      <c r="U388" s="78">
        <v>2</v>
      </c>
      <c r="V388" s="78" t="s">
        <v>88</v>
      </c>
      <c r="W388" s="78">
        <v>102</v>
      </c>
      <c r="X388" s="78">
        <v>14</v>
      </c>
      <c r="Y388" s="78">
        <v>9</v>
      </c>
      <c r="Z388" s="78" t="s">
        <v>792</v>
      </c>
      <c r="AA388" s="78" t="s">
        <v>793</v>
      </c>
      <c r="AB388" s="78" t="s">
        <v>84</v>
      </c>
      <c r="AC388" s="78" t="s">
        <v>85</v>
      </c>
      <c r="AD388" s="78" t="s">
        <v>763</v>
      </c>
      <c r="AG388" s="78" t="s">
        <v>794</v>
      </c>
      <c r="AH388" s="78">
        <v>0</v>
      </c>
      <c r="AI388" s="78">
        <v>217</v>
      </c>
      <c r="AJ388" s="78">
        <v>92</v>
      </c>
      <c r="AK388" s="78">
        <v>380</v>
      </c>
      <c r="AL388" s="78">
        <v>1</v>
      </c>
    </row>
    <row r="389" spans="1:38" x14ac:dyDescent="0.3">
      <c r="A389" s="78" t="s">
        <v>757</v>
      </c>
      <c r="B389" s="78">
        <v>5043</v>
      </c>
      <c r="C389" s="78">
        <v>1</v>
      </c>
      <c r="D389" s="78" t="s">
        <v>795</v>
      </c>
      <c r="E389" s="78" t="s">
        <v>164</v>
      </c>
      <c r="F389" s="78">
        <v>750</v>
      </c>
      <c r="G389" s="78">
        <v>15.09</v>
      </c>
      <c r="H389" s="78">
        <v>49.91</v>
      </c>
      <c r="I389" s="78">
        <v>12</v>
      </c>
      <c r="J389" s="78">
        <v>39.69</v>
      </c>
      <c r="K389" s="78">
        <v>110</v>
      </c>
      <c r="T389" s="78">
        <v>2</v>
      </c>
      <c r="U389" s="78">
        <v>1</v>
      </c>
      <c r="V389" s="78" t="s">
        <v>88</v>
      </c>
      <c r="W389" s="78" t="s">
        <v>796</v>
      </c>
      <c r="X389" s="78">
        <v>5</v>
      </c>
      <c r="Y389" s="78">
        <v>5</v>
      </c>
      <c r="Z389" s="78" t="s">
        <v>797</v>
      </c>
      <c r="AA389" s="78" t="s">
        <v>798</v>
      </c>
      <c r="AB389" s="78" t="s">
        <v>84</v>
      </c>
      <c r="AC389" s="78" t="s">
        <v>85</v>
      </c>
      <c r="AD389" s="78" t="s">
        <v>763</v>
      </c>
      <c r="AG389" s="78" t="s">
        <v>799</v>
      </c>
      <c r="AH389" s="78">
        <v>0</v>
      </c>
      <c r="AI389" s="78">
        <v>0</v>
      </c>
      <c r="AJ389" s="78">
        <v>0</v>
      </c>
      <c r="AK389" s="78">
        <v>0</v>
      </c>
      <c r="AL389" s="78">
        <v>0</v>
      </c>
    </row>
    <row r="390" spans="1:38" x14ac:dyDescent="0.3">
      <c r="A390" s="78" t="s">
        <v>757</v>
      </c>
      <c r="B390" s="78">
        <v>5043</v>
      </c>
      <c r="C390" s="78">
        <v>2</v>
      </c>
      <c r="D390" s="78" t="s">
        <v>795</v>
      </c>
      <c r="E390" s="78" t="s">
        <v>164</v>
      </c>
      <c r="F390" s="78">
        <v>750</v>
      </c>
      <c r="G390" s="78">
        <v>14.96</v>
      </c>
      <c r="H390" s="78">
        <v>49.48</v>
      </c>
      <c r="I390" s="78">
        <v>11.88</v>
      </c>
      <c r="J390" s="78">
        <v>39.299999999999997</v>
      </c>
      <c r="K390" s="78">
        <v>110</v>
      </c>
      <c r="T390" s="78">
        <v>2</v>
      </c>
      <c r="U390" s="78">
        <v>1</v>
      </c>
      <c r="V390" s="78" t="s">
        <v>88</v>
      </c>
      <c r="W390" s="78" t="s">
        <v>800</v>
      </c>
      <c r="X390" s="78">
        <v>5</v>
      </c>
      <c r="Y390" s="78">
        <v>5</v>
      </c>
      <c r="Z390" s="78" t="s">
        <v>797</v>
      </c>
      <c r="AA390" s="78" t="s">
        <v>798</v>
      </c>
      <c r="AB390" s="78" t="s">
        <v>84</v>
      </c>
      <c r="AC390" s="78" t="s">
        <v>85</v>
      </c>
      <c r="AD390" s="78" t="s">
        <v>763</v>
      </c>
      <c r="AG390" s="78" t="s">
        <v>799</v>
      </c>
      <c r="AH390" s="78">
        <v>0</v>
      </c>
      <c r="AI390" s="78">
        <v>0</v>
      </c>
      <c r="AJ390" s="78">
        <v>0</v>
      </c>
      <c r="AK390" s="78">
        <v>0</v>
      </c>
      <c r="AL390" s="78">
        <v>0</v>
      </c>
    </row>
    <row r="391" spans="1:38" x14ac:dyDescent="0.3">
      <c r="A391" s="78" t="s">
        <v>757</v>
      </c>
      <c r="B391" s="78">
        <v>5043</v>
      </c>
      <c r="C391" s="78">
        <v>3</v>
      </c>
      <c r="D391" s="78" t="s">
        <v>795</v>
      </c>
      <c r="E391" s="78" t="s">
        <v>164</v>
      </c>
      <c r="F391" s="78">
        <v>750</v>
      </c>
      <c r="G391" s="78">
        <v>17.52</v>
      </c>
      <c r="H391" s="78">
        <v>57.93</v>
      </c>
      <c r="I391" s="78">
        <v>14.22</v>
      </c>
      <c r="J391" s="78">
        <v>47.01</v>
      </c>
      <c r="K391" s="78">
        <v>290</v>
      </c>
      <c r="T391" s="78">
        <v>2</v>
      </c>
      <c r="U391" s="78">
        <v>1</v>
      </c>
      <c r="V391" s="78" t="s">
        <v>88</v>
      </c>
      <c r="W391" s="78">
        <v>57</v>
      </c>
      <c r="X391" s="78">
        <v>5</v>
      </c>
      <c r="Y391" s="78">
        <v>5</v>
      </c>
      <c r="Z391" s="78" t="s">
        <v>797</v>
      </c>
      <c r="AA391" s="78" t="s">
        <v>798</v>
      </c>
      <c r="AB391" s="78" t="s">
        <v>84</v>
      </c>
      <c r="AC391" s="78" t="s">
        <v>85</v>
      </c>
      <c r="AD391" s="78" t="s">
        <v>763</v>
      </c>
      <c r="AG391" s="78" t="s">
        <v>799</v>
      </c>
      <c r="AH391" s="78">
        <v>0</v>
      </c>
      <c r="AI391" s="78">
        <v>0</v>
      </c>
      <c r="AJ391" s="78">
        <v>0</v>
      </c>
      <c r="AK391" s="78">
        <v>0</v>
      </c>
      <c r="AL391" s="78">
        <v>0</v>
      </c>
    </row>
    <row r="392" spans="1:38" x14ac:dyDescent="0.3">
      <c r="A392" s="78" t="s">
        <v>757</v>
      </c>
      <c r="B392" s="78">
        <v>5043</v>
      </c>
      <c r="C392" s="78">
        <v>4</v>
      </c>
      <c r="D392" s="78" t="s">
        <v>795</v>
      </c>
      <c r="E392" s="78" t="s">
        <v>164</v>
      </c>
      <c r="F392" s="78">
        <v>750</v>
      </c>
      <c r="G392" s="78">
        <v>17.41</v>
      </c>
      <c r="H392" s="78">
        <v>57.57</v>
      </c>
      <c r="I392" s="78">
        <v>14.12</v>
      </c>
      <c r="J392" s="78">
        <v>46.68</v>
      </c>
      <c r="K392" s="78">
        <v>240</v>
      </c>
      <c r="T392" s="78">
        <v>2</v>
      </c>
      <c r="U392" s="78">
        <v>1</v>
      </c>
      <c r="V392" s="78" t="s">
        <v>88</v>
      </c>
      <c r="W392" s="78">
        <v>57</v>
      </c>
      <c r="X392" s="78">
        <v>5</v>
      </c>
      <c r="Y392" s="78">
        <v>5</v>
      </c>
      <c r="Z392" s="78" t="s">
        <v>797</v>
      </c>
      <c r="AA392" s="78" t="s">
        <v>798</v>
      </c>
      <c r="AB392" s="78" t="s">
        <v>84</v>
      </c>
      <c r="AC392" s="78" t="s">
        <v>85</v>
      </c>
      <c r="AD392" s="78" t="s">
        <v>763</v>
      </c>
      <c r="AG392" s="78" t="s">
        <v>799</v>
      </c>
      <c r="AH392" s="78">
        <v>0</v>
      </c>
      <c r="AI392" s="78">
        <v>0</v>
      </c>
      <c r="AJ392" s="78">
        <v>0</v>
      </c>
      <c r="AK392" s="78">
        <v>0</v>
      </c>
      <c r="AL392" s="78">
        <v>0</v>
      </c>
    </row>
    <row r="393" spans="1:38" x14ac:dyDescent="0.3">
      <c r="A393" s="78" t="s">
        <v>757</v>
      </c>
      <c r="B393" s="78">
        <v>118058</v>
      </c>
      <c r="C393" s="78">
        <v>1</v>
      </c>
      <c r="D393" s="78" t="s">
        <v>801</v>
      </c>
      <c r="E393" s="78" t="s">
        <v>662</v>
      </c>
      <c r="F393" s="78">
        <v>220</v>
      </c>
      <c r="G393" s="78">
        <v>14.8</v>
      </c>
      <c r="H393" s="78">
        <v>48.95</v>
      </c>
      <c r="I393" s="78">
        <v>10.86</v>
      </c>
      <c r="J393" s="78">
        <v>35.909999999999997</v>
      </c>
      <c r="K393" s="78">
        <v>220</v>
      </c>
      <c r="T393" s="78">
        <v>1</v>
      </c>
      <c r="U393" s="78">
        <v>1</v>
      </c>
      <c r="V393" s="78" t="s">
        <v>88</v>
      </c>
      <c r="W393" s="78">
        <v>48</v>
      </c>
      <c r="X393" s="78">
        <v>12</v>
      </c>
      <c r="Y393" s="78">
        <v>12</v>
      </c>
      <c r="Z393" s="78" t="s">
        <v>802</v>
      </c>
      <c r="AA393" s="78" t="s">
        <v>803</v>
      </c>
      <c r="AB393" s="78" t="s">
        <v>84</v>
      </c>
      <c r="AC393" s="78" t="s">
        <v>85</v>
      </c>
      <c r="AD393" s="78" t="s">
        <v>763</v>
      </c>
      <c r="AG393" s="78" t="s">
        <v>804</v>
      </c>
      <c r="AH393" s="78">
        <v>0</v>
      </c>
      <c r="AI393" s="78">
        <v>277</v>
      </c>
      <c r="AJ393" s="78">
        <v>28</v>
      </c>
      <c r="AK393" s="78">
        <v>167</v>
      </c>
      <c r="AL393" s="78">
        <v>0.76</v>
      </c>
    </row>
    <row r="394" spans="1:38" x14ac:dyDescent="0.3">
      <c r="A394" s="78" t="s">
        <v>757</v>
      </c>
      <c r="B394" s="78">
        <v>106888</v>
      </c>
      <c r="C394" s="78">
        <v>1</v>
      </c>
      <c r="D394" s="78" t="s">
        <v>805</v>
      </c>
      <c r="E394" s="78" t="s">
        <v>806</v>
      </c>
      <c r="F394" s="78">
        <v>221</v>
      </c>
      <c r="G394" s="78">
        <v>15.73</v>
      </c>
      <c r="H394" s="78">
        <v>52.02</v>
      </c>
      <c r="I394" s="78">
        <v>12.08</v>
      </c>
      <c r="J394" s="78">
        <v>39.950000000000003</v>
      </c>
      <c r="K394" s="78">
        <v>221</v>
      </c>
      <c r="T394" s="78">
        <v>2</v>
      </c>
      <c r="U394" s="78">
        <v>1</v>
      </c>
      <c r="V394" s="78" t="s">
        <v>81</v>
      </c>
      <c r="W394" s="78">
        <v>52</v>
      </c>
      <c r="X394" s="78">
        <v>14</v>
      </c>
      <c r="Y394" s="78">
        <v>14</v>
      </c>
      <c r="Z394" s="78" t="s">
        <v>807</v>
      </c>
      <c r="AA394" s="78" t="s">
        <v>808</v>
      </c>
      <c r="AB394" s="78" t="s">
        <v>84</v>
      </c>
      <c r="AC394" s="78" t="s">
        <v>85</v>
      </c>
      <c r="AD394" s="78" t="s">
        <v>763</v>
      </c>
      <c r="AG394" s="78" t="s">
        <v>809</v>
      </c>
      <c r="AH394" s="78">
        <v>0</v>
      </c>
      <c r="AI394" s="78">
        <v>271</v>
      </c>
      <c r="AJ394" s="78">
        <v>23</v>
      </c>
      <c r="AK394" s="78">
        <v>199</v>
      </c>
      <c r="AL394" s="78">
        <v>0.9</v>
      </c>
    </row>
    <row r="395" spans="1:38" x14ac:dyDescent="0.3">
      <c r="A395" s="78" t="s">
        <v>757</v>
      </c>
      <c r="B395" s="78">
        <v>127042</v>
      </c>
      <c r="C395" s="78">
        <v>1</v>
      </c>
      <c r="D395" s="78" t="s">
        <v>810</v>
      </c>
      <c r="E395" s="78" t="s">
        <v>774</v>
      </c>
      <c r="F395" s="78">
        <v>96</v>
      </c>
      <c r="G395" s="78">
        <v>13.07</v>
      </c>
      <c r="H395" s="78">
        <v>43.23</v>
      </c>
      <c r="I395" s="78">
        <v>9.19</v>
      </c>
      <c r="J395" s="78">
        <v>30.4</v>
      </c>
      <c r="K395" s="78">
        <v>96</v>
      </c>
      <c r="T395" s="78">
        <v>2</v>
      </c>
      <c r="U395" s="78">
        <v>1</v>
      </c>
      <c r="V395" s="78" t="s">
        <v>88</v>
      </c>
      <c r="W395" s="78">
        <v>43</v>
      </c>
      <c r="X395" s="78">
        <v>8</v>
      </c>
      <c r="Y395" s="78">
        <v>8</v>
      </c>
      <c r="Z395" s="78" t="s">
        <v>811</v>
      </c>
      <c r="AA395" s="78" t="s">
        <v>812</v>
      </c>
      <c r="AB395" s="78" t="s">
        <v>84</v>
      </c>
      <c r="AC395" s="78" t="s">
        <v>85</v>
      </c>
      <c r="AD395" s="78" t="s">
        <v>763</v>
      </c>
      <c r="AG395" s="78" t="s">
        <v>813</v>
      </c>
      <c r="AH395" s="78">
        <v>0</v>
      </c>
      <c r="AI395" s="78">
        <v>171</v>
      </c>
      <c r="AJ395" s="78">
        <v>24</v>
      </c>
      <c r="AK395" s="78">
        <v>58</v>
      </c>
      <c r="AL395" s="78">
        <v>0.6</v>
      </c>
    </row>
    <row r="396" spans="1:38" x14ac:dyDescent="0.3">
      <c r="A396" s="78" t="s">
        <v>757</v>
      </c>
      <c r="B396" s="78">
        <v>16993</v>
      </c>
      <c r="C396" s="78">
        <v>1</v>
      </c>
      <c r="D396" s="78" t="s">
        <v>814</v>
      </c>
      <c r="E396" s="78" t="s">
        <v>355</v>
      </c>
      <c r="F396" s="78">
        <v>404</v>
      </c>
      <c r="G396" s="78">
        <v>12.19</v>
      </c>
      <c r="H396" s="78">
        <v>40.31</v>
      </c>
      <c r="I396" s="78">
        <v>9.15</v>
      </c>
      <c r="J396" s="78">
        <v>30.26</v>
      </c>
      <c r="K396" s="78">
        <v>9</v>
      </c>
      <c r="T396" s="78">
        <v>1</v>
      </c>
      <c r="U396" s="78">
        <v>1</v>
      </c>
      <c r="V396" s="78" t="s">
        <v>88</v>
      </c>
      <c r="W396" s="78">
        <v>40</v>
      </c>
      <c r="X396" s="78">
        <v>15</v>
      </c>
      <c r="Y396" s="78">
        <v>7</v>
      </c>
      <c r="Z396" s="78" t="s">
        <v>815</v>
      </c>
      <c r="AA396" s="78" t="s">
        <v>816</v>
      </c>
      <c r="AB396" s="78" t="s">
        <v>84</v>
      </c>
      <c r="AC396" s="78" t="s">
        <v>85</v>
      </c>
      <c r="AD396" s="78" t="s">
        <v>763</v>
      </c>
      <c r="AG396" s="78" t="s">
        <v>817</v>
      </c>
      <c r="AH396" s="78">
        <v>290</v>
      </c>
      <c r="AI396" s="78">
        <v>346</v>
      </c>
      <c r="AJ396" s="78">
        <v>31</v>
      </c>
      <c r="AK396" s="78">
        <v>245</v>
      </c>
      <c r="AL396" s="78">
        <v>0.61</v>
      </c>
    </row>
    <row r="397" spans="1:38" x14ac:dyDescent="0.3">
      <c r="A397" s="78" t="s">
        <v>757</v>
      </c>
      <c r="B397" s="78">
        <v>16993</v>
      </c>
      <c r="C397" s="78">
        <v>2</v>
      </c>
      <c r="D397" s="78" t="s">
        <v>814</v>
      </c>
      <c r="E397" s="78" t="s">
        <v>355</v>
      </c>
      <c r="F397" s="78">
        <v>404</v>
      </c>
      <c r="G397" s="78">
        <v>15.74</v>
      </c>
      <c r="H397" s="78">
        <v>52.06</v>
      </c>
      <c r="I397" s="78">
        <v>11.82</v>
      </c>
      <c r="J397" s="78">
        <v>39.08</v>
      </c>
      <c r="K397" s="78">
        <v>105</v>
      </c>
      <c r="T397" s="78">
        <v>1</v>
      </c>
      <c r="U397" s="78">
        <v>1</v>
      </c>
      <c r="V397" s="78" t="s">
        <v>88</v>
      </c>
      <c r="W397" s="78">
        <v>52</v>
      </c>
      <c r="X397" s="78">
        <v>15</v>
      </c>
      <c r="Y397" s="78">
        <v>7</v>
      </c>
      <c r="Z397" s="78" t="s">
        <v>815</v>
      </c>
      <c r="AA397" s="78" t="s">
        <v>816</v>
      </c>
      <c r="AB397" s="78" t="s">
        <v>84</v>
      </c>
      <c r="AC397" s="78" t="s">
        <v>85</v>
      </c>
      <c r="AD397" s="78" t="s">
        <v>763</v>
      </c>
      <c r="AG397" s="78" t="s">
        <v>817</v>
      </c>
      <c r="AH397" s="78">
        <v>290</v>
      </c>
      <c r="AI397" s="78">
        <v>346</v>
      </c>
      <c r="AJ397" s="78">
        <v>31</v>
      </c>
      <c r="AK397" s="78">
        <v>245</v>
      </c>
      <c r="AL397" s="78">
        <v>0.61</v>
      </c>
    </row>
    <row r="398" spans="1:38" x14ac:dyDescent="0.3">
      <c r="A398" s="78" t="s">
        <v>757</v>
      </c>
      <c r="B398" s="78">
        <v>101157</v>
      </c>
      <c r="C398" s="78">
        <v>1</v>
      </c>
      <c r="D398" s="78" t="s">
        <v>818</v>
      </c>
      <c r="E398" s="78" t="s">
        <v>819</v>
      </c>
      <c r="F398" s="78">
        <v>120</v>
      </c>
      <c r="G398" s="78">
        <v>25.53</v>
      </c>
      <c r="H398" s="78">
        <v>84.42</v>
      </c>
      <c r="I398" s="78">
        <v>21.44</v>
      </c>
      <c r="J398" s="78">
        <v>70.89</v>
      </c>
      <c r="K398" s="78">
        <v>30</v>
      </c>
      <c r="T398" s="78">
        <v>3</v>
      </c>
      <c r="U398" s="78">
        <v>1</v>
      </c>
      <c r="V398" s="78" t="s">
        <v>88</v>
      </c>
      <c r="W398" s="78">
        <v>84</v>
      </c>
      <c r="X398" s="78">
        <v>5</v>
      </c>
      <c r="Y398" s="78">
        <v>5</v>
      </c>
      <c r="Z398" s="78" t="s">
        <v>820</v>
      </c>
      <c r="AA398" s="78" t="s">
        <v>821</v>
      </c>
      <c r="AB398" s="78" t="s">
        <v>84</v>
      </c>
      <c r="AC398" s="78" t="s">
        <v>85</v>
      </c>
      <c r="AD398" s="78" t="s">
        <v>763</v>
      </c>
      <c r="AG398" s="78" t="s">
        <v>822</v>
      </c>
      <c r="AH398" s="78">
        <v>0</v>
      </c>
      <c r="AI398" s="78">
        <v>0</v>
      </c>
      <c r="AJ398" s="78">
        <v>0</v>
      </c>
      <c r="AK398" s="78">
        <v>0</v>
      </c>
      <c r="AL398" s="78">
        <v>0</v>
      </c>
    </row>
    <row r="399" spans="1:38" x14ac:dyDescent="0.3">
      <c r="A399" s="78" t="s">
        <v>757</v>
      </c>
      <c r="B399" s="78">
        <v>101157</v>
      </c>
      <c r="C399" s="78">
        <v>2</v>
      </c>
      <c r="D399" s="78" t="s">
        <v>818</v>
      </c>
      <c r="E399" s="78" t="s">
        <v>819</v>
      </c>
      <c r="F399" s="78">
        <v>120</v>
      </c>
      <c r="G399" s="78">
        <v>27.32</v>
      </c>
      <c r="H399" s="78">
        <v>90.33</v>
      </c>
      <c r="I399" s="78">
        <v>23.23</v>
      </c>
      <c r="J399" s="78">
        <v>76.8</v>
      </c>
      <c r="K399" s="78">
        <v>60</v>
      </c>
      <c r="T399" s="78">
        <v>3</v>
      </c>
      <c r="U399" s="78">
        <v>1</v>
      </c>
      <c r="V399" s="78" t="s">
        <v>88</v>
      </c>
      <c r="W399" s="78">
        <v>90</v>
      </c>
      <c r="X399" s="78">
        <v>5</v>
      </c>
      <c r="Y399" s="78">
        <v>5</v>
      </c>
      <c r="Z399" s="78" t="s">
        <v>820</v>
      </c>
      <c r="AA399" s="78" t="s">
        <v>821</v>
      </c>
      <c r="AB399" s="78" t="s">
        <v>84</v>
      </c>
      <c r="AC399" s="78" t="s">
        <v>85</v>
      </c>
      <c r="AD399" s="78" t="s">
        <v>763</v>
      </c>
      <c r="AG399" s="78" t="s">
        <v>822</v>
      </c>
      <c r="AH399" s="78">
        <v>0</v>
      </c>
      <c r="AI399" s="78">
        <v>0</v>
      </c>
      <c r="AJ399" s="78">
        <v>0</v>
      </c>
      <c r="AK399" s="78">
        <v>0</v>
      </c>
      <c r="AL399" s="78">
        <v>0</v>
      </c>
    </row>
    <row r="400" spans="1:38" x14ac:dyDescent="0.3">
      <c r="A400" s="78" t="s">
        <v>757</v>
      </c>
      <c r="B400" s="78">
        <v>101157</v>
      </c>
      <c r="C400" s="78">
        <v>3</v>
      </c>
      <c r="D400" s="78" t="s">
        <v>818</v>
      </c>
      <c r="E400" s="78" t="s">
        <v>819</v>
      </c>
      <c r="F400" s="78">
        <v>120</v>
      </c>
      <c r="G400" s="78">
        <v>27.53</v>
      </c>
      <c r="H400" s="78">
        <v>91.02</v>
      </c>
      <c r="I400" s="78">
        <v>23.44</v>
      </c>
      <c r="J400" s="78">
        <v>77.489999999999995</v>
      </c>
      <c r="K400" s="78">
        <v>30</v>
      </c>
      <c r="T400" s="78">
        <v>3</v>
      </c>
      <c r="U400" s="78">
        <v>1</v>
      </c>
      <c r="V400" s="78" t="s">
        <v>81</v>
      </c>
      <c r="W400" s="78">
        <v>91</v>
      </c>
      <c r="X400" s="78">
        <v>5</v>
      </c>
      <c r="Y400" s="78">
        <v>5</v>
      </c>
      <c r="Z400" s="78" t="s">
        <v>820</v>
      </c>
      <c r="AA400" s="78" t="s">
        <v>821</v>
      </c>
      <c r="AB400" s="78" t="s">
        <v>84</v>
      </c>
      <c r="AC400" s="78" t="s">
        <v>85</v>
      </c>
      <c r="AD400" s="78" t="s">
        <v>763</v>
      </c>
      <c r="AG400" s="78" t="s">
        <v>822</v>
      </c>
      <c r="AH400" s="78">
        <v>0</v>
      </c>
      <c r="AI400" s="78">
        <v>0</v>
      </c>
      <c r="AJ400" s="78">
        <v>0</v>
      </c>
      <c r="AK400" s="78">
        <v>0</v>
      </c>
      <c r="AL400" s="78">
        <v>0</v>
      </c>
    </row>
    <row r="401" spans="1:38" x14ac:dyDescent="0.3">
      <c r="A401" s="78" t="s">
        <v>757</v>
      </c>
      <c r="B401" s="78">
        <v>16991</v>
      </c>
      <c r="C401" s="78">
        <v>1</v>
      </c>
      <c r="D401" s="78" t="s">
        <v>823</v>
      </c>
      <c r="E401" s="78" t="s">
        <v>824</v>
      </c>
      <c r="F401" s="78">
        <v>70</v>
      </c>
      <c r="G401" s="78">
        <v>25.99</v>
      </c>
      <c r="H401" s="78">
        <v>85.94</v>
      </c>
      <c r="I401" s="78">
        <v>18.12</v>
      </c>
      <c r="J401" s="78">
        <v>59.91</v>
      </c>
      <c r="K401" s="78">
        <v>70</v>
      </c>
      <c r="T401" s="78">
        <v>3</v>
      </c>
      <c r="U401" s="78">
        <v>1</v>
      </c>
      <c r="V401" s="78" t="s">
        <v>81</v>
      </c>
      <c r="W401" s="78">
        <v>85</v>
      </c>
      <c r="X401" s="78">
        <v>7</v>
      </c>
      <c r="Y401" s="78">
        <v>7</v>
      </c>
      <c r="Z401" s="78" t="s">
        <v>825</v>
      </c>
      <c r="AA401" s="78" t="s">
        <v>826</v>
      </c>
      <c r="AB401" s="78" t="s">
        <v>84</v>
      </c>
      <c r="AC401" s="78" t="s">
        <v>85</v>
      </c>
      <c r="AD401" s="78" t="s">
        <v>763</v>
      </c>
      <c r="AG401" s="78" t="s">
        <v>827</v>
      </c>
      <c r="AH401" s="78">
        <v>0</v>
      </c>
      <c r="AI401" s="78">
        <v>190</v>
      </c>
      <c r="AJ401" s="78">
        <v>31</v>
      </c>
      <c r="AK401" s="78">
        <v>64</v>
      </c>
      <c r="AL401" s="78">
        <v>0.91</v>
      </c>
    </row>
    <row r="402" spans="1:38" x14ac:dyDescent="0.3">
      <c r="A402" s="78" t="s">
        <v>757</v>
      </c>
      <c r="B402" s="78">
        <v>16992</v>
      </c>
      <c r="C402" s="78">
        <v>1</v>
      </c>
      <c r="D402" s="78" t="s">
        <v>828</v>
      </c>
      <c r="E402" s="78" t="s">
        <v>829</v>
      </c>
      <c r="F402" s="78">
        <v>99</v>
      </c>
      <c r="G402" s="78">
        <v>21.34</v>
      </c>
      <c r="H402" s="78">
        <v>70.56</v>
      </c>
      <c r="I402" s="78">
        <v>17.309999999999999</v>
      </c>
      <c r="J402" s="78">
        <v>57.24</v>
      </c>
      <c r="K402" s="78">
        <v>5</v>
      </c>
      <c r="T402" s="78">
        <v>3</v>
      </c>
      <c r="U402" s="78">
        <v>1</v>
      </c>
      <c r="V402" s="78" t="s">
        <v>88</v>
      </c>
      <c r="W402" s="78">
        <v>70</v>
      </c>
      <c r="X402" s="78">
        <v>10</v>
      </c>
      <c r="Y402" s="78">
        <v>4</v>
      </c>
      <c r="Z402" s="78" t="s">
        <v>830</v>
      </c>
      <c r="AA402" s="78" t="s">
        <v>831</v>
      </c>
      <c r="AB402" s="78" t="s">
        <v>84</v>
      </c>
      <c r="AC402" s="78" t="s">
        <v>85</v>
      </c>
      <c r="AD402" s="78" t="s">
        <v>763</v>
      </c>
      <c r="AG402" s="78" t="s">
        <v>832</v>
      </c>
      <c r="AH402" s="78">
        <v>0</v>
      </c>
      <c r="AI402" s="78">
        <v>215</v>
      </c>
      <c r="AJ402" s="78">
        <v>28</v>
      </c>
      <c r="AK402" s="78">
        <v>89</v>
      </c>
      <c r="AL402" s="78">
        <v>0.9</v>
      </c>
    </row>
    <row r="403" spans="1:38" x14ac:dyDescent="0.3">
      <c r="A403" s="78" t="s">
        <v>757</v>
      </c>
      <c r="B403" s="78">
        <v>16992</v>
      </c>
      <c r="C403" s="78">
        <v>2</v>
      </c>
      <c r="D403" s="78" t="s">
        <v>828</v>
      </c>
      <c r="E403" s="78" t="s">
        <v>829</v>
      </c>
      <c r="F403" s="78">
        <v>99</v>
      </c>
      <c r="G403" s="78">
        <v>22.33</v>
      </c>
      <c r="H403" s="78">
        <v>73.819999999999993</v>
      </c>
      <c r="I403" s="78">
        <v>18.11</v>
      </c>
      <c r="J403" s="78">
        <v>59.88</v>
      </c>
      <c r="K403" s="78">
        <v>40</v>
      </c>
      <c r="T403" s="78">
        <v>3</v>
      </c>
      <c r="U403" s="78">
        <v>1</v>
      </c>
      <c r="V403" s="78" t="s">
        <v>81</v>
      </c>
      <c r="W403" s="78">
        <v>73</v>
      </c>
      <c r="X403" s="78">
        <v>10</v>
      </c>
      <c r="Y403" s="78">
        <v>4</v>
      </c>
      <c r="Z403" s="78" t="s">
        <v>830</v>
      </c>
      <c r="AA403" s="78" t="s">
        <v>831</v>
      </c>
      <c r="AB403" s="78" t="s">
        <v>84</v>
      </c>
      <c r="AC403" s="78" t="s">
        <v>85</v>
      </c>
      <c r="AD403" s="78" t="s">
        <v>763</v>
      </c>
      <c r="AG403" s="78" t="s">
        <v>832</v>
      </c>
      <c r="AH403" s="78">
        <v>0</v>
      </c>
      <c r="AI403" s="78">
        <v>215</v>
      </c>
      <c r="AJ403" s="78">
        <v>28</v>
      </c>
      <c r="AK403" s="78">
        <v>89</v>
      </c>
      <c r="AL403" s="78">
        <v>0.9</v>
      </c>
    </row>
    <row r="404" spans="1:38" x14ac:dyDescent="0.3">
      <c r="A404" s="78" t="s">
        <v>757</v>
      </c>
      <c r="B404" s="78">
        <v>16992</v>
      </c>
      <c r="C404" s="78">
        <v>3</v>
      </c>
      <c r="D404" s="78" t="s">
        <v>828</v>
      </c>
      <c r="E404" s="78" t="s">
        <v>829</v>
      </c>
      <c r="F404" s="78">
        <v>99</v>
      </c>
      <c r="G404" s="78">
        <v>25.64</v>
      </c>
      <c r="H404" s="78">
        <v>84.77</v>
      </c>
      <c r="I404" s="78">
        <v>20.79</v>
      </c>
      <c r="J404" s="78">
        <v>68.760000000000005</v>
      </c>
      <c r="K404" s="78">
        <v>54</v>
      </c>
      <c r="T404" s="78">
        <v>3</v>
      </c>
      <c r="U404" s="78">
        <v>1</v>
      </c>
      <c r="V404" s="78" t="s">
        <v>81</v>
      </c>
      <c r="W404" s="78">
        <v>84</v>
      </c>
      <c r="X404" s="78">
        <v>10</v>
      </c>
      <c r="Y404" s="78">
        <v>4</v>
      </c>
      <c r="Z404" s="78" t="s">
        <v>830</v>
      </c>
      <c r="AA404" s="78" t="s">
        <v>831</v>
      </c>
      <c r="AB404" s="78" t="s">
        <v>84</v>
      </c>
      <c r="AC404" s="78" t="s">
        <v>85</v>
      </c>
      <c r="AD404" s="78" t="s">
        <v>763</v>
      </c>
      <c r="AG404" s="78" t="s">
        <v>832</v>
      </c>
      <c r="AH404" s="78">
        <v>0</v>
      </c>
      <c r="AI404" s="78">
        <v>215</v>
      </c>
      <c r="AJ404" s="78">
        <v>28</v>
      </c>
      <c r="AK404" s="78">
        <v>89</v>
      </c>
      <c r="AL404" s="78">
        <v>0.9</v>
      </c>
    </row>
    <row r="405" spans="1:38" x14ac:dyDescent="0.3">
      <c r="A405" s="78" t="s">
        <v>757</v>
      </c>
      <c r="B405" s="78">
        <v>102909</v>
      </c>
      <c r="C405" s="78">
        <v>1</v>
      </c>
      <c r="D405" s="78" t="s">
        <v>833</v>
      </c>
      <c r="E405" s="78" t="s">
        <v>834</v>
      </c>
      <c r="F405" s="78">
        <v>99</v>
      </c>
      <c r="G405" s="78">
        <v>18.77</v>
      </c>
      <c r="H405" s="78">
        <v>62.08</v>
      </c>
      <c r="I405" s="78">
        <v>13.03</v>
      </c>
      <c r="J405" s="78">
        <v>43.08</v>
      </c>
      <c r="K405" s="78">
        <v>99</v>
      </c>
      <c r="T405" s="78">
        <v>2</v>
      </c>
      <c r="U405" s="78">
        <v>1</v>
      </c>
      <c r="V405" s="78" t="s">
        <v>81</v>
      </c>
      <c r="W405" s="78">
        <v>62</v>
      </c>
      <c r="X405" s="78">
        <v>9</v>
      </c>
      <c r="Y405" s="78">
        <v>9</v>
      </c>
      <c r="Z405" s="78" t="s">
        <v>835</v>
      </c>
      <c r="AA405" s="78" t="s">
        <v>836</v>
      </c>
      <c r="AB405" s="78" t="s">
        <v>84</v>
      </c>
      <c r="AC405" s="78" t="s">
        <v>85</v>
      </c>
      <c r="AD405" s="78" t="s">
        <v>763</v>
      </c>
      <c r="AG405" s="78" t="s">
        <v>837</v>
      </c>
      <c r="AH405" s="78">
        <v>0</v>
      </c>
      <c r="AI405" s="78">
        <v>168</v>
      </c>
      <c r="AJ405" s="78">
        <v>21</v>
      </c>
      <c r="AK405" s="78">
        <v>72</v>
      </c>
      <c r="AL405" s="78">
        <v>0.73</v>
      </c>
    </row>
    <row r="406" spans="1:38" x14ac:dyDescent="0.3">
      <c r="A406" s="78" t="s">
        <v>757</v>
      </c>
      <c r="B406" s="78">
        <v>118059</v>
      </c>
      <c r="C406" s="78">
        <v>1</v>
      </c>
      <c r="D406" s="78" t="s">
        <v>838</v>
      </c>
      <c r="E406" s="78" t="s">
        <v>839</v>
      </c>
      <c r="F406" s="78">
        <v>349</v>
      </c>
      <c r="G406" s="78">
        <v>10.77</v>
      </c>
      <c r="H406" s="78">
        <v>35.630000000000003</v>
      </c>
      <c r="I406" s="78">
        <v>8.16</v>
      </c>
      <c r="J406" s="78">
        <v>27</v>
      </c>
      <c r="K406" s="78">
        <v>54</v>
      </c>
      <c r="T406" s="78">
        <v>1</v>
      </c>
      <c r="U406" s="78">
        <v>1</v>
      </c>
      <c r="V406" s="78" t="s">
        <v>81</v>
      </c>
      <c r="W406" s="78">
        <v>35</v>
      </c>
      <c r="X406" s="78">
        <v>15</v>
      </c>
      <c r="Y406" s="78">
        <v>9</v>
      </c>
      <c r="Z406" s="78" t="s">
        <v>840</v>
      </c>
      <c r="AA406" s="78" t="s">
        <v>841</v>
      </c>
      <c r="AB406" s="78" t="s">
        <v>84</v>
      </c>
      <c r="AC406" s="78" t="s">
        <v>85</v>
      </c>
      <c r="AD406" s="78" t="s">
        <v>763</v>
      </c>
      <c r="AG406" s="78" t="s">
        <v>842</v>
      </c>
      <c r="AH406" s="78">
        <v>0</v>
      </c>
      <c r="AI406" s="78">
        <v>347</v>
      </c>
      <c r="AJ406" s="78">
        <v>31</v>
      </c>
      <c r="AK406" s="78">
        <v>212</v>
      </c>
      <c r="AL406" s="78">
        <v>0.61</v>
      </c>
    </row>
    <row r="407" spans="1:38" x14ac:dyDescent="0.3">
      <c r="A407" s="78" t="s">
        <v>757</v>
      </c>
      <c r="B407" s="78">
        <v>118059</v>
      </c>
      <c r="C407" s="78">
        <v>2</v>
      </c>
      <c r="D407" s="78" t="s">
        <v>838</v>
      </c>
      <c r="E407" s="78" t="s">
        <v>839</v>
      </c>
      <c r="F407" s="78">
        <v>349</v>
      </c>
      <c r="G407" s="78">
        <v>15.56</v>
      </c>
      <c r="H407" s="78">
        <v>51.46</v>
      </c>
      <c r="I407" s="78">
        <v>11.79</v>
      </c>
      <c r="J407" s="78">
        <v>39</v>
      </c>
      <c r="K407" s="78">
        <v>295</v>
      </c>
      <c r="T407" s="78">
        <v>2</v>
      </c>
      <c r="U407" s="78">
        <v>1</v>
      </c>
      <c r="V407" s="78" t="s">
        <v>81</v>
      </c>
      <c r="W407" s="78">
        <v>51</v>
      </c>
      <c r="X407" s="78">
        <v>15</v>
      </c>
      <c r="Y407" s="78">
        <v>9</v>
      </c>
      <c r="Z407" s="78" t="s">
        <v>840</v>
      </c>
      <c r="AA407" s="78" t="s">
        <v>841</v>
      </c>
      <c r="AB407" s="78" t="s">
        <v>84</v>
      </c>
      <c r="AC407" s="78" t="s">
        <v>85</v>
      </c>
      <c r="AD407" s="78" t="s">
        <v>763</v>
      </c>
      <c r="AG407" s="78" t="s">
        <v>842</v>
      </c>
      <c r="AH407" s="78">
        <v>0</v>
      </c>
      <c r="AI407" s="78">
        <v>347</v>
      </c>
      <c r="AJ407" s="78">
        <v>31</v>
      </c>
      <c r="AK407" s="78">
        <v>212</v>
      </c>
      <c r="AL407" s="78">
        <v>0.61</v>
      </c>
    </row>
    <row r="408" spans="1:38" x14ac:dyDescent="0.3">
      <c r="A408" s="78" t="s">
        <v>843</v>
      </c>
      <c r="B408" s="78">
        <v>5047</v>
      </c>
      <c r="C408" s="78">
        <v>1</v>
      </c>
      <c r="D408" s="78" t="s">
        <v>844</v>
      </c>
      <c r="E408" s="78" t="s">
        <v>383</v>
      </c>
      <c r="F408" s="78">
        <v>381</v>
      </c>
      <c r="G408" s="78">
        <v>24.52</v>
      </c>
      <c r="H408" s="78">
        <v>81.06</v>
      </c>
      <c r="I408" s="78">
        <v>18.11</v>
      </c>
      <c r="J408" s="78">
        <v>59.89</v>
      </c>
      <c r="K408" s="78">
        <v>159</v>
      </c>
      <c r="T408" s="78">
        <v>3</v>
      </c>
      <c r="U408" s="78">
        <v>1</v>
      </c>
      <c r="V408" s="78" t="s">
        <v>81</v>
      </c>
      <c r="W408" s="78">
        <v>81</v>
      </c>
      <c r="X408" s="78">
        <v>15</v>
      </c>
      <c r="Y408" s="78">
        <v>12</v>
      </c>
      <c r="Z408" s="78" t="s">
        <v>845</v>
      </c>
      <c r="AA408" s="78" t="s">
        <v>846</v>
      </c>
      <c r="AB408" s="78" t="s">
        <v>84</v>
      </c>
      <c r="AC408" s="78" t="s">
        <v>85</v>
      </c>
      <c r="AD408" s="78" t="s">
        <v>847</v>
      </c>
      <c r="AG408" s="78" t="s">
        <v>848</v>
      </c>
      <c r="AH408" s="78">
        <v>0</v>
      </c>
      <c r="AI408" s="78">
        <v>259</v>
      </c>
      <c r="AJ408" s="78">
        <v>25</v>
      </c>
      <c r="AK408" s="78">
        <v>343</v>
      </c>
      <c r="AL408" s="78">
        <v>0.9</v>
      </c>
    </row>
    <row r="409" spans="1:38" x14ac:dyDescent="0.3">
      <c r="A409" s="78" t="s">
        <v>843</v>
      </c>
      <c r="B409" s="78">
        <v>5047</v>
      </c>
      <c r="C409" s="78">
        <v>2</v>
      </c>
      <c r="D409" s="78" t="s">
        <v>844</v>
      </c>
      <c r="E409" s="78" t="s">
        <v>383</v>
      </c>
      <c r="F409" s="78">
        <v>381</v>
      </c>
      <c r="G409" s="78">
        <v>31.56</v>
      </c>
      <c r="H409" s="78">
        <v>104.36</v>
      </c>
      <c r="I409" s="78">
        <v>25.67</v>
      </c>
      <c r="J409" s="78">
        <v>84.87</v>
      </c>
      <c r="K409" s="78">
        <v>132</v>
      </c>
      <c r="T409" s="78">
        <v>3</v>
      </c>
      <c r="U409" s="78">
        <v>2</v>
      </c>
      <c r="V409" s="78" t="s">
        <v>88</v>
      </c>
      <c r="W409" s="78">
        <v>104</v>
      </c>
      <c r="X409" s="78">
        <v>15</v>
      </c>
      <c r="Y409" s="78">
        <v>12</v>
      </c>
      <c r="Z409" s="78" t="s">
        <v>845</v>
      </c>
      <c r="AA409" s="78" t="s">
        <v>846</v>
      </c>
      <c r="AB409" s="78" t="s">
        <v>84</v>
      </c>
      <c r="AC409" s="78" t="s">
        <v>85</v>
      </c>
      <c r="AD409" s="78" t="s">
        <v>847</v>
      </c>
      <c r="AG409" s="78" t="s">
        <v>848</v>
      </c>
      <c r="AH409" s="78">
        <v>0</v>
      </c>
      <c r="AI409" s="78">
        <v>259</v>
      </c>
      <c r="AJ409" s="78">
        <v>25</v>
      </c>
      <c r="AK409" s="78">
        <v>343</v>
      </c>
      <c r="AL409" s="78">
        <v>0.9</v>
      </c>
    </row>
    <row r="410" spans="1:38" x14ac:dyDescent="0.3">
      <c r="A410" s="78" t="s">
        <v>843</v>
      </c>
      <c r="B410" s="78">
        <v>5047</v>
      </c>
      <c r="C410" s="78">
        <v>3</v>
      </c>
      <c r="D410" s="78" t="s">
        <v>844</v>
      </c>
      <c r="E410" s="78" t="s">
        <v>383</v>
      </c>
      <c r="F410" s="78">
        <v>381</v>
      </c>
      <c r="G410" s="78">
        <v>46.93</v>
      </c>
      <c r="H410" s="78">
        <v>155.15</v>
      </c>
      <c r="I410" s="78">
        <v>39.75</v>
      </c>
      <c r="J410" s="78">
        <v>131.43</v>
      </c>
      <c r="K410" s="78">
        <v>90</v>
      </c>
      <c r="T410" s="78">
        <v>4</v>
      </c>
      <c r="U410" s="78">
        <v>2</v>
      </c>
      <c r="V410" s="78" t="s">
        <v>88</v>
      </c>
      <c r="W410" s="78">
        <v>155</v>
      </c>
      <c r="X410" s="78">
        <v>15</v>
      </c>
      <c r="Y410" s="78">
        <v>12</v>
      </c>
      <c r="Z410" s="78" t="s">
        <v>845</v>
      </c>
      <c r="AA410" s="78" t="s">
        <v>846</v>
      </c>
      <c r="AB410" s="78" t="s">
        <v>84</v>
      </c>
      <c r="AC410" s="78" t="s">
        <v>85</v>
      </c>
      <c r="AD410" s="78" t="s">
        <v>847</v>
      </c>
      <c r="AG410" s="78" t="s">
        <v>848</v>
      </c>
      <c r="AH410" s="78">
        <v>0</v>
      </c>
      <c r="AI410" s="78">
        <v>259</v>
      </c>
      <c r="AJ410" s="78">
        <v>25</v>
      </c>
      <c r="AK410" s="78">
        <v>343</v>
      </c>
      <c r="AL410" s="78">
        <v>0.9</v>
      </c>
    </row>
    <row r="411" spans="1:38" x14ac:dyDescent="0.3">
      <c r="A411" s="78" t="s">
        <v>843</v>
      </c>
      <c r="B411" s="78">
        <v>123852</v>
      </c>
      <c r="C411" s="78">
        <v>1</v>
      </c>
      <c r="D411" s="78" t="s">
        <v>849</v>
      </c>
      <c r="E411" s="78" t="s">
        <v>850</v>
      </c>
      <c r="F411" s="78">
        <v>24</v>
      </c>
      <c r="G411" s="78">
        <v>11.03</v>
      </c>
      <c r="H411" s="78">
        <v>36.49</v>
      </c>
      <c r="I411" s="78">
        <v>11.03</v>
      </c>
      <c r="J411" s="78">
        <v>36.49</v>
      </c>
      <c r="K411" s="78">
        <v>12</v>
      </c>
      <c r="T411" s="78">
        <v>2</v>
      </c>
      <c r="U411" s="78">
        <v>1</v>
      </c>
      <c r="V411" s="78" t="s">
        <v>88</v>
      </c>
      <c r="W411" s="78">
        <v>36</v>
      </c>
      <c r="X411" s="78">
        <v>4</v>
      </c>
      <c r="Y411" s="78">
        <v>4</v>
      </c>
      <c r="Z411" s="78" t="s">
        <v>851</v>
      </c>
      <c r="AA411" s="78" t="s">
        <v>852</v>
      </c>
      <c r="AB411" s="78" t="s">
        <v>84</v>
      </c>
      <c r="AC411" s="78" t="s">
        <v>85</v>
      </c>
      <c r="AD411" s="78" t="s">
        <v>847</v>
      </c>
      <c r="AG411" s="78" t="s">
        <v>853</v>
      </c>
      <c r="AH411" s="78">
        <v>0</v>
      </c>
      <c r="AI411" s="78">
        <v>120</v>
      </c>
      <c r="AJ411" s="78">
        <v>30</v>
      </c>
      <c r="AK411" s="78">
        <v>0</v>
      </c>
      <c r="AL411" s="78">
        <v>0</v>
      </c>
    </row>
    <row r="412" spans="1:38" x14ac:dyDescent="0.3">
      <c r="A412" s="78" t="s">
        <v>843</v>
      </c>
      <c r="B412" s="78">
        <v>123852</v>
      </c>
      <c r="C412" s="78">
        <v>2</v>
      </c>
      <c r="D412" s="78" t="s">
        <v>849</v>
      </c>
      <c r="E412" s="78" t="s">
        <v>850</v>
      </c>
      <c r="F412" s="78">
        <v>24</v>
      </c>
      <c r="G412" s="78">
        <v>12.29</v>
      </c>
      <c r="H412" s="78">
        <v>40.65</v>
      </c>
      <c r="I412" s="78">
        <v>11.03</v>
      </c>
      <c r="J412" s="78">
        <v>36.49</v>
      </c>
      <c r="K412" s="78">
        <v>1</v>
      </c>
      <c r="T412" s="78">
        <v>2</v>
      </c>
      <c r="U412" s="78">
        <v>1</v>
      </c>
      <c r="V412" s="78" t="s">
        <v>88</v>
      </c>
      <c r="W412" s="78">
        <v>40</v>
      </c>
      <c r="X412" s="78">
        <v>4</v>
      </c>
      <c r="Y412" s="78">
        <v>4</v>
      </c>
      <c r="Z412" s="78" t="s">
        <v>851</v>
      </c>
      <c r="AA412" s="78" t="s">
        <v>852</v>
      </c>
      <c r="AB412" s="78" t="s">
        <v>84</v>
      </c>
      <c r="AC412" s="78" t="s">
        <v>85</v>
      </c>
      <c r="AD412" s="78" t="s">
        <v>847</v>
      </c>
      <c r="AG412" s="78" t="s">
        <v>853</v>
      </c>
      <c r="AH412" s="78">
        <v>0</v>
      </c>
      <c r="AI412" s="78">
        <v>120</v>
      </c>
      <c r="AJ412" s="78">
        <v>30</v>
      </c>
      <c r="AK412" s="78">
        <v>0</v>
      </c>
      <c r="AL412" s="78">
        <v>0</v>
      </c>
    </row>
    <row r="413" spans="1:38" x14ac:dyDescent="0.3">
      <c r="A413" s="78" t="s">
        <v>843</v>
      </c>
      <c r="B413" s="78">
        <v>123852</v>
      </c>
      <c r="C413" s="78">
        <v>3</v>
      </c>
      <c r="D413" s="78" t="s">
        <v>849</v>
      </c>
      <c r="E413" s="78" t="s">
        <v>850</v>
      </c>
      <c r="F413" s="78">
        <v>24</v>
      </c>
      <c r="G413" s="78">
        <v>15.19</v>
      </c>
      <c r="H413" s="78">
        <v>50.24</v>
      </c>
      <c r="I413" s="78">
        <v>11.03</v>
      </c>
      <c r="J413" s="78">
        <v>36.49</v>
      </c>
      <c r="K413" s="78">
        <v>7</v>
      </c>
      <c r="T413" s="78">
        <v>2</v>
      </c>
      <c r="U413" s="78">
        <v>1</v>
      </c>
      <c r="V413" s="78" t="s">
        <v>88</v>
      </c>
      <c r="W413" s="78" t="s">
        <v>854</v>
      </c>
      <c r="X413" s="78">
        <v>4</v>
      </c>
      <c r="Y413" s="78">
        <v>4</v>
      </c>
      <c r="Z413" s="78" t="s">
        <v>851</v>
      </c>
      <c r="AA413" s="78" t="s">
        <v>852</v>
      </c>
      <c r="AB413" s="78" t="s">
        <v>84</v>
      </c>
      <c r="AC413" s="78" t="s">
        <v>85</v>
      </c>
      <c r="AD413" s="78" t="s">
        <v>847</v>
      </c>
      <c r="AG413" s="78" t="s">
        <v>853</v>
      </c>
      <c r="AH413" s="78">
        <v>0</v>
      </c>
      <c r="AI413" s="78">
        <v>120</v>
      </c>
      <c r="AJ413" s="78">
        <v>30</v>
      </c>
      <c r="AK413" s="78">
        <v>0</v>
      </c>
      <c r="AL413" s="78">
        <v>0</v>
      </c>
    </row>
    <row r="414" spans="1:38" x14ac:dyDescent="0.3">
      <c r="A414" s="78" t="s">
        <v>843</v>
      </c>
      <c r="B414" s="78">
        <v>123852</v>
      </c>
      <c r="C414" s="78">
        <v>4</v>
      </c>
      <c r="D414" s="78" t="s">
        <v>849</v>
      </c>
      <c r="E414" s="78" t="s">
        <v>850</v>
      </c>
      <c r="F414" s="78">
        <v>24</v>
      </c>
      <c r="G414" s="78">
        <v>15.19</v>
      </c>
      <c r="H414" s="78">
        <v>50.23</v>
      </c>
      <c r="I414" s="78">
        <v>11.03</v>
      </c>
      <c r="J414" s="78">
        <v>36.49</v>
      </c>
      <c r="K414" s="78">
        <v>3</v>
      </c>
      <c r="T414" s="78">
        <v>2</v>
      </c>
      <c r="U414" s="78">
        <v>1</v>
      </c>
      <c r="V414" s="78" t="s">
        <v>88</v>
      </c>
      <c r="W414" s="78" t="s">
        <v>855</v>
      </c>
      <c r="X414" s="78">
        <v>4</v>
      </c>
      <c r="Y414" s="78">
        <v>4</v>
      </c>
      <c r="Z414" s="78" t="s">
        <v>851</v>
      </c>
      <c r="AA414" s="78" t="s">
        <v>852</v>
      </c>
      <c r="AB414" s="78" t="s">
        <v>84</v>
      </c>
      <c r="AC414" s="78" t="s">
        <v>85</v>
      </c>
      <c r="AD414" s="78" t="s">
        <v>847</v>
      </c>
      <c r="AG414" s="78" t="s">
        <v>853</v>
      </c>
      <c r="AH414" s="78">
        <v>0</v>
      </c>
      <c r="AI414" s="78">
        <v>120</v>
      </c>
      <c r="AJ414" s="78">
        <v>30</v>
      </c>
      <c r="AK414" s="78">
        <v>0</v>
      </c>
      <c r="AL414" s="78">
        <v>0</v>
      </c>
    </row>
    <row r="415" spans="1:38" x14ac:dyDescent="0.3">
      <c r="A415" s="78" t="s">
        <v>843</v>
      </c>
      <c r="B415" s="78">
        <v>123852</v>
      </c>
      <c r="C415" s="78">
        <v>5</v>
      </c>
      <c r="D415" s="78" t="s">
        <v>849</v>
      </c>
      <c r="E415" s="78" t="s">
        <v>850</v>
      </c>
      <c r="F415" s="78">
        <v>24</v>
      </c>
      <c r="G415" s="78">
        <v>15.26</v>
      </c>
      <c r="H415" s="78">
        <v>50.45</v>
      </c>
      <c r="I415" s="78">
        <v>11.03</v>
      </c>
      <c r="J415" s="78">
        <v>36.49</v>
      </c>
      <c r="K415" s="78">
        <v>1</v>
      </c>
      <c r="T415" s="78">
        <v>2</v>
      </c>
      <c r="U415" s="78">
        <v>1</v>
      </c>
      <c r="V415" s="78" t="s">
        <v>88</v>
      </c>
      <c r="W415" s="78" t="s">
        <v>856</v>
      </c>
      <c r="X415" s="78">
        <v>4</v>
      </c>
      <c r="Y415" s="78">
        <v>4</v>
      </c>
      <c r="Z415" s="78" t="s">
        <v>851</v>
      </c>
      <c r="AA415" s="78" t="s">
        <v>852</v>
      </c>
      <c r="AB415" s="78" t="s">
        <v>84</v>
      </c>
      <c r="AC415" s="78" t="s">
        <v>85</v>
      </c>
      <c r="AD415" s="78" t="s">
        <v>847</v>
      </c>
      <c r="AG415" s="78" t="s">
        <v>853</v>
      </c>
      <c r="AH415" s="78">
        <v>0</v>
      </c>
      <c r="AI415" s="78">
        <v>120</v>
      </c>
      <c r="AJ415" s="78">
        <v>30</v>
      </c>
      <c r="AK415" s="78">
        <v>0</v>
      </c>
      <c r="AL415" s="78">
        <v>0</v>
      </c>
    </row>
    <row r="416" spans="1:38" x14ac:dyDescent="0.3">
      <c r="A416" s="78" t="s">
        <v>843</v>
      </c>
      <c r="B416" s="78">
        <v>124774</v>
      </c>
      <c r="C416" s="78">
        <v>1</v>
      </c>
      <c r="D416" s="78" t="s">
        <v>480</v>
      </c>
      <c r="E416" s="78" t="s">
        <v>220</v>
      </c>
      <c r="F416" s="78">
        <v>54</v>
      </c>
      <c r="G416" s="78">
        <v>17.96</v>
      </c>
      <c r="H416" s="78">
        <v>59.39</v>
      </c>
      <c r="I416" s="78">
        <v>13.57</v>
      </c>
      <c r="J416" s="78">
        <v>44.87</v>
      </c>
      <c r="K416" s="78">
        <v>2</v>
      </c>
      <c r="T416" s="78">
        <v>2</v>
      </c>
      <c r="U416" s="78">
        <v>1</v>
      </c>
      <c r="V416" s="78" t="s">
        <v>88</v>
      </c>
      <c r="W416" s="78">
        <v>59</v>
      </c>
      <c r="X416" s="78">
        <v>10</v>
      </c>
      <c r="Y416" s="78">
        <v>9</v>
      </c>
      <c r="Z416" s="78" t="s">
        <v>857</v>
      </c>
      <c r="AA416" s="78" t="s">
        <v>858</v>
      </c>
      <c r="AB416" s="78" t="s">
        <v>84</v>
      </c>
      <c r="AC416" s="78" t="s">
        <v>85</v>
      </c>
      <c r="AD416" s="78" t="s">
        <v>847</v>
      </c>
      <c r="AG416" s="78" t="s">
        <v>859</v>
      </c>
      <c r="AH416" s="78">
        <v>0</v>
      </c>
      <c r="AI416" s="78">
        <v>0</v>
      </c>
      <c r="AJ416" s="78">
        <v>0</v>
      </c>
      <c r="AK416" s="78">
        <v>0</v>
      </c>
      <c r="AL416" s="78">
        <v>0</v>
      </c>
    </row>
    <row r="417" spans="1:38" x14ac:dyDescent="0.3">
      <c r="A417" s="78" t="s">
        <v>843</v>
      </c>
      <c r="B417" s="78">
        <v>124774</v>
      </c>
      <c r="C417" s="78">
        <v>2</v>
      </c>
      <c r="D417" s="78" t="s">
        <v>480</v>
      </c>
      <c r="E417" s="78" t="s">
        <v>220</v>
      </c>
      <c r="F417" s="78">
        <v>54</v>
      </c>
      <c r="G417" s="78">
        <v>18.64</v>
      </c>
      <c r="H417" s="78">
        <v>61.63</v>
      </c>
      <c r="I417" s="78">
        <v>13.99</v>
      </c>
      <c r="J417" s="78">
        <v>46.25</v>
      </c>
      <c r="K417" s="78">
        <v>17</v>
      </c>
      <c r="T417" s="78">
        <v>2</v>
      </c>
      <c r="U417" s="78">
        <v>1</v>
      </c>
      <c r="V417" s="78" t="s">
        <v>88</v>
      </c>
      <c r="W417" s="78">
        <v>61</v>
      </c>
      <c r="X417" s="78">
        <v>10</v>
      </c>
      <c r="Y417" s="78">
        <v>9</v>
      </c>
      <c r="Z417" s="78" t="s">
        <v>857</v>
      </c>
      <c r="AA417" s="78" t="s">
        <v>858</v>
      </c>
      <c r="AB417" s="78" t="s">
        <v>84</v>
      </c>
      <c r="AC417" s="78" t="s">
        <v>85</v>
      </c>
      <c r="AD417" s="78" t="s">
        <v>847</v>
      </c>
      <c r="AG417" s="78" t="s">
        <v>859</v>
      </c>
      <c r="AH417" s="78">
        <v>0</v>
      </c>
      <c r="AI417" s="78">
        <v>0</v>
      </c>
      <c r="AJ417" s="78">
        <v>0</v>
      </c>
      <c r="AK417" s="78">
        <v>0</v>
      </c>
      <c r="AL417" s="78">
        <v>0</v>
      </c>
    </row>
    <row r="418" spans="1:38" x14ac:dyDescent="0.3">
      <c r="A418" s="78" t="s">
        <v>843</v>
      </c>
      <c r="B418" s="78">
        <v>124774</v>
      </c>
      <c r="C418" s="78">
        <v>3</v>
      </c>
      <c r="D418" s="78" t="s">
        <v>480</v>
      </c>
      <c r="E418" s="78" t="s">
        <v>220</v>
      </c>
      <c r="F418" s="78">
        <v>54</v>
      </c>
      <c r="G418" s="78">
        <v>20.11</v>
      </c>
      <c r="H418" s="78">
        <v>66.5</v>
      </c>
      <c r="I418" s="78">
        <v>15.09</v>
      </c>
      <c r="J418" s="78">
        <v>49.91</v>
      </c>
      <c r="K418" s="78">
        <v>35</v>
      </c>
      <c r="T418" s="78">
        <v>3</v>
      </c>
      <c r="U418" s="78">
        <v>1</v>
      </c>
      <c r="V418" s="78" t="s">
        <v>88</v>
      </c>
      <c r="W418" s="78">
        <v>66</v>
      </c>
      <c r="X418" s="78">
        <v>10</v>
      </c>
      <c r="Y418" s="78">
        <v>9</v>
      </c>
      <c r="Z418" s="78" t="s">
        <v>857</v>
      </c>
      <c r="AA418" s="78" t="s">
        <v>858</v>
      </c>
      <c r="AB418" s="78" t="s">
        <v>84</v>
      </c>
      <c r="AC418" s="78" t="s">
        <v>85</v>
      </c>
      <c r="AD418" s="78" t="s">
        <v>847</v>
      </c>
      <c r="AG418" s="78" t="s">
        <v>859</v>
      </c>
      <c r="AH418" s="78">
        <v>0</v>
      </c>
      <c r="AI418" s="78">
        <v>0</v>
      </c>
      <c r="AJ418" s="78">
        <v>0</v>
      </c>
      <c r="AK418" s="78">
        <v>0</v>
      </c>
      <c r="AL418" s="78">
        <v>0</v>
      </c>
    </row>
    <row r="419" spans="1:38" x14ac:dyDescent="0.3">
      <c r="A419" s="78" t="s">
        <v>843</v>
      </c>
      <c r="B419" s="78">
        <v>122293</v>
      </c>
      <c r="C419" s="78">
        <v>1</v>
      </c>
      <c r="D419" s="78" t="s">
        <v>860</v>
      </c>
      <c r="E419" s="78" t="s">
        <v>861</v>
      </c>
      <c r="F419" s="78">
        <v>24</v>
      </c>
      <c r="G419" s="78">
        <v>21.65</v>
      </c>
      <c r="H419" s="78">
        <v>71.58</v>
      </c>
      <c r="I419" s="78">
        <v>14.99</v>
      </c>
      <c r="J419" s="78">
        <v>49.57</v>
      </c>
      <c r="K419" s="78">
        <v>23</v>
      </c>
      <c r="T419" s="78">
        <v>2</v>
      </c>
      <c r="U419" s="78">
        <v>1</v>
      </c>
      <c r="V419" s="78" t="s">
        <v>88</v>
      </c>
      <c r="W419" s="78" t="s">
        <v>182</v>
      </c>
      <c r="X419" s="78">
        <v>13</v>
      </c>
      <c r="Y419" s="78">
        <v>13</v>
      </c>
      <c r="Z419" s="78" t="s">
        <v>862</v>
      </c>
      <c r="AA419" s="78" t="s">
        <v>863</v>
      </c>
      <c r="AB419" s="78" t="s">
        <v>84</v>
      </c>
      <c r="AC419" s="78" t="s">
        <v>85</v>
      </c>
      <c r="AD419" s="78" t="s">
        <v>847</v>
      </c>
      <c r="AG419" s="78" t="s">
        <v>864</v>
      </c>
      <c r="AH419" s="78">
        <v>0</v>
      </c>
      <c r="AI419" s="78">
        <v>272</v>
      </c>
      <c r="AJ419" s="78">
        <v>31</v>
      </c>
      <c r="AK419" s="78">
        <v>17</v>
      </c>
      <c r="AL419" s="78">
        <v>0.71</v>
      </c>
    </row>
    <row r="420" spans="1:38" x14ac:dyDescent="0.3">
      <c r="A420" s="78" t="s">
        <v>843</v>
      </c>
      <c r="B420" s="78">
        <v>122293</v>
      </c>
      <c r="C420" s="78">
        <v>2</v>
      </c>
      <c r="D420" s="78" t="s">
        <v>860</v>
      </c>
      <c r="E420" s="78" t="s">
        <v>861</v>
      </c>
      <c r="F420" s="78">
        <v>24</v>
      </c>
      <c r="G420" s="78">
        <v>21.65</v>
      </c>
      <c r="H420" s="78">
        <v>71.58</v>
      </c>
      <c r="I420" s="78">
        <v>14.99</v>
      </c>
      <c r="J420" s="78">
        <v>49.57</v>
      </c>
      <c r="K420" s="78">
        <v>1</v>
      </c>
      <c r="T420" s="78">
        <v>2</v>
      </c>
      <c r="U420" s="78">
        <v>1</v>
      </c>
      <c r="V420" s="78" t="s">
        <v>88</v>
      </c>
      <c r="W420" s="78" t="s">
        <v>186</v>
      </c>
      <c r="X420" s="78">
        <v>13</v>
      </c>
      <c r="Y420" s="78">
        <v>13</v>
      </c>
      <c r="Z420" s="78" t="s">
        <v>862</v>
      </c>
      <c r="AA420" s="78" t="s">
        <v>863</v>
      </c>
      <c r="AB420" s="78" t="s">
        <v>84</v>
      </c>
      <c r="AC420" s="78" t="s">
        <v>85</v>
      </c>
      <c r="AD420" s="78" t="s">
        <v>847</v>
      </c>
      <c r="AG420" s="78" t="s">
        <v>864</v>
      </c>
      <c r="AH420" s="78">
        <v>0</v>
      </c>
      <c r="AI420" s="78">
        <v>272</v>
      </c>
      <c r="AJ420" s="78">
        <v>31</v>
      </c>
      <c r="AK420" s="78">
        <v>17</v>
      </c>
      <c r="AL420" s="78">
        <v>0.71</v>
      </c>
    </row>
    <row r="421" spans="1:38" x14ac:dyDescent="0.3">
      <c r="A421" s="78" t="s">
        <v>865</v>
      </c>
      <c r="B421" s="78">
        <v>125052</v>
      </c>
      <c r="C421" s="78">
        <v>1</v>
      </c>
      <c r="D421" s="78" t="s">
        <v>866</v>
      </c>
      <c r="E421" s="78" t="s">
        <v>505</v>
      </c>
      <c r="F421" s="78">
        <v>64</v>
      </c>
      <c r="G421" s="78">
        <v>16.170000000000002</v>
      </c>
      <c r="H421" s="78">
        <v>53.46</v>
      </c>
      <c r="I421" s="78">
        <v>11.59</v>
      </c>
      <c r="J421" s="78">
        <v>38.33</v>
      </c>
      <c r="K421" s="78">
        <v>1</v>
      </c>
      <c r="T421" s="78">
        <v>3</v>
      </c>
      <c r="U421" s="78">
        <v>2</v>
      </c>
      <c r="V421" s="78" t="s">
        <v>88</v>
      </c>
      <c r="W421" s="78" t="s">
        <v>334</v>
      </c>
      <c r="X421" s="78">
        <v>6</v>
      </c>
      <c r="Y421" s="78">
        <v>5</v>
      </c>
      <c r="Z421" s="78" t="s">
        <v>867</v>
      </c>
      <c r="AA421" s="78" t="s">
        <v>868</v>
      </c>
      <c r="AB421" s="78" t="s">
        <v>84</v>
      </c>
      <c r="AC421" s="78" t="s">
        <v>85</v>
      </c>
      <c r="AD421" s="78" t="s">
        <v>869</v>
      </c>
      <c r="AG421" s="78" t="s">
        <v>870</v>
      </c>
      <c r="AH421" s="78">
        <v>0</v>
      </c>
      <c r="AI421" s="78">
        <v>242</v>
      </c>
      <c r="AJ421" s="78">
        <v>55</v>
      </c>
      <c r="AK421" s="78">
        <v>46</v>
      </c>
      <c r="AL421" s="78">
        <v>0.72</v>
      </c>
    </row>
    <row r="422" spans="1:38" x14ac:dyDescent="0.3">
      <c r="A422" s="78" t="s">
        <v>865</v>
      </c>
      <c r="B422" s="78">
        <v>125052</v>
      </c>
      <c r="C422" s="78">
        <v>2</v>
      </c>
      <c r="D422" s="78" t="s">
        <v>866</v>
      </c>
      <c r="E422" s="78" t="s">
        <v>505</v>
      </c>
      <c r="F422" s="78">
        <v>64</v>
      </c>
      <c r="G422" s="78">
        <v>16.39</v>
      </c>
      <c r="H422" s="78">
        <v>54.21</v>
      </c>
      <c r="I422" s="78">
        <v>11.75</v>
      </c>
      <c r="J422" s="78">
        <v>38.869999999999997</v>
      </c>
      <c r="K422" s="78">
        <v>3</v>
      </c>
      <c r="T422" s="78">
        <v>3</v>
      </c>
      <c r="U422" s="78">
        <v>2</v>
      </c>
      <c r="V422" s="78" t="s">
        <v>88</v>
      </c>
      <c r="W422" s="78" t="s">
        <v>335</v>
      </c>
      <c r="X422" s="78">
        <v>6</v>
      </c>
      <c r="Y422" s="78">
        <v>5</v>
      </c>
      <c r="Z422" s="78" t="s">
        <v>867</v>
      </c>
      <c r="AA422" s="78" t="s">
        <v>868</v>
      </c>
      <c r="AB422" s="78" t="s">
        <v>84</v>
      </c>
      <c r="AC422" s="78" t="s">
        <v>85</v>
      </c>
      <c r="AD422" s="78" t="s">
        <v>869</v>
      </c>
      <c r="AG422" s="78" t="s">
        <v>870</v>
      </c>
      <c r="AH422" s="78">
        <v>0</v>
      </c>
      <c r="AI422" s="78">
        <v>242</v>
      </c>
      <c r="AJ422" s="78">
        <v>55</v>
      </c>
      <c r="AK422" s="78">
        <v>46</v>
      </c>
      <c r="AL422" s="78">
        <v>0.72</v>
      </c>
    </row>
    <row r="423" spans="1:38" x14ac:dyDescent="0.3">
      <c r="A423" s="78" t="s">
        <v>865</v>
      </c>
      <c r="B423" s="78">
        <v>125052</v>
      </c>
      <c r="C423" s="78">
        <v>3</v>
      </c>
      <c r="D423" s="78" t="s">
        <v>866</v>
      </c>
      <c r="E423" s="78" t="s">
        <v>505</v>
      </c>
      <c r="F423" s="78">
        <v>64</v>
      </c>
      <c r="G423" s="78">
        <v>16.87</v>
      </c>
      <c r="H423" s="78">
        <v>55.8</v>
      </c>
      <c r="I423" s="78">
        <v>12.1</v>
      </c>
      <c r="J423" s="78">
        <v>40.01</v>
      </c>
      <c r="K423" s="78">
        <v>3</v>
      </c>
      <c r="T423" s="78">
        <v>3</v>
      </c>
      <c r="U423" s="78">
        <v>2</v>
      </c>
      <c r="V423" s="78" t="s">
        <v>88</v>
      </c>
      <c r="W423" s="78" t="s">
        <v>221</v>
      </c>
      <c r="X423" s="78">
        <v>6</v>
      </c>
      <c r="Y423" s="78">
        <v>5</v>
      </c>
      <c r="Z423" s="78" t="s">
        <v>867</v>
      </c>
      <c r="AA423" s="78" t="s">
        <v>868</v>
      </c>
      <c r="AB423" s="78" t="s">
        <v>84</v>
      </c>
      <c r="AC423" s="78" t="s">
        <v>85</v>
      </c>
      <c r="AD423" s="78" t="s">
        <v>869</v>
      </c>
      <c r="AG423" s="78" t="s">
        <v>870</v>
      </c>
      <c r="AH423" s="78">
        <v>0</v>
      </c>
      <c r="AI423" s="78">
        <v>242</v>
      </c>
      <c r="AJ423" s="78">
        <v>55</v>
      </c>
      <c r="AK423" s="78">
        <v>46</v>
      </c>
      <c r="AL423" s="78">
        <v>0.72</v>
      </c>
    </row>
    <row r="424" spans="1:38" x14ac:dyDescent="0.3">
      <c r="A424" s="78" t="s">
        <v>865</v>
      </c>
      <c r="B424" s="78">
        <v>125052</v>
      </c>
      <c r="C424" s="78">
        <v>4</v>
      </c>
      <c r="D424" s="78" t="s">
        <v>866</v>
      </c>
      <c r="E424" s="78" t="s">
        <v>505</v>
      </c>
      <c r="F424" s="78">
        <v>64</v>
      </c>
      <c r="G424" s="78">
        <v>17.02</v>
      </c>
      <c r="H424" s="78">
        <v>56.29</v>
      </c>
      <c r="I424" s="78">
        <v>12.2</v>
      </c>
      <c r="J424" s="78">
        <v>40.36</v>
      </c>
      <c r="K424" s="78">
        <v>2</v>
      </c>
      <c r="T424" s="78">
        <v>3</v>
      </c>
      <c r="U424" s="78">
        <v>2</v>
      </c>
      <c r="V424" s="78" t="s">
        <v>88</v>
      </c>
      <c r="W424" s="78" t="s">
        <v>225</v>
      </c>
      <c r="X424" s="78">
        <v>6</v>
      </c>
      <c r="Y424" s="78">
        <v>5</v>
      </c>
      <c r="Z424" s="78" t="s">
        <v>867</v>
      </c>
      <c r="AA424" s="78" t="s">
        <v>868</v>
      </c>
      <c r="AB424" s="78" t="s">
        <v>84</v>
      </c>
      <c r="AC424" s="78" t="s">
        <v>85</v>
      </c>
      <c r="AD424" s="78" t="s">
        <v>869</v>
      </c>
      <c r="AG424" s="78" t="s">
        <v>870</v>
      </c>
      <c r="AH424" s="78">
        <v>0</v>
      </c>
      <c r="AI424" s="78">
        <v>242</v>
      </c>
      <c r="AJ424" s="78">
        <v>55</v>
      </c>
      <c r="AK424" s="78">
        <v>46</v>
      </c>
      <c r="AL424" s="78">
        <v>0.72</v>
      </c>
    </row>
    <row r="425" spans="1:38" x14ac:dyDescent="0.3">
      <c r="A425" s="78" t="s">
        <v>865</v>
      </c>
      <c r="B425" s="78">
        <v>125052</v>
      </c>
      <c r="C425" s="78">
        <v>5</v>
      </c>
      <c r="D425" s="78" t="s">
        <v>866</v>
      </c>
      <c r="E425" s="78" t="s">
        <v>505</v>
      </c>
      <c r="F425" s="78">
        <v>64</v>
      </c>
      <c r="G425" s="78">
        <v>17.04</v>
      </c>
      <c r="H425" s="78">
        <v>56.36</v>
      </c>
      <c r="I425" s="78">
        <v>12.22</v>
      </c>
      <c r="J425" s="78">
        <v>40.409999999999997</v>
      </c>
      <c r="K425" s="78">
        <v>1</v>
      </c>
      <c r="T425" s="78">
        <v>3</v>
      </c>
      <c r="U425" s="78">
        <v>2</v>
      </c>
      <c r="V425" s="78" t="s">
        <v>88</v>
      </c>
      <c r="W425" s="78" t="s">
        <v>871</v>
      </c>
      <c r="X425" s="78">
        <v>6</v>
      </c>
      <c r="Y425" s="78">
        <v>5</v>
      </c>
      <c r="Z425" s="78" t="s">
        <v>867</v>
      </c>
      <c r="AA425" s="78" t="s">
        <v>868</v>
      </c>
      <c r="AB425" s="78" t="s">
        <v>84</v>
      </c>
      <c r="AC425" s="78" t="s">
        <v>85</v>
      </c>
      <c r="AD425" s="78" t="s">
        <v>869</v>
      </c>
      <c r="AG425" s="78" t="s">
        <v>870</v>
      </c>
      <c r="AH425" s="78">
        <v>0</v>
      </c>
      <c r="AI425" s="78">
        <v>242</v>
      </c>
      <c r="AJ425" s="78">
        <v>55</v>
      </c>
      <c r="AK425" s="78">
        <v>46</v>
      </c>
      <c r="AL425" s="78">
        <v>0.72</v>
      </c>
    </row>
    <row r="426" spans="1:38" x14ac:dyDescent="0.3">
      <c r="A426" s="78" t="s">
        <v>865</v>
      </c>
      <c r="B426" s="78">
        <v>125052</v>
      </c>
      <c r="C426" s="78">
        <v>6</v>
      </c>
      <c r="D426" s="78" t="s">
        <v>866</v>
      </c>
      <c r="E426" s="78" t="s">
        <v>505</v>
      </c>
      <c r="F426" s="78">
        <v>64</v>
      </c>
      <c r="G426" s="78">
        <v>17.149999999999999</v>
      </c>
      <c r="H426" s="78">
        <v>56.72</v>
      </c>
      <c r="I426" s="78">
        <v>12.3</v>
      </c>
      <c r="J426" s="78">
        <v>40.67</v>
      </c>
      <c r="K426" s="78">
        <v>1</v>
      </c>
      <c r="T426" s="78">
        <v>3</v>
      </c>
      <c r="U426" s="78">
        <v>2</v>
      </c>
      <c r="V426" s="78" t="s">
        <v>88</v>
      </c>
      <c r="W426" s="78" t="s">
        <v>872</v>
      </c>
      <c r="X426" s="78">
        <v>6</v>
      </c>
      <c r="Y426" s="78">
        <v>5</v>
      </c>
      <c r="Z426" s="78" t="s">
        <v>867</v>
      </c>
      <c r="AA426" s="78" t="s">
        <v>868</v>
      </c>
      <c r="AB426" s="78" t="s">
        <v>84</v>
      </c>
      <c r="AC426" s="78" t="s">
        <v>85</v>
      </c>
      <c r="AD426" s="78" t="s">
        <v>869</v>
      </c>
      <c r="AG426" s="78" t="s">
        <v>870</v>
      </c>
      <c r="AH426" s="78">
        <v>0</v>
      </c>
      <c r="AI426" s="78">
        <v>242</v>
      </c>
      <c r="AJ426" s="78">
        <v>55</v>
      </c>
      <c r="AK426" s="78">
        <v>46</v>
      </c>
      <c r="AL426" s="78">
        <v>0.72</v>
      </c>
    </row>
    <row r="427" spans="1:38" x14ac:dyDescent="0.3">
      <c r="A427" s="78" t="s">
        <v>865</v>
      </c>
      <c r="B427" s="78">
        <v>125052</v>
      </c>
      <c r="C427" s="78">
        <v>7</v>
      </c>
      <c r="D427" s="78" t="s">
        <v>866</v>
      </c>
      <c r="E427" s="78" t="s">
        <v>505</v>
      </c>
      <c r="F427" s="78">
        <v>64</v>
      </c>
      <c r="G427" s="78">
        <v>17.670000000000002</v>
      </c>
      <c r="H427" s="78">
        <v>58.42</v>
      </c>
      <c r="I427" s="78">
        <v>12.22</v>
      </c>
      <c r="J427" s="78">
        <v>40.409999999999997</v>
      </c>
      <c r="K427" s="78">
        <v>2</v>
      </c>
      <c r="T427" s="78">
        <v>3</v>
      </c>
      <c r="U427" s="78">
        <v>2</v>
      </c>
      <c r="V427" s="78" t="s">
        <v>88</v>
      </c>
      <c r="W427" s="78" t="s">
        <v>873</v>
      </c>
      <c r="X427" s="78">
        <v>6</v>
      </c>
      <c r="Y427" s="78">
        <v>5</v>
      </c>
      <c r="Z427" s="78" t="s">
        <v>867</v>
      </c>
      <c r="AA427" s="78" t="s">
        <v>868</v>
      </c>
      <c r="AB427" s="78" t="s">
        <v>84</v>
      </c>
      <c r="AC427" s="78" t="s">
        <v>85</v>
      </c>
      <c r="AD427" s="78" t="s">
        <v>869</v>
      </c>
      <c r="AG427" s="78" t="s">
        <v>870</v>
      </c>
      <c r="AH427" s="78">
        <v>0</v>
      </c>
      <c r="AI427" s="78">
        <v>242</v>
      </c>
      <c r="AJ427" s="78">
        <v>55</v>
      </c>
      <c r="AK427" s="78">
        <v>46</v>
      </c>
      <c r="AL427" s="78">
        <v>0.72</v>
      </c>
    </row>
    <row r="428" spans="1:38" x14ac:dyDescent="0.3">
      <c r="A428" s="78" t="s">
        <v>865</v>
      </c>
      <c r="B428" s="78">
        <v>125052</v>
      </c>
      <c r="C428" s="78">
        <v>8</v>
      </c>
      <c r="D428" s="78" t="s">
        <v>866</v>
      </c>
      <c r="E428" s="78" t="s">
        <v>505</v>
      </c>
      <c r="F428" s="78">
        <v>64</v>
      </c>
      <c r="G428" s="78">
        <v>17.64</v>
      </c>
      <c r="H428" s="78">
        <v>58.34</v>
      </c>
      <c r="I428" s="78">
        <v>12.2</v>
      </c>
      <c r="J428" s="78">
        <v>40.36</v>
      </c>
      <c r="K428" s="78">
        <v>2</v>
      </c>
      <c r="T428" s="78">
        <v>3</v>
      </c>
      <c r="U428" s="78">
        <v>2</v>
      </c>
      <c r="V428" s="78" t="s">
        <v>88</v>
      </c>
      <c r="W428" s="78" t="s">
        <v>874</v>
      </c>
      <c r="X428" s="78">
        <v>6</v>
      </c>
      <c r="Y428" s="78">
        <v>5</v>
      </c>
      <c r="Z428" s="78" t="s">
        <v>867</v>
      </c>
      <c r="AA428" s="78" t="s">
        <v>868</v>
      </c>
      <c r="AB428" s="78" t="s">
        <v>84</v>
      </c>
      <c r="AC428" s="78" t="s">
        <v>85</v>
      </c>
      <c r="AD428" s="78" t="s">
        <v>869</v>
      </c>
      <c r="AG428" s="78" t="s">
        <v>870</v>
      </c>
      <c r="AH428" s="78">
        <v>0</v>
      </c>
      <c r="AI428" s="78">
        <v>242</v>
      </c>
      <c r="AJ428" s="78">
        <v>55</v>
      </c>
      <c r="AK428" s="78">
        <v>46</v>
      </c>
      <c r="AL428" s="78">
        <v>0.72</v>
      </c>
    </row>
    <row r="429" spans="1:38" x14ac:dyDescent="0.3">
      <c r="A429" s="78" t="s">
        <v>865</v>
      </c>
      <c r="B429" s="78">
        <v>125052</v>
      </c>
      <c r="C429" s="78">
        <v>9</v>
      </c>
      <c r="D429" s="78" t="s">
        <v>866</v>
      </c>
      <c r="E429" s="78" t="s">
        <v>505</v>
      </c>
      <c r="F429" s="78">
        <v>64</v>
      </c>
      <c r="G429" s="78">
        <v>21.09</v>
      </c>
      <c r="H429" s="78">
        <v>69.73</v>
      </c>
      <c r="I429" s="78">
        <v>15.12</v>
      </c>
      <c r="J429" s="78">
        <v>50</v>
      </c>
      <c r="K429" s="78">
        <v>3</v>
      </c>
      <c r="T429" s="78">
        <v>3</v>
      </c>
      <c r="U429" s="78">
        <v>2</v>
      </c>
      <c r="V429" s="78" t="s">
        <v>88</v>
      </c>
      <c r="W429" s="78" t="s">
        <v>875</v>
      </c>
      <c r="X429" s="78">
        <v>6</v>
      </c>
      <c r="Y429" s="78">
        <v>5</v>
      </c>
      <c r="Z429" s="78" t="s">
        <v>867</v>
      </c>
      <c r="AA429" s="78" t="s">
        <v>868</v>
      </c>
      <c r="AB429" s="78" t="s">
        <v>84</v>
      </c>
      <c r="AC429" s="78" t="s">
        <v>85</v>
      </c>
      <c r="AD429" s="78" t="s">
        <v>869</v>
      </c>
      <c r="AG429" s="78" t="s">
        <v>870</v>
      </c>
      <c r="AH429" s="78">
        <v>0</v>
      </c>
      <c r="AI429" s="78">
        <v>242</v>
      </c>
      <c r="AJ429" s="78">
        <v>55</v>
      </c>
      <c r="AK429" s="78">
        <v>46</v>
      </c>
      <c r="AL429" s="78">
        <v>0.72</v>
      </c>
    </row>
    <row r="430" spans="1:38" x14ac:dyDescent="0.3">
      <c r="A430" s="78" t="s">
        <v>865</v>
      </c>
      <c r="B430" s="78">
        <v>125052</v>
      </c>
      <c r="C430" s="78">
        <v>10</v>
      </c>
      <c r="D430" s="78" t="s">
        <v>866</v>
      </c>
      <c r="E430" s="78" t="s">
        <v>505</v>
      </c>
      <c r="F430" s="78">
        <v>64</v>
      </c>
      <c r="G430" s="78">
        <v>21.25</v>
      </c>
      <c r="H430" s="78">
        <v>70.260000000000005</v>
      </c>
      <c r="I430" s="78">
        <v>15.23</v>
      </c>
      <c r="J430" s="78">
        <v>50.38</v>
      </c>
      <c r="K430" s="78">
        <v>3</v>
      </c>
      <c r="T430" s="78">
        <v>3</v>
      </c>
      <c r="U430" s="78">
        <v>2</v>
      </c>
      <c r="V430" s="78" t="s">
        <v>88</v>
      </c>
      <c r="W430" s="78" t="s">
        <v>682</v>
      </c>
      <c r="X430" s="78">
        <v>6</v>
      </c>
      <c r="Y430" s="78">
        <v>5</v>
      </c>
      <c r="Z430" s="78" t="s">
        <v>867</v>
      </c>
      <c r="AA430" s="78" t="s">
        <v>868</v>
      </c>
      <c r="AB430" s="78" t="s">
        <v>84</v>
      </c>
      <c r="AC430" s="78" t="s">
        <v>85</v>
      </c>
      <c r="AD430" s="78" t="s">
        <v>869</v>
      </c>
      <c r="AG430" s="78" t="s">
        <v>870</v>
      </c>
      <c r="AH430" s="78">
        <v>0</v>
      </c>
      <c r="AI430" s="78">
        <v>242</v>
      </c>
      <c r="AJ430" s="78">
        <v>55</v>
      </c>
      <c r="AK430" s="78">
        <v>46</v>
      </c>
      <c r="AL430" s="78">
        <v>0.72</v>
      </c>
    </row>
    <row r="431" spans="1:38" x14ac:dyDescent="0.3">
      <c r="A431" s="78" t="s">
        <v>865</v>
      </c>
      <c r="B431" s="78">
        <v>125052</v>
      </c>
      <c r="C431" s="78">
        <v>11</v>
      </c>
      <c r="D431" s="78" t="s">
        <v>866</v>
      </c>
      <c r="E431" s="78" t="s">
        <v>505</v>
      </c>
      <c r="F431" s="78">
        <v>64</v>
      </c>
      <c r="G431" s="78">
        <v>21.23</v>
      </c>
      <c r="H431" s="78">
        <v>70.19</v>
      </c>
      <c r="I431" s="78">
        <v>15.22</v>
      </c>
      <c r="J431" s="78">
        <v>50.33</v>
      </c>
      <c r="K431" s="78">
        <v>1</v>
      </c>
      <c r="T431" s="78">
        <v>3</v>
      </c>
      <c r="U431" s="78">
        <v>2</v>
      </c>
      <c r="V431" s="78" t="s">
        <v>88</v>
      </c>
      <c r="W431" s="78" t="s">
        <v>876</v>
      </c>
      <c r="X431" s="78">
        <v>6</v>
      </c>
      <c r="Y431" s="78">
        <v>5</v>
      </c>
      <c r="Z431" s="78" t="s">
        <v>867</v>
      </c>
      <c r="AA431" s="78" t="s">
        <v>868</v>
      </c>
      <c r="AB431" s="78" t="s">
        <v>84</v>
      </c>
      <c r="AC431" s="78" t="s">
        <v>85</v>
      </c>
      <c r="AD431" s="78" t="s">
        <v>869</v>
      </c>
      <c r="AG431" s="78" t="s">
        <v>870</v>
      </c>
      <c r="AH431" s="78">
        <v>0</v>
      </c>
      <c r="AI431" s="78">
        <v>242</v>
      </c>
      <c r="AJ431" s="78">
        <v>55</v>
      </c>
      <c r="AK431" s="78">
        <v>46</v>
      </c>
      <c r="AL431" s="78">
        <v>0.72</v>
      </c>
    </row>
    <row r="432" spans="1:38" x14ac:dyDescent="0.3">
      <c r="A432" s="78" t="s">
        <v>865</v>
      </c>
      <c r="B432" s="78">
        <v>125052</v>
      </c>
      <c r="C432" s="78">
        <v>12</v>
      </c>
      <c r="D432" s="78" t="s">
        <v>866</v>
      </c>
      <c r="E432" s="78" t="s">
        <v>505</v>
      </c>
      <c r="F432" s="78">
        <v>64</v>
      </c>
      <c r="G432" s="78">
        <v>21.39</v>
      </c>
      <c r="H432" s="78">
        <v>70.72</v>
      </c>
      <c r="I432" s="78">
        <v>15.33</v>
      </c>
      <c r="J432" s="78">
        <v>50.71</v>
      </c>
      <c r="K432" s="78">
        <v>1</v>
      </c>
      <c r="T432" s="78">
        <v>3</v>
      </c>
      <c r="U432" s="78">
        <v>2</v>
      </c>
      <c r="V432" s="78" t="s">
        <v>88</v>
      </c>
      <c r="W432" s="78" t="s">
        <v>877</v>
      </c>
      <c r="X432" s="78">
        <v>6</v>
      </c>
      <c r="Y432" s="78">
        <v>5</v>
      </c>
      <c r="Z432" s="78" t="s">
        <v>867</v>
      </c>
      <c r="AA432" s="78" t="s">
        <v>868</v>
      </c>
      <c r="AB432" s="78" t="s">
        <v>84</v>
      </c>
      <c r="AC432" s="78" t="s">
        <v>85</v>
      </c>
      <c r="AD432" s="78" t="s">
        <v>869</v>
      </c>
      <c r="AG432" s="78" t="s">
        <v>870</v>
      </c>
      <c r="AH432" s="78">
        <v>0</v>
      </c>
      <c r="AI432" s="78">
        <v>242</v>
      </c>
      <c r="AJ432" s="78">
        <v>55</v>
      </c>
      <c r="AK432" s="78">
        <v>46</v>
      </c>
      <c r="AL432" s="78">
        <v>0.72</v>
      </c>
    </row>
    <row r="433" spans="1:38" x14ac:dyDescent="0.3">
      <c r="A433" s="78" t="s">
        <v>865</v>
      </c>
      <c r="B433" s="78">
        <v>125052</v>
      </c>
      <c r="C433" s="78">
        <v>13</v>
      </c>
      <c r="D433" s="78" t="s">
        <v>866</v>
      </c>
      <c r="E433" s="78" t="s">
        <v>505</v>
      </c>
      <c r="F433" s="78">
        <v>64</v>
      </c>
      <c r="G433" s="78">
        <v>22</v>
      </c>
      <c r="H433" s="78">
        <v>72.760000000000005</v>
      </c>
      <c r="I433" s="78">
        <v>15.22</v>
      </c>
      <c r="J433" s="78">
        <v>50.33</v>
      </c>
      <c r="K433" s="78">
        <v>2</v>
      </c>
      <c r="T433" s="78">
        <v>3</v>
      </c>
      <c r="U433" s="78">
        <v>2</v>
      </c>
      <c r="V433" s="78" t="s">
        <v>88</v>
      </c>
      <c r="W433" s="78" t="s">
        <v>878</v>
      </c>
      <c r="X433" s="78">
        <v>6</v>
      </c>
      <c r="Y433" s="78">
        <v>5</v>
      </c>
      <c r="Z433" s="78" t="s">
        <v>867</v>
      </c>
      <c r="AA433" s="78" t="s">
        <v>868</v>
      </c>
      <c r="AB433" s="78" t="s">
        <v>84</v>
      </c>
      <c r="AC433" s="78" t="s">
        <v>85</v>
      </c>
      <c r="AD433" s="78" t="s">
        <v>869</v>
      </c>
      <c r="AG433" s="78" t="s">
        <v>870</v>
      </c>
      <c r="AH433" s="78">
        <v>0</v>
      </c>
      <c r="AI433" s="78">
        <v>242</v>
      </c>
      <c r="AJ433" s="78">
        <v>55</v>
      </c>
      <c r="AK433" s="78">
        <v>46</v>
      </c>
      <c r="AL433" s="78">
        <v>0.72</v>
      </c>
    </row>
    <row r="434" spans="1:38" x14ac:dyDescent="0.3">
      <c r="A434" s="78" t="s">
        <v>865</v>
      </c>
      <c r="B434" s="78">
        <v>125052</v>
      </c>
      <c r="C434" s="78">
        <v>14</v>
      </c>
      <c r="D434" s="78" t="s">
        <v>866</v>
      </c>
      <c r="E434" s="78" t="s">
        <v>505</v>
      </c>
      <c r="F434" s="78">
        <v>64</v>
      </c>
      <c r="G434" s="78">
        <v>22.03</v>
      </c>
      <c r="H434" s="78">
        <v>72.83</v>
      </c>
      <c r="I434" s="78">
        <v>15.23</v>
      </c>
      <c r="J434" s="78">
        <v>50.38</v>
      </c>
      <c r="K434" s="78">
        <v>2</v>
      </c>
      <c r="T434" s="78">
        <v>3</v>
      </c>
      <c r="U434" s="78">
        <v>2</v>
      </c>
      <c r="V434" s="78" t="s">
        <v>88</v>
      </c>
      <c r="W434" s="78" t="s">
        <v>879</v>
      </c>
      <c r="X434" s="78">
        <v>6</v>
      </c>
      <c r="Y434" s="78">
        <v>5</v>
      </c>
      <c r="Z434" s="78" t="s">
        <v>867</v>
      </c>
      <c r="AA434" s="78" t="s">
        <v>868</v>
      </c>
      <c r="AB434" s="78" t="s">
        <v>84</v>
      </c>
      <c r="AC434" s="78" t="s">
        <v>85</v>
      </c>
      <c r="AD434" s="78" t="s">
        <v>869</v>
      </c>
      <c r="AG434" s="78" t="s">
        <v>870</v>
      </c>
      <c r="AH434" s="78">
        <v>0</v>
      </c>
      <c r="AI434" s="78">
        <v>242</v>
      </c>
      <c r="AJ434" s="78">
        <v>55</v>
      </c>
      <c r="AK434" s="78">
        <v>46</v>
      </c>
      <c r="AL434" s="78">
        <v>0.72</v>
      </c>
    </row>
    <row r="435" spans="1:38" x14ac:dyDescent="0.3">
      <c r="A435" s="78" t="s">
        <v>865</v>
      </c>
      <c r="B435" s="78">
        <v>125052</v>
      </c>
      <c r="C435" s="78">
        <v>15</v>
      </c>
      <c r="D435" s="78" t="s">
        <v>866</v>
      </c>
      <c r="E435" s="78" t="s">
        <v>505</v>
      </c>
      <c r="F435" s="78">
        <v>64</v>
      </c>
      <c r="G435" s="78">
        <v>22.22</v>
      </c>
      <c r="H435" s="78">
        <v>73.47</v>
      </c>
      <c r="I435" s="78">
        <v>15.93</v>
      </c>
      <c r="J435" s="78">
        <v>52.68</v>
      </c>
      <c r="K435" s="78">
        <v>9</v>
      </c>
      <c r="T435" s="78">
        <v>3</v>
      </c>
      <c r="U435" s="78">
        <v>2</v>
      </c>
      <c r="V435" s="78" t="s">
        <v>88</v>
      </c>
      <c r="W435" s="78" t="s">
        <v>880</v>
      </c>
      <c r="X435" s="78">
        <v>6</v>
      </c>
      <c r="Y435" s="78">
        <v>5</v>
      </c>
      <c r="Z435" s="78" t="s">
        <v>867</v>
      </c>
      <c r="AA435" s="78" t="s">
        <v>868</v>
      </c>
      <c r="AB435" s="78" t="s">
        <v>84</v>
      </c>
      <c r="AC435" s="78" t="s">
        <v>85</v>
      </c>
      <c r="AD435" s="78" t="s">
        <v>869</v>
      </c>
      <c r="AG435" s="78" t="s">
        <v>870</v>
      </c>
      <c r="AH435" s="78">
        <v>0</v>
      </c>
      <c r="AI435" s="78">
        <v>242</v>
      </c>
      <c r="AJ435" s="78">
        <v>55</v>
      </c>
      <c r="AK435" s="78">
        <v>46</v>
      </c>
      <c r="AL435" s="78">
        <v>0.72</v>
      </c>
    </row>
    <row r="436" spans="1:38" x14ac:dyDescent="0.3">
      <c r="A436" s="78" t="s">
        <v>865</v>
      </c>
      <c r="B436" s="78">
        <v>125052</v>
      </c>
      <c r="C436" s="78">
        <v>16</v>
      </c>
      <c r="D436" s="78" t="s">
        <v>866</v>
      </c>
      <c r="E436" s="78" t="s">
        <v>505</v>
      </c>
      <c r="F436" s="78">
        <v>64</v>
      </c>
      <c r="G436" s="78">
        <v>22.38</v>
      </c>
      <c r="H436" s="78">
        <v>74</v>
      </c>
      <c r="I436" s="78">
        <v>16.05</v>
      </c>
      <c r="J436" s="78">
        <v>53.06</v>
      </c>
      <c r="K436" s="78">
        <v>12</v>
      </c>
      <c r="T436" s="78">
        <v>3</v>
      </c>
      <c r="U436" s="78">
        <v>2</v>
      </c>
      <c r="V436" s="78" t="s">
        <v>88</v>
      </c>
      <c r="W436" s="78" t="s">
        <v>881</v>
      </c>
      <c r="X436" s="78">
        <v>6</v>
      </c>
      <c r="Y436" s="78">
        <v>5</v>
      </c>
      <c r="Z436" s="78" t="s">
        <v>867</v>
      </c>
      <c r="AA436" s="78" t="s">
        <v>868</v>
      </c>
      <c r="AB436" s="78" t="s">
        <v>84</v>
      </c>
      <c r="AC436" s="78" t="s">
        <v>85</v>
      </c>
      <c r="AD436" s="78" t="s">
        <v>869</v>
      </c>
      <c r="AG436" s="78" t="s">
        <v>870</v>
      </c>
      <c r="AH436" s="78">
        <v>0</v>
      </c>
      <c r="AI436" s="78">
        <v>242</v>
      </c>
      <c r="AJ436" s="78">
        <v>55</v>
      </c>
      <c r="AK436" s="78">
        <v>46</v>
      </c>
      <c r="AL436" s="78">
        <v>0.72</v>
      </c>
    </row>
    <row r="437" spans="1:38" x14ac:dyDescent="0.3">
      <c r="A437" s="78" t="s">
        <v>865</v>
      </c>
      <c r="B437" s="78">
        <v>125052</v>
      </c>
      <c r="C437" s="78">
        <v>17</v>
      </c>
      <c r="D437" s="78" t="s">
        <v>866</v>
      </c>
      <c r="E437" s="78" t="s">
        <v>505</v>
      </c>
      <c r="F437" s="78">
        <v>64</v>
      </c>
      <c r="G437" s="78">
        <v>22.54</v>
      </c>
      <c r="H437" s="78">
        <v>74.53</v>
      </c>
      <c r="I437" s="78">
        <v>16.16</v>
      </c>
      <c r="J437" s="78">
        <v>53.44</v>
      </c>
      <c r="K437" s="78">
        <v>3</v>
      </c>
      <c r="T437" s="78">
        <v>3</v>
      </c>
      <c r="U437" s="78">
        <v>2</v>
      </c>
      <c r="V437" s="78" t="s">
        <v>88</v>
      </c>
      <c r="W437" s="78" t="s">
        <v>129</v>
      </c>
      <c r="X437" s="78">
        <v>6</v>
      </c>
      <c r="Y437" s="78">
        <v>5</v>
      </c>
      <c r="Z437" s="78" t="s">
        <v>867</v>
      </c>
      <c r="AA437" s="78" t="s">
        <v>868</v>
      </c>
      <c r="AB437" s="78" t="s">
        <v>84</v>
      </c>
      <c r="AC437" s="78" t="s">
        <v>85</v>
      </c>
      <c r="AD437" s="78" t="s">
        <v>869</v>
      </c>
      <c r="AG437" s="78" t="s">
        <v>870</v>
      </c>
      <c r="AH437" s="78">
        <v>0</v>
      </c>
      <c r="AI437" s="78">
        <v>242</v>
      </c>
      <c r="AJ437" s="78">
        <v>55</v>
      </c>
      <c r="AK437" s="78">
        <v>46</v>
      </c>
      <c r="AL437" s="78">
        <v>0.72</v>
      </c>
    </row>
    <row r="438" spans="1:38" x14ac:dyDescent="0.3">
      <c r="A438" s="78" t="s">
        <v>865</v>
      </c>
      <c r="B438" s="78">
        <v>125052</v>
      </c>
      <c r="C438" s="78">
        <v>18</v>
      </c>
      <c r="D438" s="78" t="s">
        <v>866</v>
      </c>
      <c r="E438" s="78" t="s">
        <v>505</v>
      </c>
      <c r="F438" s="78">
        <v>64</v>
      </c>
      <c r="G438" s="78">
        <v>23.2</v>
      </c>
      <c r="H438" s="78">
        <v>76.7</v>
      </c>
      <c r="I438" s="78">
        <v>16.05</v>
      </c>
      <c r="J438" s="78">
        <v>53.06</v>
      </c>
      <c r="K438" s="78">
        <v>12</v>
      </c>
      <c r="T438" s="78">
        <v>3</v>
      </c>
      <c r="U438" s="78">
        <v>2</v>
      </c>
      <c r="V438" s="78" t="s">
        <v>88</v>
      </c>
      <c r="W438" s="78" t="s">
        <v>384</v>
      </c>
      <c r="X438" s="78">
        <v>6</v>
      </c>
      <c r="Y438" s="78">
        <v>5</v>
      </c>
      <c r="Z438" s="78" t="s">
        <v>867</v>
      </c>
      <c r="AA438" s="78" t="s">
        <v>868</v>
      </c>
      <c r="AB438" s="78" t="s">
        <v>84</v>
      </c>
      <c r="AC438" s="78" t="s">
        <v>85</v>
      </c>
      <c r="AD438" s="78" t="s">
        <v>869</v>
      </c>
      <c r="AG438" s="78" t="s">
        <v>870</v>
      </c>
      <c r="AH438" s="78">
        <v>0</v>
      </c>
      <c r="AI438" s="78">
        <v>242</v>
      </c>
      <c r="AJ438" s="78">
        <v>55</v>
      </c>
      <c r="AK438" s="78">
        <v>46</v>
      </c>
      <c r="AL438" s="78">
        <v>0.72</v>
      </c>
    </row>
    <row r="439" spans="1:38" x14ac:dyDescent="0.3">
      <c r="A439" s="78" t="s">
        <v>865</v>
      </c>
      <c r="B439" s="78">
        <v>125052</v>
      </c>
      <c r="C439" s="78">
        <v>19</v>
      </c>
      <c r="D439" s="78" t="s">
        <v>866</v>
      </c>
      <c r="E439" s="78" t="s">
        <v>505</v>
      </c>
      <c r="F439" s="78">
        <v>64</v>
      </c>
      <c r="G439" s="78">
        <v>28.42</v>
      </c>
      <c r="H439" s="78">
        <v>93.97</v>
      </c>
      <c r="I439" s="78">
        <v>20.38</v>
      </c>
      <c r="J439" s="78">
        <v>67.38</v>
      </c>
      <c r="K439" s="78">
        <v>1</v>
      </c>
      <c r="T439" s="78">
        <v>3</v>
      </c>
      <c r="U439" s="78">
        <v>2</v>
      </c>
      <c r="V439" s="78" t="s">
        <v>88</v>
      </c>
      <c r="W439" s="78">
        <v>93</v>
      </c>
      <c r="X439" s="78">
        <v>6</v>
      </c>
      <c r="Y439" s="78">
        <v>5</v>
      </c>
      <c r="Z439" s="78" t="s">
        <v>867</v>
      </c>
      <c r="AA439" s="78" t="s">
        <v>868</v>
      </c>
      <c r="AB439" s="78" t="s">
        <v>84</v>
      </c>
      <c r="AC439" s="78" t="s">
        <v>85</v>
      </c>
      <c r="AD439" s="78" t="s">
        <v>869</v>
      </c>
      <c r="AG439" s="78" t="s">
        <v>870</v>
      </c>
      <c r="AH439" s="78">
        <v>0</v>
      </c>
      <c r="AI439" s="78">
        <v>242</v>
      </c>
      <c r="AJ439" s="78">
        <v>55</v>
      </c>
      <c r="AK439" s="78">
        <v>46</v>
      </c>
      <c r="AL439" s="78">
        <v>0.72</v>
      </c>
    </row>
    <row r="440" spans="1:38" x14ac:dyDescent="0.3">
      <c r="A440" s="78" t="s">
        <v>865</v>
      </c>
      <c r="B440" s="78">
        <v>16994</v>
      </c>
      <c r="C440" s="78">
        <v>1</v>
      </c>
      <c r="D440" s="78" t="s">
        <v>882</v>
      </c>
      <c r="E440" s="78" t="s">
        <v>883</v>
      </c>
      <c r="F440" s="78">
        <v>226</v>
      </c>
      <c r="G440" s="78">
        <v>17.010000000000002</v>
      </c>
      <c r="H440" s="78">
        <v>56.26</v>
      </c>
      <c r="I440" s="78">
        <v>13.04</v>
      </c>
      <c r="J440" s="78">
        <v>43.14</v>
      </c>
      <c r="K440" s="78">
        <v>12</v>
      </c>
      <c r="T440" s="78">
        <v>2</v>
      </c>
      <c r="U440" s="78">
        <v>1</v>
      </c>
      <c r="V440" s="78" t="s">
        <v>88</v>
      </c>
      <c r="W440" s="78">
        <v>56</v>
      </c>
      <c r="X440" s="78">
        <v>6</v>
      </c>
      <c r="Y440" s="78">
        <v>5</v>
      </c>
      <c r="Z440" s="78" t="s">
        <v>884</v>
      </c>
      <c r="AA440" s="78" t="s">
        <v>885</v>
      </c>
      <c r="AB440" s="78" t="s">
        <v>84</v>
      </c>
      <c r="AC440" s="78" t="s">
        <v>85</v>
      </c>
      <c r="AD440" s="78" t="s">
        <v>869</v>
      </c>
      <c r="AG440" s="78" t="s">
        <v>886</v>
      </c>
      <c r="AH440" s="78">
        <v>0</v>
      </c>
      <c r="AI440" s="78">
        <v>0</v>
      </c>
      <c r="AJ440" s="78">
        <v>0</v>
      </c>
      <c r="AK440" s="78">
        <v>0</v>
      </c>
      <c r="AL440" s="78">
        <v>0</v>
      </c>
    </row>
    <row r="441" spans="1:38" x14ac:dyDescent="0.3">
      <c r="A441" s="78" t="s">
        <v>865</v>
      </c>
      <c r="B441" s="78">
        <v>16994</v>
      </c>
      <c r="C441" s="78">
        <v>2</v>
      </c>
      <c r="D441" s="78" t="s">
        <v>882</v>
      </c>
      <c r="E441" s="78" t="s">
        <v>883</v>
      </c>
      <c r="F441" s="78">
        <v>226</v>
      </c>
      <c r="G441" s="78">
        <v>19.59</v>
      </c>
      <c r="H441" s="78">
        <v>64.790000000000006</v>
      </c>
      <c r="I441" s="78">
        <v>14.81</v>
      </c>
      <c r="J441" s="78">
        <v>48.99</v>
      </c>
      <c r="K441" s="78">
        <v>20</v>
      </c>
      <c r="T441" s="78">
        <v>2</v>
      </c>
      <c r="U441" s="78">
        <v>1</v>
      </c>
      <c r="V441" s="78" t="s">
        <v>88</v>
      </c>
      <c r="W441" s="78">
        <v>64</v>
      </c>
      <c r="X441" s="78">
        <v>6</v>
      </c>
      <c r="Y441" s="78">
        <v>5</v>
      </c>
      <c r="Z441" s="78" t="s">
        <v>884</v>
      </c>
      <c r="AA441" s="78" t="s">
        <v>885</v>
      </c>
      <c r="AB441" s="78" t="s">
        <v>84</v>
      </c>
      <c r="AC441" s="78" t="s">
        <v>85</v>
      </c>
      <c r="AD441" s="78" t="s">
        <v>869</v>
      </c>
      <c r="AG441" s="78" t="s">
        <v>886</v>
      </c>
      <c r="AH441" s="78">
        <v>0</v>
      </c>
      <c r="AI441" s="78">
        <v>0</v>
      </c>
      <c r="AJ441" s="78">
        <v>0</v>
      </c>
      <c r="AK441" s="78">
        <v>0</v>
      </c>
      <c r="AL441" s="78">
        <v>0</v>
      </c>
    </row>
    <row r="442" spans="1:38" x14ac:dyDescent="0.3">
      <c r="A442" s="78" t="s">
        <v>865</v>
      </c>
      <c r="B442" s="78">
        <v>16994</v>
      </c>
      <c r="C442" s="78">
        <v>3</v>
      </c>
      <c r="D442" s="78" t="s">
        <v>882</v>
      </c>
      <c r="E442" s="78" t="s">
        <v>883</v>
      </c>
      <c r="F442" s="78">
        <v>226</v>
      </c>
      <c r="G442" s="78">
        <v>22.57</v>
      </c>
      <c r="H442" s="78">
        <v>74.64</v>
      </c>
      <c r="I442" s="78">
        <v>17.79</v>
      </c>
      <c r="J442" s="78">
        <v>58.83</v>
      </c>
      <c r="K442" s="78">
        <v>18</v>
      </c>
      <c r="T442" s="78">
        <v>3</v>
      </c>
      <c r="U442" s="78">
        <v>2</v>
      </c>
      <c r="V442" s="78" t="s">
        <v>88</v>
      </c>
      <c r="W442" s="78" t="s">
        <v>133</v>
      </c>
      <c r="X442" s="78">
        <v>6</v>
      </c>
      <c r="Y442" s="78">
        <v>5</v>
      </c>
      <c r="Z442" s="78" t="s">
        <v>884</v>
      </c>
      <c r="AA442" s="78" t="s">
        <v>885</v>
      </c>
      <c r="AB442" s="78" t="s">
        <v>84</v>
      </c>
      <c r="AC442" s="78" t="s">
        <v>85</v>
      </c>
      <c r="AD442" s="78" t="s">
        <v>869</v>
      </c>
      <c r="AG442" s="78" t="s">
        <v>886</v>
      </c>
      <c r="AH442" s="78">
        <v>0</v>
      </c>
      <c r="AI442" s="78">
        <v>0</v>
      </c>
      <c r="AJ442" s="78">
        <v>0</v>
      </c>
      <c r="AK442" s="78">
        <v>0</v>
      </c>
      <c r="AL442" s="78">
        <v>0</v>
      </c>
    </row>
    <row r="443" spans="1:38" x14ac:dyDescent="0.3">
      <c r="A443" s="78" t="s">
        <v>865</v>
      </c>
      <c r="B443" s="78">
        <v>16994</v>
      </c>
      <c r="C443" s="78">
        <v>4</v>
      </c>
      <c r="D443" s="78" t="s">
        <v>882</v>
      </c>
      <c r="E443" s="78" t="s">
        <v>883</v>
      </c>
      <c r="F443" s="78">
        <v>226</v>
      </c>
      <c r="G443" s="78">
        <v>23.25</v>
      </c>
      <c r="H443" s="78">
        <v>76.87</v>
      </c>
      <c r="I443" s="78">
        <v>18</v>
      </c>
      <c r="J443" s="78">
        <v>59.52</v>
      </c>
      <c r="K443" s="78">
        <v>56</v>
      </c>
      <c r="T443" s="78">
        <v>3</v>
      </c>
      <c r="U443" s="78">
        <v>2</v>
      </c>
      <c r="V443" s="78" t="s">
        <v>88</v>
      </c>
      <c r="W443" s="78" t="s">
        <v>887</v>
      </c>
      <c r="X443" s="78">
        <v>6</v>
      </c>
      <c r="Y443" s="78">
        <v>5</v>
      </c>
      <c r="Z443" s="78" t="s">
        <v>884</v>
      </c>
      <c r="AA443" s="78" t="s">
        <v>885</v>
      </c>
      <c r="AB443" s="78" t="s">
        <v>84</v>
      </c>
      <c r="AC443" s="78" t="s">
        <v>85</v>
      </c>
      <c r="AD443" s="78" t="s">
        <v>869</v>
      </c>
      <c r="AG443" s="78" t="s">
        <v>886</v>
      </c>
      <c r="AH443" s="78">
        <v>0</v>
      </c>
      <c r="AI443" s="78">
        <v>0</v>
      </c>
      <c r="AJ443" s="78">
        <v>0</v>
      </c>
      <c r="AK443" s="78">
        <v>0</v>
      </c>
      <c r="AL443" s="78">
        <v>0</v>
      </c>
    </row>
    <row r="444" spans="1:38" x14ac:dyDescent="0.3">
      <c r="A444" s="78" t="s">
        <v>865</v>
      </c>
      <c r="B444" s="78">
        <v>16994</v>
      </c>
      <c r="C444" s="78">
        <v>5</v>
      </c>
      <c r="D444" s="78" t="s">
        <v>882</v>
      </c>
      <c r="E444" s="78" t="s">
        <v>883</v>
      </c>
      <c r="F444" s="78">
        <v>226</v>
      </c>
      <c r="G444" s="78">
        <v>23.44</v>
      </c>
      <c r="H444" s="78">
        <v>77.52</v>
      </c>
      <c r="I444" s="78">
        <v>18.059999999999999</v>
      </c>
      <c r="J444" s="78">
        <v>59.73</v>
      </c>
      <c r="K444" s="78">
        <v>60</v>
      </c>
      <c r="T444" s="78">
        <v>3</v>
      </c>
      <c r="U444" s="78">
        <v>2</v>
      </c>
      <c r="V444" s="78" t="s">
        <v>88</v>
      </c>
      <c r="W444" s="78" t="s">
        <v>655</v>
      </c>
      <c r="X444" s="78">
        <v>6</v>
      </c>
      <c r="Y444" s="78">
        <v>5</v>
      </c>
      <c r="Z444" s="78" t="s">
        <v>884</v>
      </c>
      <c r="AA444" s="78" t="s">
        <v>885</v>
      </c>
      <c r="AB444" s="78" t="s">
        <v>84</v>
      </c>
      <c r="AC444" s="78" t="s">
        <v>85</v>
      </c>
      <c r="AD444" s="78" t="s">
        <v>869</v>
      </c>
      <c r="AG444" s="78" t="s">
        <v>886</v>
      </c>
      <c r="AH444" s="78">
        <v>0</v>
      </c>
      <c r="AI444" s="78">
        <v>0</v>
      </c>
      <c r="AJ444" s="78">
        <v>0</v>
      </c>
      <c r="AK444" s="78">
        <v>0</v>
      </c>
      <c r="AL444" s="78">
        <v>0</v>
      </c>
    </row>
    <row r="445" spans="1:38" x14ac:dyDescent="0.3">
      <c r="A445" s="78" t="s">
        <v>865</v>
      </c>
      <c r="B445" s="78">
        <v>16994</v>
      </c>
      <c r="C445" s="78">
        <v>6</v>
      </c>
      <c r="D445" s="78" t="s">
        <v>882</v>
      </c>
      <c r="E445" s="78" t="s">
        <v>883</v>
      </c>
      <c r="F445" s="78">
        <v>226</v>
      </c>
      <c r="G445" s="78">
        <v>23.43</v>
      </c>
      <c r="H445" s="78">
        <v>77.459999999999994</v>
      </c>
      <c r="I445" s="78">
        <v>18</v>
      </c>
      <c r="J445" s="78">
        <v>59.52</v>
      </c>
      <c r="K445" s="78">
        <v>20</v>
      </c>
      <c r="T445" s="78">
        <v>3</v>
      </c>
      <c r="U445" s="78">
        <v>2</v>
      </c>
      <c r="V445" s="78" t="s">
        <v>88</v>
      </c>
      <c r="W445" s="78" t="s">
        <v>888</v>
      </c>
      <c r="X445" s="78">
        <v>6</v>
      </c>
      <c r="Y445" s="78">
        <v>5</v>
      </c>
      <c r="Z445" s="78" t="s">
        <v>884</v>
      </c>
      <c r="AA445" s="78" t="s">
        <v>885</v>
      </c>
      <c r="AB445" s="78" t="s">
        <v>84</v>
      </c>
      <c r="AC445" s="78" t="s">
        <v>85</v>
      </c>
      <c r="AD445" s="78" t="s">
        <v>869</v>
      </c>
      <c r="AG445" s="78" t="s">
        <v>886</v>
      </c>
      <c r="AH445" s="78">
        <v>0</v>
      </c>
      <c r="AI445" s="78">
        <v>0</v>
      </c>
      <c r="AJ445" s="78">
        <v>0</v>
      </c>
      <c r="AK445" s="78">
        <v>0</v>
      </c>
      <c r="AL445" s="78">
        <v>0</v>
      </c>
    </row>
    <row r="446" spans="1:38" x14ac:dyDescent="0.3">
      <c r="A446" s="78" t="s">
        <v>865</v>
      </c>
      <c r="B446" s="78">
        <v>16994</v>
      </c>
      <c r="C446" s="78">
        <v>7</v>
      </c>
      <c r="D446" s="78" t="s">
        <v>882</v>
      </c>
      <c r="E446" s="78" t="s">
        <v>883</v>
      </c>
      <c r="F446" s="78">
        <v>226</v>
      </c>
      <c r="G446" s="78">
        <v>31.71</v>
      </c>
      <c r="H446" s="78">
        <v>104.85</v>
      </c>
      <c r="I446" s="78">
        <v>25.63</v>
      </c>
      <c r="J446" s="78">
        <v>84.75</v>
      </c>
      <c r="K446" s="78">
        <v>6</v>
      </c>
      <c r="T446" s="78">
        <v>3</v>
      </c>
      <c r="U446" s="78">
        <v>2</v>
      </c>
      <c r="V446" s="78" t="s">
        <v>88</v>
      </c>
      <c r="W446" s="78" t="s">
        <v>889</v>
      </c>
      <c r="X446" s="78">
        <v>6</v>
      </c>
      <c r="Y446" s="78">
        <v>5</v>
      </c>
      <c r="Z446" s="78" t="s">
        <v>884</v>
      </c>
      <c r="AA446" s="78" t="s">
        <v>885</v>
      </c>
      <c r="AB446" s="78" t="s">
        <v>84</v>
      </c>
      <c r="AC446" s="78" t="s">
        <v>85</v>
      </c>
      <c r="AD446" s="78" t="s">
        <v>869</v>
      </c>
      <c r="AG446" s="78" t="s">
        <v>886</v>
      </c>
      <c r="AH446" s="78">
        <v>0</v>
      </c>
      <c r="AI446" s="78">
        <v>0</v>
      </c>
      <c r="AJ446" s="78">
        <v>0</v>
      </c>
      <c r="AK446" s="78">
        <v>0</v>
      </c>
      <c r="AL446" s="78">
        <v>0</v>
      </c>
    </row>
    <row r="447" spans="1:38" x14ac:dyDescent="0.3">
      <c r="A447" s="78" t="s">
        <v>865</v>
      </c>
      <c r="B447" s="78">
        <v>16994</v>
      </c>
      <c r="C447" s="78">
        <v>8</v>
      </c>
      <c r="D447" s="78" t="s">
        <v>882</v>
      </c>
      <c r="E447" s="78" t="s">
        <v>883</v>
      </c>
      <c r="F447" s="78">
        <v>226</v>
      </c>
      <c r="G447" s="78">
        <v>31.87</v>
      </c>
      <c r="H447" s="78">
        <v>105.37</v>
      </c>
      <c r="I447" s="78">
        <v>25.57</v>
      </c>
      <c r="J447" s="78">
        <v>84.55</v>
      </c>
      <c r="K447" s="78">
        <v>24</v>
      </c>
      <c r="T447" s="78">
        <v>3</v>
      </c>
      <c r="U447" s="78">
        <v>2</v>
      </c>
      <c r="V447" s="78" t="s">
        <v>88</v>
      </c>
      <c r="W447" s="78" t="s">
        <v>890</v>
      </c>
      <c r="X447" s="78">
        <v>6</v>
      </c>
      <c r="Y447" s="78">
        <v>5</v>
      </c>
      <c r="Z447" s="78" t="s">
        <v>884</v>
      </c>
      <c r="AA447" s="78" t="s">
        <v>885</v>
      </c>
      <c r="AB447" s="78" t="s">
        <v>84</v>
      </c>
      <c r="AC447" s="78" t="s">
        <v>85</v>
      </c>
      <c r="AD447" s="78" t="s">
        <v>869</v>
      </c>
      <c r="AG447" s="78" t="s">
        <v>886</v>
      </c>
      <c r="AH447" s="78">
        <v>0</v>
      </c>
      <c r="AI447" s="78">
        <v>0</v>
      </c>
      <c r="AJ447" s="78">
        <v>0</v>
      </c>
      <c r="AK447" s="78">
        <v>0</v>
      </c>
      <c r="AL447" s="78">
        <v>0</v>
      </c>
    </row>
    <row r="448" spans="1:38" x14ac:dyDescent="0.3">
      <c r="A448" s="78" t="s">
        <v>865</v>
      </c>
      <c r="B448" s="78">
        <v>16994</v>
      </c>
      <c r="C448" s="78">
        <v>9</v>
      </c>
      <c r="D448" s="78" t="s">
        <v>882</v>
      </c>
      <c r="E448" s="78" t="s">
        <v>883</v>
      </c>
      <c r="F448" s="78">
        <v>226</v>
      </c>
      <c r="G448" s="78">
        <v>33.270000000000003</v>
      </c>
      <c r="H448" s="78">
        <v>109.99</v>
      </c>
      <c r="I448" s="78">
        <v>24.39</v>
      </c>
      <c r="J448" s="78">
        <v>80.63</v>
      </c>
      <c r="K448" s="78">
        <v>5</v>
      </c>
      <c r="T448" s="78">
        <v>3</v>
      </c>
      <c r="U448" s="78">
        <v>2</v>
      </c>
      <c r="V448" s="78" t="s">
        <v>81</v>
      </c>
      <c r="W448" s="78">
        <v>109</v>
      </c>
      <c r="X448" s="78">
        <v>6</v>
      </c>
      <c r="Y448" s="78">
        <v>5</v>
      </c>
      <c r="Z448" s="78" t="s">
        <v>884</v>
      </c>
      <c r="AA448" s="78" t="s">
        <v>885</v>
      </c>
      <c r="AB448" s="78" t="s">
        <v>84</v>
      </c>
      <c r="AC448" s="78" t="s">
        <v>85</v>
      </c>
      <c r="AD448" s="78" t="s">
        <v>869</v>
      </c>
      <c r="AG448" s="78" t="s">
        <v>886</v>
      </c>
      <c r="AH448" s="78">
        <v>0</v>
      </c>
      <c r="AI448" s="78">
        <v>0</v>
      </c>
      <c r="AJ448" s="78">
        <v>0</v>
      </c>
      <c r="AK448" s="78">
        <v>0</v>
      </c>
      <c r="AL448" s="78">
        <v>0</v>
      </c>
    </row>
    <row r="449" spans="1:38" x14ac:dyDescent="0.3">
      <c r="A449" s="78" t="s">
        <v>865</v>
      </c>
      <c r="B449" s="78">
        <v>16994</v>
      </c>
      <c r="C449" s="78">
        <v>10</v>
      </c>
      <c r="D449" s="78" t="s">
        <v>882</v>
      </c>
      <c r="E449" s="78" t="s">
        <v>883</v>
      </c>
      <c r="F449" s="78">
        <v>226</v>
      </c>
      <c r="G449" s="78">
        <v>33.51</v>
      </c>
      <c r="H449" s="78">
        <v>110.8</v>
      </c>
      <c r="I449" s="78">
        <v>24.58</v>
      </c>
      <c r="J449" s="78">
        <v>81.28</v>
      </c>
      <c r="K449" s="78">
        <v>5</v>
      </c>
      <c r="T449" s="78">
        <v>3</v>
      </c>
      <c r="U449" s="78">
        <v>2</v>
      </c>
      <c r="V449" s="78" t="s">
        <v>81</v>
      </c>
      <c r="W449" s="78">
        <v>110</v>
      </c>
      <c r="X449" s="78">
        <v>6</v>
      </c>
      <c r="Y449" s="78">
        <v>5</v>
      </c>
      <c r="Z449" s="78" t="s">
        <v>884</v>
      </c>
      <c r="AA449" s="78" t="s">
        <v>885</v>
      </c>
      <c r="AB449" s="78" t="s">
        <v>84</v>
      </c>
      <c r="AC449" s="78" t="s">
        <v>85</v>
      </c>
      <c r="AD449" s="78" t="s">
        <v>869</v>
      </c>
      <c r="AG449" s="78" t="s">
        <v>886</v>
      </c>
      <c r="AH449" s="78">
        <v>0</v>
      </c>
      <c r="AI449" s="78">
        <v>0</v>
      </c>
      <c r="AJ449" s="78">
        <v>0</v>
      </c>
      <c r="AK449" s="78">
        <v>0</v>
      </c>
      <c r="AL449" s="78">
        <v>0</v>
      </c>
    </row>
    <row r="450" spans="1:38" x14ac:dyDescent="0.3">
      <c r="A450" s="78" t="s">
        <v>891</v>
      </c>
      <c r="B450" s="78">
        <v>11526</v>
      </c>
      <c r="C450" s="78">
        <v>1</v>
      </c>
      <c r="D450" s="78" t="s">
        <v>892</v>
      </c>
      <c r="E450" s="78" t="s">
        <v>893</v>
      </c>
      <c r="F450" s="78">
        <v>675</v>
      </c>
      <c r="G450" s="78">
        <v>22.69</v>
      </c>
      <c r="H450" s="78">
        <v>75.010000000000005</v>
      </c>
      <c r="I450" s="78">
        <v>18.05</v>
      </c>
      <c r="J450" s="78">
        <v>59.68</v>
      </c>
      <c r="K450" s="78">
        <v>270</v>
      </c>
      <c r="T450" s="78">
        <v>3</v>
      </c>
      <c r="U450" s="78">
        <v>1</v>
      </c>
      <c r="V450" s="78" t="s">
        <v>88</v>
      </c>
      <c r="W450" s="78">
        <v>75</v>
      </c>
      <c r="X450" s="78">
        <v>15</v>
      </c>
      <c r="Y450" s="78">
        <v>15</v>
      </c>
      <c r="Z450" s="78" t="s">
        <v>894</v>
      </c>
      <c r="AA450" s="78" t="s">
        <v>895</v>
      </c>
      <c r="AB450" s="78" t="s">
        <v>84</v>
      </c>
      <c r="AC450" s="78" t="s">
        <v>85</v>
      </c>
      <c r="AD450" s="78" t="s">
        <v>896</v>
      </c>
      <c r="AG450" s="78" t="s">
        <v>897</v>
      </c>
      <c r="AH450" s="78">
        <v>0</v>
      </c>
      <c r="AI450" s="78">
        <v>173</v>
      </c>
      <c r="AJ450" s="78">
        <v>14</v>
      </c>
      <c r="AK450" s="78">
        <v>714</v>
      </c>
      <c r="AL450" s="78">
        <v>1.06</v>
      </c>
    </row>
    <row r="451" spans="1:38" x14ac:dyDescent="0.3">
      <c r="A451" s="78" t="s">
        <v>891</v>
      </c>
      <c r="B451" s="78">
        <v>11526</v>
      </c>
      <c r="C451" s="78">
        <v>2</v>
      </c>
      <c r="D451" s="78" t="s">
        <v>892</v>
      </c>
      <c r="E451" s="78" t="s">
        <v>893</v>
      </c>
      <c r="F451" s="78">
        <v>675</v>
      </c>
      <c r="G451" s="78">
        <v>32.29</v>
      </c>
      <c r="H451" s="78">
        <v>106.76</v>
      </c>
      <c r="I451" s="78">
        <v>25.69</v>
      </c>
      <c r="J451" s="78">
        <v>84.95</v>
      </c>
      <c r="K451" s="78">
        <v>405</v>
      </c>
      <c r="T451" s="78">
        <v>3</v>
      </c>
      <c r="U451" s="78">
        <v>2</v>
      </c>
      <c r="V451" s="78" t="s">
        <v>88</v>
      </c>
      <c r="W451" s="78">
        <v>106</v>
      </c>
      <c r="X451" s="78">
        <v>15</v>
      </c>
      <c r="Y451" s="78">
        <v>15</v>
      </c>
      <c r="Z451" s="78" t="s">
        <v>894</v>
      </c>
      <c r="AA451" s="78" t="s">
        <v>895</v>
      </c>
      <c r="AB451" s="78" t="s">
        <v>84</v>
      </c>
      <c r="AC451" s="78" t="s">
        <v>85</v>
      </c>
      <c r="AD451" s="78" t="s">
        <v>896</v>
      </c>
      <c r="AG451" s="78" t="s">
        <v>897</v>
      </c>
      <c r="AH451" s="78">
        <v>0</v>
      </c>
      <c r="AI451" s="78">
        <v>173</v>
      </c>
      <c r="AJ451" s="78">
        <v>14</v>
      </c>
      <c r="AK451" s="78">
        <v>714</v>
      </c>
      <c r="AL451" s="78">
        <v>1.06</v>
      </c>
    </row>
    <row r="452" spans="1:38" x14ac:dyDescent="0.3">
      <c r="A452" s="78" t="s">
        <v>891</v>
      </c>
      <c r="B452" s="78">
        <v>104844</v>
      </c>
      <c r="C452" s="78">
        <v>1</v>
      </c>
      <c r="D452" s="78" t="s">
        <v>898</v>
      </c>
      <c r="E452" s="78" t="s">
        <v>899</v>
      </c>
      <c r="F452" s="78">
        <v>118</v>
      </c>
      <c r="G452" s="78">
        <v>30.21</v>
      </c>
      <c r="H452" s="78">
        <v>99.9</v>
      </c>
      <c r="I452" s="78">
        <v>22.67</v>
      </c>
      <c r="J452" s="78">
        <v>74.97</v>
      </c>
      <c r="K452" s="78">
        <v>118</v>
      </c>
      <c r="T452" s="78">
        <v>3</v>
      </c>
      <c r="U452" s="78">
        <v>2</v>
      </c>
      <c r="V452" s="78" t="s">
        <v>88</v>
      </c>
      <c r="W452" s="78">
        <v>99</v>
      </c>
      <c r="X452" s="78">
        <v>15</v>
      </c>
      <c r="Y452" s="78">
        <v>10</v>
      </c>
      <c r="Z452" s="78" t="s">
        <v>900</v>
      </c>
      <c r="AA452" s="78" t="s">
        <v>901</v>
      </c>
      <c r="AB452" s="78" t="s">
        <v>84</v>
      </c>
      <c r="AC452" s="78" t="s">
        <v>85</v>
      </c>
      <c r="AD452" s="78" t="s">
        <v>896</v>
      </c>
      <c r="AG452" s="78" t="s">
        <v>902</v>
      </c>
      <c r="AH452" s="78">
        <v>0</v>
      </c>
      <c r="AI452" s="78">
        <v>271</v>
      </c>
      <c r="AJ452" s="78">
        <v>23</v>
      </c>
      <c r="AK452" s="78">
        <v>119</v>
      </c>
      <c r="AL452" s="78">
        <v>1.01</v>
      </c>
    </row>
    <row r="453" spans="1:38" x14ac:dyDescent="0.3">
      <c r="A453" s="78" t="s">
        <v>891</v>
      </c>
      <c r="B453" s="78">
        <v>101215</v>
      </c>
      <c r="C453" s="78">
        <v>1</v>
      </c>
      <c r="D453" s="78" t="s">
        <v>903</v>
      </c>
      <c r="E453" s="78" t="s">
        <v>904</v>
      </c>
      <c r="F453" s="78">
        <v>294</v>
      </c>
      <c r="G453" s="78">
        <v>34.36</v>
      </c>
      <c r="H453" s="78">
        <v>113.61</v>
      </c>
      <c r="I453" s="78">
        <v>25.63</v>
      </c>
      <c r="J453" s="78">
        <v>84.74</v>
      </c>
      <c r="K453" s="78">
        <v>294</v>
      </c>
      <c r="T453" s="78">
        <v>3</v>
      </c>
      <c r="U453" s="78">
        <v>2</v>
      </c>
      <c r="V453" s="78" t="s">
        <v>88</v>
      </c>
      <c r="W453" s="78">
        <v>113</v>
      </c>
      <c r="X453" s="78">
        <v>10</v>
      </c>
      <c r="Y453" s="78">
        <v>8</v>
      </c>
      <c r="Z453" s="78" t="s">
        <v>905</v>
      </c>
      <c r="AA453" s="78" t="s">
        <v>906</v>
      </c>
      <c r="AB453" s="78" t="s">
        <v>84</v>
      </c>
      <c r="AC453" s="78" t="s">
        <v>85</v>
      </c>
      <c r="AD453" s="78" t="s">
        <v>896</v>
      </c>
      <c r="AG453" s="78" t="s">
        <v>907</v>
      </c>
      <c r="AH453" s="78">
        <v>0</v>
      </c>
      <c r="AI453" s="78">
        <v>142</v>
      </c>
      <c r="AJ453" s="78">
        <v>21</v>
      </c>
      <c r="AK453" s="78">
        <v>299</v>
      </c>
      <c r="AL453" s="78">
        <v>1.02</v>
      </c>
    </row>
    <row r="454" spans="1:38" x14ac:dyDescent="0.3">
      <c r="A454" s="78" t="s">
        <v>891</v>
      </c>
      <c r="B454" s="78">
        <v>5054</v>
      </c>
      <c r="C454" s="78">
        <v>1</v>
      </c>
      <c r="D454" s="78" t="s">
        <v>908</v>
      </c>
      <c r="E454" s="78" t="s">
        <v>407</v>
      </c>
      <c r="F454" s="78">
        <v>350</v>
      </c>
      <c r="G454" s="78">
        <v>23.53</v>
      </c>
      <c r="H454" s="78">
        <v>77.790000000000006</v>
      </c>
      <c r="I454" s="78">
        <v>17.96</v>
      </c>
      <c r="J454" s="78">
        <v>59.4</v>
      </c>
      <c r="K454" s="78">
        <v>174</v>
      </c>
      <c r="T454" s="78">
        <v>3</v>
      </c>
      <c r="U454" s="78">
        <v>1</v>
      </c>
      <c r="V454" s="78" t="s">
        <v>81</v>
      </c>
      <c r="W454" s="78" t="s">
        <v>654</v>
      </c>
      <c r="X454" s="78">
        <v>15</v>
      </c>
      <c r="Y454" s="78">
        <v>10</v>
      </c>
      <c r="Z454" s="78" t="s">
        <v>909</v>
      </c>
      <c r="AA454" s="78" t="s">
        <v>910</v>
      </c>
      <c r="AB454" s="78" t="s">
        <v>84</v>
      </c>
      <c r="AC454" s="78" t="s">
        <v>85</v>
      </c>
      <c r="AD454" s="78" t="s">
        <v>896</v>
      </c>
      <c r="AG454" s="78" t="s">
        <v>911</v>
      </c>
      <c r="AH454" s="78">
        <v>0</v>
      </c>
      <c r="AI454" s="78">
        <v>247</v>
      </c>
      <c r="AJ454" s="78">
        <v>21</v>
      </c>
      <c r="AK454" s="78">
        <v>374</v>
      </c>
      <c r="AL454" s="78">
        <v>1.07</v>
      </c>
    </row>
    <row r="455" spans="1:38" x14ac:dyDescent="0.3">
      <c r="A455" s="78" t="s">
        <v>891</v>
      </c>
      <c r="B455" s="78">
        <v>5054</v>
      </c>
      <c r="C455" s="78">
        <v>2</v>
      </c>
      <c r="D455" s="78" t="s">
        <v>908</v>
      </c>
      <c r="E455" s="78" t="s">
        <v>407</v>
      </c>
      <c r="F455" s="78">
        <v>350</v>
      </c>
      <c r="G455" s="78">
        <v>23.99</v>
      </c>
      <c r="H455" s="78">
        <v>79.33</v>
      </c>
      <c r="I455" s="78">
        <v>17.96</v>
      </c>
      <c r="J455" s="78">
        <v>59.4</v>
      </c>
      <c r="K455" s="78">
        <v>60</v>
      </c>
      <c r="T455" s="78">
        <v>3</v>
      </c>
      <c r="U455" s="78">
        <v>1</v>
      </c>
      <c r="V455" s="78" t="s">
        <v>81</v>
      </c>
      <c r="W455" s="78" t="s">
        <v>912</v>
      </c>
      <c r="X455" s="78">
        <v>15</v>
      </c>
      <c r="Y455" s="78">
        <v>10</v>
      </c>
      <c r="Z455" s="78" t="s">
        <v>909</v>
      </c>
      <c r="AA455" s="78" t="s">
        <v>910</v>
      </c>
      <c r="AB455" s="78" t="s">
        <v>84</v>
      </c>
      <c r="AC455" s="78" t="s">
        <v>85</v>
      </c>
      <c r="AD455" s="78" t="s">
        <v>896</v>
      </c>
      <c r="AG455" s="78" t="s">
        <v>911</v>
      </c>
      <c r="AH455" s="78">
        <v>0</v>
      </c>
      <c r="AI455" s="78">
        <v>247</v>
      </c>
      <c r="AJ455" s="78">
        <v>21</v>
      </c>
      <c r="AK455" s="78">
        <v>374</v>
      </c>
      <c r="AL455" s="78">
        <v>1.07</v>
      </c>
    </row>
    <row r="456" spans="1:38" x14ac:dyDescent="0.3">
      <c r="A456" s="78" t="s">
        <v>891</v>
      </c>
      <c r="B456" s="78">
        <v>5054</v>
      </c>
      <c r="C456" s="78">
        <v>3</v>
      </c>
      <c r="D456" s="78" t="s">
        <v>908</v>
      </c>
      <c r="E456" s="78" t="s">
        <v>407</v>
      </c>
      <c r="F456" s="78">
        <v>350</v>
      </c>
      <c r="G456" s="78">
        <v>27.64</v>
      </c>
      <c r="H456" s="78">
        <v>91.39</v>
      </c>
      <c r="I456" s="78">
        <v>22.67</v>
      </c>
      <c r="J456" s="78">
        <v>74.95</v>
      </c>
      <c r="K456" s="78">
        <v>59</v>
      </c>
      <c r="T456" s="78">
        <v>3</v>
      </c>
      <c r="U456" s="78">
        <v>1</v>
      </c>
      <c r="V456" s="78" t="s">
        <v>88</v>
      </c>
      <c r="W456" s="78">
        <v>91</v>
      </c>
      <c r="X456" s="78">
        <v>15</v>
      </c>
      <c r="Y456" s="78">
        <v>10</v>
      </c>
      <c r="Z456" s="78" t="s">
        <v>909</v>
      </c>
      <c r="AA456" s="78" t="s">
        <v>910</v>
      </c>
      <c r="AB456" s="78" t="s">
        <v>84</v>
      </c>
      <c r="AC456" s="78" t="s">
        <v>85</v>
      </c>
      <c r="AD456" s="78" t="s">
        <v>896</v>
      </c>
      <c r="AG456" s="78" t="s">
        <v>911</v>
      </c>
      <c r="AH456" s="78">
        <v>0</v>
      </c>
      <c r="AI456" s="78">
        <v>247</v>
      </c>
      <c r="AJ456" s="78">
        <v>21</v>
      </c>
      <c r="AK456" s="78">
        <v>374</v>
      </c>
      <c r="AL456" s="78">
        <v>1.07</v>
      </c>
    </row>
    <row r="457" spans="1:38" x14ac:dyDescent="0.3">
      <c r="A457" s="78" t="s">
        <v>891</v>
      </c>
      <c r="B457" s="78">
        <v>5054</v>
      </c>
      <c r="C457" s="78">
        <v>4</v>
      </c>
      <c r="D457" s="78" t="s">
        <v>908</v>
      </c>
      <c r="E457" s="78" t="s">
        <v>407</v>
      </c>
      <c r="F457" s="78">
        <v>350</v>
      </c>
      <c r="G457" s="78">
        <v>30.64</v>
      </c>
      <c r="H457" s="78">
        <v>101.29</v>
      </c>
      <c r="I457" s="78">
        <v>22.67</v>
      </c>
      <c r="J457" s="78">
        <v>74.95</v>
      </c>
      <c r="K457" s="78">
        <v>1</v>
      </c>
      <c r="T457" s="78">
        <v>3</v>
      </c>
      <c r="U457" s="78">
        <v>2</v>
      </c>
      <c r="V457" s="78" t="s">
        <v>88</v>
      </c>
      <c r="W457" s="78" t="s">
        <v>468</v>
      </c>
      <c r="X457" s="78">
        <v>15</v>
      </c>
      <c r="Y457" s="78">
        <v>10</v>
      </c>
      <c r="Z457" s="78" t="s">
        <v>909</v>
      </c>
      <c r="AA457" s="78" t="s">
        <v>910</v>
      </c>
      <c r="AB457" s="78" t="s">
        <v>84</v>
      </c>
      <c r="AC457" s="78" t="s">
        <v>85</v>
      </c>
      <c r="AD457" s="78" t="s">
        <v>896</v>
      </c>
      <c r="AG457" s="78" t="s">
        <v>911</v>
      </c>
      <c r="AH457" s="78">
        <v>0</v>
      </c>
      <c r="AI457" s="78">
        <v>247</v>
      </c>
      <c r="AJ457" s="78">
        <v>21</v>
      </c>
      <c r="AK457" s="78">
        <v>374</v>
      </c>
      <c r="AL457" s="78">
        <v>1.07</v>
      </c>
    </row>
    <row r="458" spans="1:38" x14ac:dyDescent="0.3">
      <c r="A458" s="78" t="s">
        <v>891</v>
      </c>
      <c r="B458" s="78">
        <v>5054</v>
      </c>
      <c r="C458" s="78">
        <v>5</v>
      </c>
      <c r="D458" s="78" t="s">
        <v>908</v>
      </c>
      <c r="E458" s="78" t="s">
        <v>407</v>
      </c>
      <c r="F458" s="78">
        <v>350</v>
      </c>
      <c r="G458" s="78">
        <v>31.29</v>
      </c>
      <c r="H458" s="78">
        <v>103.46</v>
      </c>
      <c r="I458" s="78">
        <v>25.68</v>
      </c>
      <c r="J458" s="78">
        <v>84.9</v>
      </c>
      <c r="K458" s="78">
        <v>52</v>
      </c>
      <c r="T458" s="78">
        <v>3</v>
      </c>
      <c r="U458" s="78">
        <v>2</v>
      </c>
      <c r="V458" s="78" t="s">
        <v>88</v>
      </c>
      <c r="W458" s="78" t="s">
        <v>913</v>
      </c>
      <c r="X458" s="78">
        <v>15</v>
      </c>
      <c r="Y458" s="78">
        <v>10</v>
      </c>
      <c r="Z458" s="78" t="s">
        <v>909</v>
      </c>
      <c r="AA458" s="78" t="s">
        <v>910</v>
      </c>
      <c r="AB458" s="78" t="s">
        <v>84</v>
      </c>
      <c r="AC458" s="78" t="s">
        <v>85</v>
      </c>
      <c r="AD458" s="78" t="s">
        <v>896</v>
      </c>
      <c r="AG458" s="78" t="s">
        <v>911</v>
      </c>
      <c r="AH458" s="78">
        <v>0</v>
      </c>
      <c r="AI458" s="78">
        <v>247</v>
      </c>
      <c r="AJ458" s="78">
        <v>21</v>
      </c>
      <c r="AK458" s="78">
        <v>374</v>
      </c>
      <c r="AL458" s="78">
        <v>1.07</v>
      </c>
    </row>
    <row r="459" spans="1:38" x14ac:dyDescent="0.3">
      <c r="A459" s="78" t="s">
        <v>891</v>
      </c>
      <c r="B459" s="78">
        <v>5054</v>
      </c>
      <c r="C459" s="78">
        <v>6</v>
      </c>
      <c r="D459" s="78" t="s">
        <v>908</v>
      </c>
      <c r="E459" s="78" t="s">
        <v>407</v>
      </c>
      <c r="F459" s="78">
        <v>350</v>
      </c>
      <c r="G459" s="78">
        <v>34.840000000000003</v>
      </c>
      <c r="H459" s="78">
        <v>115.2</v>
      </c>
      <c r="I459" s="78">
        <v>25.68</v>
      </c>
      <c r="J459" s="78">
        <v>84.9</v>
      </c>
      <c r="K459" s="78">
        <v>4</v>
      </c>
      <c r="T459" s="78">
        <v>3</v>
      </c>
      <c r="U459" s="78">
        <v>2</v>
      </c>
      <c r="V459" s="78" t="s">
        <v>81</v>
      </c>
      <c r="W459" s="78">
        <v>115</v>
      </c>
      <c r="X459" s="78">
        <v>15</v>
      </c>
      <c r="Y459" s="78">
        <v>10</v>
      </c>
      <c r="Z459" s="78" t="s">
        <v>909</v>
      </c>
      <c r="AA459" s="78" t="s">
        <v>910</v>
      </c>
      <c r="AB459" s="78" t="s">
        <v>84</v>
      </c>
      <c r="AC459" s="78" t="s">
        <v>85</v>
      </c>
      <c r="AD459" s="78" t="s">
        <v>896</v>
      </c>
      <c r="AG459" s="78" t="s">
        <v>911</v>
      </c>
      <c r="AH459" s="78">
        <v>0</v>
      </c>
      <c r="AI459" s="78">
        <v>247</v>
      </c>
      <c r="AJ459" s="78">
        <v>21</v>
      </c>
      <c r="AK459" s="78">
        <v>374</v>
      </c>
      <c r="AL459" s="78">
        <v>1.07</v>
      </c>
    </row>
    <row r="460" spans="1:38" x14ac:dyDescent="0.3">
      <c r="A460" s="78" t="s">
        <v>891</v>
      </c>
      <c r="B460" s="78">
        <v>5050</v>
      </c>
      <c r="C460" s="78">
        <v>1</v>
      </c>
      <c r="D460" s="78" t="s">
        <v>914</v>
      </c>
      <c r="E460" s="78" t="s">
        <v>915</v>
      </c>
      <c r="F460" s="78">
        <v>702</v>
      </c>
      <c r="G460" s="78">
        <v>24.04</v>
      </c>
      <c r="H460" s="78">
        <v>79.489999999999995</v>
      </c>
      <c r="I460" s="78">
        <v>18.3</v>
      </c>
      <c r="J460" s="78">
        <v>60.52</v>
      </c>
      <c r="K460" s="78">
        <v>251</v>
      </c>
      <c r="T460" s="78">
        <v>3</v>
      </c>
      <c r="U460" s="78">
        <v>1</v>
      </c>
      <c r="V460" s="78" t="s">
        <v>88</v>
      </c>
      <c r="W460" s="78" t="s">
        <v>282</v>
      </c>
      <c r="X460" s="78">
        <v>15</v>
      </c>
      <c r="Y460" s="78">
        <v>12</v>
      </c>
      <c r="Z460" s="78" t="s">
        <v>916</v>
      </c>
      <c r="AA460" s="78" t="s">
        <v>917</v>
      </c>
      <c r="AB460" s="78" t="s">
        <v>84</v>
      </c>
      <c r="AC460" s="78" t="s">
        <v>85</v>
      </c>
      <c r="AD460" s="78" t="s">
        <v>896</v>
      </c>
      <c r="AG460" s="78" t="s">
        <v>918</v>
      </c>
      <c r="AH460" s="78">
        <v>0</v>
      </c>
      <c r="AI460" s="78">
        <v>0</v>
      </c>
      <c r="AJ460" s="78">
        <v>0</v>
      </c>
      <c r="AK460" s="78">
        <v>561</v>
      </c>
      <c r="AL460" s="78">
        <v>0.8</v>
      </c>
    </row>
    <row r="461" spans="1:38" x14ac:dyDescent="0.3">
      <c r="A461" s="78" t="s">
        <v>891</v>
      </c>
      <c r="B461" s="78">
        <v>5050</v>
      </c>
      <c r="C461" s="78">
        <v>2</v>
      </c>
      <c r="D461" s="78" t="s">
        <v>914</v>
      </c>
      <c r="E461" s="78" t="s">
        <v>915</v>
      </c>
      <c r="F461" s="78">
        <v>702</v>
      </c>
      <c r="G461" s="78">
        <v>23.96</v>
      </c>
      <c r="H461" s="78">
        <v>79.209999999999994</v>
      </c>
      <c r="I461" s="78">
        <v>18.36</v>
      </c>
      <c r="J461" s="78">
        <v>60.72</v>
      </c>
      <c r="K461" s="78">
        <v>1</v>
      </c>
      <c r="T461" s="78">
        <v>2</v>
      </c>
      <c r="U461" s="78">
        <v>1</v>
      </c>
      <c r="V461" s="78" t="s">
        <v>88</v>
      </c>
      <c r="W461" s="78" t="s">
        <v>912</v>
      </c>
      <c r="X461" s="78">
        <v>15</v>
      </c>
      <c r="Y461" s="78">
        <v>12</v>
      </c>
      <c r="Z461" s="78" t="s">
        <v>916</v>
      </c>
      <c r="AA461" s="78" t="s">
        <v>917</v>
      </c>
      <c r="AB461" s="78" t="s">
        <v>84</v>
      </c>
      <c r="AC461" s="78" t="s">
        <v>85</v>
      </c>
      <c r="AD461" s="78" t="s">
        <v>896</v>
      </c>
      <c r="AG461" s="78" t="s">
        <v>918</v>
      </c>
      <c r="AH461" s="78">
        <v>0</v>
      </c>
      <c r="AI461" s="78">
        <v>0</v>
      </c>
      <c r="AJ461" s="78">
        <v>0</v>
      </c>
      <c r="AK461" s="78">
        <v>561</v>
      </c>
      <c r="AL461" s="78">
        <v>0.8</v>
      </c>
    </row>
    <row r="462" spans="1:38" x14ac:dyDescent="0.3">
      <c r="A462" s="78" t="s">
        <v>891</v>
      </c>
      <c r="B462" s="78">
        <v>5050</v>
      </c>
      <c r="C462" s="78">
        <v>3</v>
      </c>
      <c r="D462" s="78" t="s">
        <v>914</v>
      </c>
      <c r="E462" s="78" t="s">
        <v>915</v>
      </c>
      <c r="F462" s="78">
        <v>702</v>
      </c>
      <c r="G462" s="78">
        <v>28.29</v>
      </c>
      <c r="H462" s="78">
        <v>93.55</v>
      </c>
      <c r="I462" s="78">
        <v>22.85</v>
      </c>
      <c r="J462" s="78">
        <v>75.56</v>
      </c>
      <c r="K462" s="78">
        <v>240</v>
      </c>
      <c r="T462" s="78">
        <v>3</v>
      </c>
      <c r="U462" s="78">
        <v>1</v>
      </c>
      <c r="V462" s="78" t="s">
        <v>88</v>
      </c>
      <c r="W462" s="78">
        <v>93</v>
      </c>
      <c r="X462" s="78">
        <v>15</v>
      </c>
      <c r="Y462" s="78">
        <v>12</v>
      </c>
      <c r="Z462" s="78" t="s">
        <v>916</v>
      </c>
      <c r="AA462" s="78" t="s">
        <v>917</v>
      </c>
      <c r="AB462" s="78" t="s">
        <v>84</v>
      </c>
      <c r="AC462" s="78" t="s">
        <v>85</v>
      </c>
      <c r="AD462" s="78" t="s">
        <v>896</v>
      </c>
      <c r="AG462" s="78" t="s">
        <v>918</v>
      </c>
      <c r="AH462" s="78">
        <v>0</v>
      </c>
      <c r="AI462" s="78">
        <v>0</v>
      </c>
      <c r="AJ462" s="78">
        <v>0</v>
      </c>
      <c r="AK462" s="78">
        <v>561</v>
      </c>
      <c r="AL462" s="78">
        <v>0.8</v>
      </c>
    </row>
    <row r="463" spans="1:38" x14ac:dyDescent="0.3">
      <c r="A463" s="78" t="s">
        <v>891</v>
      </c>
      <c r="B463" s="78">
        <v>5050</v>
      </c>
      <c r="C463" s="78">
        <v>4</v>
      </c>
      <c r="D463" s="78" t="s">
        <v>914</v>
      </c>
      <c r="E463" s="78" t="s">
        <v>915</v>
      </c>
      <c r="F463" s="78">
        <v>702</v>
      </c>
      <c r="G463" s="78">
        <v>31.42</v>
      </c>
      <c r="H463" s="78">
        <v>103.88</v>
      </c>
      <c r="I463" s="78">
        <v>25.67</v>
      </c>
      <c r="J463" s="78">
        <v>84.89</v>
      </c>
      <c r="K463" s="78">
        <v>210</v>
      </c>
      <c r="T463" s="78">
        <v>3</v>
      </c>
      <c r="U463" s="78">
        <v>2</v>
      </c>
      <c r="V463" s="78" t="s">
        <v>88</v>
      </c>
      <c r="W463" s="78">
        <v>103</v>
      </c>
      <c r="X463" s="78">
        <v>15</v>
      </c>
      <c r="Y463" s="78">
        <v>12</v>
      </c>
      <c r="Z463" s="78" t="s">
        <v>916</v>
      </c>
      <c r="AA463" s="78" t="s">
        <v>917</v>
      </c>
      <c r="AB463" s="78" t="s">
        <v>84</v>
      </c>
      <c r="AC463" s="78" t="s">
        <v>85</v>
      </c>
      <c r="AD463" s="78" t="s">
        <v>896</v>
      </c>
      <c r="AG463" s="78" t="s">
        <v>918</v>
      </c>
      <c r="AH463" s="78">
        <v>0</v>
      </c>
      <c r="AI463" s="78">
        <v>0</v>
      </c>
      <c r="AJ463" s="78">
        <v>0</v>
      </c>
      <c r="AK463" s="78">
        <v>561</v>
      </c>
      <c r="AL463" s="78">
        <v>0.8</v>
      </c>
    </row>
    <row r="464" spans="1:38" x14ac:dyDescent="0.3">
      <c r="A464" s="78" t="s">
        <v>891</v>
      </c>
      <c r="B464" s="78">
        <v>126362</v>
      </c>
      <c r="C464" s="78">
        <v>1</v>
      </c>
      <c r="D464" s="78" t="s">
        <v>148</v>
      </c>
      <c r="E464" s="78" t="s">
        <v>156</v>
      </c>
      <c r="F464" s="78">
        <v>30</v>
      </c>
      <c r="G464" s="78">
        <v>22.96</v>
      </c>
      <c r="H464" s="78">
        <v>75.92</v>
      </c>
      <c r="I464" s="78">
        <v>18.13</v>
      </c>
      <c r="J464" s="78">
        <v>59.94</v>
      </c>
      <c r="K464" s="78">
        <v>12</v>
      </c>
      <c r="T464" s="78">
        <v>3</v>
      </c>
      <c r="U464" s="78">
        <v>1</v>
      </c>
      <c r="V464" s="78" t="s">
        <v>88</v>
      </c>
      <c r="W464" s="78">
        <v>75</v>
      </c>
      <c r="X464" s="78">
        <v>6</v>
      </c>
      <c r="Y464" s="78">
        <v>6</v>
      </c>
      <c r="Z464" s="78" t="s">
        <v>919</v>
      </c>
      <c r="AA464" s="78" t="s">
        <v>920</v>
      </c>
      <c r="AB464" s="78" t="s">
        <v>84</v>
      </c>
      <c r="AC464" s="78" t="s">
        <v>85</v>
      </c>
      <c r="AD464" s="78" t="s">
        <v>896</v>
      </c>
      <c r="AG464" s="78" t="s">
        <v>921</v>
      </c>
      <c r="AH464" s="78">
        <v>0</v>
      </c>
      <c r="AI464" s="78">
        <v>175</v>
      </c>
      <c r="AJ464" s="78">
        <v>29</v>
      </c>
      <c r="AK464" s="78">
        <v>0</v>
      </c>
      <c r="AL464" s="78">
        <v>0</v>
      </c>
    </row>
    <row r="465" spans="1:38" x14ac:dyDescent="0.3">
      <c r="A465" s="78" t="s">
        <v>891</v>
      </c>
      <c r="B465" s="78">
        <v>126362</v>
      </c>
      <c r="C465" s="78">
        <v>2</v>
      </c>
      <c r="D465" s="78" t="s">
        <v>148</v>
      </c>
      <c r="E465" s="78" t="s">
        <v>156</v>
      </c>
      <c r="F465" s="78">
        <v>30</v>
      </c>
      <c r="G465" s="78">
        <v>25.93</v>
      </c>
      <c r="H465" s="78">
        <v>85.72</v>
      </c>
      <c r="I465" s="78">
        <v>20.69</v>
      </c>
      <c r="J465" s="78">
        <v>68.400000000000006</v>
      </c>
      <c r="K465" s="78">
        <v>6</v>
      </c>
      <c r="T465" s="78">
        <v>3</v>
      </c>
      <c r="U465" s="78">
        <v>2</v>
      </c>
      <c r="V465" s="78" t="s">
        <v>88</v>
      </c>
      <c r="W465" s="78">
        <v>85</v>
      </c>
      <c r="X465" s="78">
        <v>6</v>
      </c>
      <c r="Y465" s="78">
        <v>6</v>
      </c>
      <c r="Z465" s="78" t="s">
        <v>919</v>
      </c>
      <c r="AA465" s="78" t="s">
        <v>920</v>
      </c>
      <c r="AB465" s="78" t="s">
        <v>84</v>
      </c>
      <c r="AC465" s="78" t="s">
        <v>85</v>
      </c>
      <c r="AD465" s="78" t="s">
        <v>896</v>
      </c>
      <c r="AG465" s="78" t="s">
        <v>921</v>
      </c>
      <c r="AH465" s="78">
        <v>0</v>
      </c>
      <c r="AI465" s="78">
        <v>175</v>
      </c>
      <c r="AJ465" s="78">
        <v>29</v>
      </c>
      <c r="AK465" s="78">
        <v>0</v>
      </c>
      <c r="AL465" s="78">
        <v>0</v>
      </c>
    </row>
    <row r="466" spans="1:38" x14ac:dyDescent="0.3">
      <c r="A466" s="78" t="s">
        <v>891</v>
      </c>
      <c r="B466" s="78">
        <v>126362</v>
      </c>
      <c r="C466" s="78">
        <v>3</v>
      </c>
      <c r="D466" s="78" t="s">
        <v>148</v>
      </c>
      <c r="E466" s="78" t="s">
        <v>156</v>
      </c>
      <c r="F466" s="78">
        <v>30</v>
      </c>
      <c r="G466" s="78">
        <v>30.36</v>
      </c>
      <c r="H466" s="78">
        <v>100.39</v>
      </c>
      <c r="I466" s="78">
        <v>24.52</v>
      </c>
      <c r="J466" s="78">
        <v>81.06</v>
      </c>
      <c r="K466" s="78">
        <v>6</v>
      </c>
      <c r="T466" s="78">
        <v>3</v>
      </c>
      <c r="U466" s="78">
        <v>2</v>
      </c>
      <c r="V466" s="78" t="s">
        <v>88</v>
      </c>
      <c r="W466" s="78">
        <v>100</v>
      </c>
      <c r="X466" s="78">
        <v>6</v>
      </c>
      <c r="Y466" s="78">
        <v>6</v>
      </c>
      <c r="Z466" s="78" t="s">
        <v>919</v>
      </c>
      <c r="AA466" s="78" t="s">
        <v>920</v>
      </c>
      <c r="AB466" s="78" t="s">
        <v>84</v>
      </c>
      <c r="AC466" s="78" t="s">
        <v>85</v>
      </c>
      <c r="AD466" s="78" t="s">
        <v>896</v>
      </c>
      <c r="AG466" s="78" t="s">
        <v>921</v>
      </c>
      <c r="AH466" s="78">
        <v>0</v>
      </c>
      <c r="AI466" s="78">
        <v>175</v>
      </c>
      <c r="AJ466" s="78">
        <v>29</v>
      </c>
      <c r="AK466" s="78">
        <v>0</v>
      </c>
      <c r="AL466" s="78">
        <v>0</v>
      </c>
    </row>
    <row r="467" spans="1:38" x14ac:dyDescent="0.3">
      <c r="A467" s="78" t="s">
        <v>891</v>
      </c>
      <c r="B467" s="78">
        <v>126362</v>
      </c>
      <c r="C467" s="78">
        <v>4</v>
      </c>
      <c r="D467" s="78" t="s">
        <v>148</v>
      </c>
      <c r="E467" s="78" t="s">
        <v>156</v>
      </c>
      <c r="F467" s="78">
        <v>30</v>
      </c>
      <c r="G467" s="78">
        <v>31.25</v>
      </c>
      <c r="H467" s="78">
        <v>103.31</v>
      </c>
      <c r="I467" s="78">
        <v>23.1</v>
      </c>
      <c r="J467" s="78">
        <v>76.38</v>
      </c>
      <c r="K467" s="78">
        <v>6</v>
      </c>
      <c r="T467" s="78">
        <v>3</v>
      </c>
      <c r="U467" s="78">
        <v>2</v>
      </c>
      <c r="V467" s="78" t="s">
        <v>88</v>
      </c>
      <c r="W467" s="78">
        <v>103</v>
      </c>
      <c r="X467" s="78">
        <v>6</v>
      </c>
      <c r="Y467" s="78">
        <v>6</v>
      </c>
      <c r="Z467" s="78" t="s">
        <v>919</v>
      </c>
      <c r="AA467" s="78" t="s">
        <v>920</v>
      </c>
      <c r="AB467" s="78" t="s">
        <v>84</v>
      </c>
      <c r="AC467" s="78" t="s">
        <v>85</v>
      </c>
      <c r="AD467" s="78" t="s">
        <v>896</v>
      </c>
      <c r="AG467" s="78" t="s">
        <v>921</v>
      </c>
      <c r="AH467" s="78">
        <v>0</v>
      </c>
      <c r="AI467" s="78">
        <v>175</v>
      </c>
      <c r="AJ467" s="78">
        <v>29</v>
      </c>
      <c r="AK467" s="78">
        <v>0</v>
      </c>
      <c r="AL467" s="78">
        <v>0</v>
      </c>
    </row>
    <row r="468" spans="1:38" x14ac:dyDescent="0.3">
      <c r="A468" s="78" t="s">
        <v>891</v>
      </c>
      <c r="B468" s="78">
        <v>5052</v>
      </c>
      <c r="C468" s="78">
        <v>1</v>
      </c>
      <c r="D468" s="78" t="s">
        <v>89</v>
      </c>
      <c r="E468" s="78" t="s">
        <v>922</v>
      </c>
      <c r="F468" s="78">
        <v>141</v>
      </c>
      <c r="G468" s="78">
        <v>20.54</v>
      </c>
      <c r="H468" s="78">
        <v>67.92</v>
      </c>
      <c r="I468" s="78">
        <v>15.92</v>
      </c>
      <c r="J468" s="78">
        <v>52.65</v>
      </c>
      <c r="K468" s="78">
        <v>36</v>
      </c>
      <c r="T468" s="78">
        <v>3</v>
      </c>
      <c r="U468" s="78">
        <v>1</v>
      </c>
      <c r="V468" s="78" t="s">
        <v>88</v>
      </c>
      <c r="W468" s="78">
        <v>67</v>
      </c>
      <c r="X468" s="78">
        <v>10</v>
      </c>
      <c r="Y468" s="78">
        <v>5</v>
      </c>
      <c r="Z468" s="78" t="s">
        <v>923</v>
      </c>
      <c r="AA468" s="78" t="s">
        <v>924</v>
      </c>
      <c r="AB468" s="78" t="s">
        <v>84</v>
      </c>
      <c r="AC468" s="78" t="s">
        <v>85</v>
      </c>
      <c r="AD468" s="78" t="s">
        <v>896</v>
      </c>
      <c r="AG468" s="78" t="s">
        <v>925</v>
      </c>
      <c r="AH468" s="78">
        <v>0</v>
      </c>
      <c r="AI468" s="78">
        <v>0</v>
      </c>
      <c r="AJ468" s="78">
        <v>0</v>
      </c>
      <c r="AK468" s="78">
        <v>0</v>
      </c>
      <c r="AL468" s="78">
        <v>0</v>
      </c>
    </row>
    <row r="469" spans="1:38" x14ac:dyDescent="0.3">
      <c r="A469" s="78" t="s">
        <v>891</v>
      </c>
      <c r="B469" s="78">
        <v>5052</v>
      </c>
      <c r="C469" s="78">
        <v>2</v>
      </c>
      <c r="D469" s="78" t="s">
        <v>89</v>
      </c>
      <c r="E469" s="78" t="s">
        <v>922</v>
      </c>
      <c r="F469" s="78">
        <v>141</v>
      </c>
      <c r="G469" s="78">
        <v>23.15</v>
      </c>
      <c r="H469" s="78">
        <v>76.53</v>
      </c>
      <c r="I469" s="78">
        <v>18.09</v>
      </c>
      <c r="J469" s="78">
        <v>59.82</v>
      </c>
      <c r="K469" s="78">
        <v>47</v>
      </c>
      <c r="T469" s="78">
        <v>3</v>
      </c>
      <c r="U469" s="78">
        <v>1</v>
      </c>
      <c r="V469" s="78" t="s">
        <v>88</v>
      </c>
      <c r="W469" s="78">
        <v>76</v>
      </c>
      <c r="X469" s="78">
        <v>10</v>
      </c>
      <c r="Y469" s="78">
        <v>5</v>
      </c>
      <c r="Z469" s="78" t="s">
        <v>923</v>
      </c>
      <c r="AA469" s="78" t="s">
        <v>924</v>
      </c>
      <c r="AB469" s="78" t="s">
        <v>84</v>
      </c>
      <c r="AC469" s="78" t="s">
        <v>85</v>
      </c>
      <c r="AD469" s="78" t="s">
        <v>896</v>
      </c>
      <c r="AG469" s="78" t="s">
        <v>925</v>
      </c>
      <c r="AH469" s="78">
        <v>0</v>
      </c>
      <c r="AI469" s="78">
        <v>0</v>
      </c>
      <c r="AJ469" s="78">
        <v>0</v>
      </c>
      <c r="AK469" s="78">
        <v>0</v>
      </c>
      <c r="AL469" s="78">
        <v>0</v>
      </c>
    </row>
    <row r="470" spans="1:38" x14ac:dyDescent="0.3">
      <c r="A470" s="78" t="s">
        <v>891</v>
      </c>
      <c r="B470" s="78">
        <v>5052</v>
      </c>
      <c r="C470" s="78">
        <v>3</v>
      </c>
      <c r="D470" s="78" t="s">
        <v>89</v>
      </c>
      <c r="E470" s="78" t="s">
        <v>922</v>
      </c>
      <c r="F470" s="78">
        <v>141</v>
      </c>
      <c r="G470" s="78">
        <v>28.84</v>
      </c>
      <c r="H470" s="78">
        <v>95.35</v>
      </c>
      <c r="I470" s="78">
        <v>22.96</v>
      </c>
      <c r="J470" s="78">
        <v>75.930000000000007</v>
      </c>
      <c r="K470" s="78">
        <v>6</v>
      </c>
      <c r="T470" s="78">
        <v>3</v>
      </c>
      <c r="U470" s="78">
        <v>1</v>
      </c>
      <c r="V470" s="78" t="s">
        <v>88</v>
      </c>
      <c r="W470" s="78">
        <v>95</v>
      </c>
      <c r="X470" s="78">
        <v>10</v>
      </c>
      <c r="Y470" s="78">
        <v>5</v>
      </c>
      <c r="Z470" s="78" t="s">
        <v>923</v>
      </c>
      <c r="AA470" s="78" t="s">
        <v>924</v>
      </c>
      <c r="AB470" s="78" t="s">
        <v>84</v>
      </c>
      <c r="AC470" s="78" t="s">
        <v>85</v>
      </c>
      <c r="AD470" s="78" t="s">
        <v>896</v>
      </c>
      <c r="AG470" s="78" t="s">
        <v>925</v>
      </c>
      <c r="AH470" s="78">
        <v>0</v>
      </c>
      <c r="AI470" s="78">
        <v>0</v>
      </c>
      <c r="AJ470" s="78">
        <v>0</v>
      </c>
      <c r="AK470" s="78">
        <v>0</v>
      </c>
      <c r="AL470" s="78">
        <v>0</v>
      </c>
    </row>
    <row r="471" spans="1:38" x14ac:dyDescent="0.3">
      <c r="A471" s="78" t="s">
        <v>891</v>
      </c>
      <c r="B471" s="78">
        <v>5052</v>
      </c>
      <c r="C471" s="78">
        <v>4</v>
      </c>
      <c r="D471" s="78" t="s">
        <v>89</v>
      </c>
      <c r="E471" s="78" t="s">
        <v>922</v>
      </c>
      <c r="F471" s="78">
        <v>141</v>
      </c>
      <c r="G471" s="78">
        <v>30.86</v>
      </c>
      <c r="H471" s="78">
        <v>102.03</v>
      </c>
      <c r="I471" s="78">
        <v>24.96</v>
      </c>
      <c r="J471" s="78">
        <v>82.53</v>
      </c>
      <c r="K471" s="78">
        <v>44</v>
      </c>
      <c r="T471" s="78">
        <v>3</v>
      </c>
      <c r="U471" s="78">
        <v>2</v>
      </c>
      <c r="V471" s="78" t="s">
        <v>88</v>
      </c>
      <c r="W471" s="78">
        <v>102</v>
      </c>
      <c r="X471" s="78">
        <v>10</v>
      </c>
      <c r="Y471" s="78">
        <v>5</v>
      </c>
      <c r="Z471" s="78" t="s">
        <v>923</v>
      </c>
      <c r="AA471" s="78" t="s">
        <v>924</v>
      </c>
      <c r="AB471" s="78" t="s">
        <v>84</v>
      </c>
      <c r="AC471" s="78" t="s">
        <v>85</v>
      </c>
      <c r="AD471" s="78" t="s">
        <v>896</v>
      </c>
      <c r="AG471" s="78" t="s">
        <v>925</v>
      </c>
      <c r="AH471" s="78">
        <v>0</v>
      </c>
      <c r="AI471" s="78">
        <v>0</v>
      </c>
      <c r="AJ471" s="78">
        <v>0</v>
      </c>
      <c r="AK471" s="78">
        <v>0</v>
      </c>
      <c r="AL471" s="78">
        <v>0</v>
      </c>
    </row>
    <row r="472" spans="1:38" x14ac:dyDescent="0.3">
      <c r="A472" s="78" t="s">
        <v>891</v>
      </c>
      <c r="B472" s="78">
        <v>5052</v>
      </c>
      <c r="C472" s="78">
        <v>5</v>
      </c>
      <c r="D472" s="78" t="s">
        <v>89</v>
      </c>
      <c r="E472" s="78" t="s">
        <v>922</v>
      </c>
      <c r="F472" s="78">
        <v>141</v>
      </c>
      <c r="G472" s="78">
        <v>35.97</v>
      </c>
      <c r="H472" s="78">
        <v>118.92</v>
      </c>
      <c r="I472" s="78">
        <v>29.56</v>
      </c>
      <c r="J472" s="78">
        <v>97.75</v>
      </c>
      <c r="K472" s="78">
        <v>8</v>
      </c>
      <c r="T472" s="78">
        <v>4</v>
      </c>
      <c r="U472" s="78">
        <v>2</v>
      </c>
      <c r="V472" s="78" t="s">
        <v>88</v>
      </c>
      <c r="W472" s="78">
        <v>118</v>
      </c>
      <c r="X472" s="78">
        <v>10</v>
      </c>
      <c r="Y472" s="78">
        <v>5</v>
      </c>
      <c r="Z472" s="78" t="s">
        <v>923</v>
      </c>
      <c r="AA472" s="78" t="s">
        <v>924</v>
      </c>
      <c r="AB472" s="78" t="s">
        <v>84</v>
      </c>
      <c r="AC472" s="78" t="s">
        <v>85</v>
      </c>
      <c r="AD472" s="78" t="s">
        <v>896</v>
      </c>
      <c r="AG472" s="78" t="s">
        <v>925</v>
      </c>
      <c r="AH472" s="78">
        <v>0</v>
      </c>
      <c r="AI472" s="78">
        <v>0</v>
      </c>
      <c r="AJ472" s="78">
        <v>0</v>
      </c>
      <c r="AK472" s="78">
        <v>0</v>
      </c>
      <c r="AL472" s="78">
        <v>0</v>
      </c>
    </row>
    <row r="473" spans="1:38" x14ac:dyDescent="0.3">
      <c r="A473" s="78" t="s">
        <v>891</v>
      </c>
      <c r="B473" s="78">
        <v>5057</v>
      </c>
      <c r="C473" s="78">
        <v>1</v>
      </c>
      <c r="D473" s="78" t="s">
        <v>926</v>
      </c>
      <c r="E473" s="78" t="s">
        <v>927</v>
      </c>
      <c r="F473" s="78">
        <v>499</v>
      </c>
      <c r="G473" s="78">
        <v>17.399999999999999</v>
      </c>
      <c r="H473" s="78">
        <v>57.53</v>
      </c>
      <c r="I473" s="78">
        <v>13.22</v>
      </c>
      <c r="J473" s="78">
        <v>43.72</v>
      </c>
      <c r="K473" s="78">
        <v>123</v>
      </c>
      <c r="T473" s="78">
        <v>2</v>
      </c>
      <c r="U473" s="78">
        <v>1</v>
      </c>
      <c r="V473" s="78" t="s">
        <v>88</v>
      </c>
      <c r="W473" s="78">
        <v>57</v>
      </c>
      <c r="X473" s="78">
        <v>13</v>
      </c>
      <c r="Y473" s="78">
        <v>5</v>
      </c>
      <c r="Z473" s="78" t="s">
        <v>928</v>
      </c>
      <c r="AA473" s="78" t="s">
        <v>929</v>
      </c>
      <c r="AB473" s="78" t="s">
        <v>84</v>
      </c>
      <c r="AC473" s="78" t="s">
        <v>85</v>
      </c>
      <c r="AD473" s="78" t="s">
        <v>896</v>
      </c>
      <c r="AG473" s="78" t="s">
        <v>930</v>
      </c>
      <c r="AH473" s="78">
        <v>0</v>
      </c>
      <c r="AI473" s="78">
        <v>0</v>
      </c>
      <c r="AJ473" s="78">
        <v>0</v>
      </c>
      <c r="AK473" s="78">
        <v>0</v>
      </c>
      <c r="AL473" s="78">
        <v>0</v>
      </c>
    </row>
    <row r="474" spans="1:38" x14ac:dyDescent="0.3">
      <c r="A474" s="78" t="s">
        <v>891</v>
      </c>
      <c r="B474" s="78">
        <v>5057</v>
      </c>
      <c r="C474" s="78">
        <v>2</v>
      </c>
      <c r="D474" s="78" t="s">
        <v>926</v>
      </c>
      <c r="E474" s="78" t="s">
        <v>927</v>
      </c>
      <c r="F474" s="78">
        <v>499</v>
      </c>
      <c r="G474" s="78">
        <v>19.190000000000001</v>
      </c>
      <c r="H474" s="78">
        <v>63.44</v>
      </c>
      <c r="I474" s="78">
        <v>14.91</v>
      </c>
      <c r="J474" s="78">
        <v>49.3</v>
      </c>
      <c r="K474" s="78">
        <v>50</v>
      </c>
      <c r="T474" s="78">
        <v>2</v>
      </c>
      <c r="U474" s="78">
        <v>1</v>
      </c>
      <c r="V474" s="78" t="s">
        <v>88</v>
      </c>
      <c r="W474" s="78">
        <v>63</v>
      </c>
      <c r="X474" s="78">
        <v>13</v>
      </c>
      <c r="Y474" s="78">
        <v>5</v>
      </c>
      <c r="Z474" s="78" t="s">
        <v>928</v>
      </c>
      <c r="AA474" s="78" t="s">
        <v>929</v>
      </c>
      <c r="AB474" s="78" t="s">
        <v>84</v>
      </c>
      <c r="AC474" s="78" t="s">
        <v>85</v>
      </c>
      <c r="AD474" s="78" t="s">
        <v>896</v>
      </c>
      <c r="AG474" s="78" t="s">
        <v>930</v>
      </c>
      <c r="AH474" s="78">
        <v>0</v>
      </c>
      <c r="AI474" s="78">
        <v>0</v>
      </c>
      <c r="AJ474" s="78">
        <v>0</v>
      </c>
      <c r="AK474" s="78">
        <v>0</v>
      </c>
      <c r="AL474" s="78">
        <v>0</v>
      </c>
    </row>
    <row r="475" spans="1:38" x14ac:dyDescent="0.3">
      <c r="A475" s="78" t="s">
        <v>891</v>
      </c>
      <c r="B475" s="78">
        <v>5057</v>
      </c>
      <c r="C475" s="78">
        <v>3</v>
      </c>
      <c r="D475" s="78" t="s">
        <v>926</v>
      </c>
      <c r="E475" s="78" t="s">
        <v>927</v>
      </c>
      <c r="F475" s="78">
        <v>499</v>
      </c>
      <c r="G475" s="78">
        <v>21.22</v>
      </c>
      <c r="H475" s="78">
        <v>70.17</v>
      </c>
      <c r="I475" s="78">
        <v>17.89</v>
      </c>
      <c r="J475" s="78">
        <v>59.16</v>
      </c>
      <c r="K475" s="78">
        <v>25</v>
      </c>
      <c r="T475" s="78">
        <v>2</v>
      </c>
      <c r="U475" s="78">
        <v>1</v>
      </c>
      <c r="V475" s="78" t="s">
        <v>88</v>
      </c>
      <c r="W475" s="78">
        <v>70</v>
      </c>
      <c r="X475" s="78">
        <v>13</v>
      </c>
      <c r="Y475" s="78">
        <v>5</v>
      </c>
      <c r="Z475" s="78" t="s">
        <v>928</v>
      </c>
      <c r="AA475" s="78" t="s">
        <v>929</v>
      </c>
      <c r="AB475" s="78" t="s">
        <v>84</v>
      </c>
      <c r="AC475" s="78" t="s">
        <v>85</v>
      </c>
      <c r="AD475" s="78" t="s">
        <v>896</v>
      </c>
      <c r="AG475" s="78" t="s">
        <v>930</v>
      </c>
      <c r="AH475" s="78">
        <v>0</v>
      </c>
      <c r="AI475" s="78">
        <v>0</v>
      </c>
      <c r="AJ475" s="78">
        <v>0</v>
      </c>
      <c r="AK475" s="78">
        <v>0</v>
      </c>
      <c r="AL475" s="78">
        <v>0</v>
      </c>
    </row>
    <row r="476" spans="1:38" x14ac:dyDescent="0.3">
      <c r="A476" s="78" t="s">
        <v>891</v>
      </c>
      <c r="B476" s="78">
        <v>5057</v>
      </c>
      <c r="C476" s="78">
        <v>4</v>
      </c>
      <c r="D476" s="78" t="s">
        <v>926</v>
      </c>
      <c r="E476" s="78" t="s">
        <v>927</v>
      </c>
      <c r="F476" s="78">
        <v>499</v>
      </c>
      <c r="G476" s="78">
        <v>23.72</v>
      </c>
      <c r="H476" s="78">
        <v>78.42</v>
      </c>
      <c r="I476" s="78">
        <v>18.09</v>
      </c>
      <c r="J476" s="78">
        <v>59.82</v>
      </c>
      <c r="K476" s="78">
        <v>48</v>
      </c>
      <c r="T476" s="78">
        <v>3</v>
      </c>
      <c r="U476" s="78">
        <v>1</v>
      </c>
      <c r="V476" s="78" t="s">
        <v>81</v>
      </c>
      <c r="W476" s="78" t="s">
        <v>724</v>
      </c>
      <c r="X476" s="78">
        <v>13</v>
      </c>
      <c r="Y476" s="78">
        <v>5</v>
      </c>
      <c r="Z476" s="78" t="s">
        <v>928</v>
      </c>
      <c r="AA476" s="78" t="s">
        <v>929</v>
      </c>
      <c r="AB476" s="78" t="s">
        <v>84</v>
      </c>
      <c r="AC476" s="78" t="s">
        <v>85</v>
      </c>
      <c r="AD476" s="78" t="s">
        <v>896</v>
      </c>
      <c r="AG476" s="78" t="s">
        <v>930</v>
      </c>
      <c r="AH476" s="78">
        <v>0</v>
      </c>
      <c r="AI476" s="78">
        <v>0</v>
      </c>
      <c r="AJ476" s="78">
        <v>0</v>
      </c>
      <c r="AK476" s="78">
        <v>0</v>
      </c>
      <c r="AL476" s="78">
        <v>0</v>
      </c>
    </row>
    <row r="477" spans="1:38" x14ac:dyDescent="0.3">
      <c r="A477" s="78" t="s">
        <v>891</v>
      </c>
      <c r="B477" s="78">
        <v>5057</v>
      </c>
      <c r="C477" s="78">
        <v>5</v>
      </c>
      <c r="D477" s="78" t="s">
        <v>926</v>
      </c>
      <c r="E477" s="78" t="s">
        <v>927</v>
      </c>
      <c r="F477" s="78">
        <v>499</v>
      </c>
      <c r="G477" s="78">
        <v>24.42</v>
      </c>
      <c r="H477" s="78">
        <v>80.739999999999995</v>
      </c>
      <c r="I477" s="78">
        <v>20.59</v>
      </c>
      <c r="J477" s="78">
        <v>68.069999999999993</v>
      </c>
      <c r="K477" s="78">
        <v>25</v>
      </c>
      <c r="T477" s="78">
        <v>3</v>
      </c>
      <c r="U477" s="78">
        <v>1</v>
      </c>
      <c r="V477" s="78" t="s">
        <v>88</v>
      </c>
      <c r="W477" s="78" t="s">
        <v>176</v>
      </c>
      <c r="X477" s="78">
        <v>13</v>
      </c>
      <c r="Y477" s="78">
        <v>5</v>
      </c>
      <c r="Z477" s="78" t="s">
        <v>928</v>
      </c>
      <c r="AA477" s="78" t="s">
        <v>929</v>
      </c>
      <c r="AB477" s="78" t="s">
        <v>84</v>
      </c>
      <c r="AC477" s="78" t="s">
        <v>85</v>
      </c>
      <c r="AD477" s="78" t="s">
        <v>896</v>
      </c>
      <c r="AG477" s="78" t="s">
        <v>930</v>
      </c>
      <c r="AH477" s="78">
        <v>0</v>
      </c>
      <c r="AI477" s="78">
        <v>0</v>
      </c>
      <c r="AJ477" s="78">
        <v>0</v>
      </c>
      <c r="AK477" s="78">
        <v>0</v>
      </c>
      <c r="AL477" s="78">
        <v>0</v>
      </c>
    </row>
    <row r="478" spans="1:38" x14ac:dyDescent="0.3">
      <c r="A478" s="78" t="s">
        <v>891</v>
      </c>
      <c r="B478" s="78">
        <v>5057</v>
      </c>
      <c r="C478" s="78">
        <v>6</v>
      </c>
      <c r="D478" s="78" t="s">
        <v>926</v>
      </c>
      <c r="E478" s="78" t="s">
        <v>927</v>
      </c>
      <c r="F478" s="78">
        <v>499</v>
      </c>
      <c r="G478" s="78">
        <v>26.71</v>
      </c>
      <c r="H478" s="78">
        <v>88.31</v>
      </c>
      <c r="I478" s="78">
        <v>21.77</v>
      </c>
      <c r="J478" s="78">
        <v>71.98</v>
      </c>
      <c r="K478" s="78">
        <v>128</v>
      </c>
      <c r="T478" s="78">
        <v>3</v>
      </c>
      <c r="U478" s="78">
        <v>2</v>
      </c>
      <c r="V478" s="78" t="s">
        <v>88</v>
      </c>
      <c r="W478" s="78">
        <v>88</v>
      </c>
      <c r="X478" s="78">
        <v>13</v>
      </c>
      <c r="Y478" s="78">
        <v>5</v>
      </c>
      <c r="Z478" s="78" t="s">
        <v>928</v>
      </c>
      <c r="AA478" s="78" t="s">
        <v>929</v>
      </c>
      <c r="AB478" s="78" t="s">
        <v>84</v>
      </c>
      <c r="AC478" s="78" t="s">
        <v>85</v>
      </c>
      <c r="AD478" s="78" t="s">
        <v>896</v>
      </c>
      <c r="AG478" s="78" t="s">
        <v>930</v>
      </c>
      <c r="AH478" s="78">
        <v>0</v>
      </c>
      <c r="AI478" s="78">
        <v>0</v>
      </c>
      <c r="AJ478" s="78">
        <v>0</v>
      </c>
      <c r="AK478" s="78">
        <v>0</v>
      </c>
      <c r="AL478" s="78">
        <v>0</v>
      </c>
    </row>
    <row r="479" spans="1:38" x14ac:dyDescent="0.3">
      <c r="A479" s="78" t="s">
        <v>891</v>
      </c>
      <c r="B479" s="78">
        <v>5057</v>
      </c>
      <c r="C479" s="78">
        <v>7</v>
      </c>
      <c r="D479" s="78" t="s">
        <v>926</v>
      </c>
      <c r="E479" s="78" t="s">
        <v>927</v>
      </c>
      <c r="F479" s="78">
        <v>499</v>
      </c>
      <c r="G479" s="78">
        <v>31.1</v>
      </c>
      <c r="H479" s="78">
        <v>102.82</v>
      </c>
      <c r="I479" s="78">
        <v>25.7</v>
      </c>
      <c r="J479" s="78">
        <v>84.98</v>
      </c>
      <c r="K479" s="78">
        <v>100</v>
      </c>
      <c r="T479" s="78">
        <v>3</v>
      </c>
      <c r="U479" s="78">
        <v>2</v>
      </c>
      <c r="V479" s="78" t="s">
        <v>88</v>
      </c>
      <c r="W479" s="78">
        <v>102</v>
      </c>
      <c r="X479" s="78">
        <v>13</v>
      </c>
      <c r="Y479" s="78">
        <v>5</v>
      </c>
      <c r="Z479" s="78" t="s">
        <v>928</v>
      </c>
      <c r="AA479" s="78" t="s">
        <v>929</v>
      </c>
      <c r="AB479" s="78" t="s">
        <v>84</v>
      </c>
      <c r="AC479" s="78" t="s">
        <v>85</v>
      </c>
      <c r="AD479" s="78" t="s">
        <v>896</v>
      </c>
      <c r="AG479" s="78" t="s">
        <v>930</v>
      </c>
      <c r="AH479" s="78">
        <v>0</v>
      </c>
      <c r="AI479" s="78">
        <v>0</v>
      </c>
      <c r="AJ479" s="78">
        <v>0</v>
      </c>
      <c r="AK479" s="78">
        <v>0</v>
      </c>
      <c r="AL479" s="78">
        <v>0</v>
      </c>
    </row>
    <row r="480" spans="1:38" x14ac:dyDescent="0.3">
      <c r="A480" s="78" t="s">
        <v>891</v>
      </c>
      <c r="B480" s="78">
        <v>27490</v>
      </c>
      <c r="C480" s="78">
        <v>1</v>
      </c>
      <c r="D480" s="78" t="s">
        <v>931</v>
      </c>
      <c r="E480" s="78" t="s">
        <v>423</v>
      </c>
      <c r="F480" s="78">
        <v>398</v>
      </c>
      <c r="G480" s="78">
        <v>12.49</v>
      </c>
      <c r="H480" s="78">
        <v>41.29</v>
      </c>
      <c r="I480" s="78">
        <v>9.61</v>
      </c>
      <c r="J480" s="78">
        <v>31.8</v>
      </c>
      <c r="K480" s="78">
        <v>390</v>
      </c>
      <c r="T480" s="78">
        <v>1</v>
      </c>
      <c r="U480" s="78">
        <v>1</v>
      </c>
      <c r="V480" s="78" t="s">
        <v>81</v>
      </c>
      <c r="W480" s="78">
        <v>41</v>
      </c>
      <c r="X480" s="78">
        <v>14</v>
      </c>
      <c r="Y480" s="78">
        <v>8</v>
      </c>
      <c r="Z480" s="78" t="s">
        <v>932</v>
      </c>
      <c r="AA480" s="78" t="s">
        <v>933</v>
      </c>
      <c r="AB480" s="78" t="s">
        <v>84</v>
      </c>
      <c r="AC480" s="78" t="s">
        <v>85</v>
      </c>
      <c r="AD480" s="78" t="s">
        <v>896</v>
      </c>
      <c r="AG480" s="78" t="s">
        <v>934</v>
      </c>
      <c r="AH480" s="78">
        <v>0</v>
      </c>
      <c r="AI480" s="78">
        <v>312</v>
      </c>
      <c r="AJ480" s="78">
        <v>37</v>
      </c>
      <c r="AK480" s="78">
        <v>280</v>
      </c>
      <c r="AL480" s="78">
        <v>0.7</v>
      </c>
    </row>
    <row r="481" spans="1:38" x14ac:dyDescent="0.3">
      <c r="A481" s="78" t="s">
        <v>891</v>
      </c>
      <c r="B481" s="78">
        <v>27490</v>
      </c>
      <c r="C481" s="78">
        <v>2</v>
      </c>
      <c r="D481" s="78" t="s">
        <v>931</v>
      </c>
      <c r="E481" s="78" t="s">
        <v>423</v>
      </c>
      <c r="F481" s="78">
        <v>398</v>
      </c>
      <c r="G481" s="78">
        <v>16.28</v>
      </c>
      <c r="H481" s="78">
        <v>53.83</v>
      </c>
      <c r="I481" s="78">
        <v>12.54</v>
      </c>
      <c r="J481" s="78">
        <v>41.46</v>
      </c>
      <c r="K481" s="78">
        <v>8</v>
      </c>
      <c r="T481" s="78">
        <v>2</v>
      </c>
      <c r="U481" s="78">
        <v>1</v>
      </c>
      <c r="V481" s="78" t="s">
        <v>81</v>
      </c>
      <c r="W481" s="78">
        <v>53</v>
      </c>
      <c r="X481" s="78">
        <v>14</v>
      </c>
      <c r="Y481" s="78">
        <v>8</v>
      </c>
      <c r="Z481" s="78" t="s">
        <v>932</v>
      </c>
      <c r="AA481" s="78" t="s">
        <v>933</v>
      </c>
      <c r="AB481" s="78" t="s">
        <v>84</v>
      </c>
      <c r="AC481" s="78" t="s">
        <v>85</v>
      </c>
      <c r="AD481" s="78" t="s">
        <v>896</v>
      </c>
      <c r="AG481" s="78" t="s">
        <v>934</v>
      </c>
      <c r="AH481" s="78">
        <v>0</v>
      </c>
      <c r="AI481" s="78">
        <v>312</v>
      </c>
      <c r="AJ481" s="78">
        <v>37</v>
      </c>
      <c r="AK481" s="78">
        <v>280</v>
      </c>
      <c r="AL481" s="78">
        <v>0.7</v>
      </c>
    </row>
    <row r="482" spans="1:38" x14ac:dyDescent="0.3">
      <c r="A482" s="78" t="s">
        <v>891</v>
      </c>
      <c r="B482" s="78">
        <v>125416</v>
      </c>
      <c r="C482" s="78">
        <v>1</v>
      </c>
      <c r="D482" s="78" t="s">
        <v>718</v>
      </c>
      <c r="E482" s="78" t="s">
        <v>370</v>
      </c>
      <c r="F482" s="78">
        <v>60</v>
      </c>
      <c r="G482" s="78">
        <v>18.440000000000001</v>
      </c>
      <c r="H482" s="78">
        <v>60.98</v>
      </c>
      <c r="I482" s="78">
        <v>13.93</v>
      </c>
      <c r="J482" s="78">
        <v>46.05</v>
      </c>
      <c r="K482" s="78">
        <v>60</v>
      </c>
      <c r="T482" s="78">
        <v>3</v>
      </c>
      <c r="U482" s="78">
        <v>1</v>
      </c>
      <c r="V482" s="78" t="s">
        <v>88</v>
      </c>
      <c r="W482" s="78">
        <v>60</v>
      </c>
      <c r="X482" s="78">
        <v>5</v>
      </c>
      <c r="Y482" s="78">
        <v>5</v>
      </c>
      <c r="Z482" s="78" t="s">
        <v>935</v>
      </c>
      <c r="AA482" s="78" t="s">
        <v>936</v>
      </c>
      <c r="AB482" s="78" t="s">
        <v>84</v>
      </c>
      <c r="AC482" s="78" t="s">
        <v>85</v>
      </c>
      <c r="AD482" s="78" t="s">
        <v>896</v>
      </c>
      <c r="AG482" s="78" t="s">
        <v>937</v>
      </c>
      <c r="AH482" s="78">
        <v>0</v>
      </c>
      <c r="AI482" s="78">
        <v>161</v>
      </c>
      <c r="AJ482" s="78">
        <v>33</v>
      </c>
      <c r="AK482" s="78">
        <v>0</v>
      </c>
      <c r="AL482" s="78">
        <v>0</v>
      </c>
    </row>
    <row r="483" spans="1:38" x14ac:dyDescent="0.3">
      <c r="A483" s="78" t="s">
        <v>891</v>
      </c>
      <c r="B483" s="78">
        <v>122339</v>
      </c>
      <c r="C483" s="78">
        <v>1</v>
      </c>
      <c r="D483" s="78" t="s">
        <v>938</v>
      </c>
      <c r="E483" s="78" t="s">
        <v>883</v>
      </c>
      <c r="F483" s="78">
        <v>19</v>
      </c>
      <c r="G483" s="78">
        <v>21.26</v>
      </c>
      <c r="H483" s="78">
        <v>70.290000000000006</v>
      </c>
      <c r="I483" s="78">
        <v>17.59</v>
      </c>
      <c r="J483" s="78">
        <v>58.15</v>
      </c>
      <c r="K483" s="78">
        <v>19</v>
      </c>
      <c r="T483" s="78">
        <v>3</v>
      </c>
      <c r="U483" s="78">
        <v>1</v>
      </c>
      <c r="V483" s="78" t="s">
        <v>88</v>
      </c>
      <c r="W483" s="78">
        <v>70</v>
      </c>
      <c r="X483" s="78">
        <v>5</v>
      </c>
      <c r="Y483" s="78">
        <v>4</v>
      </c>
      <c r="Z483" s="78" t="s">
        <v>939</v>
      </c>
      <c r="AA483" s="78" t="s">
        <v>940</v>
      </c>
      <c r="AB483" s="78" t="s">
        <v>84</v>
      </c>
      <c r="AC483" s="78" t="s">
        <v>85</v>
      </c>
      <c r="AD483" s="78" t="s">
        <v>896</v>
      </c>
      <c r="AG483" s="78" t="s">
        <v>941</v>
      </c>
      <c r="AH483" s="78">
        <v>0</v>
      </c>
      <c r="AI483" s="78">
        <v>123</v>
      </c>
      <c r="AJ483" s="78">
        <v>25</v>
      </c>
      <c r="AK483" s="78">
        <v>0</v>
      </c>
      <c r="AL483" s="78">
        <v>0</v>
      </c>
    </row>
    <row r="484" spans="1:38" x14ac:dyDescent="0.3">
      <c r="A484" s="78" t="s">
        <v>891</v>
      </c>
      <c r="B484" s="78">
        <v>127515</v>
      </c>
      <c r="C484" s="78">
        <v>1</v>
      </c>
      <c r="D484" s="78" t="s">
        <v>942</v>
      </c>
      <c r="E484" s="78" t="s">
        <v>719</v>
      </c>
      <c r="F484" s="78">
        <v>96</v>
      </c>
      <c r="G484" s="78">
        <v>19.760000000000002</v>
      </c>
      <c r="H484" s="78">
        <v>65.349999999999994</v>
      </c>
      <c r="I484" s="78">
        <v>15.38</v>
      </c>
      <c r="J484" s="78">
        <v>50.85</v>
      </c>
      <c r="K484" s="78">
        <v>96</v>
      </c>
      <c r="T484" s="78">
        <v>3</v>
      </c>
      <c r="U484" s="78">
        <v>1</v>
      </c>
      <c r="V484" s="78" t="s">
        <v>88</v>
      </c>
      <c r="W484" s="78">
        <v>65</v>
      </c>
      <c r="X484" s="78">
        <v>6</v>
      </c>
      <c r="Y484" s="78">
        <v>6</v>
      </c>
      <c r="Z484" s="78" t="s">
        <v>943</v>
      </c>
      <c r="AA484" s="78" t="s">
        <v>944</v>
      </c>
      <c r="AB484" s="78" t="s">
        <v>84</v>
      </c>
      <c r="AC484" s="78" t="s">
        <v>85</v>
      </c>
      <c r="AD484" s="78" t="s">
        <v>896</v>
      </c>
      <c r="AG484" s="78" t="s">
        <v>945</v>
      </c>
      <c r="AH484" s="78">
        <v>0</v>
      </c>
      <c r="AI484" s="78">
        <v>153</v>
      </c>
      <c r="AJ484" s="78">
        <v>58</v>
      </c>
      <c r="AK484" s="78">
        <v>0</v>
      </c>
      <c r="AL484" s="78">
        <v>0</v>
      </c>
    </row>
    <row r="485" spans="1:38" x14ac:dyDescent="0.3">
      <c r="A485" s="78" t="s">
        <v>891</v>
      </c>
      <c r="B485" s="78">
        <v>105138</v>
      </c>
      <c r="C485" s="78">
        <v>1</v>
      </c>
      <c r="D485" s="78" t="s">
        <v>946</v>
      </c>
      <c r="E485" s="78" t="s">
        <v>686</v>
      </c>
      <c r="F485" s="78">
        <v>972</v>
      </c>
      <c r="G485" s="78">
        <v>23.48</v>
      </c>
      <c r="H485" s="78">
        <v>77.650000000000006</v>
      </c>
      <c r="I485" s="78">
        <v>18.010000000000002</v>
      </c>
      <c r="J485" s="78">
        <v>59.55</v>
      </c>
      <c r="K485" s="78">
        <v>144</v>
      </c>
      <c r="T485" s="78">
        <v>2</v>
      </c>
      <c r="U485" s="78">
        <v>1</v>
      </c>
      <c r="V485" s="78" t="s">
        <v>88</v>
      </c>
      <c r="W485" s="78" t="s">
        <v>654</v>
      </c>
      <c r="X485" s="78">
        <v>12</v>
      </c>
      <c r="Y485" s="78">
        <v>12</v>
      </c>
      <c r="Z485" s="78" t="s">
        <v>947</v>
      </c>
      <c r="AA485" s="78" t="s">
        <v>948</v>
      </c>
      <c r="AB485" s="78" t="s">
        <v>84</v>
      </c>
      <c r="AC485" s="78" t="s">
        <v>85</v>
      </c>
      <c r="AD485" s="78" t="s">
        <v>896</v>
      </c>
      <c r="AG485" s="78" t="s">
        <v>949</v>
      </c>
      <c r="AH485" s="78">
        <v>0</v>
      </c>
      <c r="AI485" s="78">
        <v>155</v>
      </c>
      <c r="AJ485" s="78">
        <v>16</v>
      </c>
      <c r="AK485" s="78">
        <v>985</v>
      </c>
      <c r="AL485" s="78">
        <v>1.01</v>
      </c>
    </row>
    <row r="486" spans="1:38" x14ac:dyDescent="0.3">
      <c r="A486" s="78" t="s">
        <v>891</v>
      </c>
      <c r="B486" s="78">
        <v>105138</v>
      </c>
      <c r="C486" s="78">
        <v>2</v>
      </c>
      <c r="D486" s="78" t="s">
        <v>946</v>
      </c>
      <c r="E486" s="78" t="s">
        <v>686</v>
      </c>
      <c r="F486" s="78">
        <v>972</v>
      </c>
      <c r="G486" s="78">
        <v>23.82</v>
      </c>
      <c r="H486" s="78">
        <v>78.760000000000005</v>
      </c>
      <c r="I486" s="78">
        <v>18.13</v>
      </c>
      <c r="J486" s="78">
        <v>59.95</v>
      </c>
      <c r="K486" s="78">
        <v>252</v>
      </c>
      <c r="T486" s="78">
        <v>2</v>
      </c>
      <c r="U486" s="78">
        <v>1</v>
      </c>
      <c r="V486" s="78" t="s">
        <v>88</v>
      </c>
      <c r="W486" s="78" t="s">
        <v>950</v>
      </c>
      <c r="X486" s="78">
        <v>12</v>
      </c>
      <c r="Y486" s="78">
        <v>12</v>
      </c>
      <c r="Z486" s="78" t="s">
        <v>947</v>
      </c>
      <c r="AA486" s="78" t="s">
        <v>948</v>
      </c>
      <c r="AB486" s="78" t="s">
        <v>84</v>
      </c>
      <c r="AC486" s="78" t="s">
        <v>85</v>
      </c>
      <c r="AD486" s="78" t="s">
        <v>896</v>
      </c>
      <c r="AG486" s="78" t="s">
        <v>949</v>
      </c>
      <c r="AH486" s="78">
        <v>0</v>
      </c>
      <c r="AI486" s="78">
        <v>155</v>
      </c>
      <c r="AJ486" s="78">
        <v>16</v>
      </c>
      <c r="AK486" s="78">
        <v>985</v>
      </c>
      <c r="AL486" s="78">
        <v>1.01</v>
      </c>
    </row>
    <row r="487" spans="1:38" x14ac:dyDescent="0.3">
      <c r="A487" s="78" t="s">
        <v>891</v>
      </c>
      <c r="B487" s="78">
        <v>105138</v>
      </c>
      <c r="C487" s="78">
        <v>3</v>
      </c>
      <c r="D487" s="78" t="s">
        <v>946</v>
      </c>
      <c r="E487" s="78" t="s">
        <v>686</v>
      </c>
      <c r="F487" s="78">
        <v>972</v>
      </c>
      <c r="G487" s="78">
        <v>32.14</v>
      </c>
      <c r="H487" s="78">
        <v>106.25</v>
      </c>
      <c r="I487" s="78">
        <v>25.56</v>
      </c>
      <c r="J487" s="78">
        <v>84.52</v>
      </c>
      <c r="K487" s="78">
        <v>576</v>
      </c>
      <c r="T487" s="78">
        <v>3</v>
      </c>
      <c r="U487" s="78">
        <v>2</v>
      </c>
      <c r="V487" s="78" t="s">
        <v>88</v>
      </c>
      <c r="W487" s="78">
        <v>106</v>
      </c>
      <c r="X487" s="78">
        <v>12</v>
      </c>
      <c r="Y487" s="78">
        <v>12</v>
      </c>
      <c r="Z487" s="78" t="s">
        <v>947</v>
      </c>
      <c r="AA487" s="78" t="s">
        <v>948</v>
      </c>
      <c r="AB487" s="78" t="s">
        <v>84</v>
      </c>
      <c r="AC487" s="78" t="s">
        <v>85</v>
      </c>
      <c r="AD487" s="78" t="s">
        <v>896</v>
      </c>
      <c r="AG487" s="78" t="s">
        <v>949</v>
      </c>
      <c r="AH487" s="78">
        <v>0</v>
      </c>
      <c r="AI487" s="78">
        <v>155</v>
      </c>
      <c r="AJ487" s="78">
        <v>16</v>
      </c>
      <c r="AK487" s="78">
        <v>985</v>
      </c>
      <c r="AL487" s="78">
        <v>1.01</v>
      </c>
    </row>
    <row r="488" spans="1:38" x14ac:dyDescent="0.3">
      <c r="A488" s="78" t="s">
        <v>891</v>
      </c>
      <c r="B488" s="78">
        <v>106428</v>
      </c>
      <c r="C488" s="78">
        <v>1</v>
      </c>
      <c r="D488" s="78" t="s">
        <v>951</v>
      </c>
      <c r="E488" s="78" t="s">
        <v>418</v>
      </c>
      <c r="F488" s="78">
        <v>112</v>
      </c>
      <c r="G488" s="78">
        <v>21.81</v>
      </c>
      <c r="H488" s="78">
        <v>72.12</v>
      </c>
      <c r="I488" s="78">
        <v>16.13</v>
      </c>
      <c r="J488" s="78">
        <v>53.33</v>
      </c>
      <c r="K488" s="78">
        <v>106</v>
      </c>
      <c r="T488" s="78">
        <v>3</v>
      </c>
      <c r="U488" s="78">
        <v>1</v>
      </c>
      <c r="V488" s="78" t="s">
        <v>81</v>
      </c>
      <c r="W488" s="78">
        <v>72</v>
      </c>
      <c r="X488" s="78">
        <v>10</v>
      </c>
      <c r="Y488" s="78">
        <v>6</v>
      </c>
      <c r="Z488" s="78" t="s">
        <v>952</v>
      </c>
      <c r="AA488" s="78" t="s">
        <v>953</v>
      </c>
      <c r="AB488" s="78" t="s">
        <v>84</v>
      </c>
      <c r="AC488" s="78" t="s">
        <v>85</v>
      </c>
      <c r="AD488" s="78" t="s">
        <v>896</v>
      </c>
      <c r="AG488" s="78" t="s">
        <v>954</v>
      </c>
      <c r="AH488" s="78">
        <v>0</v>
      </c>
      <c r="AI488" s="78">
        <v>101</v>
      </c>
      <c r="AJ488" s="78">
        <v>13</v>
      </c>
      <c r="AK488" s="78">
        <v>40</v>
      </c>
      <c r="AL488" s="78">
        <v>0.36</v>
      </c>
    </row>
    <row r="489" spans="1:38" x14ac:dyDescent="0.3">
      <c r="A489" s="78" t="s">
        <v>891</v>
      </c>
      <c r="B489" s="78">
        <v>106428</v>
      </c>
      <c r="C489" s="78">
        <v>2</v>
      </c>
      <c r="D489" s="78" t="s">
        <v>951</v>
      </c>
      <c r="E489" s="78" t="s">
        <v>418</v>
      </c>
      <c r="F489" s="78">
        <v>112</v>
      </c>
      <c r="G489" s="78">
        <v>23.72</v>
      </c>
      <c r="H489" s="78">
        <v>78.44</v>
      </c>
      <c r="I489" s="78">
        <v>17.350000000000001</v>
      </c>
      <c r="J489" s="78">
        <v>57.38</v>
      </c>
      <c r="K489" s="78">
        <v>6</v>
      </c>
      <c r="T489" s="78">
        <v>3</v>
      </c>
      <c r="U489" s="78">
        <v>1</v>
      </c>
      <c r="V489" s="78" t="s">
        <v>81</v>
      </c>
      <c r="W489" s="78">
        <v>78</v>
      </c>
      <c r="X489" s="78">
        <v>10</v>
      </c>
      <c r="Y489" s="78">
        <v>6</v>
      </c>
      <c r="Z489" s="78" t="s">
        <v>952</v>
      </c>
      <c r="AA489" s="78" t="s">
        <v>953</v>
      </c>
      <c r="AB489" s="78" t="s">
        <v>84</v>
      </c>
      <c r="AC489" s="78" t="s">
        <v>85</v>
      </c>
      <c r="AD489" s="78" t="s">
        <v>896</v>
      </c>
      <c r="AG489" s="78" t="s">
        <v>954</v>
      </c>
      <c r="AH489" s="78">
        <v>0</v>
      </c>
      <c r="AI489" s="78">
        <v>101</v>
      </c>
      <c r="AJ489" s="78">
        <v>13</v>
      </c>
      <c r="AK489" s="78">
        <v>40</v>
      </c>
      <c r="AL489" s="78">
        <v>0.36</v>
      </c>
    </row>
    <row r="490" spans="1:38" x14ac:dyDescent="0.3">
      <c r="A490" s="78" t="s">
        <v>891</v>
      </c>
      <c r="B490" s="78">
        <v>27544</v>
      </c>
      <c r="C490" s="78">
        <v>1</v>
      </c>
      <c r="D490" s="78" t="s">
        <v>955</v>
      </c>
      <c r="E490" s="78" t="s">
        <v>956</v>
      </c>
      <c r="F490" s="78">
        <v>720</v>
      </c>
      <c r="G490" s="78">
        <v>19.05</v>
      </c>
      <c r="H490" s="78">
        <v>62.98</v>
      </c>
      <c r="I490" s="78">
        <v>13.72</v>
      </c>
      <c r="J490" s="78">
        <v>45.36</v>
      </c>
      <c r="K490" s="78">
        <v>416</v>
      </c>
      <c r="T490" s="78">
        <v>2</v>
      </c>
      <c r="U490" s="78">
        <v>1</v>
      </c>
      <c r="V490" s="78" t="s">
        <v>81</v>
      </c>
      <c r="W490" s="78" t="s">
        <v>957</v>
      </c>
      <c r="X490" s="78">
        <v>19</v>
      </c>
      <c r="Y490" s="78">
        <v>18</v>
      </c>
      <c r="Z490" s="78" t="s">
        <v>958</v>
      </c>
      <c r="AA490" s="78" t="s">
        <v>959</v>
      </c>
      <c r="AB490" s="78" t="s">
        <v>84</v>
      </c>
      <c r="AC490" s="78" t="s">
        <v>85</v>
      </c>
      <c r="AD490" s="78" t="s">
        <v>896</v>
      </c>
      <c r="AG490" s="78" t="s">
        <v>960</v>
      </c>
      <c r="AH490" s="78">
        <v>0</v>
      </c>
      <c r="AI490" s="78">
        <v>281</v>
      </c>
      <c r="AJ490" s="78">
        <v>18</v>
      </c>
      <c r="AK490" s="78">
        <v>607</v>
      </c>
      <c r="AL490" s="78">
        <v>0.84</v>
      </c>
    </row>
    <row r="491" spans="1:38" x14ac:dyDescent="0.3">
      <c r="A491" s="78" t="s">
        <v>891</v>
      </c>
      <c r="B491" s="78">
        <v>27544</v>
      </c>
      <c r="C491" s="78">
        <v>2</v>
      </c>
      <c r="D491" s="78" t="s">
        <v>955</v>
      </c>
      <c r="E491" s="78" t="s">
        <v>956</v>
      </c>
      <c r="F491" s="78">
        <v>720</v>
      </c>
      <c r="G491" s="78">
        <v>19.22</v>
      </c>
      <c r="H491" s="78">
        <v>63.57</v>
      </c>
      <c r="I491" s="78">
        <v>14.05</v>
      </c>
      <c r="J491" s="78">
        <v>46.45</v>
      </c>
      <c r="K491" s="78">
        <v>304</v>
      </c>
      <c r="T491" s="78">
        <v>2</v>
      </c>
      <c r="U491" s="78">
        <v>1</v>
      </c>
      <c r="V491" s="78" t="s">
        <v>81</v>
      </c>
      <c r="W491" s="78" t="s">
        <v>564</v>
      </c>
      <c r="X491" s="78">
        <v>19</v>
      </c>
      <c r="Y491" s="78">
        <v>18</v>
      </c>
      <c r="Z491" s="78" t="s">
        <v>958</v>
      </c>
      <c r="AA491" s="78" t="s">
        <v>959</v>
      </c>
      <c r="AB491" s="78" t="s">
        <v>84</v>
      </c>
      <c r="AC491" s="78" t="s">
        <v>85</v>
      </c>
      <c r="AD491" s="78" t="s">
        <v>896</v>
      </c>
      <c r="AG491" s="78" t="s">
        <v>960</v>
      </c>
      <c r="AH491" s="78">
        <v>0</v>
      </c>
      <c r="AI491" s="78">
        <v>281</v>
      </c>
      <c r="AJ491" s="78">
        <v>18</v>
      </c>
      <c r="AK491" s="78">
        <v>607</v>
      </c>
      <c r="AL491" s="78">
        <v>0.84</v>
      </c>
    </row>
    <row r="492" spans="1:38" x14ac:dyDescent="0.3">
      <c r="A492" s="78" t="s">
        <v>891</v>
      </c>
      <c r="B492" s="78">
        <v>14975</v>
      </c>
      <c r="C492" s="78">
        <v>1</v>
      </c>
      <c r="D492" s="78" t="s">
        <v>961</v>
      </c>
      <c r="E492" s="78" t="s">
        <v>962</v>
      </c>
      <c r="F492" s="78">
        <v>204</v>
      </c>
      <c r="G492" s="78">
        <v>17.71</v>
      </c>
      <c r="H492" s="78">
        <v>58.57</v>
      </c>
      <c r="I492" s="78">
        <v>13.55</v>
      </c>
      <c r="J492" s="78">
        <v>44.81</v>
      </c>
      <c r="K492" s="78">
        <v>60</v>
      </c>
      <c r="T492" s="78">
        <v>2</v>
      </c>
      <c r="U492" s="78">
        <v>1</v>
      </c>
      <c r="V492" s="78" t="s">
        <v>88</v>
      </c>
      <c r="W492" s="78">
        <v>58</v>
      </c>
      <c r="X492" s="78">
        <v>6</v>
      </c>
      <c r="Y492" s="78">
        <v>6</v>
      </c>
      <c r="Z492" s="78" t="s">
        <v>963</v>
      </c>
      <c r="AA492" s="78" t="s">
        <v>964</v>
      </c>
      <c r="AB492" s="78" t="s">
        <v>84</v>
      </c>
      <c r="AC492" s="78" t="s">
        <v>85</v>
      </c>
      <c r="AD492" s="78" t="s">
        <v>896</v>
      </c>
      <c r="AG492" s="78" t="s">
        <v>965</v>
      </c>
      <c r="AH492" s="78">
        <v>0</v>
      </c>
      <c r="AI492" s="78">
        <v>0</v>
      </c>
      <c r="AJ492" s="78">
        <v>0</v>
      </c>
      <c r="AK492" s="78">
        <v>0</v>
      </c>
      <c r="AL492" s="78">
        <v>0</v>
      </c>
    </row>
    <row r="493" spans="1:38" x14ac:dyDescent="0.3">
      <c r="A493" s="78" t="s">
        <v>891</v>
      </c>
      <c r="B493" s="78">
        <v>14975</v>
      </c>
      <c r="C493" s="78">
        <v>2</v>
      </c>
      <c r="D493" s="78" t="s">
        <v>961</v>
      </c>
      <c r="E493" s="78" t="s">
        <v>962</v>
      </c>
      <c r="F493" s="78">
        <v>204</v>
      </c>
      <c r="G493" s="78">
        <v>20.94</v>
      </c>
      <c r="H493" s="78">
        <v>69.25</v>
      </c>
      <c r="I493" s="78">
        <v>16.29</v>
      </c>
      <c r="J493" s="78">
        <v>53.88</v>
      </c>
      <c r="K493" s="78">
        <v>132</v>
      </c>
      <c r="T493" s="78">
        <v>3</v>
      </c>
      <c r="U493" s="78">
        <v>1</v>
      </c>
      <c r="V493" s="78" t="s">
        <v>88</v>
      </c>
      <c r="W493" s="78">
        <v>69</v>
      </c>
      <c r="X493" s="78">
        <v>6</v>
      </c>
      <c r="Y493" s="78">
        <v>6</v>
      </c>
      <c r="Z493" s="78" t="s">
        <v>963</v>
      </c>
      <c r="AA493" s="78" t="s">
        <v>964</v>
      </c>
      <c r="AB493" s="78" t="s">
        <v>84</v>
      </c>
      <c r="AC493" s="78" t="s">
        <v>85</v>
      </c>
      <c r="AD493" s="78" t="s">
        <v>896</v>
      </c>
      <c r="AG493" s="78" t="s">
        <v>965</v>
      </c>
      <c r="AH493" s="78">
        <v>0</v>
      </c>
      <c r="AI493" s="78">
        <v>0</v>
      </c>
      <c r="AJ493" s="78">
        <v>0</v>
      </c>
      <c r="AK493" s="78">
        <v>0</v>
      </c>
      <c r="AL493" s="78">
        <v>0</v>
      </c>
    </row>
    <row r="494" spans="1:38" x14ac:dyDescent="0.3">
      <c r="A494" s="78" t="s">
        <v>891</v>
      </c>
      <c r="B494" s="78">
        <v>14975</v>
      </c>
      <c r="C494" s="78">
        <v>3</v>
      </c>
      <c r="D494" s="78" t="s">
        <v>961</v>
      </c>
      <c r="E494" s="78" t="s">
        <v>962</v>
      </c>
      <c r="F494" s="78">
        <v>204</v>
      </c>
      <c r="G494" s="78">
        <v>22.72</v>
      </c>
      <c r="H494" s="78">
        <v>75.11</v>
      </c>
      <c r="I494" s="78">
        <v>17.8</v>
      </c>
      <c r="J494" s="78">
        <v>58.85</v>
      </c>
      <c r="K494" s="78">
        <v>12</v>
      </c>
      <c r="T494" s="78">
        <v>3</v>
      </c>
      <c r="U494" s="78">
        <v>1</v>
      </c>
      <c r="V494" s="78" t="s">
        <v>88</v>
      </c>
      <c r="W494" s="78">
        <v>75</v>
      </c>
      <c r="X494" s="78">
        <v>6</v>
      </c>
      <c r="Y494" s="78">
        <v>6</v>
      </c>
      <c r="Z494" s="78" t="s">
        <v>963</v>
      </c>
      <c r="AA494" s="78" t="s">
        <v>964</v>
      </c>
      <c r="AB494" s="78" t="s">
        <v>84</v>
      </c>
      <c r="AC494" s="78" t="s">
        <v>85</v>
      </c>
      <c r="AD494" s="78" t="s">
        <v>896</v>
      </c>
      <c r="AG494" s="78" t="s">
        <v>965</v>
      </c>
      <c r="AH494" s="78">
        <v>0</v>
      </c>
      <c r="AI494" s="78">
        <v>0</v>
      </c>
      <c r="AJ494" s="78">
        <v>0</v>
      </c>
      <c r="AK494" s="78">
        <v>0</v>
      </c>
      <c r="AL494" s="78">
        <v>0</v>
      </c>
    </row>
    <row r="495" spans="1:38" x14ac:dyDescent="0.3">
      <c r="A495" s="78" t="s">
        <v>966</v>
      </c>
      <c r="B495" s="78">
        <v>132331</v>
      </c>
      <c r="C495" s="78">
        <v>1</v>
      </c>
      <c r="D495" s="78" t="s">
        <v>967</v>
      </c>
      <c r="E495" s="78" t="s">
        <v>968</v>
      </c>
      <c r="F495" s="78">
        <v>40</v>
      </c>
      <c r="G495" s="78">
        <v>21.51</v>
      </c>
      <c r="H495" s="78">
        <v>71.14</v>
      </c>
      <c r="I495" s="78">
        <v>16.45</v>
      </c>
      <c r="J495" s="78">
        <v>54.41</v>
      </c>
      <c r="K495" s="78">
        <v>16</v>
      </c>
      <c r="T495" s="78">
        <v>3</v>
      </c>
      <c r="U495" s="78">
        <v>1</v>
      </c>
      <c r="V495" s="78" t="s">
        <v>88</v>
      </c>
      <c r="W495" s="78">
        <v>71</v>
      </c>
      <c r="X495" s="78">
        <v>5</v>
      </c>
      <c r="Y495" s="78">
        <v>5</v>
      </c>
      <c r="Z495" s="78" t="s">
        <v>969</v>
      </c>
      <c r="AA495" s="78" t="s">
        <v>970</v>
      </c>
      <c r="AB495" s="78" t="s">
        <v>84</v>
      </c>
      <c r="AC495" s="78" t="s">
        <v>85</v>
      </c>
      <c r="AD495" s="78" t="s">
        <v>971</v>
      </c>
      <c r="AG495" s="78" t="s">
        <v>972</v>
      </c>
      <c r="AH495" s="78">
        <v>0</v>
      </c>
      <c r="AI495" s="78">
        <v>161</v>
      </c>
      <c r="AJ495" s="78">
        <v>44</v>
      </c>
      <c r="AK495" s="78">
        <v>43</v>
      </c>
      <c r="AL495" s="78">
        <v>1.07</v>
      </c>
    </row>
    <row r="496" spans="1:38" x14ac:dyDescent="0.3">
      <c r="A496" s="78" t="s">
        <v>966</v>
      </c>
      <c r="B496" s="78">
        <v>132331</v>
      </c>
      <c r="C496" s="78">
        <v>2</v>
      </c>
      <c r="D496" s="78" t="s">
        <v>967</v>
      </c>
      <c r="E496" s="78" t="s">
        <v>968</v>
      </c>
      <c r="F496" s="78">
        <v>40</v>
      </c>
      <c r="G496" s="78">
        <v>27.96</v>
      </c>
      <c r="H496" s="78">
        <v>92.45</v>
      </c>
      <c r="I496" s="78">
        <v>21.5</v>
      </c>
      <c r="J496" s="78">
        <v>71.08</v>
      </c>
      <c r="K496" s="78">
        <v>24</v>
      </c>
      <c r="T496" s="78">
        <v>3</v>
      </c>
      <c r="U496" s="78">
        <v>2</v>
      </c>
      <c r="V496" s="78" t="s">
        <v>88</v>
      </c>
      <c r="W496" s="78">
        <v>92</v>
      </c>
      <c r="X496" s="78">
        <v>5</v>
      </c>
      <c r="Y496" s="78">
        <v>5</v>
      </c>
      <c r="Z496" s="78" t="s">
        <v>969</v>
      </c>
      <c r="AA496" s="78" t="s">
        <v>970</v>
      </c>
      <c r="AB496" s="78" t="s">
        <v>84</v>
      </c>
      <c r="AC496" s="78" t="s">
        <v>85</v>
      </c>
      <c r="AD496" s="78" t="s">
        <v>971</v>
      </c>
      <c r="AG496" s="78" t="s">
        <v>972</v>
      </c>
      <c r="AH496" s="78">
        <v>0</v>
      </c>
      <c r="AI496" s="78">
        <v>161</v>
      </c>
      <c r="AJ496" s="78">
        <v>44</v>
      </c>
      <c r="AK496" s="78">
        <v>43</v>
      </c>
      <c r="AL496" s="78">
        <v>1.07</v>
      </c>
    </row>
    <row r="497" spans="1:38" x14ac:dyDescent="0.3">
      <c r="A497" s="78" t="s">
        <v>966</v>
      </c>
      <c r="B497" s="78">
        <v>100426</v>
      </c>
      <c r="C497" s="78">
        <v>1</v>
      </c>
      <c r="D497" s="78" t="s">
        <v>973</v>
      </c>
      <c r="E497" s="78" t="s">
        <v>974</v>
      </c>
      <c r="F497" s="78">
        <v>782</v>
      </c>
      <c r="G497" s="78">
        <v>34.28</v>
      </c>
      <c r="H497" s="78">
        <v>113.34</v>
      </c>
      <c r="I497" s="78">
        <v>25.7</v>
      </c>
      <c r="J497" s="78">
        <v>84.96</v>
      </c>
      <c r="K497" s="78">
        <v>480</v>
      </c>
      <c r="T497" s="78">
        <v>3</v>
      </c>
      <c r="U497" s="78">
        <v>2</v>
      </c>
      <c r="V497" s="78" t="s">
        <v>88</v>
      </c>
      <c r="W497" s="78">
        <v>113</v>
      </c>
      <c r="X497" s="78">
        <v>20</v>
      </c>
      <c r="Y497" s="78">
        <v>10</v>
      </c>
      <c r="Z497" s="78" t="s">
        <v>975</v>
      </c>
      <c r="AA497" s="78" t="s">
        <v>976</v>
      </c>
      <c r="AB497" s="78" t="s">
        <v>84</v>
      </c>
      <c r="AC497" s="78" t="s">
        <v>85</v>
      </c>
      <c r="AD497" s="78" t="s">
        <v>971</v>
      </c>
      <c r="AG497" s="78" t="s">
        <v>977</v>
      </c>
      <c r="AH497" s="78">
        <v>0</v>
      </c>
      <c r="AI497" s="78">
        <v>208</v>
      </c>
      <c r="AJ497" s="78">
        <v>15</v>
      </c>
      <c r="AK497" s="78">
        <v>977</v>
      </c>
      <c r="AL497" s="78">
        <v>1.25</v>
      </c>
    </row>
    <row r="498" spans="1:38" x14ac:dyDescent="0.3">
      <c r="A498" s="78" t="s">
        <v>966</v>
      </c>
      <c r="B498" s="78">
        <v>100426</v>
      </c>
      <c r="C498" s="78">
        <v>2</v>
      </c>
      <c r="D498" s="78" t="s">
        <v>973</v>
      </c>
      <c r="E498" s="78" t="s">
        <v>974</v>
      </c>
      <c r="F498" s="78">
        <v>782</v>
      </c>
      <c r="G498" s="78">
        <v>34.53</v>
      </c>
      <c r="H498" s="78">
        <v>114.17</v>
      </c>
      <c r="I498" s="78">
        <v>25.7</v>
      </c>
      <c r="J498" s="78">
        <v>84.97</v>
      </c>
      <c r="K498" s="78">
        <v>160</v>
      </c>
      <c r="T498" s="78">
        <v>3</v>
      </c>
      <c r="U498" s="78">
        <v>2</v>
      </c>
      <c r="V498" s="78" t="s">
        <v>88</v>
      </c>
      <c r="W498" s="78" t="s">
        <v>978</v>
      </c>
      <c r="X498" s="78">
        <v>20</v>
      </c>
      <c r="Y498" s="78">
        <v>10</v>
      </c>
      <c r="Z498" s="78" t="s">
        <v>975</v>
      </c>
      <c r="AA498" s="78" t="s">
        <v>976</v>
      </c>
      <c r="AB498" s="78" t="s">
        <v>84</v>
      </c>
      <c r="AC498" s="78" t="s">
        <v>85</v>
      </c>
      <c r="AD498" s="78" t="s">
        <v>971</v>
      </c>
      <c r="AG498" s="78" t="s">
        <v>977</v>
      </c>
      <c r="AH498" s="78">
        <v>0</v>
      </c>
      <c r="AI498" s="78">
        <v>208</v>
      </c>
      <c r="AJ498" s="78">
        <v>15</v>
      </c>
      <c r="AK498" s="78">
        <v>977</v>
      </c>
      <c r="AL498" s="78">
        <v>1.25</v>
      </c>
    </row>
    <row r="499" spans="1:38" x14ac:dyDescent="0.3">
      <c r="A499" s="78" t="s">
        <v>966</v>
      </c>
      <c r="B499" s="78">
        <v>100426</v>
      </c>
      <c r="C499" s="78">
        <v>3</v>
      </c>
      <c r="D499" s="78" t="s">
        <v>973</v>
      </c>
      <c r="E499" s="78" t="s">
        <v>974</v>
      </c>
      <c r="F499" s="78">
        <v>782</v>
      </c>
      <c r="G499" s="78">
        <v>34.83</v>
      </c>
      <c r="H499" s="78">
        <v>115.17</v>
      </c>
      <c r="I499" s="78">
        <v>25.7</v>
      </c>
      <c r="J499" s="78">
        <v>84.97</v>
      </c>
      <c r="K499" s="78">
        <v>142</v>
      </c>
      <c r="T499" s="78">
        <v>3</v>
      </c>
      <c r="U499" s="78">
        <v>2</v>
      </c>
      <c r="V499" s="78" t="s">
        <v>88</v>
      </c>
      <c r="W499" s="78" t="s">
        <v>544</v>
      </c>
      <c r="X499" s="78">
        <v>20</v>
      </c>
      <c r="Y499" s="78">
        <v>10</v>
      </c>
      <c r="Z499" s="78" t="s">
        <v>975</v>
      </c>
      <c r="AA499" s="78" t="s">
        <v>976</v>
      </c>
      <c r="AB499" s="78" t="s">
        <v>84</v>
      </c>
      <c r="AC499" s="78" t="s">
        <v>85</v>
      </c>
      <c r="AD499" s="78" t="s">
        <v>971</v>
      </c>
      <c r="AG499" s="78" t="s">
        <v>977</v>
      </c>
      <c r="AH499" s="78">
        <v>0</v>
      </c>
      <c r="AI499" s="78">
        <v>208</v>
      </c>
      <c r="AJ499" s="78">
        <v>15</v>
      </c>
      <c r="AK499" s="78">
        <v>977</v>
      </c>
      <c r="AL499" s="78">
        <v>1.25</v>
      </c>
    </row>
    <row r="500" spans="1:38" x14ac:dyDescent="0.3">
      <c r="A500" s="78" t="s">
        <v>966</v>
      </c>
      <c r="B500" s="78">
        <v>26635</v>
      </c>
      <c r="C500" s="78">
        <v>1</v>
      </c>
      <c r="D500" s="78" t="s">
        <v>979</v>
      </c>
      <c r="E500" s="78" t="s">
        <v>974</v>
      </c>
      <c r="F500" s="78">
        <v>332</v>
      </c>
      <c r="G500" s="78">
        <v>40.21</v>
      </c>
      <c r="H500" s="78">
        <v>132.94999999999999</v>
      </c>
      <c r="I500" s="78">
        <v>30.36</v>
      </c>
      <c r="J500" s="78">
        <v>100.37</v>
      </c>
      <c r="K500" s="78">
        <v>59</v>
      </c>
      <c r="T500" s="78">
        <v>3</v>
      </c>
      <c r="U500" s="78">
        <v>2</v>
      </c>
      <c r="V500" s="78" t="s">
        <v>88</v>
      </c>
      <c r="W500" s="78" t="s">
        <v>980</v>
      </c>
      <c r="X500" s="78">
        <v>20</v>
      </c>
      <c r="Y500" s="78">
        <v>19</v>
      </c>
      <c r="Z500" s="78" t="s">
        <v>981</v>
      </c>
      <c r="AA500" s="78" t="s">
        <v>982</v>
      </c>
      <c r="AB500" s="78" t="s">
        <v>84</v>
      </c>
      <c r="AC500" s="78" t="s">
        <v>85</v>
      </c>
      <c r="AD500" s="78" t="s">
        <v>971</v>
      </c>
      <c r="AG500" s="78" t="s">
        <v>983</v>
      </c>
      <c r="AH500" s="78">
        <v>0</v>
      </c>
      <c r="AI500" s="78">
        <v>217</v>
      </c>
      <c r="AJ500" s="78">
        <v>15</v>
      </c>
      <c r="AK500" s="78">
        <v>579</v>
      </c>
      <c r="AL500" s="78">
        <v>1.74</v>
      </c>
    </row>
    <row r="501" spans="1:38" x14ac:dyDescent="0.3">
      <c r="A501" s="78" t="s">
        <v>966</v>
      </c>
      <c r="B501" s="78">
        <v>26635</v>
      </c>
      <c r="C501" s="78">
        <v>2</v>
      </c>
      <c r="D501" s="78" t="s">
        <v>979</v>
      </c>
      <c r="E501" s="78" t="s">
        <v>974</v>
      </c>
      <c r="F501" s="78">
        <v>332</v>
      </c>
      <c r="G501" s="78">
        <v>40.94</v>
      </c>
      <c r="H501" s="78">
        <v>135.34</v>
      </c>
      <c r="I501" s="78">
        <v>31.32</v>
      </c>
      <c r="J501" s="78">
        <v>103.57</v>
      </c>
      <c r="K501" s="78">
        <v>39</v>
      </c>
      <c r="T501" s="78">
        <v>3</v>
      </c>
      <c r="U501" s="78">
        <v>2</v>
      </c>
      <c r="V501" s="78" t="s">
        <v>88</v>
      </c>
      <c r="W501" s="78" t="s">
        <v>732</v>
      </c>
      <c r="X501" s="78">
        <v>20</v>
      </c>
      <c r="Y501" s="78">
        <v>19</v>
      </c>
      <c r="Z501" s="78" t="s">
        <v>981</v>
      </c>
      <c r="AA501" s="78" t="s">
        <v>982</v>
      </c>
      <c r="AB501" s="78" t="s">
        <v>84</v>
      </c>
      <c r="AC501" s="78" t="s">
        <v>85</v>
      </c>
      <c r="AD501" s="78" t="s">
        <v>971</v>
      </c>
      <c r="AG501" s="78" t="s">
        <v>983</v>
      </c>
      <c r="AH501" s="78">
        <v>0</v>
      </c>
      <c r="AI501" s="78">
        <v>217</v>
      </c>
      <c r="AJ501" s="78">
        <v>15</v>
      </c>
      <c r="AK501" s="78">
        <v>579</v>
      </c>
      <c r="AL501" s="78">
        <v>1.74</v>
      </c>
    </row>
    <row r="502" spans="1:38" x14ac:dyDescent="0.3">
      <c r="A502" s="78" t="s">
        <v>966</v>
      </c>
      <c r="B502" s="78">
        <v>26635</v>
      </c>
      <c r="C502" s="78">
        <v>3</v>
      </c>
      <c r="D502" s="78" t="s">
        <v>979</v>
      </c>
      <c r="E502" s="78" t="s">
        <v>974</v>
      </c>
      <c r="F502" s="78">
        <v>332</v>
      </c>
      <c r="G502" s="78">
        <v>48.16</v>
      </c>
      <c r="H502" s="78">
        <v>159.21</v>
      </c>
      <c r="I502" s="78">
        <v>37.22</v>
      </c>
      <c r="J502" s="78">
        <v>123.05</v>
      </c>
      <c r="K502" s="78">
        <v>80</v>
      </c>
      <c r="T502" s="78">
        <v>4</v>
      </c>
      <c r="U502" s="78">
        <v>2</v>
      </c>
      <c r="V502" s="78" t="s">
        <v>88</v>
      </c>
      <c r="W502" s="78" t="s">
        <v>984</v>
      </c>
      <c r="X502" s="78">
        <v>20</v>
      </c>
      <c r="Y502" s="78">
        <v>19</v>
      </c>
      <c r="Z502" s="78" t="s">
        <v>981</v>
      </c>
      <c r="AA502" s="78" t="s">
        <v>982</v>
      </c>
      <c r="AB502" s="78" t="s">
        <v>84</v>
      </c>
      <c r="AC502" s="78" t="s">
        <v>85</v>
      </c>
      <c r="AD502" s="78" t="s">
        <v>971</v>
      </c>
      <c r="AG502" s="78" t="s">
        <v>983</v>
      </c>
      <c r="AH502" s="78">
        <v>0</v>
      </c>
      <c r="AI502" s="78">
        <v>217</v>
      </c>
      <c r="AJ502" s="78">
        <v>15</v>
      </c>
      <c r="AK502" s="78">
        <v>579</v>
      </c>
      <c r="AL502" s="78">
        <v>1.74</v>
      </c>
    </row>
    <row r="503" spans="1:38" x14ac:dyDescent="0.3">
      <c r="A503" s="78" t="s">
        <v>966</v>
      </c>
      <c r="B503" s="78">
        <v>26635</v>
      </c>
      <c r="C503" s="78">
        <v>4</v>
      </c>
      <c r="D503" s="78" t="s">
        <v>979</v>
      </c>
      <c r="E503" s="78" t="s">
        <v>974</v>
      </c>
      <c r="F503" s="78">
        <v>332</v>
      </c>
      <c r="G503" s="78">
        <v>48.83</v>
      </c>
      <c r="H503" s="78">
        <v>161.44999999999999</v>
      </c>
      <c r="I503" s="78">
        <v>40.020000000000003</v>
      </c>
      <c r="J503" s="78">
        <v>132.31</v>
      </c>
      <c r="K503" s="78">
        <v>79</v>
      </c>
      <c r="T503" s="78">
        <v>4</v>
      </c>
      <c r="U503" s="78">
        <v>2</v>
      </c>
      <c r="V503" s="78" t="s">
        <v>88</v>
      </c>
      <c r="W503" s="78" t="s">
        <v>985</v>
      </c>
      <c r="X503" s="78">
        <v>20</v>
      </c>
      <c r="Y503" s="78">
        <v>19</v>
      </c>
      <c r="Z503" s="78" t="s">
        <v>981</v>
      </c>
      <c r="AA503" s="78" t="s">
        <v>982</v>
      </c>
      <c r="AB503" s="78" t="s">
        <v>84</v>
      </c>
      <c r="AC503" s="78" t="s">
        <v>85</v>
      </c>
      <c r="AD503" s="78" t="s">
        <v>971</v>
      </c>
      <c r="AG503" s="78" t="s">
        <v>983</v>
      </c>
      <c r="AH503" s="78">
        <v>0</v>
      </c>
      <c r="AI503" s="78">
        <v>217</v>
      </c>
      <c r="AJ503" s="78">
        <v>15</v>
      </c>
      <c r="AK503" s="78">
        <v>579</v>
      </c>
      <c r="AL503" s="78">
        <v>1.74</v>
      </c>
    </row>
    <row r="504" spans="1:38" x14ac:dyDescent="0.3">
      <c r="A504" s="78" t="s">
        <v>966</v>
      </c>
      <c r="B504" s="78">
        <v>26635</v>
      </c>
      <c r="C504" s="78">
        <v>5</v>
      </c>
      <c r="D504" s="78" t="s">
        <v>979</v>
      </c>
      <c r="E504" s="78" t="s">
        <v>974</v>
      </c>
      <c r="F504" s="78">
        <v>332</v>
      </c>
      <c r="G504" s="78">
        <v>57.32</v>
      </c>
      <c r="H504" s="78">
        <v>189.51</v>
      </c>
      <c r="I504" s="78">
        <v>47.15</v>
      </c>
      <c r="J504" s="78">
        <v>155.9</v>
      </c>
      <c r="K504" s="78">
        <v>71</v>
      </c>
      <c r="T504" s="78">
        <v>4</v>
      </c>
      <c r="U504" s="78">
        <v>2</v>
      </c>
      <c r="V504" s="78" t="s">
        <v>88</v>
      </c>
      <c r="W504" s="78">
        <v>189</v>
      </c>
      <c r="X504" s="78">
        <v>20</v>
      </c>
      <c r="Y504" s="78">
        <v>19</v>
      </c>
      <c r="Z504" s="78" t="s">
        <v>981</v>
      </c>
      <c r="AA504" s="78" t="s">
        <v>982</v>
      </c>
      <c r="AB504" s="78" t="s">
        <v>84</v>
      </c>
      <c r="AC504" s="78" t="s">
        <v>85</v>
      </c>
      <c r="AD504" s="78" t="s">
        <v>971</v>
      </c>
      <c r="AG504" s="78" t="s">
        <v>983</v>
      </c>
      <c r="AH504" s="78">
        <v>0</v>
      </c>
      <c r="AI504" s="78">
        <v>217</v>
      </c>
      <c r="AJ504" s="78">
        <v>15</v>
      </c>
      <c r="AK504" s="78">
        <v>579</v>
      </c>
      <c r="AL504" s="78">
        <v>1.74</v>
      </c>
    </row>
    <row r="505" spans="1:38" x14ac:dyDescent="0.3">
      <c r="A505" s="78" t="s">
        <v>966</v>
      </c>
      <c r="B505" s="78">
        <v>26635</v>
      </c>
      <c r="C505" s="78">
        <v>6</v>
      </c>
      <c r="D505" s="78" t="s">
        <v>979</v>
      </c>
      <c r="E505" s="78" t="s">
        <v>974</v>
      </c>
      <c r="F505" s="78">
        <v>332</v>
      </c>
      <c r="G505" s="78">
        <v>97.07</v>
      </c>
      <c r="H505" s="78">
        <v>320.89999999999998</v>
      </c>
      <c r="I505" s="78">
        <v>79</v>
      </c>
      <c r="J505" s="78">
        <v>261.19</v>
      </c>
      <c r="K505" s="78">
        <v>4</v>
      </c>
      <c r="T505" s="78">
        <v>6</v>
      </c>
      <c r="U505" s="78">
        <v>4</v>
      </c>
      <c r="V505" s="78" t="s">
        <v>88</v>
      </c>
      <c r="W505" s="78">
        <v>320</v>
      </c>
      <c r="X505" s="78">
        <v>20</v>
      </c>
      <c r="Y505" s="78">
        <v>19</v>
      </c>
      <c r="Z505" s="78" t="s">
        <v>981</v>
      </c>
      <c r="AA505" s="78" t="s">
        <v>982</v>
      </c>
      <c r="AB505" s="78" t="s">
        <v>84</v>
      </c>
      <c r="AC505" s="78" t="s">
        <v>85</v>
      </c>
      <c r="AD505" s="78" t="s">
        <v>971</v>
      </c>
      <c r="AG505" s="78" t="s">
        <v>983</v>
      </c>
      <c r="AH505" s="78">
        <v>0</v>
      </c>
      <c r="AI505" s="78">
        <v>217</v>
      </c>
      <c r="AJ505" s="78">
        <v>15</v>
      </c>
      <c r="AK505" s="78">
        <v>579</v>
      </c>
      <c r="AL505" s="78">
        <v>1.74</v>
      </c>
    </row>
    <row r="506" spans="1:38" x14ac:dyDescent="0.3">
      <c r="A506" s="78" t="s">
        <v>966</v>
      </c>
      <c r="B506" s="78">
        <v>27518</v>
      </c>
      <c r="C506" s="78">
        <v>1</v>
      </c>
      <c r="D506" s="78" t="s">
        <v>155</v>
      </c>
      <c r="E506" s="78" t="s">
        <v>316</v>
      </c>
      <c r="F506" s="78">
        <v>660</v>
      </c>
      <c r="G506" s="78">
        <v>22.24</v>
      </c>
      <c r="H506" s="78">
        <v>73.55</v>
      </c>
      <c r="I506" s="78">
        <v>17.989999999999998</v>
      </c>
      <c r="J506" s="78">
        <v>59.49</v>
      </c>
      <c r="K506" s="78">
        <v>120</v>
      </c>
      <c r="T506" s="78">
        <v>2</v>
      </c>
      <c r="U506" s="78">
        <v>1</v>
      </c>
      <c r="V506" s="78" t="s">
        <v>88</v>
      </c>
      <c r="W506" s="78">
        <v>73</v>
      </c>
      <c r="X506" s="78">
        <v>15</v>
      </c>
      <c r="Y506" s="78">
        <v>15</v>
      </c>
      <c r="Z506" s="78" t="s">
        <v>986</v>
      </c>
      <c r="AA506" s="78" t="s">
        <v>987</v>
      </c>
      <c r="AB506" s="78" t="s">
        <v>84</v>
      </c>
      <c r="AC506" s="78" t="s">
        <v>85</v>
      </c>
      <c r="AD506" s="78" t="s">
        <v>971</v>
      </c>
      <c r="AG506" s="78" t="s">
        <v>988</v>
      </c>
      <c r="AH506" s="78">
        <v>0</v>
      </c>
      <c r="AI506" s="78">
        <v>264</v>
      </c>
      <c r="AJ506" s="78">
        <v>55</v>
      </c>
      <c r="AK506" s="78">
        <v>0</v>
      </c>
      <c r="AL506" s="78">
        <v>0</v>
      </c>
    </row>
    <row r="507" spans="1:38" x14ac:dyDescent="0.3">
      <c r="A507" s="78" t="s">
        <v>966</v>
      </c>
      <c r="B507" s="78">
        <v>27518</v>
      </c>
      <c r="C507" s="78">
        <v>2</v>
      </c>
      <c r="D507" s="78" t="s">
        <v>155</v>
      </c>
      <c r="E507" s="78" t="s">
        <v>316</v>
      </c>
      <c r="F507" s="78">
        <v>660</v>
      </c>
      <c r="G507" s="78">
        <v>25.24</v>
      </c>
      <c r="H507" s="78">
        <v>83.47</v>
      </c>
      <c r="I507" s="78">
        <v>20.39</v>
      </c>
      <c r="J507" s="78">
        <v>67.41</v>
      </c>
      <c r="K507" s="78">
        <v>120</v>
      </c>
      <c r="T507" s="78">
        <v>3</v>
      </c>
      <c r="U507" s="78">
        <v>1</v>
      </c>
      <c r="V507" s="78" t="s">
        <v>81</v>
      </c>
      <c r="W507" s="78">
        <v>83</v>
      </c>
      <c r="X507" s="78">
        <v>15</v>
      </c>
      <c r="Y507" s="78">
        <v>15</v>
      </c>
      <c r="Z507" s="78" t="s">
        <v>986</v>
      </c>
      <c r="AA507" s="78" t="s">
        <v>987</v>
      </c>
      <c r="AB507" s="78" t="s">
        <v>84</v>
      </c>
      <c r="AC507" s="78" t="s">
        <v>85</v>
      </c>
      <c r="AD507" s="78" t="s">
        <v>971</v>
      </c>
      <c r="AG507" s="78" t="s">
        <v>988</v>
      </c>
      <c r="AH507" s="78">
        <v>0</v>
      </c>
      <c r="AI507" s="78">
        <v>264</v>
      </c>
      <c r="AJ507" s="78">
        <v>55</v>
      </c>
      <c r="AK507" s="78">
        <v>0</v>
      </c>
      <c r="AL507" s="78">
        <v>0</v>
      </c>
    </row>
    <row r="508" spans="1:38" x14ac:dyDescent="0.3">
      <c r="A508" s="78" t="s">
        <v>966</v>
      </c>
      <c r="B508" s="78">
        <v>27518</v>
      </c>
      <c r="C508" s="78">
        <v>3</v>
      </c>
      <c r="D508" s="78" t="s">
        <v>155</v>
      </c>
      <c r="E508" s="78" t="s">
        <v>316</v>
      </c>
      <c r="F508" s="78">
        <v>660</v>
      </c>
      <c r="G508" s="78">
        <v>28.6</v>
      </c>
      <c r="H508" s="78">
        <v>94.55</v>
      </c>
      <c r="I508" s="78">
        <v>23.09</v>
      </c>
      <c r="J508" s="78">
        <v>76.349999999999994</v>
      </c>
      <c r="K508" s="78">
        <v>60</v>
      </c>
      <c r="T508" s="78">
        <v>3</v>
      </c>
      <c r="U508" s="78">
        <v>2</v>
      </c>
      <c r="V508" s="78" t="s">
        <v>81</v>
      </c>
      <c r="W508" s="78">
        <v>94</v>
      </c>
      <c r="X508" s="78">
        <v>15</v>
      </c>
      <c r="Y508" s="78">
        <v>15</v>
      </c>
      <c r="Z508" s="78" t="s">
        <v>986</v>
      </c>
      <c r="AA508" s="78" t="s">
        <v>987</v>
      </c>
      <c r="AB508" s="78" t="s">
        <v>84</v>
      </c>
      <c r="AC508" s="78" t="s">
        <v>85</v>
      </c>
      <c r="AD508" s="78" t="s">
        <v>971</v>
      </c>
      <c r="AG508" s="78" t="s">
        <v>988</v>
      </c>
      <c r="AH508" s="78">
        <v>0</v>
      </c>
      <c r="AI508" s="78">
        <v>264</v>
      </c>
      <c r="AJ508" s="78">
        <v>55</v>
      </c>
      <c r="AK508" s="78">
        <v>0</v>
      </c>
      <c r="AL508" s="78">
        <v>0</v>
      </c>
    </row>
    <row r="509" spans="1:38" x14ac:dyDescent="0.3">
      <c r="A509" s="78" t="s">
        <v>966</v>
      </c>
      <c r="B509" s="78">
        <v>27518</v>
      </c>
      <c r="C509" s="78">
        <v>4</v>
      </c>
      <c r="D509" s="78" t="s">
        <v>155</v>
      </c>
      <c r="E509" s="78" t="s">
        <v>316</v>
      </c>
      <c r="F509" s="78">
        <v>660</v>
      </c>
      <c r="G509" s="78">
        <v>29.4</v>
      </c>
      <c r="H509" s="78">
        <v>97.2</v>
      </c>
      <c r="I509" s="78">
        <v>23.74</v>
      </c>
      <c r="J509" s="78">
        <v>78.48</v>
      </c>
      <c r="K509" s="78">
        <v>120</v>
      </c>
      <c r="T509" s="78">
        <v>3</v>
      </c>
      <c r="U509" s="78">
        <v>2</v>
      </c>
      <c r="V509" s="78" t="s">
        <v>88</v>
      </c>
      <c r="W509" s="78">
        <v>97</v>
      </c>
      <c r="X509" s="78">
        <v>15</v>
      </c>
      <c r="Y509" s="78">
        <v>15</v>
      </c>
      <c r="Z509" s="78" t="s">
        <v>986</v>
      </c>
      <c r="AA509" s="78" t="s">
        <v>987</v>
      </c>
      <c r="AB509" s="78" t="s">
        <v>84</v>
      </c>
      <c r="AC509" s="78" t="s">
        <v>85</v>
      </c>
      <c r="AD509" s="78" t="s">
        <v>971</v>
      </c>
      <c r="AG509" s="78" t="s">
        <v>988</v>
      </c>
      <c r="AH509" s="78">
        <v>0</v>
      </c>
      <c r="AI509" s="78">
        <v>264</v>
      </c>
      <c r="AJ509" s="78">
        <v>55</v>
      </c>
      <c r="AK509" s="78">
        <v>0</v>
      </c>
      <c r="AL509" s="78">
        <v>0</v>
      </c>
    </row>
    <row r="510" spans="1:38" x14ac:dyDescent="0.3">
      <c r="A510" s="78" t="s">
        <v>966</v>
      </c>
      <c r="B510" s="78">
        <v>27518</v>
      </c>
      <c r="C510" s="78">
        <v>5</v>
      </c>
      <c r="D510" s="78" t="s">
        <v>155</v>
      </c>
      <c r="E510" s="78" t="s">
        <v>316</v>
      </c>
      <c r="F510" s="78">
        <v>660</v>
      </c>
      <c r="G510" s="78">
        <v>31.77</v>
      </c>
      <c r="H510" s="78">
        <v>105.03</v>
      </c>
      <c r="I510" s="78">
        <v>25.66</v>
      </c>
      <c r="J510" s="78">
        <v>84.84</v>
      </c>
      <c r="K510" s="78">
        <v>240</v>
      </c>
      <c r="T510" s="78">
        <v>3</v>
      </c>
      <c r="U510" s="78">
        <v>2</v>
      </c>
      <c r="V510" s="78" t="s">
        <v>81</v>
      </c>
      <c r="W510" s="78">
        <v>105</v>
      </c>
      <c r="X510" s="78">
        <v>15</v>
      </c>
      <c r="Y510" s="78">
        <v>15</v>
      </c>
      <c r="Z510" s="78" t="s">
        <v>986</v>
      </c>
      <c r="AA510" s="78" t="s">
        <v>987</v>
      </c>
      <c r="AB510" s="78" t="s">
        <v>84</v>
      </c>
      <c r="AC510" s="78" t="s">
        <v>85</v>
      </c>
      <c r="AD510" s="78" t="s">
        <v>971</v>
      </c>
      <c r="AG510" s="78" t="s">
        <v>988</v>
      </c>
      <c r="AH510" s="78">
        <v>0</v>
      </c>
      <c r="AI510" s="78">
        <v>264</v>
      </c>
      <c r="AJ510" s="78">
        <v>55</v>
      </c>
      <c r="AK510" s="78">
        <v>0</v>
      </c>
      <c r="AL510" s="78">
        <v>0</v>
      </c>
    </row>
    <row r="511" spans="1:38" x14ac:dyDescent="0.3">
      <c r="A511" s="78" t="s">
        <v>966</v>
      </c>
      <c r="B511" s="78">
        <v>26634</v>
      </c>
      <c r="C511" s="78">
        <v>1</v>
      </c>
      <c r="D511" s="78" t="s">
        <v>989</v>
      </c>
      <c r="E511" s="78" t="s">
        <v>990</v>
      </c>
      <c r="F511" s="78">
        <v>566</v>
      </c>
      <c r="G511" s="78">
        <v>39.520000000000003</v>
      </c>
      <c r="H511" s="78">
        <v>130.66999999999999</v>
      </c>
      <c r="I511" s="78">
        <v>30.28</v>
      </c>
      <c r="J511" s="78">
        <v>100.1</v>
      </c>
      <c r="K511" s="78">
        <v>87</v>
      </c>
      <c r="T511" s="78">
        <v>3</v>
      </c>
      <c r="U511" s="78">
        <v>2</v>
      </c>
      <c r="V511" s="78" t="s">
        <v>88</v>
      </c>
      <c r="W511" s="78">
        <v>130</v>
      </c>
      <c r="X511" s="78">
        <v>20</v>
      </c>
      <c r="Y511" s="78">
        <v>15</v>
      </c>
      <c r="Z511" s="78" t="s">
        <v>991</v>
      </c>
      <c r="AA511" s="78" t="s">
        <v>992</v>
      </c>
      <c r="AB511" s="78" t="s">
        <v>84</v>
      </c>
      <c r="AC511" s="78" t="s">
        <v>85</v>
      </c>
      <c r="AD511" s="78" t="s">
        <v>971</v>
      </c>
      <c r="AG511" s="78" t="s">
        <v>993</v>
      </c>
      <c r="AH511" s="78">
        <v>0</v>
      </c>
      <c r="AI511" s="78">
        <v>218</v>
      </c>
      <c r="AJ511" s="78">
        <v>18</v>
      </c>
      <c r="AK511" s="78">
        <v>930</v>
      </c>
      <c r="AL511" s="78">
        <v>1.64</v>
      </c>
    </row>
    <row r="512" spans="1:38" x14ac:dyDescent="0.3">
      <c r="A512" s="78" t="s">
        <v>966</v>
      </c>
      <c r="B512" s="78">
        <v>26634</v>
      </c>
      <c r="C512" s="78">
        <v>2</v>
      </c>
      <c r="D512" s="78" t="s">
        <v>989</v>
      </c>
      <c r="E512" s="78" t="s">
        <v>990</v>
      </c>
      <c r="F512" s="78">
        <v>566</v>
      </c>
      <c r="G512" s="78">
        <v>40.630000000000003</v>
      </c>
      <c r="H512" s="78">
        <v>134.33000000000001</v>
      </c>
      <c r="I512" s="78">
        <v>31.61</v>
      </c>
      <c r="J512" s="78">
        <v>104.5</v>
      </c>
      <c r="K512" s="78">
        <v>54</v>
      </c>
      <c r="T512" s="78">
        <v>3</v>
      </c>
      <c r="U512" s="78">
        <v>2</v>
      </c>
      <c r="V512" s="78" t="s">
        <v>88</v>
      </c>
      <c r="W512" s="78">
        <v>134</v>
      </c>
      <c r="X512" s="78">
        <v>20</v>
      </c>
      <c r="Y512" s="78">
        <v>15</v>
      </c>
      <c r="Z512" s="78" t="s">
        <v>991</v>
      </c>
      <c r="AA512" s="78" t="s">
        <v>992</v>
      </c>
      <c r="AB512" s="78" t="s">
        <v>84</v>
      </c>
      <c r="AC512" s="78" t="s">
        <v>85</v>
      </c>
      <c r="AD512" s="78" t="s">
        <v>971</v>
      </c>
      <c r="AG512" s="78" t="s">
        <v>993</v>
      </c>
      <c r="AH512" s="78">
        <v>0</v>
      </c>
      <c r="AI512" s="78">
        <v>218</v>
      </c>
      <c r="AJ512" s="78">
        <v>18</v>
      </c>
      <c r="AK512" s="78">
        <v>930</v>
      </c>
      <c r="AL512" s="78">
        <v>1.64</v>
      </c>
    </row>
    <row r="513" spans="1:38" x14ac:dyDescent="0.3">
      <c r="A513" s="78" t="s">
        <v>966</v>
      </c>
      <c r="B513" s="78">
        <v>26634</v>
      </c>
      <c r="C513" s="78">
        <v>3</v>
      </c>
      <c r="D513" s="78" t="s">
        <v>989</v>
      </c>
      <c r="E513" s="78" t="s">
        <v>990</v>
      </c>
      <c r="F513" s="78">
        <v>566</v>
      </c>
      <c r="G513" s="78">
        <v>46.54</v>
      </c>
      <c r="H513" s="78">
        <v>153.86000000000001</v>
      </c>
      <c r="I513" s="78">
        <v>36.28</v>
      </c>
      <c r="J513" s="78">
        <v>119.94</v>
      </c>
      <c r="K513" s="78">
        <v>328</v>
      </c>
      <c r="T513" s="78">
        <v>4</v>
      </c>
      <c r="U513" s="78">
        <v>2</v>
      </c>
      <c r="V513" s="78" t="s">
        <v>88</v>
      </c>
      <c r="W513" s="78">
        <v>153</v>
      </c>
      <c r="X513" s="78">
        <v>20</v>
      </c>
      <c r="Y513" s="78">
        <v>15</v>
      </c>
      <c r="Z513" s="78" t="s">
        <v>991</v>
      </c>
      <c r="AA513" s="78" t="s">
        <v>992</v>
      </c>
      <c r="AB513" s="78" t="s">
        <v>84</v>
      </c>
      <c r="AC513" s="78" t="s">
        <v>85</v>
      </c>
      <c r="AD513" s="78" t="s">
        <v>971</v>
      </c>
      <c r="AG513" s="78" t="s">
        <v>993</v>
      </c>
      <c r="AH513" s="78">
        <v>0</v>
      </c>
      <c r="AI513" s="78">
        <v>218</v>
      </c>
      <c r="AJ513" s="78">
        <v>18</v>
      </c>
      <c r="AK513" s="78">
        <v>930</v>
      </c>
      <c r="AL513" s="78">
        <v>1.64</v>
      </c>
    </row>
    <row r="514" spans="1:38" x14ac:dyDescent="0.3">
      <c r="A514" s="78" t="s">
        <v>966</v>
      </c>
      <c r="B514" s="78">
        <v>26634</v>
      </c>
      <c r="C514" s="78">
        <v>4</v>
      </c>
      <c r="D514" s="78" t="s">
        <v>989</v>
      </c>
      <c r="E514" s="78" t="s">
        <v>990</v>
      </c>
      <c r="F514" s="78">
        <v>566</v>
      </c>
      <c r="G514" s="78">
        <v>54.04</v>
      </c>
      <c r="H514" s="78">
        <v>178.66</v>
      </c>
      <c r="I514" s="78">
        <v>43.5</v>
      </c>
      <c r="J514" s="78">
        <v>143.83000000000001</v>
      </c>
      <c r="K514" s="78">
        <v>94</v>
      </c>
      <c r="T514" s="78">
        <v>4</v>
      </c>
      <c r="U514" s="78">
        <v>2</v>
      </c>
      <c r="V514" s="78" t="s">
        <v>88</v>
      </c>
      <c r="W514" s="78">
        <v>178</v>
      </c>
      <c r="X514" s="78">
        <v>20</v>
      </c>
      <c r="Y514" s="78">
        <v>15</v>
      </c>
      <c r="Z514" s="78" t="s">
        <v>991</v>
      </c>
      <c r="AA514" s="78" t="s">
        <v>992</v>
      </c>
      <c r="AB514" s="78" t="s">
        <v>84</v>
      </c>
      <c r="AC514" s="78" t="s">
        <v>85</v>
      </c>
      <c r="AD514" s="78" t="s">
        <v>971</v>
      </c>
      <c r="AG514" s="78" t="s">
        <v>993</v>
      </c>
      <c r="AH514" s="78">
        <v>0</v>
      </c>
      <c r="AI514" s="78">
        <v>218</v>
      </c>
      <c r="AJ514" s="78">
        <v>18</v>
      </c>
      <c r="AK514" s="78">
        <v>930</v>
      </c>
      <c r="AL514" s="78">
        <v>1.64</v>
      </c>
    </row>
    <row r="515" spans="1:38" x14ac:dyDescent="0.3">
      <c r="A515" s="78" t="s">
        <v>966</v>
      </c>
      <c r="B515" s="78">
        <v>26634</v>
      </c>
      <c r="C515" s="78">
        <v>5</v>
      </c>
      <c r="D515" s="78" t="s">
        <v>989</v>
      </c>
      <c r="E515" s="78" t="s">
        <v>990</v>
      </c>
      <c r="F515" s="78">
        <v>566</v>
      </c>
      <c r="G515" s="78">
        <v>86.8</v>
      </c>
      <c r="H515" s="78">
        <v>286.95999999999998</v>
      </c>
      <c r="I515" s="78">
        <v>70.22</v>
      </c>
      <c r="J515" s="78">
        <v>232.14</v>
      </c>
      <c r="K515" s="78">
        <v>3</v>
      </c>
      <c r="T515" s="78">
        <v>5</v>
      </c>
      <c r="U515" s="78">
        <v>4</v>
      </c>
      <c r="V515" s="78" t="s">
        <v>88</v>
      </c>
      <c r="W515" s="78">
        <v>286</v>
      </c>
      <c r="X515" s="78">
        <v>20</v>
      </c>
      <c r="Y515" s="78">
        <v>15</v>
      </c>
      <c r="Z515" s="78" t="s">
        <v>991</v>
      </c>
      <c r="AA515" s="78" t="s">
        <v>992</v>
      </c>
      <c r="AB515" s="78" t="s">
        <v>84</v>
      </c>
      <c r="AC515" s="78" t="s">
        <v>85</v>
      </c>
      <c r="AD515" s="78" t="s">
        <v>971</v>
      </c>
      <c r="AG515" s="78" t="s">
        <v>993</v>
      </c>
      <c r="AH515" s="78">
        <v>0</v>
      </c>
      <c r="AI515" s="78">
        <v>218</v>
      </c>
      <c r="AJ515" s="78">
        <v>18</v>
      </c>
      <c r="AK515" s="78">
        <v>930</v>
      </c>
      <c r="AL515" s="78">
        <v>1.64</v>
      </c>
    </row>
    <row r="516" spans="1:38" x14ac:dyDescent="0.3">
      <c r="A516" s="78" t="s">
        <v>966</v>
      </c>
      <c r="B516" s="78">
        <v>101738</v>
      </c>
      <c r="C516" s="78">
        <v>1</v>
      </c>
      <c r="D516" s="78" t="s">
        <v>994</v>
      </c>
      <c r="E516" s="78" t="s">
        <v>995</v>
      </c>
      <c r="F516" s="78">
        <v>1041</v>
      </c>
      <c r="G516" s="78">
        <v>32.950000000000003</v>
      </c>
      <c r="H516" s="78">
        <v>108.94</v>
      </c>
      <c r="I516" s="78">
        <v>25.62</v>
      </c>
      <c r="J516" s="78">
        <v>84.7</v>
      </c>
      <c r="K516" s="78">
        <v>160</v>
      </c>
      <c r="T516" s="78">
        <v>3</v>
      </c>
      <c r="U516" s="78">
        <v>2</v>
      </c>
      <c r="V516" s="78" t="s">
        <v>88</v>
      </c>
      <c r="W516" s="78">
        <v>108</v>
      </c>
      <c r="X516" s="78">
        <v>20</v>
      </c>
      <c r="Y516" s="78">
        <v>12</v>
      </c>
      <c r="Z516" s="78" t="s">
        <v>996</v>
      </c>
      <c r="AA516" s="78" t="s">
        <v>997</v>
      </c>
      <c r="AB516" s="78" t="s">
        <v>84</v>
      </c>
      <c r="AC516" s="78" t="s">
        <v>85</v>
      </c>
      <c r="AD516" s="78" t="s">
        <v>971</v>
      </c>
      <c r="AG516" s="78" t="s">
        <v>998</v>
      </c>
      <c r="AH516" s="78">
        <v>0</v>
      </c>
      <c r="AI516" s="78">
        <v>219</v>
      </c>
      <c r="AJ516" s="78">
        <v>17</v>
      </c>
      <c r="AK516" s="78">
        <v>1323</v>
      </c>
      <c r="AL516" s="78">
        <v>1.27</v>
      </c>
    </row>
    <row r="517" spans="1:38" x14ac:dyDescent="0.3">
      <c r="A517" s="78" t="s">
        <v>966</v>
      </c>
      <c r="B517" s="78">
        <v>101738</v>
      </c>
      <c r="C517" s="78">
        <v>2</v>
      </c>
      <c r="D517" s="78" t="s">
        <v>994</v>
      </c>
      <c r="E517" s="78" t="s">
        <v>995</v>
      </c>
      <c r="F517" s="78">
        <v>1041</v>
      </c>
      <c r="G517" s="78">
        <v>34.54</v>
      </c>
      <c r="H517" s="78">
        <v>114.19</v>
      </c>
      <c r="I517" s="78">
        <v>25.69</v>
      </c>
      <c r="J517" s="78">
        <v>84.95</v>
      </c>
      <c r="K517" s="78">
        <v>466</v>
      </c>
      <c r="T517" s="78">
        <v>3</v>
      </c>
      <c r="U517" s="78">
        <v>2</v>
      </c>
      <c r="V517" s="78" t="s">
        <v>88</v>
      </c>
      <c r="W517" s="78" t="s">
        <v>978</v>
      </c>
      <c r="X517" s="78">
        <v>20</v>
      </c>
      <c r="Y517" s="78">
        <v>12</v>
      </c>
      <c r="Z517" s="78" t="s">
        <v>996</v>
      </c>
      <c r="AA517" s="78" t="s">
        <v>997</v>
      </c>
      <c r="AB517" s="78" t="s">
        <v>84</v>
      </c>
      <c r="AC517" s="78" t="s">
        <v>85</v>
      </c>
      <c r="AD517" s="78" t="s">
        <v>971</v>
      </c>
      <c r="AG517" s="78" t="s">
        <v>998</v>
      </c>
      <c r="AH517" s="78">
        <v>0</v>
      </c>
      <c r="AI517" s="78">
        <v>219</v>
      </c>
      <c r="AJ517" s="78">
        <v>17</v>
      </c>
      <c r="AK517" s="78">
        <v>1323</v>
      </c>
      <c r="AL517" s="78">
        <v>1.27</v>
      </c>
    </row>
    <row r="518" spans="1:38" x14ac:dyDescent="0.3">
      <c r="A518" s="78" t="s">
        <v>966</v>
      </c>
      <c r="B518" s="78">
        <v>101738</v>
      </c>
      <c r="C518" s="78">
        <v>3</v>
      </c>
      <c r="D518" s="78" t="s">
        <v>994</v>
      </c>
      <c r="E518" s="78" t="s">
        <v>995</v>
      </c>
      <c r="F518" s="78">
        <v>1041</v>
      </c>
      <c r="G518" s="78">
        <v>34.590000000000003</v>
      </c>
      <c r="H518" s="78">
        <v>114.38</v>
      </c>
      <c r="I518" s="78">
        <v>25.69</v>
      </c>
      <c r="J518" s="78">
        <v>84.94</v>
      </c>
      <c r="K518" s="78">
        <v>120</v>
      </c>
      <c r="T518" s="78">
        <v>3</v>
      </c>
      <c r="U518" s="78">
        <v>2</v>
      </c>
      <c r="V518" s="78" t="s">
        <v>88</v>
      </c>
      <c r="W518" s="78" t="s">
        <v>999</v>
      </c>
      <c r="X518" s="78">
        <v>20</v>
      </c>
      <c r="Y518" s="78">
        <v>12</v>
      </c>
      <c r="Z518" s="78" t="s">
        <v>996</v>
      </c>
      <c r="AA518" s="78" t="s">
        <v>997</v>
      </c>
      <c r="AB518" s="78" t="s">
        <v>84</v>
      </c>
      <c r="AC518" s="78" t="s">
        <v>85</v>
      </c>
      <c r="AD518" s="78" t="s">
        <v>971</v>
      </c>
      <c r="AG518" s="78" t="s">
        <v>998</v>
      </c>
      <c r="AH518" s="78">
        <v>0</v>
      </c>
      <c r="AI518" s="78">
        <v>219</v>
      </c>
      <c r="AJ518" s="78">
        <v>17</v>
      </c>
      <c r="AK518" s="78">
        <v>1323</v>
      </c>
      <c r="AL518" s="78">
        <v>1.27</v>
      </c>
    </row>
    <row r="519" spans="1:38" x14ac:dyDescent="0.3">
      <c r="A519" s="78" t="s">
        <v>966</v>
      </c>
      <c r="B519" s="78">
        <v>101738</v>
      </c>
      <c r="C519" s="78">
        <v>4</v>
      </c>
      <c r="D519" s="78" t="s">
        <v>994</v>
      </c>
      <c r="E519" s="78" t="s">
        <v>995</v>
      </c>
      <c r="F519" s="78">
        <v>1041</v>
      </c>
      <c r="G519" s="78">
        <v>36.1</v>
      </c>
      <c r="H519" s="78">
        <v>119.34</v>
      </c>
      <c r="I519" s="78">
        <v>25.68</v>
      </c>
      <c r="J519" s="78">
        <v>84.9</v>
      </c>
      <c r="K519" s="78">
        <v>295</v>
      </c>
      <c r="T519" s="78">
        <v>3</v>
      </c>
      <c r="U519" s="78">
        <v>2</v>
      </c>
      <c r="V519" s="78" t="s">
        <v>88</v>
      </c>
      <c r="W519" s="78">
        <v>119</v>
      </c>
      <c r="X519" s="78">
        <v>20</v>
      </c>
      <c r="Y519" s="78">
        <v>12</v>
      </c>
      <c r="Z519" s="78" t="s">
        <v>996</v>
      </c>
      <c r="AA519" s="78" t="s">
        <v>997</v>
      </c>
      <c r="AB519" s="78" t="s">
        <v>84</v>
      </c>
      <c r="AC519" s="78" t="s">
        <v>85</v>
      </c>
      <c r="AD519" s="78" t="s">
        <v>971</v>
      </c>
      <c r="AG519" s="78" t="s">
        <v>998</v>
      </c>
      <c r="AH519" s="78">
        <v>0</v>
      </c>
      <c r="AI519" s="78">
        <v>219</v>
      </c>
      <c r="AJ519" s="78">
        <v>17</v>
      </c>
      <c r="AK519" s="78">
        <v>1323</v>
      </c>
      <c r="AL519" s="78">
        <v>1.27</v>
      </c>
    </row>
    <row r="520" spans="1:38" x14ac:dyDescent="0.3">
      <c r="A520" s="78" t="s">
        <v>966</v>
      </c>
      <c r="B520" s="78">
        <v>103002</v>
      </c>
      <c r="C520" s="78">
        <v>1</v>
      </c>
      <c r="D520" s="78" t="s">
        <v>1000</v>
      </c>
      <c r="E520" s="78" t="s">
        <v>1001</v>
      </c>
      <c r="F520" s="78">
        <v>570</v>
      </c>
      <c r="G520" s="78">
        <v>21.7</v>
      </c>
      <c r="H520" s="78">
        <v>71.75</v>
      </c>
      <c r="I520" s="78">
        <v>15.09</v>
      </c>
      <c r="J520" s="78">
        <v>49.91</v>
      </c>
      <c r="K520" s="78">
        <v>104</v>
      </c>
      <c r="T520" s="78">
        <v>2</v>
      </c>
      <c r="U520" s="78">
        <v>1</v>
      </c>
      <c r="V520" s="78" t="s">
        <v>88</v>
      </c>
      <c r="W520" s="78">
        <v>71</v>
      </c>
      <c r="X520" s="78">
        <v>20</v>
      </c>
      <c r="Y520" s="78">
        <v>10</v>
      </c>
      <c r="Z520" s="78" t="s">
        <v>1002</v>
      </c>
      <c r="AA520" s="78" t="s">
        <v>1003</v>
      </c>
      <c r="AB520" s="78" t="s">
        <v>84</v>
      </c>
      <c r="AC520" s="78" t="s">
        <v>85</v>
      </c>
      <c r="AD520" s="78" t="s">
        <v>971</v>
      </c>
      <c r="AG520" s="78" t="s">
        <v>1004</v>
      </c>
      <c r="AH520" s="78">
        <v>0</v>
      </c>
      <c r="AI520" s="78">
        <v>219</v>
      </c>
      <c r="AJ520" s="78">
        <v>24</v>
      </c>
      <c r="AK520" s="78">
        <v>636</v>
      </c>
      <c r="AL520" s="78">
        <v>1.1200000000000001</v>
      </c>
    </row>
    <row r="521" spans="1:38" x14ac:dyDescent="0.3">
      <c r="A521" s="78" t="s">
        <v>966</v>
      </c>
      <c r="B521" s="78">
        <v>103002</v>
      </c>
      <c r="C521" s="78">
        <v>2</v>
      </c>
      <c r="D521" s="78" t="s">
        <v>1000</v>
      </c>
      <c r="E521" s="78" t="s">
        <v>1001</v>
      </c>
      <c r="F521" s="78">
        <v>570</v>
      </c>
      <c r="G521" s="78">
        <v>25.09</v>
      </c>
      <c r="H521" s="78">
        <v>82.97</v>
      </c>
      <c r="I521" s="78">
        <v>18.14</v>
      </c>
      <c r="J521" s="78">
        <v>59.99</v>
      </c>
      <c r="K521" s="78">
        <v>235</v>
      </c>
      <c r="T521" s="78">
        <v>3</v>
      </c>
      <c r="U521" s="78">
        <v>2</v>
      </c>
      <c r="V521" s="78" t="s">
        <v>88</v>
      </c>
      <c r="W521" s="78" t="s">
        <v>411</v>
      </c>
      <c r="X521" s="78">
        <v>20</v>
      </c>
      <c r="Y521" s="78">
        <v>10</v>
      </c>
      <c r="Z521" s="78" t="s">
        <v>1002</v>
      </c>
      <c r="AA521" s="78" t="s">
        <v>1003</v>
      </c>
      <c r="AB521" s="78" t="s">
        <v>84</v>
      </c>
      <c r="AC521" s="78" t="s">
        <v>85</v>
      </c>
      <c r="AD521" s="78" t="s">
        <v>971</v>
      </c>
      <c r="AG521" s="78" t="s">
        <v>1004</v>
      </c>
      <c r="AH521" s="78">
        <v>0</v>
      </c>
      <c r="AI521" s="78">
        <v>219</v>
      </c>
      <c r="AJ521" s="78">
        <v>24</v>
      </c>
      <c r="AK521" s="78">
        <v>636</v>
      </c>
      <c r="AL521" s="78">
        <v>1.1200000000000001</v>
      </c>
    </row>
    <row r="522" spans="1:38" x14ac:dyDescent="0.3">
      <c r="A522" s="78" t="s">
        <v>966</v>
      </c>
      <c r="B522" s="78">
        <v>103002</v>
      </c>
      <c r="C522" s="78">
        <v>3</v>
      </c>
      <c r="D522" s="78" t="s">
        <v>1000</v>
      </c>
      <c r="E522" s="78" t="s">
        <v>1001</v>
      </c>
      <c r="F522" s="78">
        <v>570</v>
      </c>
      <c r="G522" s="78">
        <v>24.97</v>
      </c>
      <c r="H522" s="78">
        <v>82.55</v>
      </c>
      <c r="I522" s="78">
        <v>18.04</v>
      </c>
      <c r="J522" s="78">
        <v>59.66</v>
      </c>
      <c r="K522" s="78">
        <v>231</v>
      </c>
      <c r="T522" s="78">
        <v>3</v>
      </c>
      <c r="U522" s="78">
        <v>2</v>
      </c>
      <c r="V522" s="78" t="s">
        <v>88</v>
      </c>
      <c r="W522" s="78" t="s">
        <v>1005</v>
      </c>
      <c r="X522" s="78">
        <v>20</v>
      </c>
      <c r="Y522" s="78">
        <v>10</v>
      </c>
      <c r="Z522" s="78" t="s">
        <v>1002</v>
      </c>
      <c r="AA522" s="78" t="s">
        <v>1003</v>
      </c>
      <c r="AB522" s="78" t="s">
        <v>84</v>
      </c>
      <c r="AC522" s="78" t="s">
        <v>85</v>
      </c>
      <c r="AD522" s="78" t="s">
        <v>971</v>
      </c>
      <c r="AG522" s="78" t="s">
        <v>1004</v>
      </c>
      <c r="AH522" s="78">
        <v>0</v>
      </c>
      <c r="AI522" s="78">
        <v>219</v>
      </c>
      <c r="AJ522" s="78">
        <v>24</v>
      </c>
      <c r="AK522" s="78">
        <v>636</v>
      </c>
      <c r="AL522" s="78">
        <v>1.1200000000000001</v>
      </c>
    </row>
    <row r="523" spans="1:38" x14ac:dyDescent="0.3">
      <c r="A523" s="78" t="s">
        <v>966</v>
      </c>
      <c r="B523" s="78">
        <v>119546</v>
      </c>
      <c r="C523" s="78">
        <v>1</v>
      </c>
      <c r="D523" s="78" t="s">
        <v>1006</v>
      </c>
      <c r="E523" s="78" t="s">
        <v>1007</v>
      </c>
      <c r="F523" s="78">
        <v>28</v>
      </c>
      <c r="G523" s="78">
        <v>26.03</v>
      </c>
      <c r="H523" s="78">
        <v>86.07</v>
      </c>
      <c r="I523" s="78">
        <v>18.03</v>
      </c>
      <c r="J523" s="78">
        <v>59.63</v>
      </c>
      <c r="K523" s="78">
        <v>28</v>
      </c>
      <c r="T523" s="78">
        <v>3</v>
      </c>
      <c r="U523" s="78">
        <v>1</v>
      </c>
      <c r="V523" s="78" t="s">
        <v>88</v>
      </c>
      <c r="W523" s="78">
        <v>86</v>
      </c>
      <c r="X523" s="78">
        <v>14</v>
      </c>
      <c r="Y523" s="78">
        <v>14</v>
      </c>
      <c r="Z523" s="78" t="s">
        <v>1008</v>
      </c>
      <c r="AA523" s="78" t="s">
        <v>1009</v>
      </c>
      <c r="AB523" s="78" t="s">
        <v>84</v>
      </c>
      <c r="AC523" s="78" t="s">
        <v>85</v>
      </c>
      <c r="AD523" s="78" t="s">
        <v>971</v>
      </c>
      <c r="AG523" s="78" t="s">
        <v>1010</v>
      </c>
      <c r="AH523" s="78">
        <v>0</v>
      </c>
      <c r="AI523" s="78">
        <v>598</v>
      </c>
      <c r="AJ523" s="78">
        <v>69</v>
      </c>
      <c r="AK523" s="78">
        <v>31</v>
      </c>
      <c r="AL523" s="78">
        <v>1.1100000000000001</v>
      </c>
    </row>
    <row r="524" spans="1:38" x14ac:dyDescent="0.3">
      <c r="A524" s="78" t="s">
        <v>966</v>
      </c>
      <c r="B524" s="78">
        <v>5059</v>
      </c>
      <c r="C524" s="78">
        <v>1</v>
      </c>
      <c r="D524" s="78" t="s">
        <v>121</v>
      </c>
      <c r="E524" s="78" t="s">
        <v>1011</v>
      </c>
      <c r="F524" s="78">
        <v>657</v>
      </c>
      <c r="G524" s="78">
        <v>23.67</v>
      </c>
      <c r="H524" s="78">
        <v>78.25</v>
      </c>
      <c r="I524" s="78">
        <v>18.13</v>
      </c>
      <c r="J524" s="78">
        <v>59.95</v>
      </c>
      <c r="K524" s="78">
        <v>272</v>
      </c>
      <c r="T524" s="78">
        <v>3</v>
      </c>
      <c r="U524" s="78">
        <v>1</v>
      </c>
      <c r="V524" s="78" t="s">
        <v>88</v>
      </c>
      <c r="W524" s="78">
        <v>78</v>
      </c>
      <c r="X524" s="78">
        <v>20</v>
      </c>
      <c r="Y524" s="78">
        <v>15</v>
      </c>
      <c r="Z524" s="78" t="s">
        <v>1012</v>
      </c>
      <c r="AA524" s="78" t="s">
        <v>1013</v>
      </c>
      <c r="AB524" s="78" t="s">
        <v>84</v>
      </c>
      <c r="AC524" s="78" t="s">
        <v>85</v>
      </c>
      <c r="AD524" s="78" t="s">
        <v>971</v>
      </c>
      <c r="AG524" s="78" t="s">
        <v>1014</v>
      </c>
      <c r="AH524" s="78">
        <v>0</v>
      </c>
      <c r="AI524" s="78">
        <v>230</v>
      </c>
      <c r="AJ524" s="78">
        <v>19</v>
      </c>
      <c r="AK524" s="78">
        <v>657</v>
      </c>
      <c r="AL524" s="78">
        <v>1</v>
      </c>
    </row>
    <row r="525" spans="1:38" x14ac:dyDescent="0.3">
      <c r="A525" s="78" t="s">
        <v>966</v>
      </c>
      <c r="B525" s="78">
        <v>5059</v>
      </c>
      <c r="C525" s="78">
        <v>2</v>
      </c>
      <c r="D525" s="78" t="s">
        <v>121</v>
      </c>
      <c r="E525" s="78" t="s">
        <v>1011</v>
      </c>
      <c r="F525" s="78">
        <v>657</v>
      </c>
      <c r="G525" s="78">
        <v>29.16</v>
      </c>
      <c r="H525" s="78">
        <v>96.41</v>
      </c>
      <c r="I525" s="78">
        <v>22.74</v>
      </c>
      <c r="J525" s="78">
        <v>75.180000000000007</v>
      </c>
      <c r="K525" s="78">
        <v>136</v>
      </c>
      <c r="T525" s="78">
        <v>3</v>
      </c>
      <c r="U525" s="78">
        <v>1</v>
      </c>
      <c r="V525" s="78" t="s">
        <v>88</v>
      </c>
      <c r="W525" s="78">
        <v>96</v>
      </c>
      <c r="X525" s="78">
        <v>20</v>
      </c>
      <c r="Y525" s="78">
        <v>15</v>
      </c>
      <c r="Z525" s="78" t="s">
        <v>1012</v>
      </c>
      <c r="AA525" s="78" t="s">
        <v>1013</v>
      </c>
      <c r="AB525" s="78" t="s">
        <v>84</v>
      </c>
      <c r="AC525" s="78" t="s">
        <v>85</v>
      </c>
      <c r="AD525" s="78" t="s">
        <v>971</v>
      </c>
      <c r="AG525" s="78" t="s">
        <v>1014</v>
      </c>
      <c r="AH525" s="78">
        <v>0</v>
      </c>
      <c r="AI525" s="78">
        <v>230</v>
      </c>
      <c r="AJ525" s="78">
        <v>19</v>
      </c>
      <c r="AK525" s="78">
        <v>657</v>
      </c>
      <c r="AL525" s="78">
        <v>1</v>
      </c>
    </row>
    <row r="526" spans="1:38" x14ac:dyDescent="0.3">
      <c r="A526" s="78" t="s">
        <v>966</v>
      </c>
      <c r="B526" s="78">
        <v>5059</v>
      </c>
      <c r="C526" s="78">
        <v>3</v>
      </c>
      <c r="D526" s="78" t="s">
        <v>121</v>
      </c>
      <c r="E526" s="78" t="s">
        <v>1011</v>
      </c>
      <c r="F526" s="78">
        <v>657</v>
      </c>
      <c r="G526" s="78">
        <v>31.81</v>
      </c>
      <c r="H526" s="78">
        <v>105.16</v>
      </c>
      <c r="I526" s="78">
        <v>25.7</v>
      </c>
      <c r="J526" s="78">
        <v>84.96</v>
      </c>
      <c r="K526" s="78">
        <v>249</v>
      </c>
      <c r="T526" s="78">
        <v>3</v>
      </c>
      <c r="U526" s="78">
        <v>2</v>
      </c>
      <c r="V526" s="78" t="s">
        <v>88</v>
      </c>
      <c r="W526" s="78">
        <v>105</v>
      </c>
      <c r="X526" s="78">
        <v>20</v>
      </c>
      <c r="Y526" s="78">
        <v>15</v>
      </c>
      <c r="Z526" s="78" t="s">
        <v>1012</v>
      </c>
      <c r="AA526" s="78" t="s">
        <v>1013</v>
      </c>
      <c r="AB526" s="78" t="s">
        <v>84</v>
      </c>
      <c r="AC526" s="78" t="s">
        <v>85</v>
      </c>
      <c r="AD526" s="78" t="s">
        <v>971</v>
      </c>
      <c r="AG526" s="78" t="s">
        <v>1014</v>
      </c>
      <c r="AH526" s="78">
        <v>0</v>
      </c>
      <c r="AI526" s="78">
        <v>230</v>
      </c>
      <c r="AJ526" s="78">
        <v>19</v>
      </c>
      <c r="AK526" s="78">
        <v>657</v>
      </c>
      <c r="AL526" s="78">
        <v>1</v>
      </c>
    </row>
    <row r="527" spans="1:38" x14ac:dyDescent="0.3">
      <c r="A527" s="78" t="s">
        <v>966</v>
      </c>
      <c r="B527" s="78">
        <v>16996</v>
      </c>
      <c r="C527" s="78">
        <v>1</v>
      </c>
      <c r="D527" s="78" t="s">
        <v>1015</v>
      </c>
      <c r="E527" s="78" t="s">
        <v>1016</v>
      </c>
      <c r="F527" s="78">
        <v>941</v>
      </c>
      <c r="G527" s="78">
        <v>33.729999999999997</v>
      </c>
      <c r="H527" s="78">
        <v>111.53</v>
      </c>
      <c r="I527" s="78">
        <v>25.62</v>
      </c>
      <c r="J527" s="78">
        <v>84.7</v>
      </c>
      <c r="K527" s="78">
        <v>729</v>
      </c>
      <c r="T527" s="78">
        <v>3</v>
      </c>
      <c r="U527" s="78">
        <v>2</v>
      </c>
      <c r="V527" s="78" t="s">
        <v>88</v>
      </c>
      <c r="W527" s="78" t="s">
        <v>709</v>
      </c>
      <c r="X527" s="78">
        <v>20</v>
      </c>
      <c r="Y527" s="78">
        <v>7</v>
      </c>
      <c r="Z527" s="78" t="s">
        <v>1017</v>
      </c>
      <c r="AA527" s="78" t="s">
        <v>1018</v>
      </c>
      <c r="AB527" s="78" t="s">
        <v>84</v>
      </c>
      <c r="AC527" s="78" t="s">
        <v>85</v>
      </c>
      <c r="AD527" s="78" t="s">
        <v>971</v>
      </c>
      <c r="AG527" s="78" t="s">
        <v>1019</v>
      </c>
      <c r="AH527" s="78">
        <v>0</v>
      </c>
      <c r="AI527" s="78">
        <v>239</v>
      </c>
      <c r="AJ527" s="78">
        <v>18</v>
      </c>
      <c r="AK527" s="78">
        <v>974</v>
      </c>
      <c r="AL527" s="78">
        <v>1.04</v>
      </c>
    </row>
    <row r="528" spans="1:38" x14ac:dyDescent="0.3">
      <c r="A528" s="78" t="s">
        <v>966</v>
      </c>
      <c r="B528" s="78">
        <v>16996</v>
      </c>
      <c r="C528" s="78">
        <v>2</v>
      </c>
      <c r="D528" s="78" t="s">
        <v>1015</v>
      </c>
      <c r="E528" s="78" t="s">
        <v>1016</v>
      </c>
      <c r="F528" s="78">
        <v>941</v>
      </c>
      <c r="G528" s="78">
        <v>33.58</v>
      </c>
      <c r="H528" s="78">
        <v>111.02</v>
      </c>
      <c r="I528" s="78">
        <v>25.65</v>
      </c>
      <c r="J528" s="78">
        <v>84.82</v>
      </c>
      <c r="K528" s="78">
        <v>178</v>
      </c>
      <c r="T528" s="78">
        <v>3</v>
      </c>
      <c r="U528" s="78">
        <v>2</v>
      </c>
      <c r="V528" s="78" t="s">
        <v>88</v>
      </c>
      <c r="W528" s="78" t="s">
        <v>428</v>
      </c>
      <c r="X528" s="78">
        <v>20</v>
      </c>
      <c r="Y528" s="78">
        <v>7</v>
      </c>
      <c r="Z528" s="78" t="s">
        <v>1017</v>
      </c>
      <c r="AA528" s="78" t="s">
        <v>1018</v>
      </c>
      <c r="AB528" s="78" t="s">
        <v>84</v>
      </c>
      <c r="AC528" s="78" t="s">
        <v>85</v>
      </c>
      <c r="AD528" s="78" t="s">
        <v>971</v>
      </c>
      <c r="AG528" s="78" t="s">
        <v>1019</v>
      </c>
      <c r="AH528" s="78">
        <v>0</v>
      </c>
      <c r="AI528" s="78">
        <v>239</v>
      </c>
      <c r="AJ528" s="78">
        <v>18</v>
      </c>
      <c r="AK528" s="78">
        <v>974</v>
      </c>
      <c r="AL528" s="78">
        <v>1.04</v>
      </c>
    </row>
    <row r="529" spans="1:38" x14ac:dyDescent="0.3">
      <c r="A529" s="78" t="s">
        <v>966</v>
      </c>
      <c r="B529" s="78">
        <v>16996</v>
      </c>
      <c r="C529" s="78">
        <v>3</v>
      </c>
      <c r="D529" s="78" t="s">
        <v>1015</v>
      </c>
      <c r="E529" s="78" t="s">
        <v>1016</v>
      </c>
      <c r="F529" s="78">
        <v>941</v>
      </c>
      <c r="G529" s="78">
        <v>33.590000000000003</v>
      </c>
      <c r="H529" s="78">
        <v>111.06</v>
      </c>
      <c r="I529" s="78">
        <v>25.65</v>
      </c>
      <c r="J529" s="78">
        <v>84.8</v>
      </c>
      <c r="K529" s="78">
        <v>34</v>
      </c>
      <c r="T529" s="78">
        <v>3</v>
      </c>
      <c r="U529" s="78">
        <v>2</v>
      </c>
      <c r="V529" s="78" t="s">
        <v>88</v>
      </c>
      <c r="W529" s="78" t="s">
        <v>427</v>
      </c>
      <c r="X529" s="78">
        <v>20</v>
      </c>
      <c r="Y529" s="78">
        <v>7</v>
      </c>
      <c r="Z529" s="78" t="s">
        <v>1017</v>
      </c>
      <c r="AA529" s="78" t="s">
        <v>1018</v>
      </c>
      <c r="AB529" s="78" t="s">
        <v>84</v>
      </c>
      <c r="AC529" s="78" t="s">
        <v>85</v>
      </c>
      <c r="AD529" s="78" t="s">
        <v>971</v>
      </c>
      <c r="AG529" s="78" t="s">
        <v>1019</v>
      </c>
      <c r="AH529" s="78">
        <v>0</v>
      </c>
      <c r="AI529" s="78">
        <v>239</v>
      </c>
      <c r="AJ529" s="78">
        <v>18</v>
      </c>
      <c r="AK529" s="78">
        <v>974</v>
      </c>
      <c r="AL529" s="78">
        <v>1.04</v>
      </c>
    </row>
    <row r="530" spans="1:38" x14ac:dyDescent="0.3">
      <c r="A530" s="78" t="s">
        <v>966</v>
      </c>
      <c r="B530" s="78">
        <v>109957</v>
      </c>
      <c r="C530" s="78">
        <v>1</v>
      </c>
      <c r="D530" s="78" t="s">
        <v>1020</v>
      </c>
      <c r="E530" s="78" t="s">
        <v>705</v>
      </c>
      <c r="F530" s="78">
        <v>283</v>
      </c>
      <c r="G530" s="78">
        <v>11.24</v>
      </c>
      <c r="H530" s="78">
        <v>37.18</v>
      </c>
      <c r="I530" s="78">
        <v>7.91</v>
      </c>
      <c r="J530" s="78">
        <v>26.17</v>
      </c>
      <c r="K530" s="78">
        <v>2</v>
      </c>
      <c r="T530" s="78">
        <v>1</v>
      </c>
      <c r="U530" s="78">
        <v>1</v>
      </c>
      <c r="V530" s="78" t="s">
        <v>81</v>
      </c>
      <c r="W530" s="78" t="s">
        <v>1021</v>
      </c>
      <c r="X530" s="78">
        <v>23</v>
      </c>
      <c r="Y530" s="78">
        <v>14</v>
      </c>
      <c r="Z530" s="78" t="s">
        <v>1022</v>
      </c>
      <c r="AA530" s="78" t="s">
        <v>1023</v>
      </c>
      <c r="AB530" s="78" t="s">
        <v>84</v>
      </c>
      <c r="AC530" s="78" t="s">
        <v>85</v>
      </c>
      <c r="AD530" s="78" t="s">
        <v>971</v>
      </c>
      <c r="AG530" s="78" t="s">
        <v>1024</v>
      </c>
      <c r="AH530" s="78">
        <v>0</v>
      </c>
      <c r="AI530" s="78">
        <v>533</v>
      </c>
      <c r="AJ530" s="78">
        <v>75</v>
      </c>
      <c r="AK530" s="78">
        <v>163</v>
      </c>
      <c r="AL530" s="78">
        <v>0.57999999999999996</v>
      </c>
    </row>
    <row r="531" spans="1:38" x14ac:dyDescent="0.3">
      <c r="A531" s="78" t="s">
        <v>966</v>
      </c>
      <c r="B531" s="78">
        <v>109957</v>
      </c>
      <c r="C531" s="78">
        <v>2</v>
      </c>
      <c r="D531" s="78" t="s">
        <v>1020</v>
      </c>
      <c r="E531" s="78" t="s">
        <v>705</v>
      </c>
      <c r="F531" s="78">
        <v>283</v>
      </c>
      <c r="G531" s="78">
        <v>12.65</v>
      </c>
      <c r="H531" s="78">
        <v>41.84</v>
      </c>
      <c r="I531" s="78">
        <v>8.9</v>
      </c>
      <c r="J531" s="78">
        <v>29.45</v>
      </c>
      <c r="K531" s="78">
        <v>94</v>
      </c>
      <c r="T531" s="78">
        <v>1</v>
      </c>
      <c r="U531" s="78">
        <v>1</v>
      </c>
      <c r="V531" s="78" t="s">
        <v>81</v>
      </c>
      <c r="W531" s="78" t="s">
        <v>1025</v>
      </c>
      <c r="X531" s="78">
        <v>23</v>
      </c>
      <c r="Y531" s="78">
        <v>14</v>
      </c>
      <c r="Z531" s="78" t="s">
        <v>1022</v>
      </c>
      <c r="AA531" s="78" t="s">
        <v>1023</v>
      </c>
      <c r="AB531" s="78" t="s">
        <v>84</v>
      </c>
      <c r="AC531" s="78" t="s">
        <v>85</v>
      </c>
      <c r="AD531" s="78" t="s">
        <v>971</v>
      </c>
      <c r="AG531" s="78" t="s">
        <v>1024</v>
      </c>
      <c r="AH531" s="78">
        <v>0</v>
      </c>
      <c r="AI531" s="78">
        <v>533</v>
      </c>
      <c r="AJ531" s="78">
        <v>75</v>
      </c>
      <c r="AK531" s="78">
        <v>163</v>
      </c>
      <c r="AL531" s="78">
        <v>0.57999999999999996</v>
      </c>
    </row>
    <row r="532" spans="1:38" x14ac:dyDescent="0.3">
      <c r="A532" s="78" t="s">
        <v>966</v>
      </c>
      <c r="B532" s="78">
        <v>109957</v>
      </c>
      <c r="C532" s="78">
        <v>3</v>
      </c>
      <c r="D532" s="78" t="s">
        <v>1020</v>
      </c>
      <c r="E532" s="78" t="s">
        <v>705</v>
      </c>
      <c r="F532" s="78">
        <v>283</v>
      </c>
      <c r="G532" s="78">
        <v>14.8</v>
      </c>
      <c r="H532" s="78">
        <v>48.95</v>
      </c>
      <c r="I532" s="78">
        <v>10.42</v>
      </c>
      <c r="J532" s="78">
        <v>34.46</v>
      </c>
      <c r="K532" s="78">
        <v>3</v>
      </c>
      <c r="T532" s="78">
        <v>1</v>
      </c>
      <c r="U532" s="78">
        <v>1</v>
      </c>
      <c r="V532" s="78" t="s">
        <v>81</v>
      </c>
      <c r="W532" s="78" t="s">
        <v>1026</v>
      </c>
      <c r="X532" s="78">
        <v>23</v>
      </c>
      <c r="Y532" s="78">
        <v>14</v>
      </c>
      <c r="Z532" s="78" t="s">
        <v>1022</v>
      </c>
      <c r="AA532" s="78" t="s">
        <v>1023</v>
      </c>
      <c r="AB532" s="78" t="s">
        <v>84</v>
      </c>
      <c r="AC532" s="78" t="s">
        <v>85</v>
      </c>
      <c r="AD532" s="78" t="s">
        <v>971</v>
      </c>
      <c r="AG532" s="78" t="s">
        <v>1024</v>
      </c>
      <c r="AH532" s="78">
        <v>0</v>
      </c>
      <c r="AI532" s="78">
        <v>533</v>
      </c>
      <c r="AJ532" s="78">
        <v>75</v>
      </c>
      <c r="AK532" s="78">
        <v>163</v>
      </c>
      <c r="AL532" s="78">
        <v>0.57999999999999996</v>
      </c>
    </row>
    <row r="533" spans="1:38" x14ac:dyDescent="0.3">
      <c r="A533" s="78" t="s">
        <v>966</v>
      </c>
      <c r="B533" s="78">
        <v>109957</v>
      </c>
      <c r="C533" s="78">
        <v>4</v>
      </c>
      <c r="D533" s="78" t="s">
        <v>1020</v>
      </c>
      <c r="E533" s="78" t="s">
        <v>705</v>
      </c>
      <c r="F533" s="78">
        <v>283</v>
      </c>
      <c r="G533" s="78">
        <v>15.3</v>
      </c>
      <c r="H533" s="78">
        <v>50.61</v>
      </c>
      <c r="I533" s="78">
        <v>10.77</v>
      </c>
      <c r="J533" s="78">
        <v>35.630000000000003</v>
      </c>
      <c r="K533" s="78">
        <v>36</v>
      </c>
      <c r="T533" s="78">
        <v>1</v>
      </c>
      <c r="U533" s="78">
        <v>1</v>
      </c>
      <c r="V533" s="78" t="s">
        <v>81</v>
      </c>
      <c r="W533" s="78" t="s">
        <v>1027</v>
      </c>
      <c r="X533" s="78">
        <v>23</v>
      </c>
      <c r="Y533" s="78">
        <v>14</v>
      </c>
      <c r="Z533" s="78" t="s">
        <v>1022</v>
      </c>
      <c r="AA533" s="78" t="s">
        <v>1023</v>
      </c>
      <c r="AB533" s="78" t="s">
        <v>84</v>
      </c>
      <c r="AC533" s="78" t="s">
        <v>85</v>
      </c>
      <c r="AD533" s="78" t="s">
        <v>971</v>
      </c>
      <c r="AG533" s="78" t="s">
        <v>1024</v>
      </c>
      <c r="AH533" s="78">
        <v>0</v>
      </c>
      <c r="AI533" s="78">
        <v>533</v>
      </c>
      <c r="AJ533" s="78">
        <v>75</v>
      </c>
      <c r="AK533" s="78">
        <v>163</v>
      </c>
      <c r="AL533" s="78">
        <v>0.57999999999999996</v>
      </c>
    </row>
    <row r="534" spans="1:38" x14ac:dyDescent="0.3">
      <c r="A534" s="78" t="s">
        <v>966</v>
      </c>
      <c r="B534" s="78">
        <v>109957</v>
      </c>
      <c r="C534" s="78">
        <v>5</v>
      </c>
      <c r="D534" s="78" t="s">
        <v>1020</v>
      </c>
      <c r="E534" s="78" t="s">
        <v>705</v>
      </c>
      <c r="F534" s="78">
        <v>283</v>
      </c>
      <c r="G534" s="78">
        <v>16.05</v>
      </c>
      <c r="H534" s="78">
        <v>53.06</v>
      </c>
      <c r="I534" s="78">
        <v>11.29</v>
      </c>
      <c r="J534" s="78">
        <v>37.35</v>
      </c>
      <c r="K534" s="78">
        <v>3</v>
      </c>
      <c r="T534" s="78">
        <v>1</v>
      </c>
      <c r="U534" s="78">
        <v>1</v>
      </c>
      <c r="V534" s="78" t="s">
        <v>81</v>
      </c>
      <c r="W534" s="78" t="s">
        <v>1028</v>
      </c>
      <c r="X534" s="78">
        <v>23</v>
      </c>
      <c r="Y534" s="78">
        <v>14</v>
      </c>
      <c r="Z534" s="78" t="s">
        <v>1022</v>
      </c>
      <c r="AA534" s="78" t="s">
        <v>1023</v>
      </c>
      <c r="AB534" s="78" t="s">
        <v>84</v>
      </c>
      <c r="AC534" s="78" t="s">
        <v>85</v>
      </c>
      <c r="AD534" s="78" t="s">
        <v>971</v>
      </c>
      <c r="AG534" s="78" t="s">
        <v>1024</v>
      </c>
      <c r="AH534" s="78">
        <v>0</v>
      </c>
      <c r="AI534" s="78">
        <v>533</v>
      </c>
      <c r="AJ534" s="78">
        <v>75</v>
      </c>
      <c r="AK534" s="78">
        <v>163</v>
      </c>
      <c r="AL534" s="78">
        <v>0.57999999999999996</v>
      </c>
    </row>
    <row r="535" spans="1:38" x14ac:dyDescent="0.3">
      <c r="A535" s="78" t="s">
        <v>966</v>
      </c>
      <c r="B535" s="78">
        <v>109957</v>
      </c>
      <c r="C535" s="78">
        <v>6</v>
      </c>
      <c r="D535" s="78" t="s">
        <v>1020</v>
      </c>
      <c r="E535" s="78" t="s">
        <v>705</v>
      </c>
      <c r="F535" s="78">
        <v>283</v>
      </c>
      <c r="G535" s="78">
        <v>16.38</v>
      </c>
      <c r="H535" s="78">
        <v>54.18</v>
      </c>
      <c r="I535" s="78">
        <v>11.53</v>
      </c>
      <c r="J535" s="78">
        <v>38.14</v>
      </c>
      <c r="K535" s="78">
        <v>2</v>
      </c>
      <c r="T535" s="78">
        <v>1</v>
      </c>
      <c r="U535" s="78">
        <v>1</v>
      </c>
      <c r="V535" s="78" t="s">
        <v>81</v>
      </c>
      <c r="W535" s="78" t="s">
        <v>1029</v>
      </c>
      <c r="X535" s="78">
        <v>23</v>
      </c>
      <c r="Y535" s="78">
        <v>14</v>
      </c>
      <c r="Z535" s="78" t="s">
        <v>1022</v>
      </c>
      <c r="AA535" s="78" t="s">
        <v>1023</v>
      </c>
      <c r="AB535" s="78" t="s">
        <v>84</v>
      </c>
      <c r="AC535" s="78" t="s">
        <v>85</v>
      </c>
      <c r="AD535" s="78" t="s">
        <v>971</v>
      </c>
      <c r="AG535" s="78" t="s">
        <v>1024</v>
      </c>
      <c r="AH535" s="78">
        <v>0</v>
      </c>
      <c r="AI535" s="78">
        <v>533</v>
      </c>
      <c r="AJ535" s="78">
        <v>75</v>
      </c>
      <c r="AK535" s="78">
        <v>163</v>
      </c>
      <c r="AL535" s="78">
        <v>0.57999999999999996</v>
      </c>
    </row>
    <row r="536" spans="1:38" x14ac:dyDescent="0.3">
      <c r="A536" s="78" t="s">
        <v>966</v>
      </c>
      <c r="B536" s="78">
        <v>109957</v>
      </c>
      <c r="C536" s="78">
        <v>7</v>
      </c>
      <c r="D536" s="78" t="s">
        <v>1020</v>
      </c>
      <c r="E536" s="78" t="s">
        <v>705</v>
      </c>
      <c r="F536" s="78">
        <v>283</v>
      </c>
      <c r="G536" s="78">
        <v>18.02</v>
      </c>
      <c r="H536" s="78">
        <v>59.59</v>
      </c>
      <c r="I536" s="78">
        <v>12.68</v>
      </c>
      <c r="J536" s="78">
        <v>41.95</v>
      </c>
      <c r="K536" s="78">
        <v>3</v>
      </c>
      <c r="T536" s="78">
        <v>1</v>
      </c>
      <c r="U536" s="78">
        <v>1</v>
      </c>
      <c r="V536" s="78" t="s">
        <v>81</v>
      </c>
      <c r="W536" s="78" t="s">
        <v>1030</v>
      </c>
      <c r="X536" s="78">
        <v>23</v>
      </c>
      <c r="Y536" s="78">
        <v>14</v>
      </c>
      <c r="Z536" s="78" t="s">
        <v>1022</v>
      </c>
      <c r="AA536" s="78" t="s">
        <v>1023</v>
      </c>
      <c r="AB536" s="78" t="s">
        <v>84</v>
      </c>
      <c r="AC536" s="78" t="s">
        <v>85</v>
      </c>
      <c r="AD536" s="78" t="s">
        <v>971</v>
      </c>
      <c r="AG536" s="78" t="s">
        <v>1024</v>
      </c>
      <c r="AH536" s="78">
        <v>0</v>
      </c>
      <c r="AI536" s="78">
        <v>533</v>
      </c>
      <c r="AJ536" s="78">
        <v>75</v>
      </c>
      <c r="AK536" s="78">
        <v>163</v>
      </c>
      <c r="AL536" s="78">
        <v>0.57999999999999996</v>
      </c>
    </row>
    <row r="537" spans="1:38" x14ac:dyDescent="0.3">
      <c r="A537" s="78" t="s">
        <v>966</v>
      </c>
      <c r="B537" s="78">
        <v>109957</v>
      </c>
      <c r="C537" s="78">
        <v>8</v>
      </c>
      <c r="D537" s="78" t="s">
        <v>1020</v>
      </c>
      <c r="E537" s="78" t="s">
        <v>705</v>
      </c>
      <c r="F537" s="78">
        <v>283</v>
      </c>
      <c r="G537" s="78">
        <v>20.28</v>
      </c>
      <c r="H537" s="78">
        <v>67.05</v>
      </c>
      <c r="I537" s="78">
        <v>14.27</v>
      </c>
      <c r="J537" s="78">
        <v>47.2</v>
      </c>
      <c r="K537" s="78">
        <v>3</v>
      </c>
      <c r="T537" s="78">
        <v>2</v>
      </c>
      <c r="U537" s="78">
        <v>1</v>
      </c>
      <c r="V537" s="78" t="s">
        <v>81</v>
      </c>
      <c r="W537" s="78" t="s">
        <v>1031</v>
      </c>
      <c r="X537" s="78">
        <v>23</v>
      </c>
      <c r="Y537" s="78">
        <v>14</v>
      </c>
      <c r="Z537" s="78" t="s">
        <v>1022</v>
      </c>
      <c r="AA537" s="78" t="s">
        <v>1023</v>
      </c>
      <c r="AB537" s="78" t="s">
        <v>84</v>
      </c>
      <c r="AC537" s="78" t="s">
        <v>85</v>
      </c>
      <c r="AD537" s="78" t="s">
        <v>971</v>
      </c>
      <c r="AG537" s="78" t="s">
        <v>1024</v>
      </c>
      <c r="AH537" s="78">
        <v>0</v>
      </c>
      <c r="AI537" s="78">
        <v>533</v>
      </c>
      <c r="AJ537" s="78">
        <v>75</v>
      </c>
      <c r="AK537" s="78">
        <v>163</v>
      </c>
      <c r="AL537" s="78">
        <v>0.57999999999999996</v>
      </c>
    </row>
    <row r="538" spans="1:38" x14ac:dyDescent="0.3">
      <c r="A538" s="78" t="s">
        <v>966</v>
      </c>
      <c r="B538" s="78">
        <v>109957</v>
      </c>
      <c r="C538" s="78">
        <v>9</v>
      </c>
      <c r="D538" s="78" t="s">
        <v>1020</v>
      </c>
      <c r="E538" s="78" t="s">
        <v>705</v>
      </c>
      <c r="F538" s="78">
        <v>283</v>
      </c>
      <c r="G538" s="78">
        <v>20.96</v>
      </c>
      <c r="H538" s="78">
        <v>69.3</v>
      </c>
      <c r="I538" s="78">
        <v>14.75</v>
      </c>
      <c r="J538" s="78">
        <v>48.79</v>
      </c>
      <c r="K538" s="78">
        <v>1</v>
      </c>
      <c r="T538" s="78">
        <v>2</v>
      </c>
      <c r="U538" s="78">
        <v>1</v>
      </c>
      <c r="V538" s="78" t="s">
        <v>81</v>
      </c>
      <c r="W538" s="78" t="s">
        <v>1032</v>
      </c>
      <c r="X538" s="78">
        <v>23</v>
      </c>
      <c r="Y538" s="78">
        <v>14</v>
      </c>
      <c r="Z538" s="78" t="s">
        <v>1022</v>
      </c>
      <c r="AA538" s="78" t="s">
        <v>1023</v>
      </c>
      <c r="AB538" s="78" t="s">
        <v>84</v>
      </c>
      <c r="AC538" s="78" t="s">
        <v>85</v>
      </c>
      <c r="AD538" s="78" t="s">
        <v>971</v>
      </c>
      <c r="AG538" s="78" t="s">
        <v>1024</v>
      </c>
      <c r="AH538" s="78">
        <v>0</v>
      </c>
      <c r="AI538" s="78">
        <v>533</v>
      </c>
      <c r="AJ538" s="78">
        <v>75</v>
      </c>
      <c r="AK538" s="78">
        <v>163</v>
      </c>
      <c r="AL538" s="78">
        <v>0.57999999999999996</v>
      </c>
    </row>
    <row r="539" spans="1:38" x14ac:dyDescent="0.3">
      <c r="A539" s="78" t="s">
        <v>966</v>
      </c>
      <c r="B539" s="78">
        <v>109957</v>
      </c>
      <c r="C539" s="78">
        <v>10</v>
      </c>
      <c r="D539" s="78" t="s">
        <v>1020</v>
      </c>
      <c r="E539" s="78" t="s">
        <v>705</v>
      </c>
      <c r="F539" s="78">
        <v>283</v>
      </c>
      <c r="G539" s="78">
        <v>21.42</v>
      </c>
      <c r="H539" s="78">
        <v>70.81</v>
      </c>
      <c r="I539" s="78">
        <v>15.07</v>
      </c>
      <c r="J539" s="78">
        <v>49.85</v>
      </c>
      <c r="K539" s="78">
        <v>105</v>
      </c>
      <c r="T539" s="78">
        <v>2</v>
      </c>
      <c r="U539" s="78">
        <v>1</v>
      </c>
      <c r="V539" s="78" t="s">
        <v>81</v>
      </c>
      <c r="W539" s="78" t="s">
        <v>876</v>
      </c>
      <c r="X539" s="78">
        <v>23</v>
      </c>
      <c r="Y539" s="78">
        <v>14</v>
      </c>
      <c r="Z539" s="78" t="s">
        <v>1022</v>
      </c>
      <c r="AA539" s="78" t="s">
        <v>1023</v>
      </c>
      <c r="AB539" s="78" t="s">
        <v>84</v>
      </c>
      <c r="AC539" s="78" t="s">
        <v>85</v>
      </c>
      <c r="AD539" s="78" t="s">
        <v>971</v>
      </c>
      <c r="AG539" s="78" t="s">
        <v>1024</v>
      </c>
      <c r="AH539" s="78">
        <v>0</v>
      </c>
      <c r="AI539" s="78">
        <v>533</v>
      </c>
      <c r="AJ539" s="78">
        <v>75</v>
      </c>
      <c r="AK539" s="78">
        <v>163</v>
      </c>
      <c r="AL539" s="78">
        <v>0.57999999999999996</v>
      </c>
    </row>
    <row r="540" spans="1:38" x14ac:dyDescent="0.3">
      <c r="A540" s="78" t="s">
        <v>966</v>
      </c>
      <c r="B540" s="78">
        <v>109957</v>
      </c>
      <c r="C540" s="78">
        <v>11</v>
      </c>
      <c r="D540" s="78" t="s">
        <v>1020</v>
      </c>
      <c r="E540" s="78" t="s">
        <v>705</v>
      </c>
      <c r="F540" s="78">
        <v>283</v>
      </c>
      <c r="G540" s="78">
        <v>21.22</v>
      </c>
      <c r="H540" s="78">
        <v>70.180000000000007</v>
      </c>
      <c r="I540" s="78">
        <v>14.94</v>
      </c>
      <c r="J540" s="78">
        <v>49.41</v>
      </c>
      <c r="K540" s="78">
        <v>28</v>
      </c>
      <c r="T540" s="78">
        <v>2</v>
      </c>
      <c r="U540" s="78">
        <v>1</v>
      </c>
      <c r="V540" s="78" t="s">
        <v>81</v>
      </c>
      <c r="W540" s="78" t="s">
        <v>1033</v>
      </c>
      <c r="X540" s="78">
        <v>23</v>
      </c>
      <c r="Y540" s="78">
        <v>14</v>
      </c>
      <c r="Z540" s="78" t="s">
        <v>1022</v>
      </c>
      <c r="AA540" s="78" t="s">
        <v>1023</v>
      </c>
      <c r="AB540" s="78" t="s">
        <v>84</v>
      </c>
      <c r="AC540" s="78" t="s">
        <v>85</v>
      </c>
      <c r="AD540" s="78" t="s">
        <v>971</v>
      </c>
      <c r="AG540" s="78" t="s">
        <v>1024</v>
      </c>
      <c r="AH540" s="78">
        <v>0</v>
      </c>
      <c r="AI540" s="78">
        <v>533</v>
      </c>
      <c r="AJ540" s="78">
        <v>75</v>
      </c>
      <c r="AK540" s="78">
        <v>163</v>
      </c>
      <c r="AL540" s="78">
        <v>0.57999999999999996</v>
      </c>
    </row>
    <row r="541" spans="1:38" x14ac:dyDescent="0.3">
      <c r="A541" s="78" t="s">
        <v>966</v>
      </c>
      <c r="B541" s="78">
        <v>109957</v>
      </c>
      <c r="C541" s="78">
        <v>12</v>
      </c>
      <c r="D541" s="78" t="s">
        <v>1020</v>
      </c>
      <c r="E541" s="78" t="s">
        <v>705</v>
      </c>
      <c r="F541" s="78">
        <v>283</v>
      </c>
      <c r="G541" s="78">
        <v>21.22</v>
      </c>
      <c r="H541" s="78">
        <v>70.16</v>
      </c>
      <c r="I541" s="78">
        <v>14.94</v>
      </c>
      <c r="J541" s="78">
        <v>49.39</v>
      </c>
      <c r="K541" s="78">
        <v>2</v>
      </c>
      <c r="T541" s="78">
        <v>3</v>
      </c>
      <c r="U541" s="78">
        <v>1</v>
      </c>
      <c r="V541" s="78" t="s">
        <v>81</v>
      </c>
      <c r="W541" s="78" t="s">
        <v>1034</v>
      </c>
      <c r="X541" s="78">
        <v>23</v>
      </c>
      <c r="Y541" s="78">
        <v>14</v>
      </c>
      <c r="Z541" s="78" t="s">
        <v>1022</v>
      </c>
      <c r="AA541" s="78" t="s">
        <v>1023</v>
      </c>
      <c r="AB541" s="78" t="s">
        <v>84</v>
      </c>
      <c r="AC541" s="78" t="s">
        <v>85</v>
      </c>
      <c r="AD541" s="78" t="s">
        <v>971</v>
      </c>
      <c r="AG541" s="78" t="s">
        <v>1024</v>
      </c>
      <c r="AH541" s="78">
        <v>0</v>
      </c>
      <c r="AI541" s="78">
        <v>533</v>
      </c>
      <c r="AJ541" s="78">
        <v>75</v>
      </c>
      <c r="AK541" s="78">
        <v>163</v>
      </c>
      <c r="AL541" s="78">
        <v>0.57999999999999996</v>
      </c>
    </row>
    <row r="542" spans="1:38" x14ac:dyDescent="0.3">
      <c r="A542" s="78" t="s">
        <v>966</v>
      </c>
      <c r="B542" s="78">
        <v>109957</v>
      </c>
      <c r="C542" s="78">
        <v>13</v>
      </c>
      <c r="D542" s="78" t="s">
        <v>1020</v>
      </c>
      <c r="E542" s="78" t="s">
        <v>705</v>
      </c>
      <c r="F542" s="78">
        <v>283</v>
      </c>
      <c r="G542" s="78">
        <v>21.38</v>
      </c>
      <c r="H542" s="78">
        <v>70.69</v>
      </c>
      <c r="I542" s="78">
        <v>15.05</v>
      </c>
      <c r="J542" s="78">
        <v>49.76</v>
      </c>
      <c r="K542" s="78">
        <v>1</v>
      </c>
      <c r="T542" s="78">
        <v>2</v>
      </c>
      <c r="U542" s="78">
        <v>1</v>
      </c>
      <c r="V542" s="78" t="s">
        <v>81</v>
      </c>
      <c r="W542" s="78" t="s">
        <v>1035</v>
      </c>
      <c r="X542" s="78">
        <v>23</v>
      </c>
      <c r="Y542" s="78">
        <v>14</v>
      </c>
      <c r="Z542" s="78" t="s">
        <v>1022</v>
      </c>
      <c r="AA542" s="78" t="s">
        <v>1023</v>
      </c>
      <c r="AB542" s="78" t="s">
        <v>84</v>
      </c>
      <c r="AC542" s="78" t="s">
        <v>85</v>
      </c>
      <c r="AD542" s="78" t="s">
        <v>971</v>
      </c>
      <c r="AG542" s="78" t="s">
        <v>1024</v>
      </c>
      <c r="AH542" s="78">
        <v>0</v>
      </c>
      <c r="AI542" s="78">
        <v>533</v>
      </c>
      <c r="AJ542" s="78">
        <v>75</v>
      </c>
      <c r="AK542" s="78">
        <v>163</v>
      </c>
      <c r="AL542" s="78">
        <v>0.57999999999999996</v>
      </c>
    </row>
    <row r="543" spans="1:38" x14ac:dyDescent="0.3">
      <c r="A543" s="78" t="s">
        <v>966</v>
      </c>
      <c r="B543" s="78">
        <v>123068</v>
      </c>
      <c r="C543" s="78">
        <v>1</v>
      </c>
      <c r="D543" s="78" t="s">
        <v>589</v>
      </c>
      <c r="E543" s="78" t="s">
        <v>109</v>
      </c>
      <c r="F543" s="78">
        <v>360</v>
      </c>
      <c r="G543" s="78">
        <v>14.19</v>
      </c>
      <c r="H543" s="78">
        <v>46.92</v>
      </c>
      <c r="I543" s="78">
        <v>11.94</v>
      </c>
      <c r="J543" s="78">
        <v>39.5</v>
      </c>
      <c r="K543" s="78">
        <v>205</v>
      </c>
      <c r="T543" s="78">
        <v>2</v>
      </c>
      <c r="U543" s="78">
        <v>1</v>
      </c>
      <c r="V543" s="78" t="s">
        <v>88</v>
      </c>
      <c r="W543" s="78">
        <v>46</v>
      </c>
      <c r="X543" s="78">
        <v>15</v>
      </c>
      <c r="Y543" s="78">
        <v>15</v>
      </c>
      <c r="Z543" s="78" t="s">
        <v>1036</v>
      </c>
      <c r="AA543" s="78" t="s">
        <v>1037</v>
      </c>
      <c r="AB543" s="78" t="s">
        <v>84</v>
      </c>
      <c r="AC543" s="78" t="s">
        <v>85</v>
      </c>
      <c r="AD543" s="78" t="s">
        <v>971</v>
      </c>
      <c r="AG543" s="78" t="s">
        <v>1038</v>
      </c>
      <c r="AH543" s="78">
        <v>0</v>
      </c>
      <c r="AI543" s="78">
        <v>263</v>
      </c>
      <c r="AJ543" s="78">
        <v>24</v>
      </c>
      <c r="AK543" s="78">
        <v>0</v>
      </c>
      <c r="AL543" s="78">
        <v>0</v>
      </c>
    </row>
    <row r="544" spans="1:38" x14ac:dyDescent="0.3">
      <c r="A544" s="78" t="s">
        <v>966</v>
      </c>
      <c r="B544" s="78">
        <v>123068</v>
      </c>
      <c r="C544" s="78">
        <v>2</v>
      </c>
      <c r="D544" s="78" t="s">
        <v>589</v>
      </c>
      <c r="E544" s="78" t="s">
        <v>109</v>
      </c>
      <c r="F544" s="78">
        <v>360</v>
      </c>
      <c r="G544" s="78">
        <v>16.46</v>
      </c>
      <c r="H544" s="78">
        <v>54.42</v>
      </c>
      <c r="I544" s="78">
        <v>11.94</v>
      </c>
      <c r="J544" s="78">
        <v>39.5</v>
      </c>
      <c r="K544" s="78">
        <v>5</v>
      </c>
      <c r="T544" s="78">
        <v>2</v>
      </c>
      <c r="U544" s="78">
        <v>1</v>
      </c>
      <c r="V544" s="78" t="s">
        <v>88</v>
      </c>
      <c r="W544" s="78">
        <v>54</v>
      </c>
      <c r="X544" s="78">
        <v>15</v>
      </c>
      <c r="Y544" s="78">
        <v>15</v>
      </c>
      <c r="Z544" s="78" t="s">
        <v>1036</v>
      </c>
      <c r="AA544" s="78" t="s">
        <v>1037</v>
      </c>
      <c r="AB544" s="78" t="s">
        <v>84</v>
      </c>
      <c r="AC544" s="78" t="s">
        <v>85</v>
      </c>
      <c r="AD544" s="78" t="s">
        <v>971</v>
      </c>
      <c r="AG544" s="78" t="s">
        <v>1038</v>
      </c>
      <c r="AH544" s="78">
        <v>0</v>
      </c>
      <c r="AI544" s="78">
        <v>263</v>
      </c>
      <c r="AJ544" s="78">
        <v>24</v>
      </c>
      <c r="AK544" s="78">
        <v>0</v>
      </c>
      <c r="AL544" s="78">
        <v>0</v>
      </c>
    </row>
    <row r="545" spans="1:38" x14ac:dyDescent="0.3">
      <c r="A545" s="78" t="s">
        <v>966</v>
      </c>
      <c r="B545" s="78">
        <v>123068</v>
      </c>
      <c r="C545" s="78">
        <v>3</v>
      </c>
      <c r="D545" s="78" t="s">
        <v>589</v>
      </c>
      <c r="E545" s="78" t="s">
        <v>109</v>
      </c>
      <c r="F545" s="78">
        <v>360</v>
      </c>
      <c r="G545" s="78">
        <v>22.98</v>
      </c>
      <c r="H545" s="78">
        <v>75.97</v>
      </c>
      <c r="I545" s="78">
        <v>18.12</v>
      </c>
      <c r="J545" s="78">
        <v>59.91</v>
      </c>
      <c r="K545" s="78">
        <v>15</v>
      </c>
      <c r="T545" s="78">
        <v>3</v>
      </c>
      <c r="U545" s="78">
        <v>1</v>
      </c>
      <c r="V545" s="78" t="s">
        <v>88</v>
      </c>
      <c r="W545" s="78" t="s">
        <v>1039</v>
      </c>
      <c r="X545" s="78">
        <v>15</v>
      </c>
      <c r="Y545" s="78">
        <v>15</v>
      </c>
      <c r="Z545" s="78" t="s">
        <v>1036</v>
      </c>
      <c r="AA545" s="78" t="s">
        <v>1037</v>
      </c>
      <c r="AB545" s="78" t="s">
        <v>84</v>
      </c>
      <c r="AC545" s="78" t="s">
        <v>85</v>
      </c>
      <c r="AD545" s="78" t="s">
        <v>971</v>
      </c>
      <c r="AG545" s="78" t="s">
        <v>1038</v>
      </c>
      <c r="AH545" s="78">
        <v>0</v>
      </c>
      <c r="AI545" s="78">
        <v>263</v>
      </c>
      <c r="AJ545" s="78">
        <v>24</v>
      </c>
      <c r="AK545" s="78">
        <v>0</v>
      </c>
      <c r="AL545" s="78">
        <v>0</v>
      </c>
    </row>
    <row r="546" spans="1:38" x14ac:dyDescent="0.3">
      <c r="A546" s="78" t="s">
        <v>966</v>
      </c>
      <c r="B546" s="78">
        <v>123068</v>
      </c>
      <c r="C546" s="78">
        <v>4</v>
      </c>
      <c r="D546" s="78" t="s">
        <v>589</v>
      </c>
      <c r="E546" s="78" t="s">
        <v>109</v>
      </c>
      <c r="F546" s="78">
        <v>360</v>
      </c>
      <c r="G546" s="78">
        <v>22.99</v>
      </c>
      <c r="H546" s="78">
        <v>76</v>
      </c>
      <c r="I546" s="78">
        <v>18.13</v>
      </c>
      <c r="J546" s="78">
        <v>59.94</v>
      </c>
      <c r="K546" s="78">
        <v>135</v>
      </c>
      <c r="T546" s="78">
        <v>3</v>
      </c>
      <c r="U546" s="78">
        <v>1</v>
      </c>
      <c r="V546" s="78" t="s">
        <v>88</v>
      </c>
      <c r="W546" s="78" t="s">
        <v>388</v>
      </c>
      <c r="X546" s="78">
        <v>15</v>
      </c>
      <c r="Y546" s="78">
        <v>15</v>
      </c>
      <c r="Z546" s="78" t="s">
        <v>1036</v>
      </c>
      <c r="AA546" s="78" t="s">
        <v>1037</v>
      </c>
      <c r="AB546" s="78" t="s">
        <v>84</v>
      </c>
      <c r="AC546" s="78" t="s">
        <v>85</v>
      </c>
      <c r="AD546" s="78" t="s">
        <v>971</v>
      </c>
      <c r="AG546" s="78" t="s">
        <v>1038</v>
      </c>
      <c r="AH546" s="78">
        <v>0</v>
      </c>
      <c r="AI546" s="78">
        <v>263</v>
      </c>
      <c r="AJ546" s="78">
        <v>24</v>
      </c>
      <c r="AK546" s="78">
        <v>0</v>
      </c>
      <c r="AL546" s="78">
        <v>0</v>
      </c>
    </row>
    <row r="547" spans="1:38" x14ac:dyDescent="0.3">
      <c r="A547" s="78" t="s">
        <v>966</v>
      </c>
      <c r="B547" s="78">
        <v>100415</v>
      </c>
      <c r="C547" s="78">
        <v>1</v>
      </c>
      <c r="D547" s="78" t="s">
        <v>1040</v>
      </c>
      <c r="E547" s="78" t="s">
        <v>1041</v>
      </c>
      <c r="F547" s="78">
        <v>656</v>
      </c>
      <c r="G547" s="78">
        <v>35.6</v>
      </c>
      <c r="H547" s="78">
        <v>117.69</v>
      </c>
      <c r="I547" s="78">
        <v>27.61</v>
      </c>
      <c r="J547" s="78">
        <v>91.28</v>
      </c>
      <c r="K547" s="78">
        <v>114</v>
      </c>
      <c r="T547" s="78">
        <v>3</v>
      </c>
      <c r="U547" s="78">
        <v>2</v>
      </c>
      <c r="V547" s="78" t="s">
        <v>88</v>
      </c>
      <c r="W547" s="78" t="s">
        <v>1042</v>
      </c>
      <c r="X547" s="78">
        <v>20</v>
      </c>
      <c r="Y547" s="78">
        <v>10</v>
      </c>
      <c r="Z547" s="78" t="s">
        <v>1043</v>
      </c>
      <c r="AA547" s="78" t="s">
        <v>1044</v>
      </c>
      <c r="AB547" s="78" t="s">
        <v>84</v>
      </c>
      <c r="AC547" s="78" t="s">
        <v>85</v>
      </c>
      <c r="AD547" s="78" t="s">
        <v>971</v>
      </c>
      <c r="AG547" s="78" t="s">
        <v>1045</v>
      </c>
      <c r="AH547" s="78">
        <v>0</v>
      </c>
      <c r="AI547" s="78">
        <v>198</v>
      </c>
      <c r="AJ547" s="78">
        <v>20</v>
      </c>
      <c r="AK547" s="78">
        <v>901</v>
      </c>
      <c r="AL547" s="78">
        <v>1.37</v>
      </c>
    </row>
    <row r="548" spans="1:38" x14ac:dyDescent="0.3">
      <c r="A548" s="78" t="s">
        <v>966</v>
      </c>
      <c r="B548" s="78">
        <v>100415</v>
      </c>
      <c r="C548" s="78">
        <v>2</v>
      </c>
      <c r="D548" s="78" t="s">
        <v>1040</v>
      </c>
      <c r="E548" s="78" t="s">
        <v>1041</v>
      </c>
      <c r="F548" s="78">
        <v>656</v>
      </c>
      <c r="G548" s="78">
        <v>35.92</v>
      </c>
      <c r="H548" s="78">
        <v>118.76</v>
      </c>
      <c r="I548" s="78">
        <v>27.58</v>
      </c>
      <c r="J548" s="78">
        <v>91.19</v>
      </c>
      <c r="K548" s="78">
        <v>136</v>
      </c>
      <c r="T548" s="78">
        <v>3</v>
      </c>
      <c r="U548" s="78">
        <v>2</v>
      </c>
      <c r="V548" s="78" t="s">
        <v>88</v>
      </c>
      <c r="W548" s="78" t="s">
        <v>1046</v>
      </c>
      <c r="X548" s="78">
        <v>20</v>
      </c>
      <c r="Y548" s="78">
        <v>10</v>
      </c>
      <c r="Z548" s="78" t="s">
        <v>1043</v>
      </c>
      <c r="AA548" s="78" t="s">
        <v>1044</v>
      </c>
      <c r="AB548" s="78" t="s">
        <v>84</v>
      </c>
      <c r="AC548" s="78" t="s">
        <v>85</v>
      </c>
      <c r="AD548" s="78" t="s">
        <v>971</v>
      </c>
      <c r="AG548" s="78" t="s">
        <v>1045</v>
      </c>
      <c r="AH548" s="78">
        <v>0</v>
      </c>
      <c r="AI548" s="78">
        <v>198</v>
      </c>
      <c r="AJ548" s="78">
        <v>20</v>
      </c>
      <c r="AK548" s="78">
        <v>901</v>
      </c>
      <c r="AL548" s="78">
        <v>1.37</v>
      </c>
    </row>
    <row r="549" spans="1:38" x14ac:dyDescent="0.3">
      <c r="A549" s="78" t="s">
        <v>966</v>
      </c>
      <c r="B549" s="78">
        <v>100415</v>
      </c>
      <c r="C549" s="78">
        <v>3</v>
      </c>
      <c r="D549" s="78" t="s">
        <v>1040</v>
      </c>
      <c r="E549" s="78" t="s">
        <v>1041</v>
      </c>
      <c r="F549" s="78">
        <v>656</v>
      </c>
      <c r="G549" s="78">
        <v>37.99</v>
      </c>
      <c r="H549" s="78">
        <v>125.59</v>
      </c>
      <c r="I549" s="78">
        <v>28.04</v>
      </c>
      <c r="J549" s="78">
        <v>92.72</v>
      </c>
      <c r="K549" s="78">
        <v>274</v>
      </c>
      <c r="T549" s="78">
        <v>3</v>
      </c>
      <c r="U549" s="78">
        <v>2</v>
      </c>
      <c r="V549" s="78" t="s">
        <v>88</v>
      </c>
      <c r="W549" s="78">
        <v>125</v>
      </c>
      <c r="X549" s="78">
        <v>20</v>
      </c>
      <c r="Y549" s="78">
        <v>10</v>
      </c>
      <c r="Z549" s="78" t="s">
        <v>1043</v>
      </c>
      <c r="AA549" s="78" t="s">
        <v>1044</v>
      </c>
      <c r="AB549" s="78" t="s">
        <v>84</v>
      </c>
      <c r="AC549" s="78" t="s">
        <v>85</v>
      </c>
      <c r="AD549" s="78" t="s">
        <v>971</v>
      </c>
      <c r="AG549" s="78" t="s">
        <v>1045</v>
      </c>
      <c r="AH549" s="78">
        <v>0</v>
      </c>
      <c r="AI549" s="78">
        <v>198</v>
      </c>
      <c r="AJ549" s="78">
        <v>20</v>
      </c>
      <c r="AK549" s="78">
        <v>901</v>
      </c>
      <c r="AL549" s="78">
        <v>1.37</v>
      </c>
    </row>
    <row r="550" spans="1:38" x14ac:dyDescent="0.3">
      <c r="A550" s="78" t="s">
        <v>966</v>
      </c>
      <c r="B550" s="78">
        <v>100415</v>
      </c>
      <c r="C550" s="78">
        <v>4</v>
      </c>
      <c r="D550" s="78" t="s">
        <v>1040</v>
      </c>
      <c r="E550" s="78" t="s">
        <v>1041</v>
      </c>
      <c r="F550" s="78">
        <v>656</v>
      </c>
      <c r="G550" s="78">
        <v>42.56</v>
      </c>
      <c r="H550" s="78">
        <v>140.71</v>
      </c>
      <c r="I550" s="78">
        <v>33.33</v>
      </c>
      <c r="J550" s="78">
        <v>110.19</v>
      </c>
      <c r="K550" s="78">
        <v>132</v>
      </c>
      <c r="T550" s="78">
        <v>4</v>
      </c>
      <c r="U550" s="78">
        <v>2</v>
      </c>
      <c r="V550" s="78" t="s">
        <v>88</v>
      </c>
      <c r="W550" s="78">
        <v>140</v>
      </c>
      <c r="X550" s="78">
        <v>20</v>
      </c>
      <c r="Y550" s="78">
        <v>10</v>
      </c>
      <c r="Z550" s="78" t="s">
        <v>1043</v>
      </c>
      <c r="AA550" s="78" t="s">
        <v>1044</v>
      </c>
      <c r="AB550" s="78" t="s">
        <v>84</v>
      </c>
      <c r="AC550" s="78" t="s">
        <v>85</v>
      </c>
      <c r="AD550" s="78" t="s">
        <v>971</v>
      </c>
      <c r="AG550" s="78" t="s">
        <v>1045</v>
      </c>
      <c r="AH550" s="78">
        <v>0</v>
      </c>
      <c r="AI550" s="78">
        <v>198</v>
      </c>
      <c r="AJ550" s="78">
        <v>20</v>
      </c>
      <c r="AK550" s="78">
        <v>901</v>
      </c>
      <c r="AL550" s="78">
        <v>1.37</v>
      </c>
    </row>
    <row r="551" spans="1:38" x14ac:dyDescent="0.3">
      <c r="A551" s="78" t="s">
        <v>966</v>
      </c>
      <c r="B551" s="78">
        <v>26633</v>
      </c>
      <c r="C551" s="78">
        <v>1</v>
      </c>
      <c r="D551" s="78" t="s">
        <v>1047</v>
      </c>
      <c r="E551" s="78" t="s">
        <v>1041</v>
      </c>
      <c r="F551" s="78">
        <v>724</v>
      </c>
      <c r="G551" s="78">
        <v>29.94</v>
      </c>
      <c r="H551" s="78">
        <v>99</v>
      </c>
      <c r="I551" s="78">
        <v>20.86</v>
      </c>
      <c r="J551" s="78">
        <v>68.97</v>
      </c>
      <c r="K551" s="78">
        <v>212</v>
      </c>
      <c r="T551" s="78">
        <v>3</v>
      </c>
      <c r="U551" s="78">
        <v>2</v>
      </c>
      <c r="V551" s="78" t="s">
        <v>88</v>
      </c>
      <c r="W551" s="78">
        <v>99</v>
      </c>
      <c r="X551" s="78">
        <v>20</v>
      </c>
      <c r="Y551" s="78">
        <v>17</v>
      </c>
      <c r="Z551" s="78" t="s">
        <v>1048</v>
      </c>
      <c r="AA551" s="78" t="s">
        <v>1049</v>
      </c>
      <c r="AB551" s="78" t="s">
        <v>84</v>
      </c>
      <c r="AC551" s="78" t="s">
        <v>85</v>
      </c>
      <c r="AD551" s="78" t="s">
        <v>971</v>
      </c>
      <c r="AG551" s="78" t="s">
        <v>1050</v>
      </c>
      <c r="AH551" s="78">
        <v>0</v>
      </c>
      <c r="AI551" s="78">
        <v>229</v>
      </c>
      <c r="AJ551" s="78">
        <v>20</v>
      </c>
      <c r="AK551" s="78">
        <v>908</v>
      </c>
      <c r="AL551" s="78">
        <v>1.25</v>
      </c>
    </row>
    <row r="552" spans="1:38" x14ac:dyDescent="0.3">
      <c r="A552" s="78" t="s">
        <v>966</v>
      </c>
      <c r="B552" s="78">
        <v>26633</v>
      </c>
      <c r="C552" s="78">
        <v>2</v>
      </c>
      <c r="D552" s="78" t="s">
        <v>1047</v>
      </c>
      <c r="E552" s="78" t="s">
        <v>1041</v>
      </c>
      <c r="F552" s="78">
        <v>724</v>
      </c>
      <c r="G552" s="78">
        <v>34.96</v>
      </c>
      <c r="H552" s="78">
        <v>115.59</v>
      </c>
      <c r="I552" s="78">
        <v>25.69</v>
      </c>
      <c r="J552" s="78">
        <v>84.93</v>
      </c>
      <c r="K552" s="78">
        <v>206</v>
      </c>
      <c r="T552" s="78">
        <v>3</v>
      </c>
      <c r="U552" s="78">
        <v>2</v>
      </c>
      <c r="V552" s="78" t="s">
        <v>88</v>
      </c>
      <c r="W552" s="78" t="s">
        <v>286</v>
      </c>
      <c r="X552" s="78">
        <v>20</v>
      </c>
      <c r="Y552" s="78">
        <v>17</v>
      </c>
      <c r="Z552" s="78" t="s">
        <v>1048</v>
      </c>
      <c r="AA552" s="78" t="s">
        <v>1049</v>
      </c>
      <c r="AB552" s="78" t="s">
        <v>84</v>
      </c>
      <c r="AC552" s="78" t="s">
        <v>85</v>
      </c>
      <c r="AD552" s="78" t="s">
        <v>971</v>
      </c>
      <c r="AG552" s="78" t="s">
        <v>1050</v>
      </c>
      <c r="AH552" s="78">
        <v>0</v>
      </c>
      <c r="AI552" s="78">
        <v>229</v>
      </c>
      <c r="AJ552" s="78">
        <v>20</v>
      </c>
      <c r="AK552" s="78">
        <v>908</v>
      </c>
      <c r="AL552" s="78">
        <v>1.25</v>
      </c>
    </row>
    <row r="553" spans="1:38" x14ac:dyDescent="0.3">
      <c r="A553" s="78" t="s">
        <v>966</v>
      </c>
      <c r="B553" s="78">
        <v>26633</v>
      </c>
      <c r="C553" s="78">
        <v>3</v>
      </c>
      <c r="D553" s="78" t="s">
        <v>1047</v>
      </c>
      <c r="E553" s="78" t="s">
        <v>1041</v>
      </c>
      <c r="F553" s="78">
        <v>724</v>
      </c>
      <c r="G553" s="78">
        <v>34.99</v>
      </c>
      <c r="H553" s="78">
        <v>115.69</v>
      </c>
      <c r="I553" s="78">
        <v>25.66</v>
      </c>
      <c r="J553" s="78">
        <v>84.85</v>
      </c>
      <c r="K553" s="78">
        <v>160</v>
      </c>
      <c r="T553" s="78">
        <v>3</v>
      </c>
      <c r="U553" s="78">
        <v>2</v>
      </c>
      <c r="V553" s="78" t="s">
        <v>88</v>
      </c>
      <c r="W553" s="78" t="s">
        <v>179</v>
      </c>
      <c r="X553" s="78">
        <v>20</v>
      </c>
      <c r="Y553" s="78">
        <v>17</v>
      </c>
      <c r="Z553" s="78" t="s">
        <v>1048</v>
      </c>
      <c r="AA553" s="78" t="s">
        <v>1049</v>
      </c>
      <c r="AB553" s="78" t="s">
        <v>84</v>
      </c>
      <c r="AC553" s="78" t="s">
        <v>85</v>
      </c>
      <c r="AD553" s="78" t="s">
        <v>971</v>
      </c>
      <c r="AG553" s="78" t="s">
        <v>1050</v>
      </c>
      <c r="AH553" s="78">
        <v>0</v>
      </c>
      <c r="AI553" s="78">
        <v>229</v>
      </c>
      <c r="AJ553" s="78">
        <v>20</v>
      </c>
      <c r="AK553" s="78">
        <v>908</v>
      </c>
      <c r="AL553" s="78">
        <v>1.25</v>
      </c>
    </row>
    <row r="554" spans="1:38" x14ac:dyDescent="0.3">
      <c r="A554" s="78" t="s">
        <v>966</v>
      </c>
      <c r="B554" s="78">
        <v>26633</v>
      </c>
      <c r="C554" s="78">
        <v>4</v>
      </c>
      <c r="D554" s="78" t="s">
        <v>1047</v>
      </c>
      <c r="E554" s="78" t="s">
        <v>1041</v>
      </c>
      <c r="F554" s="78">
        <v>724</v>
      </c>
      <c r="G554" s="78">
        <v>34.97</v>
      </c>
      <c r="H554" s="78">
        <v>115.62</v>
      </c>
      <c r="I554" s="78">
        <v>25.68</v>
      </c>
      <c r="J554" s="78">
        <v>84.91</v>
      </c>
      <c r="K554" s="78">
        <v>146</v>
      </c>
      <c r="T554" s="78">
        <v>3</v>
      </c>
      <c r="U554" s="78">
        <v>2</v>
      </c>
      <c r="V554" s="78" t="s">
        <v>88</v>
      </c>
      <c r="W554" s="78" t="s">
        <v>544</v>
      </c>
      <c r="X554" s="78">
        <v>20</v>
      </c>
      <c r="Y554" s="78">
        <v>17</v>
      </c>
      <c r="Z554" s="78" t="s">
        <v>1048</v>
      </c>
      <c r="AA554" s="78" t="s">
        <v>1049</v>
      </c>
      <c r="AB554" s="78" t="s">
        <v>84</v>
      </c>
      <c r="AC554" s="78" t="s">
        <v>85</v>
      </c>
      <c r="AD554" s="78" t="s">
        <v>971</v>
      </c>
      <c r="AG554" s="78" t="s">
        <v>1050</v>
      </c>
      <c r="AH554" s="78">
        <v>0</v>
      </c>
      <c r="AI554" s="78">
        <v>229</v>
      </c>
      <c r="AJ554" s="78">
        <v>20</v>
      </c>
      <c r="AK554" s="78">
        <v>908</v>
      </c>
      <c r="AL554" s="78">
        <v>1.25</v>
      </c>
    </row>
    <row r="555" spans="1:38" x14ac:dyDescent="0.3">
      <c r="A555" s="78" t="s">
        <v>1051</v>
      </c>
      <c r="B555" s="78">
        <v>14976</v>
      </c>
      <c r="C555" s="78">
        <v>1</v>
      </c>
      <c r="D555" s="78" t="s">
        <v>1052</v>
      </c>
      <c r="E555" s="78" t="s">
        <v>1053</v>
      </c>
      <c r="F555" s="78">
        <v>240</v>
      </c>
      <c r="G555" s="78">
        <v>18.739999999999998</v>
      </c>
      <c r="H555" s="78">
        <v>61.98</v>
      </c>
      <c r="I555" s="78">
        <v>18.739999999999998</v>
      </c>
      <c r="J555" s="78">
        <v>61.98</v>
      </c>
      <c r="K555" s="78">
        <v>30</v>
      </c>
      <c r="T555" s="78">
        <v>2</v>
      </c>
      <c r="U555" s="78">
        <v>1</v>
      </c>
      <c r="V555" s="78" t="s">
        <v>88</v>
      </c>
      <c r="W555" s="78">
        <v>61</v>
      </c>
      <c r="X555" s="78">
        <v>5</v>
      </c>
      <c r="Y555" s="78">
        <v>5</v>
      </c>
      <c r="Z555" s="78" t="s">
        <v>1054</v>
      </c>
      <c r="AA555" s="78" t="s">
        <v>1055</v>
      </c>
      <c r="AB555" s="78" t="s">
        <v>84</v>
      </c>
      <c r="AC555" s="78" t="s">
        <v>85</v>
      </c>
      <c r="AD555" s="78" t="s">
        <v>1056</v>
      </c>
      <c r="AG555" s="78" t="s">
        <v>1057</v>
      </c>
      <c r="AH555" s="78">
        <v>0</v>
      </c>
      <c r="AI555" s="78">
        <v>0</v>
      </c>
      <c r="AJ555" s="78">
        <v>0</v>
      </c>
      <c r="AK555" s="78">
        <v>0</v>
      </c>
      <c r="AL555" s="78">
        <v>0</v>
      </c>
    </row>
    <row r="556" spans="1:38" x14ac:dyDescent="0.3">
      <c r="A556" s="78" t="s">
        <v>1051</v>
      </c>
      <c r="B556" s="78">
        <v>14976</v>
      </c>
      <c r="C556" s="78">
        <v>2</v>
      </c>
      <c r="D556" s="78" t="s">
        <v>1052</v>
      </c>
      <c r="E556" s="78" t="s">
        <v>1053</v>
      </c>
      <c r="F556" s="78">
        <v>240</v>
      </c>
      <c r="G556" s="78">
        <v>21.39</v>
      </c>
      <c r="H556" s="78">
        <v>70.739999999999995</v>
      </c>
      <c r="I556" s="78">
        <v>21.39</v>
      </c>
      <c r="J556" s="78">
        <v>70.739999999999995</v>
      </c>
      <c r="K556" s="78">
        <v>30</v>
      </c>
      <c r="T556" s="78">
        <v>2</v>
      </c>
      <c r="U556" s="78">
        <v>1</v>
      </c>
      <c r="V556" s="78" t="s">
        <v>88</v>
      </c>
      <c r="W556" s="78">
        <v>70</v>
      </c>
      <c r="X556" s="78">
        <v>5</v>
      </c>
      <c r="Y556" s="78">
        <v>5</v>
      </c>
      <c r="Z556" s="78" t="s">
        <v>1054</v>
      </c>
      <c r="AA556" s="78" t="s">
        <v>1055</v>
      </c>
      <c r="AB556" s="78" t="s">
        <v>84</v>
      </c>
      <c r="AC556" s="78" t="s">
        <v>85</v>
      </c>
      <c r="AD556" s="78" t="s">
        <v>1056</v>
      </c>
      <c r="AG556" s="78" t="s">
        <v>1057</v>
      </c>
      <c r="AH556" s="78">
        <v>0</v>
      </c>
      <c r="AI556" s="78">
        <v>0</v>
      </c>
      <c r="AJ556" s="78">
        <v>0</v>
      </c>
      <c r="AK556" s="78">
        <v>0</v>
      </c>
      <c r="AL556" s="78">
        <v>0</v>
      </c>
    </row>
    <row r="557" spans="1:38" x14ac:dyDescent="0.3">
      <c r="A557" s="78" t="s">
        <v>1051</v>
      </c>
      <c r="B557" s="78">
        <v>14976</v>
      </c>
      <c r="C557" s="78">
        <v>3</v>
      </c>
      <c r="D557" s="78" t="s">
        <v>1052</v>
      </c>
      <c r="E557" s="78" t="s">
        <v>1053</v>
      </c>
      <c r="F557" s="78">
        <v>240</v>
      </c>
      <c r="G557" s="78">
        <v>23.02</v>
      </c>
      <c r="H557" s="78">
        <v>76.099999999999994</v>
      </c>
      <c r="I557" s="78">
        <v>23.02</v>
      </c>
      <c r="J557" s="78">
        <v>76.099999999999994</v>
      </c>
      <c r="K557" s="78">
        <v>60</v>
      </c>
      <c r="T557" s="78">
        <v>3</v>
      </c>
      <c r="U557" s="78">
        <v>1</v>
      </c>
      <c r="V557" s="78" t="s">
        <v>81</v>
      </c>
      <c r="W557" s="78">
        <v>76</v>
      </c>
      <c r="X557" s="78">
        <v>5</v>
      </c>
      <c r="Y557" s="78">
        <v>5</v>
      </c>
      <c r="Z557" s="78" t="s">
        <v>1054</v>
      </c>
      <c r="AA557" s="78" t="s">
        <v>1055</v>
      </c>
      <c r="AB557" s="78" t="s">
        <v>84</v>
      </c>
      <c r="AC557" s="78" t="s">
        <v>85</v>
      </c>
      <c r="AD557" s="78" t="s">
        <v>1056</v>
      </c>
      <c r="AG557" s="78" t="s">
        <v>1057</v>
      </c>
      <c r="AH557" s="78">
        <v>0</v>
      </c>
      <c r="AI557" s="78">
        <v>0</v>
      </c>
      <c r="AJ557" s="78">
        <v>0</v>
      </c>
      <c r="AK557" s="78">
        <v>0</v>
      </c>
      <c r="AL557" s="78">
        <v>0</v>
      </c>
    </row>
    <row r="558" spans="1:38" x14ac:dyDescent="0.3">
      <c r="A558" s="78" t="s">
        <v>1051</v>
      </c>
      <c r="B558" s="78">
        <v>14976</v>
      </c>
      <c r="C558" s="78">
        <v>4</v>
      </c>
      <c r="D558" s="78" t="s">
        <v>1052</v>
      </c>
      <c r="E558" s="78" t="s">
        <v>1053</v>
      </c>
      <c r="F558" s="78">
        <v>240</v>
      </c>
      <c r="G558" s="78">
        <v>23.73</v>
      </c>
      <c r="H558" s="78">
        <v>78.45</v>
      </c>
      <c r="I558" s="78">
        <v>23.73</v>
      </c>
      <c r="J558" s="78">
        <v>78.45</v>
      </c>
      <c r="K558" s="78">
        <v>60</v>
      </c>
      <c r="T558" s="78">
        <v>2</v>
      </c>
      <c r="U558" s="78">
        <v>1</v>
      </c>
      <c r="V558" s="78" t="s">
        <v>88</v>
      </c>
      <c r="W558" s="78">
        <v>78</v>
      </c>
      <c r="X558" s="78">
        <v>5</v>
      </c>
      <c r="Y558" s="78">
        <v>5</v>
      </c>
      <c r="Z558" s="78" t="s">
        <v>1054</v>
      </c>
      <c r="AA558" s="78" t="s">
        <v>1055</v>
      </c>
      <c r="AB558" s="78" t="s">
        <v>84</v>
      </c>
      <c r="AC558" s="78" t="s">
        <v>85</v>
      </c>
      <c r="AD558" s="78" t="s">
        <v>1056</v>
      </c>
      <c r="AG558" s="78" t="s">
        <v>1057</v>
      </c>
      <c r="AH558" s="78">
        <v>0</v>
      </c>
      <c r="AI558" s="78">
        <v>0</v>
      </c>
      <c r="AJ558" s="78">
        <v>0</v>
      </c>
      <c r="AK558" s="78">
        <v>0</v>
      </c>
      <c r="AL558" s="78">
        <v>0</v>
      </c>
    </row>
    <row r="559" spans="1:38" x14ac:dyDescent="0.3">
      <c r="A559" s="78" t="s">
        <v>1051</v>
      </c>
      <c r="B559" s="78">
        <v>14976</v>
      </c>
      <c r="C559" s="78">
        <v>5</v>
      </c>
      <c r="D559" s="78" t="s">
        <v>1052</v>
      </c>
      <c r="E559" s="78" t="s">
        <v>1053</v>
      </c>
      <c r="F559" s="78">
        <v>240</v>
      </c>
      <c r="G559" s="78">
        <v>24.57</v>
      </c>
      <c r="H559" s="78">
        <v>81.239999999999995</v>
      </c>
      <c r="I559" s="78">
        <v>24.57</v>
      </c>
      <c r="J559" s="78">
        <v>81.239999999999995</v>
      </c>
      <c r="K559" s="78">
        <v>40</v>
      </c>
      <c r="T559" s="78">
        <v>3</v>
      </c>
      <c r="U559" s="78">
        <v>1</v>
      </c>
      <c r="V559" s="78" t="s">
        <v>88</v>
      </c>
      <c r="W559" s="78">
        <v>81</v>
      </c>
      <c r="X559" s="78">
        <v>5</v>
      </c>
      <c r="Y559" s="78">
        <v>5</v>
      </c>
      <c r="Z559" s="78" t="s">
        <v>1054</v>
      </c>
      <c r="AA559" s="78" t="s">
        <v>1055</v>
      </c>
      <c r="AB559" s="78" t="s">
        <v>84</v>
      </c>
      <c r="AC559" s="78" t="s">
        <v>85</v>
      </c>
      <c r="AD559" s="78" t="s">
        <v>1056</v>
      </c>
      <c r="AG559" s="78" t="s">
        <v>1057</v>
      </c>
      <c r="AH559" s="78">
        <v>0</v>
      </c>
      <c r="AI559" s="78">
        <v>0</v>
      </c>
      <c r="AJ559" s="78">
        <v>0</v>
      </c>
      <c r="AK559" s="78">
        <v>0</v>
      </c>
      <c r="AL559" s="78">
        <v>0</v>
      </c>
    </row>
    <row r="560" spans="1:38" x14ac:dyDescent="0.3">
      <c r="A560" s="78" t="s">
        <v>1051</v>
      </c>
      <c r="B560" s="78">
        <v>14976</v>
      </c>
      <c r="C560" s="78">
        <v>6</v>
      </c>
      <c r="D560" s="78" t="s">
        <v>1052</v>
      </c>
      <c r="E560" s="78" t="s">
        <v>1053</v>
      </c>
      <c r="F560" s="78">
        <v>240</v>
      </c>
      <c r="G560" s="78">
        <v>25.27</v>
      </c>
      <c r="H560" s="78">
        <v>83.57</v>
      </c>
      <c r="I560" s="78">
        <v>25.27</v>
      </c>
      <c r="J560" s="78">
        <v>83.57</v>
      </c>
      <c r="K560" s="78">
        <v>20</v>
      </c>
      <c r="T560" s="78">
        <v>3</v>
      </c>
      <c r="U560" s="78">
        <v>1</v>
      </c>
      <c r="V560" s="78" t="s">
        <v>88</v>
      </c>
      <c r="W560" s="78">
        <v>83</v>
      </c>
      <c r="X560" s="78">
        <v>5</v>
      </c>
      <c r="Y560" s="78">
        <v>5</v>
      </c>
      <c r="Z560" s="78" t="s">
        <v>1054</v>
      </c>
      <c r="AA560" s="78" t="s">
        <v>1055</v>
      </c>
      <c r="AB560" s="78" t="s">
        <v>84</v>
      </c>
      <c r="AC560" s="78" t="s">
        <v>85</v>
      </c>
      <c r="AD560" s="78" t="s">
        <v>1056</v>
      </c>
      <c r="AG560" s="78" t="s">
        <v>1057</v>
      </c>
      <c r="AH560" s="78">
        <v>0</v>
      </c>
      <c r="AI560" s="78">
        <v>0</v>
      </c>
      <c r="AJ560" s="78">
        <v>0</v>
      </c>
      <c r="AK560" s="78">
        <v>0</v>
      </c>
      <c r="AL560" s="78">
        <v>0</v>
      </c>
    </row>
    <row r="561" spans="1:38" x14ac:dyDescent="0.3">
      <c r="A561" s="78" t="s">
        <v>1058</v>
      </c>
      <c r="B561" s="78">
        <v>140671</v>
      </c>
      <c r="C561" s="78">
        <v>1</v>
      </c>
      <c r="D561" s="78" t="s">
        <v>1059</v>
      </c>
      <c r="E561" s="78" t="s">
        <v>1060</v>
      </c>
      <c r="F561" s="78">
        <v>892</v>
      </c>
      <c r="G561" s="78">
        <v>15.18</v>
      </c>
      <c r="H561" s="78">
        <v>50.2</v>
      </c>
      <c r="I561" s="78">
        <v>10.71</v>
      </c>
      <c r="J561" s="78">
        <v>35.409999999999997</v>
      </c>
      <c r="K561" s="78">
        <v>4</v>
      </c>
      <c r="T561" s="78">
        <v>2</v>
      </c>
      <c r="U561" s="78">
        <v>1</v>
      </c>
      <c r="V561" s="78" t="s">
        <v>88</v>
      </c>
      <c r="W561" s="78">
        <v>50</v>
      </c>
      <c r="X561" s="78">
        <v>23</v>
      </c>
      <c r="Y561" s="78">
        <v>14</v>
      </c>
      <c r="Z561" s="78" t="s">
        <v>1061</v>
      </c>
      <c r="AA561" s="78" t="s">
        <v>1062</v>
      </c>
      <c r="AB561" s="78" t="s">
        <v>84</v>
      </c>
      <c r="AC561" s="78" t="s">
        <v>85</v>
      </c>
      <c r="AD561" s="78" t="s">
        <v>1063</v>
      </c>
      <c r="AG561" s="78" t="s">
        <v>1064</v>
      </c>
      <c r="AH561" s="78">
        <v>355</v>
      </c>
      <c r="AI561" s="78">
        <v>231</v>
      </c>
      <c r="AJ561" s="78">
        <v>20</v>
      </c>
      <c r="AK561" s="78">
        <v>905</v>
      </c>
      <c r="AL561" s="78">
        <v>1.01</v>
      </c>
    </row>
    <row r="562" spans="1:38" x14ac:dyDescent="0.3">
      <c r="A562" s="78" t="s">
        <v>1058</v>
      </c>
      <c r="B562" s="78">
        <v>140671</v>
      </c>
      <c r="C562" s="78">
        <v>2</v>
      </c>
      <c r="D562" s="78" t="s">
        <v>1059</v>
      </c>
      <c r="E562" s="78" t="s">
        <v>1060</v>
      </c>
      <c r="F562" s="78">
        <v>892</v>
      </c>
      <c r="G562" s="78">
        <v>24.99</v>
      </c>
      <c r="H562" s="78">
        <v>82.62</v>
      </c>
      <c r="I562" s="78">
        <v>18.13</v>
      </c>
      <c r="J562" s="78">
        <v>59.95</v>
      </c>
      <c r="K562" s="78">
        <v>17</v>
      </c>
      <c r="T562" s="78">
        <v>3</v>
      </c>
      <c r="U562" s="78">
        <v>2</v>
      </c>
      <c r="V562" s="78" t="s">
        <v>88</v>
      </c>
      <c r="W562" s="78" t="s">
        <v>411</v>
      </c>
      <c r="X562" s="78">
        <v>23</v>
      </c>
      <c r="Y562" s="78">
        <v>14</v>
      </c>
      <c r="Z562" s="78" t="s">
        <v>1061</v>
      </c>
      <c r="AA562" s="78" t="s">
        <v>1062</v>
      </c>
      <c r="AB562" s="78" t="s">
        <v>84</v>
      </c>
      <c r="AC562" s="78" t="s">
        <v>85</v>
      </c>
      <c r="AD562" s="78" t="s">
        <v>1063</v>
      </c>
      <c r="AG562" s="78" t="s">
        <v>1064</v>
      </c>
      <c r="AH562" s="78">
        <v>355</v>
      </c>
      <c r="AI562" s="78">
        <v>231</v>
      </c>
      <c r="AJ562" s="78">
        <v>20</v>
      </c>
      <c r="AK562" s="78">
        <v>905</v>
      </c>
      <c r="AL562" s="78">
        <v>1.01</v>
      </c>
    </row>
    <row r="563" spans="1:38" x14ac:dyDescent="0.3">
      <c r="A563" s="78" t="s">
        <v>1058</v>
      </c>
      <c r="B563" s="78">
        <v>140671</v>
      </c>
      <c r="C563" s="78">
        <v>3</v>
      </c>
      <c r="D563" s="78" t="s">
        <v>1059</v>
      </c>
      <c r="E563" s="78" t="s">
        <v>1060</v>
      </c>
      <c r="F563" s="78">
        <v>892</v>
      </c>
      <c r="G563" s="78">
        <v>25.34</v>
      </c>
      <c r="H563" s="78">
        <v>83.79</v>
      </c>
      <c r="I563" s="78">
        <v>18.13</v>
      </c>
      <c r="J563" s="78">
        <v>59.95</v>
      </c>
      <c r="K563" s="78">
        <v>51</v>
      </c>
      <c r="T563" s="78">
        <v>3</v>
      </c>
      <c r="U563" s="78">
        <v>2</v>
      </c>
      <c r="V563" s="78" t="s">
        <v>88</v>
      </c>
      <c r="W563" s="78" t="s">
        <v>1065</v>
      </c>
      <c r="X563" s="78">
        <v>23</v>
      </c>
      <c r="Y563" s="78">
        <v>14</v>
      </c>
      <c r="Z563" s="78" t="s">
        <v>1061</v>
      </c>
      <c r="AA563" s="78" t="s">
        <v>1062</v>
      </c>
      <c r="AB563" s="78" t="s">
        <v>84</v>
      </c>
      <c r="AC563" s="78" t="s">
        <v>85</v>
      </c>
      <c r="AD563" s="78" t="s">
        <v>1063</v>
      </c>
      <c r="AG563" s="78" t="s">
        <v>1064</v>
      </c>
      <c r="AH563" s="78">
        <v>355</v>
      </c>
      <c r="AI563" s="78">
        <v>231</v>
      </c>
      <c r="AJ563" s="78">
        <v>20</v>
      </c>
      <c r="AK563" s="78">
        <v>905</v>
      </c>
      <c r="AL563" s="78">
        <v>1.01</v>
      </c>
    </row>
    <row r="564" spans="1:38" x14ac:dyDescent="0.3">
      <c r="A564" s="78" t="s">
        <v>1058</v>
      </c>
      <c r="B564" s="78">
        <v>140671</v>
      </c>
      <c r="C564" s="78">
        <v>4</v>
      </c>
      <c r="D564" s="78" t="s">
        <v>1059</v>
      </c>
      <c r="E564" s="78" t="s">
        <v>1060</v>
      </c>
      <c r="F564" s="78">
        <v>892</v>
      </c>
      <c r="G564" s="78">
        <v>25.53</v>
      </c>
      <c r="H564" s="78">
        <v>84.42</v>
      </c>
      <c r="I564" s="78">
        <v>18.12</v>
      </c>
      <c r="J564" s="78">
        <v>59.93</v>
      </c>
      <c r="K564" s="78">
        <v>465</v>
      </c>
      <c r="T564" s="78">
        <v>3</v>
      </c>
      <c r="U564" s="78">
        <v>2</v>
      </c>
      <c r="V564" s="78" t="s">
        <v>88</v>
      </c>
      <c r="W564" s="78" t="s">
        <v>1066</v>
      </c>
      <c r="X564" s="78">
        <v>23</v>
      </c>
      <c r="Y564" s="78">
        <v>14</v>
      </c>
      <c r="Z564" s="78" t="s">
        <v>1061</v>
      </c>
      <c r="AA564" s="78" t="s">
        <v>1062</v>
      </c>
      <c r="AB564" s="78" t="s">
        <v>84</v>
      </c>
      <c r="AC564" s="78" t="s">
        <v>85</v>
      </c>
      <c r="AD564" s="78" t="s">
        <v>1063</v>
      </c>
      <c r="AG564" s="78" t="s">
        <v>1064</v>
      </c>
      <c r="AH564" s="78">
        <v>355</v>
      </c>
      <c r="AI564" s="78">
        <v>231</v>
      </c>
      <c r="AJ564" s="78">
        <v>20</v>
      </c>
      <c r="AK564" s="78">
        <v>905</v>
      </c>
      <c r="AL564" s="78">
        <v>1.01</v>
      </c>
    </row>
    <row r="565" spans="1:38" x14ac:dyDescent="0.3">
      <c r="A565" s="78" t="s">
        <v>1067</v>
      </c>
      <c r="B565" s="78">
        <v>111365</v>
      </c>
      <c r="C565" s="78">
        <v>1</v>
      </c>
      <c r="D565" s="78" t="s">
        <v>1068</v>
      </c>
      <c r="E565" s="78" t="s">
        <v>1069</v>
      </c>
      <c r="F565" s="78">
        <v>449</v>
      </c>
      <c r="G565" s="78">
        <v>33.54</v>
      </c>
      <c r="H565" s="78">
        <v>110.89</v>
      </c>
      <c r="I565" s="78">
        <v>25.7</v>
      </c>
      <c r="J565" s="78">
        <v>84.98</v>
      </c>
      <c r="K565" s="78">
        <v>449</v>
      </c>
      <c r="T565" s="78">
        <v>3</v>
      </c>
      <c r="U565" s="78">
        <v>2</v>
      </c>
      <c r="V565" s="78" t="s">
        <v>88</v>
      </c>
      <c r="W565" s="78">
        <v>110</v>
      </c>
      <c r="X565" s="78">
        <v>26</v>
      </c>
      <c r="Y565" s="78">
        <v>19</v>
      </c>
      <c r="Z565" s="78" t="s">
        <v>1070</v>
      </c>
      <c r="AA565" s="78" t="s">
        <v>1071</v>
      </c>
      <c r="AB565" s="78" t="s">
        <v>84</v>
      </c>
      <c r="AC565" s="78" t="s">
        <v>85</v>
      </c>
      <c r="AD565" s="78" t="s">
        <v>1072</v>
      </c>
      <c r="AG565" s="78" t="s">
        <v>1073</v>
      </c>
      <c r="AH565" s="78">
        <v>0</v>
      </c>
      <c r="AI565" s="78">
        <v>242</v>
      </c>
      <c r="AJ565" s="78">
        <v>16</v>
      </c>
      <c r="AK565" s="78">
        <v>542</v>
      </c>
      <c r="AL565" s="78">
        <v>1.21</v>
      </c>
    </row>
    <row r="566" spans="1:38" x14ac:dyDescent="0.3">
      <c r="A566" s="78" t="s">
        <v>1067</v>
      </c>
      <c r="B566" s="78">
        <v>110515</v>
      </c>
      <c r="C566" s="78">
        <v>1</v>
      </c>
      <c r="D566" s="78" t="s">
        <v>1074</v>
      </c>
      <c r="E566" s="78" t="s">
        <v>861</v>
      </c>
      <c r="F566" s="78">
        <v>469</v>
      </c>
      <c r="G566" s="78">
        <v>33.200000000000003</v>
      </c>
      <c r="H566" s="78">
        <v>109.77</v>
      </c>
      <c r="I566" s="78">
        <v>25.7</v>
      </c>
      <c r="J566" s="78">
        <v>84.99</v>
      </c>
      <c r="K566" s="78">
        <v>380</v>
      </c>
      <c r="T566" s="78">
        <v>3</v>
      </c>
      <c r="U566" s="78">
        <v>2</v>
      </c>
      <c r="V566" s="78" t="s">
        <v>88</v>
      </c>
      <c r="W566" s="78" t="s">
        <v>1075</v>
      </c>
      <c r="X566" s="78">
        <v>29</v>
      </c>
      <c r="Y566" s="78">
        <v>21</v>
      </c>
      <c r="Z566" s="78" t="s">
        <v>1076</v>
      </c>
      <c r="AA566" s="78" t="s">
        <v>1077</v>
      </c>
      <c r="AB566" s="78" t="s">
        <v>84</v>
      </c>
      <c r="AC566" s="78" t="s">
        <v>85</v>
      </c>
      <c r="AD566" s="78" t="s">
        <v>1072</v>
      </c>
      <c r="AG566" s="78" t="s">
        <v>1078</v>
      </c>
      <c r="AH566" s="78">
        <v>0</v>
      </c>
      <c r="AI566" s="78">
        <v>249</v>
      </c>
      <c r="AJ566" s="78">
        <v>19</v>
      </c>
      <c r="AK566" s="78">
        <v>602</v>
      </c>
      <c r="AL566" s="78">
        <v>1.28</v>
      </c>
    </row>
    <row r="567" spans="1:38" x14ac:dyDescent="0.3">
      <c r="A567" s="78" t="s">
        <v>1067</v>
      </c>
      <c r="B567" s="78">
        <v>110515</v>
      </c>
      <c r="C567" s="78">
        <v>2</v>
      </c>
      <c r="D567" s="78" t="s">
        <v>1074</v>
      </c>
      <c r="E567" s="78" t="s">
        <v>861</v>
      </c>
      <c r="F567" s="78">
        <v>469</v>
      </c>
      <c r="G567" s="78">
        <v>33.68</v>
      </c>
      <c r="H567" s="78">
        <v>111.36</v>
      </c>
      <c r="I567" s="78">
        <v>25.7</v>
      </c>
      <c r="J567" s="78">
        <v>84.99</v>
      </c>
      <c r="K567" s="78">
        <v>46</v>
      </c>
      <c r="T567" s="78">
        <v>3</v>
      </c>
      <c r="U567" s="78">
        <v>2</v>
      </c>
      <c r="V567" s="78" t="s">
        <v>88</v>
      </c>
      <c r="W567" s="78" t="s">
        <v>427</v>
      </c>
      <c r="X567" s="78">
        <v>29</v>
      </c>
      <c r="Y567" s="78">
        <v>21</v>
      </c>
      <c r="Z567" s="78" t="s">
        <v>1076</v>
      </c>
      <c r="AA567" s="78" t="s">
        <v>1077</v>
      </c>
      <c r="AB567" s="78" t="s">
        <v>84</v>
      </c>
      <c r="AC567" s="78" t="s">
        <v>85</v>
      </c>
      <c r="AD567" s="78" t="s">
        <v>1072</v>
      </c>
      <c r="AG567" s="78" t="s">
        <v>1078</v>
      </c>
      <c r="AH567" s="78">
        <v>0</v>
      </c>
      <c r="AI567" s="78">
        <v>249</v>
      </c>
      <c r="AJ567" s="78">
        <v>19</v>
      </c>
      <c r="AK567" s="78">
        <v>602</v>
      </c>
      <c r="AL567" s="78">
        <v>1.28</v>
      </c>
    </row>
    <row r="568" spans="1:38" x14ac:dyDescent="0.3">
      <c r="A568" s="78" t="s">
        <v>1067</v>
      </c>
      <c r="B568" s="78">
        <v>110515</v>
      </c>
      <c r="C568" s="78">
        <v>3</v>
      </c>
      <c r="D568" s="78" t="s">
        <v>1074</v>
      </c>
      <c r="E568" s="78" t="s">
        <v>861</v>
      </c>
      <c r="F568" s="78">
        <v>469</v>
      </c>
      <c r="G568" s="78">
        <v>33.74</v>
      </c>
      <c r="H568" s="78">
        <v>111.55</v>
      </c>
      <c r="I568" s="78">
        <v>25.7</v>
      </c>
      <c r="J568" s="78">
        <v>84.97</v>
      </c>
      <c r="K568" s="78">
        <v>43</v>
      </c>
      <c r="T568" s="78">
        <v>3</v>
      </c>
      <c r="U568" s="78">
        <v>2</v>
      </c>
      <c r="V568" s="78" t="s">
        <v>88</v>
      </c>
      <c r="W568" s="78" t="s">
        <v>428</v>
      </c>
      <c r="X568" s="78">
        <v>29</v>
      </c>
      <c r="Y568" s="78">
        <v>21</v>
      </c>
      <c r="Z568" s="78" t="s">
        <v>1076</v>
      </c>
      <c r="AA568" s="78" t="s">
        <v>1077</v>
      </c>
      <c r="AB568" s="78" t="s">
        <v>84</v>
      </c>
      <c r="AC568" s="78" t="s">
        <v>85</v>
      </c>
      <c r="AD568" s="78" t="s">
        <v>1072</v>
      </c>
      <c r="AG568" s="78" t="s">
        <v>1078</v>
      </c>
      <c r="AH568" s="78">
        <v>0</v>
      </c>
      <c r="AI568" s="78">
        <v>249</v>
      </c>
      <c r="AJ568" s="78">
        <v>19</v>
      </c>
      <c r="AK568" s="78">
        <v>602</v>
      </c>
      <c r="AL568" s="78">
        <v>1.28</v>
      </c>
    </row>
    <row r="569" spans="1:38" x14ac:dyDescent="0.3">
      <c r="A569" s="78" t="s">
        <v>1079</v>
      </c>
      <c r="B569" s="78">
        <v>137450</v>
      </c>
      <c r="C569" s="78">
        <v>1</v>
      </c>
      <c r="D569" s="78" t="s">
        <v>1080</v>
      </c>
      <c r="E569" s="78" t="s">
        <v>662</v>
      </c>
      <c r="F569" s="78">
        <v>184</v>
      </c>
      <c r="G569" s="78">
        <v>19.13</v>
      </c>
      <c r="H569" s="78">
        <v>63.27</v>
      </c>
      <c r="I569" s="78">
        <v>14.67</v>
      </c>
      <c r="J569" s="78">
        <v>48.51</v>
      </c>
      <c r="K569" s="78">
        <v>88</v>
      </c>
      <c r="T569" s="78">
        <v>2</v>
      </c>
      <c r="U569" s="78">
        <v>1</v>
      </c>
      <c r="V569" s="78" t="s">
        <v>88</v>
      </c>
      <c r="W569" s="78">
        <v>63</v>
      </c>
      <c r="X569" s="78">
        <v>20</v>
      </c>
      <c r="Y569" s="78">
        <v>14</v>
      </c>
      <c r="Z569" s="78" t="s">
        <v>1081</v>
      </c>
      <c r="AA569" s="78" t="s">
        <v>1082</v>
      </c>
      <c r="AB569" s="78" t="s">
        <v>84</v>
      </c>
      <c r="AC569" s="78" t="s">
        <v>85</v>
      </c>
      <c r="AD569" s="78" t="s">
        <v>1083</v>
      </c>
      <c r="AG569" s="78" t="s">
        <v>1084</v>
      </c>
      <c r="AH569" s="78">
        <v>0</v>
      </c>
      <c r="AI569" s="78">
        <v>121</v>
      </c>
      <c r="AJ569" s="78">
        <v>34</v>
      </c>
      <c r="AK569" s="78">
        <v>180</v>
      </c>
      <c r="AL569" s="78">
        <v>0.98</v>
      </c>
    </row>
    <row r="570" spans="1:38" x14ac:dyDescent="0.3">
      <c r="A570" s="78" t="s">
        <v>1079</v>
      </c>
      <c r="B570" s="78">
        <v>137450</v>
      </c>
      <c r="C570" s="78">
        <v>2</v>
      </c>
      <c r="D570" s="78" t="s">
        <v>1080</v>
      </c>
      <c r="E570" s="78" t="s">
        <v>662</v>
      </c>
      <c r="F570" s="78">
        <v>184</v>
      </c>
      <c r="G570" s="78">
        <v>19.600000000000001</v>
      </c>
      <c r="H570" s="78">
        <v>64.8</v>
      </c>
      <c r="I570" s="78">
        <v>15.03</v>
      </c>
      <c r="J570" s="78">
        <v>49.69</v>
      </c>
      <c r="K570" s="78">
        <v>24</v>
      </c>
      <c r="T570" s="78">
        <v>3</v>
      </c>
      <c r="U570" s="78">
        <v>1</v>
      </c>
      <c r="V570" s="78" t="s">
        <v>88</v>
      </c>
      <c r="W570" s="78" t="s">
        <v>391</v>
      </c>
      <c r="X570" s="78">
        <v>20</v>
      </c>
      <c r="Y570" s="78">
        <v>14</v>
      </c>
      <c r="Z570" s="78" t="s">
        <v>1081</v>
      </c>
      <c r="AA570" s="78" t="s">
        <v>1082</v>
      </c>
      <c r="AB570" s="78" t="s">
        <v>84</v>
      </c>
      <c r="AC570" s="78" t="s">
        <v>85</v>
      </c>
      <c r="AD570" s="78" t="s">
        <v>1083</v>
      </c>
      <c r="AG570" s="78" t="s">
        <v>1084</v>
      </c>
      <c r="AH570" s="78">
        <v>0</v>
      </c>
      <c r="AI570" s="78">
        <v>121</v>
      </c>
      <c r="AJ570" s="78">
        <v>34</v>
      </c>
      <c r="AK570" s="78">
        <v>180</v>
      </c>
      <c r="AL570" s="78">
        <v>0.98</v>
      </c>
    </row>
    <row r="571" spans="1:38" x14ac:dyDescent="0.3">
      <c r="A571" s="78" t="s">
        <v>1079</v>
      </c>
      <c r="B571" s="78">
        <v>137450</v>
      </c>
      <c r="C571" s="78">
        <v>3</v>
      </c>
      <c r="D571" s="78" t="s">
        <v>1080</v>
      </c>
      <c r="E571" s="78" t="s">
        <v>662</v>
      </c>
      <c r="F571" s="78">
        <v>184</v>
      </c>
      <c r="G571" s="78">
        <v>21.47</v>
      </c>
      <c r="H571" s="78">
        <v>70.98</v>
      </c>
      <c r="I571" s="78">
        <v>16.5</v>
      </c>
      <c r="J571" s="78">
        <v>54.56</v>
      </c>
      <c r="K571" s="78">
        <v>16</v>
      </c>
      <c r="T571" s="78">
        <v>3</v>
      </c>
      <c r="U571" s="78">
        <v>1</v>
      </c>
      <c r="V571" s="78" t="s">
        <v>88</v>
      </c>
      <c r="W571" s="78" t="s">
        <v>682</v>
      </c>
      <c r="X571" s="78">
        <v>20</v>
      </c>
      <c r="Y571" s="78">
        <v>14</v>
      </c>
      <c r="Z571" s="78" t="s">
        <v>1081</v>
      </c>
      <c r="AA571" s="78" t="s">
        <v>1082</v>
      </c>
      <c r="AB571" s="78" t="s">
        <v>84</v>
      </c>
      <c r="AC571" s="78" t="s">
        <v>85</v>
      </c>
      <c r="AD571" s="78" t="s">
        <v>1083</v>
      </c>
      <c r="AG571" s="78" t="s">
        <v>1084</v>
      </c>
      <c r="AH571" s="78">
        <v>0</v>
      </c>
      <c r="AI571" s="78">
        <v>121</v>
      </c>
      <c r="AJ571" s="78">
        <v>34</v>
      </c>
      <c r="AK571" s="78">
        <v>180</v>
      </c>
      <c r="AL571" s="78">
        <v>0.98</v>
      </c>
    </row>
    <row r="572" spans="1:38" x14ac:dyDescent="0.3">
      <c r="A572" s="78" t="s">
        <v>1079</v>
      </c>
      <c r="B572" s="78">
        <v>137450</v>
      </c>
      <c r="C572" s="78">
        <v>4</v>
      </c>
      <c r="D572" s="78" t="s">
        <v>1080</v>
      </c>
      <c r="E572" s="78" t="s">
        <v>662</v>
      </c>
      <c r="F572" s="78">
        <v>184</v>
      </c>
      <c r="G572" s="78">
        <v>23.05</v>
      </c>
      <c r="H572" s="78">
        <v>76.2</v>
      </c>
      <c r="I572" s="78">
        <v>17.72</v>
      </c>
      <c r="J572" s="78">
        <v>58.6</v>
      </c>
      <c r="K572" s="78">
        <v>56</v>
      </c>
      <c r="T572" s="78">
        <v>3</v>
      </c>
      <c r="U572" s="78">
        <v>1</v>
      </c>
      <c r="V572" s="78" t="s">
        <v>88</v>
      </c>
      <c r="W572" s="78" t="s">
        <v>887</v>
      </c>
      <c r="X572" s="78">
        <v>20</v>
      </c>
      <c r="Y572" s="78">
        <v>14</v>
      </c>
      <c r="Z572" s="78" t="s">
        <v>1081</v>
      </c>
      <c r="AA572" s="78" t="s">
        <v>1082</v>
      </c>
      <c r="AB572" s="78" t="s">
        <v>84</v>
      </c>
      <c r="AC572" s="78" t="s">
        <v>85</v>
      </c>
      <c r="AD572" s="78" t="s">
        <v>1083</v>
      </c>
      <c r="AG572" s="78" t="s">
        <v>1084</v>
      </c>
      <c r="AH572" s="78">
        <v>0</v>
      </c>
      <c r="AI572" s="78">
        <v>121</v>
      </c>
      <c r="AJ572" s="78">
        <v>34</v>
      </c>
      <c r="AK572" s="78">
        <v>180</v>
      </c>
      <c r="AL572" s="78">
        <v>0.98</v>
      </c>
    </row>
    <row r="573" spans="1:38" x14ac:dyDescent="0.3">
      <c r="A573" s="78" t="s">
        <v>1085</v>
      </c>
      <c r="B573" s="78">
        <v>104593</v>
      </c>
      <c r="C573" s="78">
        <v>1</v>
      </c>
      <c r="D573" s="78" t="s">
        <v>1086</v>
      </c>
      <c r="E573" s="78" t="s">
        <v>1087</v>
      </c>
      <c r="F573" s="78">
        <v>198</v>
      </c>
      <c r="G573" s="78">
        <v>24.94</v>
      </c>
      <c r="H573" s="78">
        <v>82.46</v>
      </c>
      <c r="I573" s="78">
        <v>18.14</v>
      </c>
      <c r="J573" s="78">
        <v>59.98</v>
      </c>
      <c r="K573" s="78">
        <v>108</v>
      </c>
      <c r="T573" s="78">
        <v>3</v>
      </c>
      <c r="U573" s="78">
        <v>2</v>
      </c>
      <c r="V573" s="78" t="s">
        <v>88</v>
      </c>
      <c r="W573" s="78">
        <v>82</v>
      </c>
      <c r="X573" s="78">
        <v>15</v>
      </c>
      <c r="Y573" s="78">
        <v>13</v>
      </c>
      <c r="Z573" s="78" t="s">
        <v>1088</v>
      </c>
      <c r="AA573" s="78" t="s">
        <v>1089</v>
      </c>
      <c r="AB573" s="78" t="s">
        <v>84</v>
      </c>
      <c r="AC573" s="78" t="s">
        <v>85</v>
      </c>
      <c r="AD573" s="78" t="s">
        <v>1090</v>
      </c>
      <c r="AG573" s="78" t="s">
        <v>1091</v>
      </c>
      <c r="AH573" s="78">
        <v>0</v>
      </c>
      <c r="AI573" s="78">
        <v>336</v>
      </c>
      <c r="AJ573" s="78">
        <v>31</v>
      </c>
      <c r="AK573" s="78">
        <v>171</v>
      </c>
      <c r="AL573" s="78">
        <v>0.86</v>
      </c>
    </row>
    <row r="574" spans="1:38" x14ac:dyDescent="0.3">
      <c r="A574" s="78" t="s">
        <v>1085</v>
      </c>
      <c r="B574" s="78">
        <v>104593</v>
      </c>
      <c r="C574" s="78">
        <v>2</v>
      </c>
      <c r="D574" s="78" t="s">
        <v>1086</v>
      </c>
      <c r="E574" s="78" t="s">
        <v>1087</v>
      </c>
      <c r="F574" s="78">
        <v>198</v>
      </c>
      <c r="G574" s="78">
        <v>31.13</v>
      </c>
      <c r="H574" s="78">
        <v>102.94</v>
      </c>
      <c r="I574" s="78">
        <v>25.7</v>
      </c>
      <c r="J574" s="78">
        <v>84.96</v>
      </c>
      <c r="K574" s="78">
        <v>90</v>
      </c>
      <c r="T574" s="78">
        <v>3</v>
      </c>
      <c r="U574" s="78">
        <v>2</v>
      </c>
      <c r="V574" s="78" t="s">
        <v>88</v>
      </c>
      <c r="W574" s="78">
        <v>102</v>
      </c>
      <c r="X574" s="78">
        <v>15</v>
      </c>
      <c r="Y574" s="78">
        <v>13</v>
      </c>
      <c r="Z574" s="78" t="s">
        <v>1088</v>
      </c>
      <c r="AA574" s="78" t="s">
        <v>1089</v>
      </c>
      <c r="AB574" s="78" t="s">
        <v>84</v>
      </c>
      <c r="AC574" s="78" t="s">
        <v>85</v>
      </c>
      <c r="AD574" s="78" t="s">
        <v>1090</v>
      </c>
      <c r="AG574" s="78" t="s">
        <v>1091</v>
      </c>
      <c r="AH574" s="78">
        <v>0</v>
      </c>
      <c r="AI574" s="78">
        <v>336</v>
      </c>
      <c r="AJ574" s="78">
        <v>31</v>
      </c>
      <c r="AK574" s="78">
        <v>171</v>
      </c>
      <c r="AL574" s="78">
        <v>0.86</v>
      </c>
    </row>
    <row r="575" spans="1:38" x14ac:dyDescent="0.3">
      <c r="A575" s="78" t="s">
        <v>1085</v>
      </c>
      <c r="B575" s="78">
        <v>22980</v>
      </c>
      <c r="C575" s="78">
        <v>1</v>
      </c>
      <c r="D575" s="78" t="s">
        <v>1092</v>
      </c>
      <c r="E575" s="78" t="s">
        <v>115</v>
      </c>
      <c r="F575" s="78">
        <v>210</v>
      </c>
      <c r="G575" s="78">
        <v>38.340000000000003</v>
      </c>
      <c r="H575" s="78">
        <v>126.77</v>
      </c>
      <c r="I575" s="78">
        <v>30.74</v>
      </c>
      <c r="J575" s="78">
        <v>101.65</v>
      </c>
      <c r="K575" s="78">
        <v>120</v>
      </c>
      <c r="T575" s="78">
        <v>3</v>
      </c>
      <c r="U575" s="78">
        <v>2</v>
      </c>
      <c r="V575" s="78" t="s">
        <v>88</v>
      </c>
      <c r="W575" s="78">
        <v>126</v>
      </c>
      <c r="X575" s="78">
        <v>15</v>
      </c>
      <c r="Y575" s="78">
        <v>15</v>
      </c>
      <c r="Z575" s="78" t="s">
        <v>1093</v>
      </c>
      <c r="AA575" s="78" t="s">
        <v>1094</v>
      </c>
      <c r="AB575" s="78" t="s">
        <v>84</v>
      </c>
      <c r="AC575" s="78" t="s">
        <v>85</v>
      </c>
      <c r="AD575" s="78" t="s">
        <v>1090</v>
      </c>
      <c r="AG575" s="78" t="s">
        <v>1095</v>
      </c>
      <c r="AH575" s="78">
        <v>0</v>
      </c>
      <c r="AI575" s="78">
        <v>188</v>
      </c>
      <c r="AJ575" s="78">
        <v>16</v>
      </c>
      <c r="AK575" s="78">
        <v>373</v>
      </c>
      <c r="AL575" s="78">
        <v>1.78</v>
      </c>
    </row>
    <row r="576" spans="1:38" x14ac:dyDescent="0.3">
      <c r="A576" s="78" t="s">
        <v>1085</v>
      </c>
      <c r="B576" s="78">
        <v>22980</v>
      </c>
      <c r="C576" s="78">
        <v>2</v>
      </c>
      <c r="D576" s="78" t="s">
        <v>1092</v>
      </c>
      <c r="E576" s="78" t="s">
        <v>115</v>
      </c>
      <c r="F576" s="78">
        <v>210</v>
      </c>
      <c r="G576" s="78">
        <v>49.9</v>
      </c>
      <c r="H576" s="78">
        <v>164.97</v>
      </c>
      <c r="I576" s="78">
        <v>42.97</v>
      </c>
      <c r="J576" s="78">
        <v>142.05000000000001</v>
      </c>
      <c r="K576" s="78">
        <v>30</v>
      </c>
      <c r="T576" s="78">
        <v>4</v>
      </c>
      <c r="U576" s="78">
        <v>2</v>
      </c>
      <c r="V576" s="78" t="s">
        <v>88</v>
      </c>
      <c r="W576" s="78">
        <v>164</v>
      </c>
      <c r="X576" s="78">
        <v>15</v>
      </c>
      <c r="Y576" s="78">
        <v>15</v>
      </c>
      <c r="Z576" s="78" t="s">
        <v>1093</v>
      </c>
      <c r="AA576" s="78" t="s">
        <v>1094</v>
      </c>
      <c r="AB576" s="78" t="s">
        <v>84</v>
      </c>
      <c r="AC576" s="78" t="s">
        <v>85</v>
      </c>
      <c r="AD576" s="78" t="s">
        <v>1090</v>
      </c>
      <c r="AG576" s="78" t="s">
        <v>1095</v>
      </c>
      <c r="AH576" s="78">
        <v>0</v>
      </c>
      <c r="AI576" s="78">
        <v>188</v>
      </c>
      <c r="AJ576" s="78">
        <v>16</v>
      </c>
      <c r="AK576" s="78">
        <v>373</v>
      </c>
      <c r="AL576" s="78">
        <v>1.78</v>
      </c>
    </row>
    <row r="577" spans="1:38" x14ac:dyDescent="0.3">
      <c r="A577" s="78" t="s">
        <v>1085</v>
      </c>
      <c r="B577" s="78">
        <v>22980</v>
      </c>
      <c r="C577" s="78">
        <v>3</v>
      </c>
      <c r="D577" s="78" t="s">
        <v>1092</v>
      </c>
      <c r="E577" s="78" t="s">
        <v>115</v>
      </c>
      <c r="F577" s="78">
        <v>210</v>
      </c>
      <c r="G577" s="78">
        <v>57.45</v>
      </c>
      <c r="H577" s="78">
        <v>189.92</v>
      </c>
      <c r="I577" s="78">
        <v>50.35</v>
      </c>
      <c r="J577" s="78">
        <v>166.46</v>
      </c>
      <c r="K577" s="78">
        <v>45</v>
      </c>
      <c r="T577" s="78">
        <v>4</v>
      </c>
      <c r="U577" s="78">
        <v>2</v>
      </c>
      <c r="V577" s="78" t="s">
        <v>88</v>
      </c>
      <c r="W577" s="78">
        <v>189</v>
      </c>
      <c r="X577" s="78">
        <v>15</v>
      </c>
      <c r="Y577" s="78">
        <v>15</v>
      </c>
      <c r="Z577" s="78" t="s">
        <v>1093</v>
      </c>
      <c r="AA577" s="78" t="s">
        <v>1094</v>
      </c>
      <c r="AB577" s="78" t="s">
        <v>84</v>
      </c>
      <c r="AC577" s="78" t="s">
        <v>85</v>
      </c>
      <c r="AD577" s="78" t="s">
        <v>1090</v>
      </c>
      <c r="AG577" s="78" t="s">
        <v>1095</v>
      </c>
      <c r="AH577" s="78">
        <v>0</v>
      </c>
      <c r="AI577" s="78">
        <v>188</v>
      </c>
      <c r="AJ577" s="78">
        <v>16</v>
      </c>
      <c r="AK577" s="78">
        <v>373</v>
      </c>
      <c r="AL577" s="78">
        <v>1.78</v>
      </c>
    </row>
    <row r="578" spans="1:38" x14ac:dyDescent="0.3">
      <c r="A578" s="78" t="s">
        <v>1085</v>
      </c>
      <c r="B578" s="78">
        <v>22980</v>
      </c>
      <c r="C578" s="78">
        <v>4</v>
      </c>
      <c r="D578" s="78" t="s">
        <v>1092</v>
      </c>
      <c r="E578" s="78" t="s">
        <v>115</v>
      </c>
      <c r="F578" s="78">
        <v>210</v>
      </c>
      <c r="G578" s="78">
        <v>58.6</v>
      </c>
      <c r="H578" s="78">
        <v>193.75</v>
      </c>
      <c r="I578" s="78">
        <v>51.53</v>
      </c>
      <c r="J578" s="78">
        <v>170.35</v>
      </c>
      <c r="K578" s="78">
        <v>15</v>
      </c>
      <c r="T578" s="78">
        <v>4</v>
      </c>
      <c r="U578" s="78">
        <v>2</v>
      </c>
      <c r="V578" s="78" t="s">
        <v>88</v>
      </c>
      <c r="W578" s="78">
        <v>193</v>
      </c>
      <c r="X578" s="78">
        <v>15</v>
      </c>
      <c r="Y578" s="78">
        <v>15</v>
      </c>
      <c r="Z578" s="78" t="s">
        <v>1093</v>
      </c>
      <c r="AA578" s="78" t="s">
        <v>1094</v>
      </c>
      <c r="AB578" s="78" t="s">
        <v>84</v>
      </c>
      <c r="AC578" s="78" t="s">
        <v>85</v>
      </c>
      <c r="AD578" s="78" t="s">
        <v>1090</v>
      </c>
      <c r="AG578" s="78" t="s">
        <v>1095</v>
      </c>
      <c r="AH578" s="78">
        <v>0</v>
      </c>
      <c r="AI578" s="78">
        <v>188</v>
      </c>
      <c r="AJ578" s="78">
        <v>16</v>
      </c>
      <c r="AK578" s="78">
        <v>373</v>
      </c>
      <c r="AL578" s="78">
        <v>1.78</v>
      </c>
    </row>
    <row r="579" spans="1:38" x14ac:dyDescent="0.3">
      <c r="A579" s="78" t="s">
        <v>1085</v>
      </c>
      <c r="B579" s="78">
        <v>23010</v>
      </c>
      <c r="C579" s="78">
        <v>1</v>
      </c>
      <c r="D579" s="78" t="s">
        <v>1096</v>
      </c>
      <c r="E579" s="78" t="s">
        <v>1097</v>
      </c>
      <c r="F579" s="78">
        <v>90</v>
      </c>
      <c r="G579" s="78">
        <v>30.93</v>
      </c>
      <c r="H579" s="78">
        <v>102.26</v>
      </c>
      <c r="I579" s="78">
        <v>25.65</v>
      </c>
      <c r="J579" s="78">
        <v>84.82</v>
      </c>
      <c r="K579" s="78">
        <v>90</v>
      </c>
      <c r="T579" s="78">
        <v>3</v>
      </c>
      <c r="U579" s="78">
        <v>2</v>
      </c>
      <c r="V579" s="78" t="s">
        <v>88</v>
      </c>
      <c r="W579" s="78">
        <v>102</v>
      </c>
      <c r="X579" s="78">
        <v>15</v>
      </c>
      <c r="Y579" s="78">
        <v>15</v>
      </c>
      <c r="Z579" s="78" t="s">
        <v>1098</v>
      </c>
      <c r="AA579" s="78" t="s">
        <v>1099</v>
      </c>
      <c r="AB579" s="78" t="s">
        <v>84</v>
      </c>
      <c r="AC579" s="78" t="s">
        <v>85</v>
      </c>
      <c r="AD579" s="78" t="s">
        <v>1090</v>
      </c>
      <c r="AG579" s="78" t="s">
        <v>1100</v>
      </c>
      <c r="AH579" s="78">
        <v>0</v>
      </c>
      <c r="AI579" s="78">
        <v>234</v>
      </c>
      <c r="AJ579" s="78">
        <v>18</v>
      </c>
      <c r="AK579" s="78">
        <v>91</v>
      </c>
      <c r="AL579" s="78">
        <v>1.01</v>
      </c>
    </row>
    <row r="580" spans="1:38" x14ac:dyDescent="0.3">
      <c r="A580" s="78" t="s">
        <v>1101</v>
      </c>
      <c r="B580" s="78">
        <v>116353</v>
      </c>
      <c r="C580" s="78">
        <v>1</v>
      </c>
      <c r="D580" s="78" t="s">
        <v>1102</v>
      </c>
      <c r="E580" s="78" t="s">
        <v>577</v>
      </c>
      <c r="F580" s="78">
        <v>40</v>
      </c>
      <c r="G580" s="78">
        <v>23.13</v>
      </c>
      <c r="H580" s="78">
        <v>76.48</v>
      </c>
      <c r="I580" s="78">
        <v>17.75</v>
      </c>
      <c r="J580" s="78">
        <v>58.7</v>
      </c>
      <c r="K580" s="78">
        <v>20</v>
      </c>
      <c r="T580" s="78">
        <v>3</v>
      </c>
      <c r="U580" s="78">
        <v>1</v>
      </c>
      <c r="V580" s="78" t="s">
        <v>88</v>
      </c>
      <c r="W580" s="78" t="s">
        <v>384</v>
      </c>
      <c r="X580" s="78">
        <v>10</v>
      </c>
      <c r="Y580" s="78">
        <v>10</v>
      </c>
      <c r="Z580" s="78" t="s">
        <v>1103</v>
      </c>
      <c r="AA580" s="78" t="s">
        <v>1104</v>
      </c>
      <c r="AB580" s="78" t="s">
        <v>84</v>
      </c>
      <c r="AC580" s="78" t="s">
        <v>85</v>
      </c>
      <c r="AD580" s="78" t="s">
        <v>1105</v>
      </c>
      <c r="AG580" s="78" t="s">
        <v>1106</v>
      </c>
      <c r="AH580" s="78">
        <v>0</v>
      </c>
      <c r="AI580" s="78">
        <v>192</v>
      </c>
      <c r="AJ580" s="78">
        <v>26</v>
      </c>
      <c r="AK580" s="78">
        <v>32</v>
      </c>
      <c r="AL580" s="78">
        <v>0.8</v>
      </c>
    </row>
    <row r="581" spans="1:38" x14ac:dyDescent="0.3">
      <c r="A581" s="78" t="s">
        <v>1101</v>
      </c>
      <c r="B581" s="78">
        <v>116353</v>
      </c>
      <c r="C581" s="78">
        <v>2</v>
      </c>
      <c r="D581" s="78" t="s">
        <v>1102</v>
      </c>
      <c r="E581" s="78" t="s">
        <v>577</v>
      </c>
      <c r="F581" s="78">
        <v>40</v>
      </c>
      <c r="G581" s="78">
        <v>23.43</v>
      </c>
      <c r="H581" s="78">
        <v>77.459999999999994</v>
      </c>
      <c r="I581" s="78">
        <v>17.98</v>
      </c>
      <c r="J581" s="78">
        <v>59.46</v>
      </c>
      <c r="K581" s="78">
        <v>20</v>
      </c>
      <c r="T581" s="78">
        <v>3</v>
      </c>
      <c r="U581" s="78">
        <v>1</v>
      </c>
      <c r="V581" s="78" t="s">
        <v>88</v>
      </c>
      <c r="W581" s="78" t="s">
        <v>655</v>
      </c>
      <c r="X581" s="78">
        <v>10</v>
      </c>
      <c r="Y581" s="78">
        <v>10</v>
      </c>
      <c r="Z581" s="78" t="s">
        <v>1103</v>
      </c>
      <c r="AA581" s="78" t="s">
        <v>1104</v>
      </c>
      <c r="AB581" s="78" t="s">
        <v>84</v>
      </c>
      <c r="AC581" s="78" t="s">
        <v>85</v>
      </c>
      <c r="AD581" s="78" t="s">
        <v>1105</v>
      </c>
      <c r="AG581" s="78" t="s">
        <v>1106</v>
      </c>
      <c r="AH581" s="78">
        <v>0</v>
      </c>
      <c r="AI581" s="78">
        <v>192</v>
      </c>
      <c r="AJ581" s="78">
        <v>26</v>
      </c>
      <c r="AK581" s="78">
        <v>32</v>
      </c>
      <c r="AL581" s="78">
        <v>0.8</v>
      </c>
    </row>
    <row r="582" spans="1:38" x14ac:dyDescent="0.3">
      <c r="A582" s="78" t="s">
        <v>1107</v>
      </c>
      <c r="B582" s="78">
        <v>106424</v>
      </c>
      <c r="C582" s="78">
        <v>1</v>
      </c>
      <c r="D582" s="78" t="s">
        <v>1108</v>
      </c>
      <c r="E582" s="78" t="s">
        <v>460</v>
      </c>
      <c r="F582" s="78">
        <v>158</v>
      </c>
      <c r="G582" s="78">
        <v>22.42</v>
      </c>
      <c r="H582" s="78">
        <v>74.13</v>
      </c>
      <c r="I582" s="78">
        <v>18.07</v>
      </c>
      <c r="J582" s="78">
        <v>59.76</v>
      </c>
      <c r="K582" s="78">
        <v>60</v>
      </c>
      <c r="T582" s="78">
        <v>3</v>
      </c>
      <c r="U582" s="78">
        <v>1</v>
      </c>
      <c r="V582" s="78" t="s">
        <v>81</v>
      </c>
      <c r="W582" s="78">
        <v>74</v>
      </c>
      <c r="X582" s="78">
        <v>15</v>
      </c>
      <c r="Y582" s="78">
        <v>13</v>
      </c>
      <c r="Z582" s="78" t="s">
        <v>1109</v>
      </c>
      <c r="AA582" s="78" t="s">
        <v>1110</v>
      </c>
      <c r="AB582" s="78" t="s">
        <v>84</v>
      </c>
      <c r="AC582" s="78" t="s">
        <v>85</v>
      </c>
      <c r="AD582" s="78" t="s">
        <v>1111</v>
      </c>
      <c r="AG582" s="78" t="s">
        <v>1112</v>
      </c>
      <c r="AH582" s="78">
        <v>0</v>
      </c>
      <c r="AI582" s="78">
        <v>223</v>
      </c>
      <c r="AJ582" s="78">
        <v>15</v>
      </c>
      <c r="AK582" s="78">
        <v>78</v>
      </c>
      <c r="AL582" s="78">
        <v>0.49</v>
      </c>
    </row>
    <row r="583" spans="1:38" x14ac:dyDescent="0.3">
      <c r="A583" s="78" t="s">
        <v>1107</v>
      </c>
      <c r="B583" s="78">
        <v>106424</v>
      </c>
      <c r="C583" s="78">
        <v>2</v>
      </c>
      <c r="D583" s="78" t="s">
        <v>1108</v>
      </c>
      <c r="E583" s="78" t="s">
        <v>460</v>
      </c>
      <c r="F583" s="78">
        <v>158</v>
      </c>
      <c r="G583" s="78">
        <v>26.66</v>
      </c>
      <c r="H583" s="78">
        <v>88.14</v>
      </c>
      <c r="I583" s="78">
        <v>21.48</v>
      </c>
      <c r="J583" s="78">
        <v>71.010000000000005</v>
      </c>
      <c r="K583" s="78">
        <v>84</v>
      </c>
      <c r="T583" s="78">
        <v>3</v>
      </c>
      <c r="U583" s="78">
        <v>2</v>
      </c>
      <c r="V583" s="78" t="s">
        <v>81</v>
      </c>
      <c r="W583" s="78">
        <v>88</v>
      </c>
      <c r="X583" s="78">
        <v>15</v>
      </c>
      <c r="Y583" s="78">
        <v>13</v>
      </c>
      <c r="Z583" s="78" t="s">
        <v>1109</v>
      </c>
      <c r="AA583" s="78" t="s">
        <v>1110</v>
      </c>
      <c r="AB583" s="78" t="s">
        <v>84</v>
      </c>
      <c r="AC583" s="78" t="s">
        <v>85</v>
      </c>
      <c r="AD583" s="78" t="s">
        <v>1111</v>
      </c>
      <c r="AG583" s="78" t="s">
        <v>1112</v>
      </c>
      <c r="AH583" s="78">
        <v>0</v>
      </c>
      <c r="AI583" s="78">
        <v>223</v>
      </c>
      <c r="AJ583" s="78">
        <v>15</v>
      </c>
      <c r="AK583" s="78">
        <v>78</v>
      </c>
      <c r="AL583" s="78">
        <v>0.49</v>
      </c>
    </row>
    <row r="584" spans="1:38" x14ac:dyDescent="0.3">
      <c r="A584" s="78" t="s">
        <v>1107</v>
      </c>
      <c r="B584" s="78">
        <v>106424</v>
      </c>
      <c r="C584" s="78">
        <v>3</v>
      </c>
      <c r="D584" s="78" t="s">
        <v>1108</v>
      </c>
      <c r="E584" s="78" t="s">
        <v>460</v>
      </c>
      <c r="F584" s="78">
        <v>158</v>
      </c>
      <c r="G584" s="78">
        <v>30.21</v>
      </c>
      <c r="H584" s="78">
        <v>99.88</v>
      </c>
      <c r="I584" s="78">
        <v>21.87</v>
      </c>
      <c r="J584" s="78">
        <v>72.33</v>
      </c>
      <c r="K584" s="78">
        <v>14</v>
      </c>
      <c r="T584" s="78">
        <v>3</v>
      </c>
      <c r="U584" s="78">
        <v>2</v>
      </c>
      <c r="V584" s="78" t="s">
        <v>81</v>
      </c>
      <c r="W584" s="78">
        <v>99</v>
      </c>
      <c r="X584" s="78">
        <v>15</v>
      </c>
      <c r="Y584" s="78">
        <v>13</v>
      </c>
      <c r="Z584" s="78" t="s">
        <v>1109</v>
      </c>
      <c r="AA584" s="78" t="s">
        <v>1110</v>
      </c>
      <c r="AB584" s="78" t="s">
        <v>84</v>
      </c>
      <c r="AC584" s="78" t="s">
        <v>85</v>
      </c>
      <c r="AD584" s="78" t="s">
        <v>1111</v>
      </c>
      <c r="AG584" s="78" t="s">
        <v>1112</v>
      </c>
      <c r="AH584" s="78">
        <v>0</v>
      </c>
      <c r="AI584" s="78">
        <v>223</v>
      </c>
      <c r="AJ584" s="78">
        <v>15</v>
      </c>
      <c r="AK584" s="78">
        <v>78</v>
      </c>
      <c r="AL584" s="78">
        <v>0.49</v>
      </c>
    </row>
    <row r="585" spans="1:38" x14ac:dyDescent="0.3">
      <c r="A585" s="78" t="s">
        <v>1107</v>
      </c>
      <c r="B585" s="78">
        <v>14977</v>
      </c>
      <c r="C585" s="78">
        <v>1</v>
      </c>
      <c r="D585" s="78" t="s">
        <v>1113</v>
      </c>
      <c r="E585" s="78" t="s">
        <v>1114</v>
      </c>
      <c r="F585" s="78">
        <v>120</v>
      </c>
      <c r="G585" s="78">
        <v>23.93</v>
      </c>
      <c r="H585" s="78">
        <v>79.14</v>
      </c>
      <c r="I585" s="78">
        <v>22.05</v>
      </c>
      <c r="J585" s="78">
        <v>72.900000000000006</v>
      </c>
      <c r="K585" s="78">
        <v>50</v>
      </c>
      <c r="T585" s="78">
        <v>3</v>
      </c>
      <c r="U585" s="78">
        <v>1</v>
      </c>
      <c r="V585" s="78" t="s">
        <v>88</v>
      </c>
      <c r="W585" s="78">
        <v>79</v>
      </c>
      <c r="X585" s="78">
        <v>5</v>
      </c>
      <c r="Y585" s="78">
        <v>5</v>
      </c>
      <c r="Z585" s="78" t="s">
        <v>1115</v>
      </c>
      <c r="AA585" s="78" t="s">
        <v>1116</v>
      </c>
      <c r="AB585" s="78" t="s">
        <v>84</v>
      </c>
      <c r="AC585" s="78" t="s">
        <v>85</v>
      </c>
      <c r="AD585" s="78" t="s">
        <v>1111</v>
      </c>
      <c r="AG585" s="78" t="s">
        <v>1117</v>
      </c>
      <c r="AH585" s="78">
        <v>0</v>
      </c>
      <c r="AI585" s="78">
        <v>0</v>
      </c>
      <c r="AJ585" s="78">
        <v>0</v>
      </c>
      <c r="AK585" s="78">
        <v>0</v>
      </c>
      <c r="AL585" s="78">
        <v>0</v>
      </c>
    </row>
    <row r="586" spans="1:38" x14ac:dyDescent="0.3">
      <c r="A586" s="78" t="s">
        <v>1107</v>
      </c>
      <c r="B586" s="78">
        <v>14977</v>
      </c>
      <c r="C586" s="78">
        <v>2</v>
      </c>
      <c r="D586" s="78" t="s">
        <v>1113</v>
      </c>
      <c r="E586" s="78" t="s">
        <v>1114</v>
      </c>
      <c r="F586" s="78">
        <v>120</v>
      </c>
      <c r="G586" s="78">
        <v>26.4</v>
      </c>
      <c r="H586" s="78">
        <v>87.3</v>
      </c>
      <c r="I586" s="78">
        <v>24.66</v>
      </c>
      <c r="J586" s="78">
        <v>81.540000000000006</v>
      </c>
      <c r="K586" s="78">
        <v>50</v>
      </c>
      <c r="T586" s="78">
        <v>3</v>
      </c>
      <c r="U586" s="78">
        <v>2</v>
      </c>
      <c r="V586" s="78" t="s">
        <v>88</v>
      </c>
      <c r="W586" s="78">
        <v>87</v>
      </c>
      <c r="X586" s="78">
        <v>5</v>
      </c>
      <c r="Y586" s="78">
        <v>5</v>
      </c>
      <c r="Z586" s="78" t="s">
        <v>1115</v>
      </c>
      <c r="AA586" s="78" t="s">
        <v>1116</v>
      </c>
      <c r="AB586" s="78" t="s">
        <v>84</v>
      </c>
      <c r="AC586" s="78" t="s">
        <v>85</v>
      </c>
      <c r="AD586" s="78" t="s">
        <v>1111</v>
      </c>
      <c r="AG586" s="78" t="s">
        <v>1117</v>
      </c>
      <c r="AH586" s="78">
        <v>0</v>
      </c>
      <c r="AI586" s="78">
        <v>0</v>
      </c>
      <c r="AJ586" s="78">
        <v>0</v>
      </c>
      <c r="AK586" s="78">
        <v>0</v>
      </c>
      <c r="AL586" s="78">
        <v>0</v>
      </c>
    </row>
    <row r="587" spans="1:38" x14ac:dyDescent="0.3">
      <c r="A587" s="78" t="s">
        <v>1107</v>
      </c>
      <c r="B587" s="78">
        <v>14977</v>
      </c>
      <c r="C587" s="78">
        <v>3</v>
      </c>
      <c r="D587" s="78" t="s">
        <v>1113</v>
      </c>
      <c r="E587" s="78" t="s">
        <v>1114</v>
      </c>
      <c r="F587" s="78">
        <v>120</v>
      </c>
      <c r="G587" s="78">
        <v>27.22</v>
      </c>
      <c r="H587" s="78">
        <v>90</v>
      </c>
      <c r="I587" s="78">
        <v>25.33</v>
      </c>
      <c r="J587" s="78">
        <v>83.76</v>
      </c>
      <c r="K587" s="78">
        <v>20</v>
      </c>
      <c r="T587" s="78">
        <v>3</v>
      </c>
      <c r="U587" s="78">
        <v>2</v>
      </c>
      <c r="V587" s="78" t="s">
        <v>88</v>
      </c>
      <c r="W587" s="78">
        <v>90</v>
      </c>
      <c r="X587" s="78">
        <v>5</v>
      </c>
      <c r="Y587" s="78">
        <v>5</v>
      </c>
      <c r="Z587" s="78" t="s">
        <v>1115</v>
      </c>
      <c r="AA587" s="78" t="s">
        <v>1116</v>
      </c>
      <c r="AB587" s="78" t="s">
        <v>84</v>
      </c>
      <c r="AC587" s="78" t="s">
        <v>85</v>
      </c>
      <c r="AD587" s="78" t="s">
        <v>1111</v>
      </c>
      <c r="AG587" s="78" t="s">
        <v>1117</v>
      </c>
      <c r="AH587" s="78">
        <v>0</v>
      </c>
      <c r="AI587" s="78">
        <v>0</v>
      </c>
      <c r="AJ587" s="78">
        <v>0</v>
      </c>
      <c r="AK587" s="78">
        <v>0</v>
      </c>
      <c r="AL587" s="78">
        <v>0</v>
      </c>
    </row>
    <row r="588" spans="1:38" x14ac:dyDescent="0.3">
      <c r="A588" s="78" t="s">
        <v>1107</v>
      </c>
      <c r="B588" s="78">
        <v>27292</v>
      </c>
      <c r="C588" s="78">
        <v>1</v>
      </c>
      <c r="D588" s="78" t="s">
        <v>1118</v>
      </c>
      <c r="E588" s="78" t="s">
        <v>1016</v>
      </c>
      <c r="F588" s="78">
        <v>547</v>
      </c>
      <c r="G588" s="78">
        <v>23.13</v>
      </c>
      <c r="H588" s="78">
        <v>76.48</v>
      </c>
      <c r="I588" s="78">
        <v>18.059999999999999</v>
      </c>
      <c r="J588" s="78">
        <v>59.71</v>
      </c>
      <c r="K588" s="78">
        <v>48</v>
      </c>
      <c r="T588" s="78">
        <v>2</v>
      </c>
      <c r="U588" s="78">
        <v>1</v>
      </c>
      <c r="V588" s="78" t="s">
        <v>88</v>
      </c>
      <c r="W588" s="78">
        <v>76</v>
      </c>
      <c r="X588" s="78">
        <v>15</v>
      </c>
      <c r="Y588" s="78">
        <v>8</v>
      </c>
      <c r="Z588" s="78" t="s">
        <v>1119</v>
      </c>
      <c r="AA588" s="78" t="s">
        <v>1120</v>
      </c>
      <c r="AB588" s="78" t="s">
        <v>84</v>
      </c>
      <c r="AC588" s="78" t="s">
        <v>85</v>
      </c>
      <c r="AD588" s="78" t="s">
        <v>1111</v>
      </c>
      <c r="AG588" s="78" t="s">
        <v>1121</v>
      </c>
      <c r="AH588" s="78">
        <v>0</v>
      </c>
      <c r="AI588" s="78">
        <v>0</v>
      </c>
      <c r="AJ588" s="78">
        <v>0</v>
      </c>
      <c r="AK588" s="78">
        <v>452</v>
      </c>
      <c r="AL588" s="78">
        <v>0.83</v>
      </c>
    </row>
    <row r="589" spans="1:38" x14ac:dyDescent="0.3">
      <c r="A589" s="78" t="s">
        <v>1107</v>
      </c>
      <c r="B589" s="78">
        <v>27292</v>
      </c>
      <c r="C589" s="78">
        <v>2</v>
      </c>
      <c r="D589" s="78" t="s">
        <v>1118</v>
      </c>
      <c r="E589" s="78" t="s">
        <v>1016</v>
      </c>
      <c r="F589" s="78">
        <v>547</v>
      </c>
      <c r="G589" s="78">
        <v>24.95</v>
      </c>
      <c r="H589" s="78">
        <v>82.49</v>
      </c>
      <c r="I589" s="78">
        <v>18.14</v>
      </c>
      <c r="J589" s="78">
        <v>59.97</v>
      </c>
      <c r="K589" s="78">
        <v>259</v>
      </c>
      <c r="T589" s="78">
        <v>2</v>
      </c>
      <c r="U589" s="78">
        <v>1</v>
      </c>
      <c r="V589" s="78" t="s">
        <v>88</v>
      </c>
      <c r="W589" s="78">
        <v>82</v>
      </c>
      <c r="X589" s="78">
        <v>15</v>
      </c>
      <c r="Y589" s="78">
        <v>8</v>
      </c>
      <c r="Z589" s="78" t="s">
        <v>1119</v>
      </c>
      <c r="AA589" s="78" t="s">
        <v>1120</v>
      </c>
      <c r="AB589" s="78" t="s">
        <v>84</v>
      </c>
      <c r="AC589" s="78" t="s">
        <v>85</v>
      </c>
      <c r="AD589" s="78" t="s">
        <v>1111</v>
      </c>
      <c r="AG589" s="78" t="s">
        <v>1121</v>
      </c>
      <c r="AH589" s="78">
        <v>0</v>
      </c>
      <c r="AI589" s="78">
        <v>0</v>
      </c>
      <c r="AJ589" s="78">
        <v>0</v>
      </c>
      <c r="AK589" s="78">
        <v>452</v>
      </c>
      <c r="AL589" s="78">
        <v>0.83</v>
      </c>
    </row>
    <row r="590" spans="1:38" x14ac:dyDescent="0.3">
      <c r="A590" s="78" t="s">
        <v>1107</v>
      </c>
      <c r="B590" s="78">
        <v>27292</v>
      </c>
      <c r="C590" s="78">
        <v>3</v>
      </c>
      <c r="D590" s="78" t="s">
        <v>1118</v>
      </c>
      <c r="E590" s="78" t="s">
        <v>1016</v>
      </c>
      <c r="F590" s="78">
        <v>547</v>
      </c>
      <c r="G590" s="78">
        <v>31.19</v>
      </c>
      <c r="H590" s="78">
        <v>103.12</v>
      </c>
      <c r="I590" s="78">
        <v>25.7</v>
      </c>
      <c r="J590" s="78">
        <v>84.96</v>
      </c>
      <c r="K590" s="78">
        <v>210</v>
      </c>
      <c r="T590" s="78">
        <v>3</v>
      </c>
      <c r="U590" s="78">
        <v>2</v>
      </c>
      <c r="V590" s="78" t="s">
        <v>81</v>
      </c>
      <c r="W590" s="78" t="s">
        <v>1122</v>
      </c>
      <c r="X590" s="78">
        <v>15</v>
      </c>
      <c r="Y590" s="78">
        <v>8</v>
      </c>
      <c r="Z590" s="78" t="s">
        <v>1119</v>
      </c>
      <c r="AA590" s="78" t="s">
        <v>1120</v>
      </c>
      <c r="AB590" s="78" t="s">
        <v>84</v>
      </c>
      <c r="AC590" s="78" t="s">
        <v>85</v>
      </c>
      <c r="AD590" s="78" t="s">
        <v>1111</v>
      </c>
      <c r="AG590" s="78" t="s">
        <v>1121</v>
      </c>
      <c r="AH590" s="78">
        <v>0</v>
      </c>
      <c r="AI590" s="78">
        <v>0</v>
      </c>
      <c r="AJ590" s="78">
        <v>0</v>
      </c>
      <c r="AK590" s="78">
        <v>452</v>
      </c>
      <c r="AL590" s="78">
        <v>0.83</v>
      </c>
    </row>
    <row r="591" spans="1:38" x14ac:dyDescent="0.3">
      <c r="A591" s="78" t="s">
        <v>1107</v>
      </c>
      <c r="B591" s="78">
        <v>27292</v>
      </c>
      <c r="C591" s="78">
        <v>4</v>
      </c>
      <c r="D591" s="78" t="s">
        <v>1118</v>
      </c>
      <c r="E591" s="78" t="s">
        <v>1016</v>
      </c>
      <c r="F591" s="78">
        <v>547</v>
      </c>
      <c r="G591" s="78">
        <v>31.19</v>
      </c>
      <c r="H591" s="78">
        <v>103.13</v>
      </c>
      <c r="I591" s="78">
        <v>25.7</v>
      </c>
      <c r="J591" s="78">
        <v>84.99</v>
      </c>
      <c r="K591" s="78">
        <v>30</v>
      </c>
      <c r="T591" s="78">
        <v>3</v>
      </c>
      <c r="U591" s="78">
        <v>2</v>
      </c>
      <c r="V591" s="78" t="s">
        <v>88</v>
      </c>
      <c r="W591" s="78" t="s">
        <v>913</v>
      </c>
      <c r="X591" s="78">
        <v>15</v>
      </c>
      <c r="Y591" s="78">
        <v>8</v>
      </c>
      <c r="Z591" s="78" t="s">
        <v>1119</v>
      </c>
      <c r="AA591" s="78" t="s">
        <v>1120</v>
      </c>
      <c r="AB591" s="78" t="s">
        <v>84</v>
      </c>
      <c r="AC591" s="78" t="s">
        <v>85</v>
      </c>
      <c r="AD591" s="78" t="s">
        <v>1111</v>
      </c>
      <c r="AG591" s="78" t="s">
        <v>1121</v>
      </c>
      <c r="AH591" s="78">
        <v>0</v>
      </c>
      <c r="AI591" s="78">
        <v>0</v>
      </c>
      <c r="AJ591" s="78">
        <v>0</v>
      </c>
      <c r="AK591" s="78">
        <v>452</v>
      </c>
      <c r="AL591" s="78">
        <v>0.83</v>
      </c>
    </row>
    <row r="592" spans="1:38" x14ac:dyDescent="0.3">
      <c r="A592" s="78" t="s">
        <v>1123</v>
      </c>
      <c r="B592" s="78">
        <v>113152</v>
      </c>
      <c r="C592" s="78">
        <v>1</v>
      </c>
      <c r="D592" s="78" t="s">
        <v>1124</v>
      </c>
      <c r="E592" s="78" t="s">
        <v>1125</v>
      </c>
      <c r="F592" s="78">
        <v>1400</v>
      </c>
      <c r="G592" s="78">
        <v>24.79</v>
      </c>
      <c r="H592" s="78">
        <v>81.98</v>
      </c>
      <c r="I592" s="78">
        <v>18.14</v>
      </c>
      <c r="J592" s="78">
        <v>59.98</v>
      </c>
      <c r="K592" s="78">
        <v>189</v>
      </c>
      <c r="T592" s="78">
        <v>3</v>
      </c>
      <c r="U592" s="78">
        <v>2</v>
      </c>
      <c r="V592" s="78" t="s">
        <v>88</v>
      </c>
      <c r="W592" s="78" t="s">
        <v>162</v>
      </c>
      <c r="X592" s="78">
        <v>29</v>
      </c>
      <c r="Y592" s="78">
        <v>24</v>
      </c>
      <c r="Z592" s="78" t="s">
        <v>1126</v>
      </c>
      <c r="AA592" s="78" t="s">
        <v>1127</v>
      </c>
      <c r="AB592" s="78" t="s">
        <v>84</v>
      </c>
      <c r="AC592" s="78" t="s">
        <v>85</v>
      </c>
      <c r="AD592" s="78" t="s">
        <v>1128</v>
      </c>
      <c r="AG592" s="78" t="s">
        <v>1129</v>
      </c>
      <c r="AH592" s="78">
        <v>0</v>
      </c>
      <c r="AI592" s="78">
        <v>245</v>
      </c>
      <c r="AJ592" s="78">
        <v>15</v>
      </c>
      <c r="AK592" s="78">
        <v>1770</v>
      </c>
      <c r="AL592" s="78">
        <v>1.26</v>
      </c>
    </row>
    <row r="593" spans="1:38" x14ac:dyDescent="0.3">
      <c r="A593" s="78" t="s">
        <v>1123</v>
      </c>
      <c r="B593" s="78">
        <v>113152</v>
      </c>
      <c r="C593" s="78">
        <v>2</v>
      </c>
      <c r="D593" s="78" t="s">
        <v>1124</v>
      </c>
      <c r="E593" s="78" t="s">
        <v>1125</v>
      </c>
      <c r="F593" s="78">
        <v>1400</v>
      </c>
      <c r="G593" s="78">
        <v>24.91</v>
      </c>
      <c r="H593" s="78">
        <v>82.37</v>
      </c>
      <c r="I593" s="78">
        <v>17.91</v>
      </c>
      <c r="J593" s="78">
        <v>59.23</v>
      </c>
      <c r="K593" s="78">
        <v>55</v>
      </c>
      <c r="T593" s="78">
        <v>3</v>
      </c>
      <c r="U593" s="78">
        <v>2</v>
      </c>
      <c r="V593" s="78" t="s">
        <v>88</v>
      </c>
      <c r="W593" s="78" t="s">
        <v>411</v>
      </c>
      <c r="X593" s="78">
        <v>29</v>
      </c>
      <c r="Y593" s="78">
        <v>24</v>
      </c>
      <c r="Z593" s="78" t="s">
        <v>1126</v>
      </c>
      <c r="AA593" s="78" t="s">
        <v>1127</v>
      </c>
      <c r="AB593" s="78" t="s">
        <v>84</v>
      </c>
      <c r="AC593" s="78" t="s">
        <v>85</v>
      </c>
      <c r="AD593" s="78" t="s">
        <v>1128</v>
      </c>
      <c r="AG593" s="78" t="s">
        <v>1129</v>
      </c>
      <c r="AH593" s="78">
        <v>0</v>
      </c>
      <c r="AI593" s="78">
        <v>245</v>
      </c>
      <c r="AJ593" s="78">
        <v>15</v>
      </c>
      <c r="AK593" s="78">
        <v>1770</v>
      </c>
      <c r="AL593" s="78">
        <v>1.26</v>
      </c>
    </row>
    <row r="594" spans="1:38" x14ac:dyDescent="0.3">
      <c r="A594" s="78" t="s">
        <v>1123</v>
      </c>
      <c r="B594" s="78">
        <v>113152</v>
      </c>
      <c r="C594" s="78">
        <v>3</v>
      </c>
      <c r="D594" s="78" t="s">
        <v>1124</v>
      </c>
      <c r="E594" s="78" t="s">
        <v>1125</v>
      </c>
      <c r="F594" s="78">
        <v>1400</v>
      </c>
      <c r="G594" s="78">
        <v>30.75</v>
      </c>
      <c r="H594" s="78">
        <v>101.67</v>
      </c>
      <c r="I594" s="78">
        <v>22.65</v>
      </c>
      <c r="J594" s="78">
        <v>74.88</v>
      </c>
      <c r="K594" s="78">
        <v>279</v>
      </c>
      <c r="T594" s="78">
        <v>3</v>
      </c>
      <c r="U594" s="78">
        <v>2</v>
      </c>
      <c r="V594" s="78" t="s">
        <v>88</v>
      </c>
      <c r="W594" s="78" t="s">
        <v>468</v>
      </c>
      <c r="X594" s="78">
        <v>29</v>
      </c>
      <c r="Y594" s="78">
        <v>24</v>
      </c>
      <c r="Z594" s="78" t="s">
        <v>1126</v>
      </c>
      <c r="AA594" s="78" t="s">
        <v>1127</v>
      </c>
      <c r="AB594" s="78" t="s">
        <v>84</v>
      </c>
      <c r="AC594" s="78" t="s">
        <v>85</v>
      </c>
      <c r="AD594" s="78" t="s">
        <v>1128</v>
      </c>
      <c r="AG594" s="78" t="s">
        <v>1129</v>
      </c>
      <c r="AH594" s="78">
        <v>0</v>
      </c>
      <c r="AI594" s="78">
        <v>245</v>
      </c>
      <c r="AJ594" s="78">
        <v>15</v>
      </c>
      <c r="AK594" s="78">
        <v>1770</v>
      </c>
      <c r="AL594" s="78">
        <v>1.26</v>
      </c>
    </row>
    <row r="595" spans="1:38" x14ac:dyDescent="0.3">
      <c r="A595" s="78" t="s">
        <v>1123</v>
      </c>
      <c r="B595" s="78">
        <v>113152</v>
      </c>
      <c r="C595" s="78">
        <v>4</v>
      </c>
      <c r="D595" s="78" t="s">
        <v>1124</v>
      </c>
      <c r="E595" s="78" t="s">
        <v>1125</v>
      </c>
      <c r="F595" s="78">
        <v>1400</v>
      </c>
      <c r="G595" s="78">
        <v>30.93</v>
      </c>
      <c r="H595" s="78">
        <v>102.28</v>
      </c>
      <c r="I595" s="78">
        <v>22.62</v>
      </c>
      <c r="J595" s="78">
        <v>74.790000000000006</v>
      </c>
      <c r="K595" s="78">
        <v>113</v>
      </c>
      <c r="T595" s="78">
        <v>3</v>
      </c>
      <c r="U595" s="78">
        <v>2</v>
      </c>
      <c r="V595" s="78" t="s">
        <v>88</v>
      </c>
      <c r="W595" s="78" t="s">
        <v>1130</v>
      </c>
      <c r="X595" s="78">
        <v>29</v>
      </c>
      <c r="Y595" s="78">
        <v>24</v>
      </c>
      <c r="Z595" s="78" t="s">
        <v>1126</v>
      </c>
      <c r="AA595" s="78" t="s">
        <v>1127</v>
      </c>
      <c r="AB595" s="78" t="s">
        <v>84</v>
      </c>
      <c r="AC595" s="78" t="s">
        <v>85</v>
      </c>
      <c r="AD595" s="78" t="s">
        <v>1128</v>
      </c>
      <c r="AG595" s="78" t="s">
        <v>1129</v>
      </c>
      <c r="AH595" s="78">
        <v>0</v>
      </c>
      <c r="AI595" s="78">
        <v>245</v>
      </c>
      <c r="AJ595" s="78">
        <v>15</v>
      </c>
      <c r="AK595" s="78">
        <v>1770</v>
      </c>
      <c r="AL595" s="78">
        <v>1.26</v>
      </c>
    </row>
    <row r="596" spans="1:38" x14ac:dyDescent="0.3">
      <c r="A596" s="78" t="s">
        <v>1123</v>
      </c>
      <c r="B596" s="78">
        <v>113152</v>
      </c>
      <c r="C596" s="78">
        <v>5</v>
      </c>
      <c r="D596" s="78" t="s">
        <v>1124</v>
      </c>
      <c r="E596" s="78" t="s">
        <v>1125</v>
      </c>
      <c r="F596" s="78">
        <v>1400</v>
      </c>
      <c r="G596" s="78">
        <v>30.94</v>
      </c>
      <c r="H596" s="78">
        <v>102.31</v>
      </c>
      <c r="I596" s="78">
        <v>22.62</v>
      </c>
      <c r="J596" s="78">
        <v>74.790000000000006</v>
      </c>
      <c r="K596" s="78">
        <v>110</v>
      </c>
      <c r="T596" s="78">
        <v>3</v>
      </c>
      <c r="U596" s="78">
        <v>2</v>
      </c>
      <c r="V596" s="78" t="s">
        <v>88</v>
      </c>
      <c r="W596" s="78" t="s">
        <v>1131</v>
      </c>
      <c r="X596" s="78">
        <v>29</v>
      </c>
      <c r="Y596" s="78">
        <v>24</v>
      </c>
      <c r="Z596" s="78" t="s">
        <v>1126</v>
      </c>
      <c r="AA596" s="78" t="s">
        <v>1127</v>
      </c>
      <c r="AB596" s="78" t="s">
        <v>84</v>
      </c>
      <c r="AC596" s="78" t="s">
        <v>85</v>
      </c>
      <c r="AD596" s="78" t="s">
        <v>1128</v>
      </c>
      <c r="AG596" s="78" t="s">
        <v>1129</v>
      </c>
      <c r="AH596" s="78">
        <v>0</v>
      </c>
      <c r="AI596" s="78">
        <v>245</v>
      </c>
      <c r="AJ596" s="78">
        <v>15</v>
      </c>
      <c r="AK596" s="78">
        <v>1770</v>
      </c>
      <c r="AL596" s="78">
        <v>1.26</v>
      </c>
    </row>
    <row r="597" spans="1:38" x14ac:dyDescent="0.3">
      <c r="A597" s="78" t="s">
        <v>1123</v>
      </c>
      <c r="B597" s="78">
        <v>113152</v>
      </c>
      <c r="C597" s="78">
        <v>6</v>
      </c>
      <c r="D597" s="78" t="s">
        <v>1124</v>
      </c>
      <c r="E597" s="78" t="s">
        <v>1125</v>
      </c>
      <c r="F597" s="78">
        <v>1400</v>
      </c>
      <c r="G597" s="78">
        <v>34.630000000000003</v>
      </c>
      <c r="H597" s="78">
        <v>114.51</v>
      </c>
      <c r="I597" s="78">
        <v>25.62</v>
      </c>
      <c r="J597" s="78">
        <v>84.72</v>
      </c>
      <c r="K597" s="78">
        <v>215</v>
      </c>
      <c r="T597" s="78">
        <v>3</v>
      </c>
      <c r="U597" s="78">
        <v>2</v>
      </c>
      <c r="V597" s="78" t="s">
        <v>88</v>
      </c>
      <c r="W597" s="78" t="s">
        <v>978</v>
      </c>
      <c r="X597" s="78">
        <v>29</v>
      </c>
      <c r="Y597" s="78">
        <v>24</v>
      </c>
      <c r="Z597" s="78" t="s">
        <v>1126</v>
      </c>
      <c r="AA597" s="78" t="s">
        <v>1127</v>
      </c>
      <c r="AB597" s="78" t="s">
        <v>84</v>
      </c>
      <c r="AC597" s="78" t="s">
        <v>85</v>
      </c>
      <c r="AD597" s="78" t="s">
        <v>1128</v>
      </c>
      <c r="AG597" s="78" t="s">
        <v>1129</v>
      </c>
      <c r="AH597" s="78">
        <v>0</v>
      </c>
      <c r="AI597" s="78">
        <v>245</v>
      </c>
      <c r="AJ597" s="78">
        <v>15</v>
      </c>
      <c r="AK597" s="78">
        <v>1770</v>
      </c>
      <c r="AL597" s="78">
        <v>1.26</v>
      </c>
    </row>
    <row r="598" spans="1:38" x14ac:dyDescent="0.3">
      <c r="A598" s="78" t="s">
        <v>1123</v>
      </c>
      <c r="B598" s="78">
        <v>113152</v>
      </c>
      <c r="C598" s="78">
        <v>7</v>
      </c>
      <c r="D598" s="78" t="s">
        <v>1124</v>
      </c>
      <c r="E598" s="78" t="s">
        <v>1125</v>
      </c>
      <c r="F598" s="78">
        <v>1400</v>
      </c>
      <c r="G598" s="78">
        <v>34.58</v>
      </c>
      <c r="H598" s="78">
        <v>114.33</v>
      </c>
      <c r="I598" s="78">
        <v>25.58</v>
      </c>
      <c r="J598" s="78">
        <v>84.58</v>
      </c>
      <c r="K598" s="78">
        <v>128</v>
      </c>
      <c r="T598" s="78">
        <v>3</v>
      </c>
      <c r="U598" s="78">
        <v>2</v>
      </c>
      <c r="V598" s="78" t="s">
        <v>88</v>
      </c>
      <c r="W598" s="78">
        <v>114</v>
      </c>
      <c r="X598" s="78">
        <v>29</v>
      </c>
      <c r="Y598" s="78">
        <v>24</v>
      </c>
      <c r="Z598" s="78" t="s">
        <v>1126</v>
      </c>
      <c r="AA598" s="78" t="s">
        <v>1127</v>
      </c>
      <c r="AB598" s="78" t="s">
        <v>84</v>
      </c>
      <c r="AC598" s="78" t="s">
        <v>85</v>
      </c>
      <c r="AD598" s="78" t="s">
        <v>1128</v>
      </c>
      <c r="AG598" s="78" t="s">
        <v>1129</v>
      </c>
      <c r="AH598" s="78">
        <v>0</v>
      </c>
      <c r="AI598" s="78">
        <v>245</v>
      </c>
      <c r="AJ598" s="78">
        <v>15</v>
      </c>
      <c r="AK598" s="78">
        <v>1770</v>
      </c>
      <c r="AL598" s="78">
        <v>1.26</v>
      </c>
    </row>
    <row r="599" spans="1:38" x14ac:dyDescent="0.3">
      <c r="A599" s="78" t="s">
        <v>1123</v>
      </c>
      <c r="B599" s="78">
        <v>113152</v>
      </c>
      <c r="C599" s="78">
        <v>8</v>
      </c>
      <c r="D599" s="78" t="s">
        <v>1124</v>
      </c>
      <c r="E599" s="78" t="s">
        <v>1125</v>
      </c>
      <c r="F599" s="78">
        <v>1400</v>
      </c>
      <c r="G599" s="78">
        <v>34.909999999999997</v>
      </c>
      <c r="H599" s="78">
        <v>115.43</v>
      </c>
      <c r="I599" s="78">
        <v>25.57</v>
      </c>
      <c r="J599" s="78">
        <v>84.55</v>
      </c>
      <c r="K599" s="78">
        <v>135</v>
      </c>
      <c r="T599" s="78">
        <v>3</v>
      </c>
      <c r="U599" s="78">
        <v>2</v>
      </c>
      <c r="V599" s="78" t="s">
        <v>88</v>
      </c>
      <c r="W599" s="78" t="s">
        <v>544</v>
      </c>
      <c r="X599" s="78">
        <v>29</v>
      </c>
      <c r="Y599" s="78">
        <v>24</v>
      </c>
      <c r="Z599" s="78" t="s">
        <v>1126</v>
      </c>
      <c r="AA599" s="78" t="s">
        <v>1127</v>
      </c>
      <c r="AB599" s="78" t="s">
        <v>84</v>
      </c>
      <c r="AC599" s="78" t="s">
        <v>85</v>
      </c>
      <c r="AD599" s="78" t="s">
        <v>1128</v>
      </c>
      <c r="AG599" s="78" t="s">
        <v>1129</v>
      </c>
      <c r="AH599" s="78">
        <v>0</v>
      </c>
      <c r="AI599" s="78">
        <v>245</v>
      </c>
      <c r="AJ599" s="78">
        <v>15</v>
      </c>
      <c r="AK599" s="78">
        <v>1770</v>
      </c>
      <c r="AL599" s="78">
        <v>1.26</v>
      </c>
    </row>
    <row r="600" spans="1:38" x14ac:dyDescent="0.3">
      <c r="A600" s="78" t="s">
        <v>1123</v>
      </c>
      <c r="B600" s="78">
        <v>113152</v>
      </c>
      <c r="C600" s="78">
        <v>9</v>
      </c>
      <c r="D600" s="78" t="s">
        <v>1124</v>
      </c>
      <c r="E600" s="78" t="s">
        <v>1125</v>
      </c>
      <c r="F600" s="78">
        <v>1400</v>
      </c>
      <c r="G600" s="78">
        <v>34.979999999999997</v>
      </c>
      <c r="H600" s="78">
        <v>115.64</v>
      </c>
      <c r="I600" s="78">
        <v>25.42</v>
      </c>
      <c r="J600" s="78">
        <v>84.04</v>
      </c>
      <c r="K600" s="78">
        <v>127</v>
      </c>
      <c r="T600" s="78">
        <v>3</v>
      </c>
      <c r="U600" s="78">
        <v>2</v>
      </c>
      <c r="V600" s="78" t="s">
        <v>88</v>
      </c>
      <c r="W600" s="78" t="s">
        <v>179</v>
      </c>
      <c r="X600" s="78">
        <v>29</v>
      </c>
      <c r="Y600" s="78">
        <v>24</v>
      </c>
      <c r="Z600" s="78" t="s">
        <v>1126</v>
      </c>
      <c r="AA600" s="78" t="s">
        <v>1127</v>
      </c>
      <c r="AB600" s="78" t="s">
        <v>84</v>
      </c>
      <c r="AC600" s="78" t="s">
        <v>85</v>
      </c>
      <c r="AD600" s="78" t="s">
        <v>1128</v>
      </c>
      <c r="AG600" s="78" t="s">
        <v>1129</v>
      </c>
      <c r="AH600" s="78">
        <v>0</v>
      </c>
      <c r="AI600" s="78">
        <v>245</v>
      </c>
      <c r="AJ600" s="78">
        <v>15</v>
      </c>
      <c r="AK600" s="78">
        <v>1770</v>
      </c>
      <c r="AL600" s="78">
        <v>1.26</v>
      </c>
    </row>
    <row r="601" spans="1:38" x14ac:dyDescent="0.3">
      <c r="A601" s="78" t="s">
        <v>1123</v>
      </c>
      <c r="B601" s="78">
        <v>113152</v>
      </c>
      <c r="C601" s="78">
        <v>10</v>
      </c>
      <c r="D601" s="78" t="s">
        <v>1124</v>
      </c>
      <c r="E601" s="78" t="s">
        <v>1125</v>
      </c>
      <c r="F601" s="78">
        <v>1400</v>
      </c>
      <c r="G601" s="78">
        <v>40.74</v>
      </c>
      <c r="H601" s="78">
        <v>134.68</v>
      </c>
      <c r="I601" s="78">
        <v>30.08</v>
      </c>
      <c r="J601" s="78">
        <v>99.46</v>
      </c>
      <c r="K601" s="78">
        <v>49</v>
      </c>
      <c r="T601" s="78">
        <v>4</v>
      </c>
      <c r="U601" s="78">
        <v>2</v>
      </c>
      <c r="V601" s="78" t="s">
        <v>88</v>
      </c>
      <c r="W601" s="78">
        <v>134</v>
      </c>
      <c r="X601" s="78">
        <v>29</v>
      </c>
      <c r="Y601" s="78">
        <v>24</v>
      </c>
      <c r="Z601" s="78" t="s">
        <v>1126</v>
      </c>
      <c r="AA601" s="78" t="s">
        <v>1127</v>
      </c>
      <c r="AB601" s="78" t="s">
        <v>84</v>
      </c>
      <c r="AC601" s="78" t="s">
        <v>85</v>
      </c>
      <c r="AD601" s="78" t="s">
        <v>1128</v>
      </c>
      <c r="AG601" s="78" t="s">
        <v>1129</v>
      </c>
      <c r="AH601" s="78">
        <v>0</v>
      </c>
      <c r="AI601" s="78">
        <v>245</v>
      </c>
      <c r="AJ601" s="78">
        <v>15</v>
      </c>
      <c r="AK601" s="78">
        <v>1770</v>
      </c>
      <c r="AL601" s="78">
        <v>1.26</v>
      </c>
    </row>
    <row r="602" spans="1:38" x14ac:dyDescent="0.3">
      <c r="A602" s="78" t="s">
        <v>1123</v>
      </c>
      <c r="B602" s="78">
        <v>126738</v>
      </c>
      <c r="C602" s="78">
        <v>1</v>
      </c>
      <c r="D602" s="78" t="s">
        <v>1132</v>
      </c>
      <c r="E602" s="78" t="s">
        <v>1133</v>
      </c>
      <c r="F602" s="78">
        <v>770</v>
      </c>
      <c r="G602" s="78">
        <v>23.92</v>
      </c>
      <c r="H602" s="78">
        <v>79.08</v>
      </c>
      <c r="I602" s="78">
        <v>18.13</v>
      </c>
      <c r="J602" s="78">
        <v>59.94</v>
      </c>
      <c r="K602" s="78">
        <v>129</v>
      </c>
      <c r="T602" s="78">
        <v>3</v>
      </c>
      <c r="U602" s="78">
        <v>1</v>
      </c>
      <c r="V602" s="78" t="s">
        <v>88</v>
      </c>
      <c r="W602" s="78">
        <v>79</v>
      </c>
      <c r="X602" s="78">
        <v>25</v>
      </c>
      <c r="Y602" s="78">
        <v>14</v>
      </c>
      <c r="Z602" s="78" t="s">
        <v>1134</v>
      </c>
      <c r="AA602" s="78" t="s">
        <v>1135</v>
      </c>
      <c r="AB602" s="78" t="s">
        <v>84</v>
      </c>
      <c r="AC602" s="78" t="s">
        <v>85</v>
      </c>
      <c r="AD602" s="78" t="s">
        <v>1128</v>
      </c>
      <c r="AG602" s="78" t="s">
        <v>1136</v>
      </c>
      <c r="AH602" s="78">
        <v>0</v>
      </c>
      <c r="AI602" s="78">
        <v>244</v>
      </c>
      <c r="AJ602" s="78">
        <v>15</v>
      </c>
      <c r="AK602" s="78">
        <v>837</v>
      </c>
      <c r="AL602" s="78">
        <v>1.0900000000000001</v>
      </c>
    </row>
    <row r="603" spans="1:38" x14ac:dyDescent="0.3">
      <c r="A603" s="78" t="s">
        <v>1123</v>
      </c>
      <c r="B603" s="78">
        <v>126738</v>
      </c>
      <c r="C603" s="78">
        <v>2</v>
      </c>
      <c r="D603" s="78" t="s">
        <v>1132</v>
      </c>
      <c r="E603" s="78" t="s">
        <v>1133</v>
      </c>
      <c r="F603" s="78">
        <v>770</v>
      </c>
      <c r="G603" s="78">
        <v>33.9</v>
      </c>
      <c r="H603" s="78">
        <v>112.09</v>
      </c>
      <c r="I603" s="78">
        <v>25.7</v>
      </c>
      <c r="J603" s="78">
        <v>84.96</v>
      </c>
      <c r="K603" s="78">
        <v>277</v>
      </c>
      <c r="T603" s="78">
        <v>3</v>
      </c>
      <c r="U603" s="78">
        <v>2</v>
      </c>
      <c r="V603" s="78" t="s">
        <v>88</v>
      </c>
      <c r="W603" s="78" t="s">
        <v>711</v>
      </c>
      <c r="X603" s="78">
        <v>25</v>
      </c>
      <c r="Y603" s="78">
        <v>14</v>
      </c>
      <c r="Z603" s="78" t="s">
        <v>1134</v>
      </c>
      <c r="AA603" s="78" t="s">
        <v>1135</v>
      </c>
      <c r="AB603" s="78" t="s">
        <v>84</v>
      </c>
      <c r="AC603" s="78" t="s">
        <v>85</v>
      </c>
      <c r="AD603" s="78" t="s">
        <v>1128</v>
      </c>
      <c r="AG603" s="78" t="s">
        <v>1136</v>
      </c>
      <c r="AH603" s="78">
        <v>0</v>
      </c>
      <c r="AI603" s="78">
        <v>244</v>
      </c>
      <c r="AJ603" s="78">
        <v>15</v>
      </c>
      <c r="AK603" s="78">
        <v>837</v>
      </c>
      <c r="AL603" s="78">
        <v>1.0900000000000001</v>
      </c>
    </row>
    <row r="604" spans="1:38" x14ac:dyDescent="0.3">
      <c r="A604" s="78" t="s">
        <v>1123</v>
      </c>
      <c r="B604" s="78">
        <v>126738</v>
      </c>
      <c r="C604" s="78">
        <v>3</v>
      </c>
      <c r="D604" s="78" t="s">
        <v>1132</v>
      </c>
      <c r="E604" s="78" t="s">
        <v>1133</v>
      </c>
      <c r="F604" s="78">
        <v>770</v>
      </c>
      <c r="G604" s="78">
        <v>33.880000000000003</v>
      </c>
      <c r="H604" s="78">
        <v>112.02</v>
      </c>
      <c r="I604" s="78">
        <v>25.68</v>
      </c>
      <c r="J604" s="78">
        <v>84.91</v>
      </c>
      <c r="K604" s="78">
        <v>191</v>
      </c>
      <c r="T604" s="78">
        <v>3</v>
      </c>
      <c r="U604" s="78">
        <v>2</v>
      </c>
      <c r="V604" s="78" t="s">
        <v>88</v>
      </c>
      <c r="W604" s="78" t="s">
        <v>177</v>
      </c>
      <c r="X604" s="78">
        <v>25</v>
      </c>
      <c r="Y604" s="78">
        <v>14</v>
      </c>
      <c r="Z604" s="78" t="s">
        <v>1134</v>
      </c>
      <c r="AA604" s="78" t="s">
        <v>1135</v>
      </c>
      <c r="AB604" s="78" t="s">
        <v>84</v>
      </c>
      <c r="AC604" s="78" t="s">
        <v>85</v>
      </c>
      <c r="AD604" s="78" t="s">
        <v>1128</v>
      </c>
      <c r="AG604" s="78" t="s">
        <v>1136</v>
      </c>
      <c r="AH604" s="78">
        <v>0</v>
      </c>
      <c r="AI604" s="78">
        <v>244</v>
      </c>
      <c r="AJ604" s="78">
        <v>15</v>
      </c>
      <c r="AK604" s="78">
        <v>837</v>
      </c>
      <c r="AL604" s="78">
        <v>1.0900000000000001</v>
      </c>
    </row>
    <row r="605" spans="1:38" x14ac:dyDescent="0.3">
      <c r="A605" s="78" t="s">
        <v>1123</v>
      </c>
      <c r="B605" s="78">
        <v>126738</v>
      </c>
      <c r="C605" s="78">
        <v>4</v>
      </c>
      <c r="D605" s="78" t="s">
        <v>1132</v>
      </c>
      <c r="E605" s="78" t="s">
        <v>1133</v>
      </c>
      <c r="F605" s="78">
        <v>770</v>
      </c>
      <c r="G605" s="78">
        <v>33.909999999999997</v>
      </c>
      <c r="H605" s="78">
        <v>112.13</v>
      </c>
      <c r="I605" s="78">
        <v>25.7</v>
      </c>
      <c r="J605" s="78">
        <v>84.99</v>
      </c>
      <c r="K605" s="78">
        <v>173</v>
      </c>
      <c r="T605" s="78">
        <v>3</v>
      </c>
      <c r="U605" s="78">
        <v>2</v>
      </c>
      <c r="V605" s="78" t="s">
        <v>88</v>
      </c>
      <c r="W605" s="78" t="s">
        <v>712</v>
      </c>
      <c r="X605" s="78">
        <v>25</v>
      </c>
      <c r="Y605" s="78">
        <v>14</v>
      </c>
      <c r="Z605" s="78" t="s">
        <v>1134</v>
      </c>
      <c r="AA605" s="78" t="s">
        <v>1135</v>
      </c>
      <c r="AB605" s="78" t="s">
        <v>84</v>
      </c>
      <c r="AC605" s="78" t="s">
        <v>85</v>
      </c>
      <c r="AD605" s="78" t="s">
        <v>1128</v>
      </c>
      <c r="AG605" s="78" t="s">
        <v>1136</v>
      </c>
      <c r="AH605" s="78">
        <v>0</v>
      </c>
      <c r="AI605" s="78">
        <v>244</v>
      </c>
      <c r="AJ605" s="78">
        <v>15</v>
      </c>
      <c r="AK605" s="78">
        <v>837</v>
      </c>
      <c r="AL605" s="78">
        <v>1.0900000000000001</v>
      </c>
    </row>
    <row r="606" spans="1:38" x14ac:dyDescent="0.3">
      <c r="A606" s="78" t="s">
        <v>1123</v>
      </c>
      <c r="B606" s="78">
        <v>106468</v>
      </c>
      <c r="C606" s="78">
        <v>1</v>
      </c>
      <c r="D606" s="78" t="s">
        <v>1137</v>
      </c>
      <c r="E606" s="78" t="s">
        <v>204</v>
      </c>
      <c r="F606" s="78">
        <v>154</v>
      </c>
      <c r="G606" s="78">
        <v>18.170000000000002</v>
      </c>
      <c r="H606" s="78">
        <v>60.09</v>
      </c>
      <c r="I606" s="78">
        <v>13.44</v>
      </c>
      <c r="J606" s="78">
        <v>44.46</v>
      </c>
      <c r="K606" s="78">
        <v>28</v>
      </c>
      <c r="T606" s="78">
        <v>2</v>
      </c>
      <c r="U606" s="78">
        <v>1</v>
      </c>
      <c r="V606" s="78" t="s">
        <v>81</v>
      </c>
      <c r="W606" s="78">
        <v>60</v>
      </c>
      <c r="X606" s="78">
        <v>15</v>
      </c>
      <c r="Y606" s="78">
        <v>15</v>
      </c>
      <c r="Z606" s="78" t="s">
        <v>1138</v>
      </c>
      <c r="AA606" s="78" t="s">
        <v>1139</v>
      </c>
      <c r="AB606" s="78" t="s">
        <v>84</v>
      </c>
      <c r="AC606" s="78" t="s">
        <v>85</v>
      </c>
      <c r="AD606" s="78" t="s">
        <v>1128</v>
      </c>
      <c r="AG606" s="78" t="s">
        <v>1140</v>
      </c>
      <c r="AH606" s="78">
        <v>3</v>
      </c>
      <c r="AI606" s="78">
        <v>580</v>
      </c>
      <c r="AJ606" s="78">
        <v>56</v>
      </c>
      <c r="AK606" s="78">
        <v>151</v>
      </c>
      <c r="AL606" s="78">
        <v>0.98</v>
      </c>
    </row>
    <row r="607" spans="1:38" x14ac:dyDescent="0.3">
      <c r="A607" s="78" t="s">
        <v>1123</v>
      </c>
      <c r="B607" s="78">
        <v>106468</v>
      </c>
      <c r="C607" s="78">
        <v>2</v>
      </c>
      <c r="D607" s="78" t="s">
        <v>1137</v>
      </c>
      <c r="E607" s="78" t="s">
        <v>204</v>
      </c>
      <c r="F607" s="78">
        <v>154</v>
      </c>
      <c r="G607" s="78">
        <v>27.05</v>
      </c>
      <c r="H607" s="78">
        <v>89.43</v>
      </c>
      <c r="I607" s="78">
        <v>20.059999999999999</v>
      </c>
      <c r="J607" s="78">
        <v>66.319999999999993</v>
      </c>
      <c r="K607" s="78">
        <v>27</v>
      </c>
      <c r="T607" s="78">
        <v>3</v>
      </c>
      <c r="U607" s="78">
        <v>1</v>
      </c>
      <c r="V607" s="78" t="s">
        <v>88</v>
      </c>
      <c r="W607" s="78">
        <v>89</v>
      </c>
      <c r="X607" s="78">
        <v>15</v>
      </c>
      <c r="Y607" s="78">
        <v>15</v>
      </c>
      <c r="Z607" s="78" t="s">
        <v>1138</v>
      </c>
      <c r="AA607" s="78" t="s">
        <v>1139</v>
      </c>
      <c r="AB607" s="78" t="s">
        <v>84</v>
      </c>
      <c r="AC607" s="78" t="s">
        <v>85</v>
      </c>
      <c r="AD607" s="78" t="s">
        <v>1128</v>
      </c>
      <c r="AG607" s="78" t="s">
        <v>1140</v>
      </c>
      <c r="AH607" s="78">
        <v>3</v>
      </c>
      <c r="AI607" s="78">
        <v>580</v>
      </c>
      <c r="AJ607" s="78">
        <v>56</v>
      </c>
      <c r="AK607" s="78">
        <v>151</v>
      </c>
      <c r="AL607" s="78">
        <v>0.98</v>
      </c>
    </row>
    <row r="608" spans="1:38" x14ac:dyDescent="0.3">
      <c r="A608" s="78" t="s">
        <v>1123</v>
      </c>
      <c r="B608" s="78">
        <v>106468</v>
      </c>
      <c r="C608" s="78">
        <v>3</v>
      </c>
      <c r="D608" s="78" t="s">
        <v>1137</v>
      </c>
      <c r="E608" s="78" t="s">
        <v>204</v>
      </c>
      <c r="F608" s="78">
        <v>154</v>
      </c>
      <c r="G608" s="78">
        <v>34.56</v>
      </c>
      <c r="H608" s="78">
        <v>114.26</v>
      </c>
      <c r="I608" s="78">
        <v>25.6</v>
      </c>
      <c r="J608" s="78">
        <v>84.63</v>
      </c>
      <c r="K608" s="78">
        <v>96</v>
      </c>
      <c r="T608" s="78">
        <v>3</v>
      </c>
      <c r="U608" s="78">
        <v>2</v>
      </c>
      <c r="V608" s="78" t="s">
        <v>88</v>
      </c>
      <c r="W608" s="78">
        <v>114</v>
      </c>
      <c r="X608" s="78">
        <v>15</v>
      </c>
      <c r="Y608" s="78">
        <v>15</v>
      </c>
      <c r="Z608" s="78" t="s">
        <v>1138</v>
      </c>
      <c r="AA608" s="78" t="s">
        <v>1139</v>
      </c>
      <c r="AB608" s="78" t="s">
        <v>84</v>
      </c>
      <c r="AC608" s="78" t="s">
        <v>85</v>
      </c>
      <c r="AD608" s="78" t="s">
        <v>1128</v>
      </c>
      <c r="AG608" s="78" t="s">
        <v>1140</v>
      </c>
      <c r="AH608" s="78">
        <v>3</v>
      </c>
      <c r="AI608" s="78">
        <v>580</v>
      </c>
      <c r="AJ608" s="78">
        <v>56</v>
      </c>
      <c r="AK608" s="78">
        <v>151</v>
      </c>
      <c r="AL608" s="78">
        <v>0.98</v>
      </c>
    </row>
    <row r="609" spans="1:38" x14ac:dyDescent="0.3">
      <c r="A609" s="78" t="s">
        <v>1123</v>
      </c>
      <c r="B609" s="78">
        <v>5067</v>
      </c>
      <c r="C609" s="78">
        <v>1</v>
      </c>
      <c r="D609" s="78" t="s">
        <v>148</v>
      </c>
      <c r="E609" s="78" t="s">
        <v>1141</v>
      </c>
      <c r="F609" s="78">
        <v>306</v>
      </c>
      <c r="G609" s="78">
        <v>27.91</v>
      </c>
      <c r="H609" s="78">
        <v>92.27</v>
      </c>
      <c r="I609" s="78">
        <v>22.33</v>
      </c>
      <c r="J609" s="78">
        <v>73.83</v>
      </c>
      <c r="K609" s="78">
        <v>72</v>
      </c>
      <c r="T609" s="78">
        <v>3</v>
      </c>
      <c r="U609" s="78">
        <v>1</v>
      </c>
      <c r="V609" s="78" t="s">
        <v>88</v>
      </c>
      <c r="W609" s="78">
        <v>92</v>
      </c>
      <c r="X609" s="78">
        <v>15</v>
      </c>
      <c r="Y609" s="78">
        <v>12</v>
      </c>
      <c r="Z609" s="78" t="s">
        <v>1142</v>
      </c>
      <c r="AA609" s="78" t="s">
        <v>1143</v>
      </c>
      <c r="AB609" s="78" t="s">
        <v>84</v>
      </c>
      <c r="AC609" s="78" t="s">
        <v>85</v>
      </c>
      <c r="AD609" s="78" t="s">
        <v>1128</v>
      </c>
      <c r="AG609" s="78" t="s">
        <v>1144</v>
      </c>
      <c r="AH609" s="78">
        <v>0</v>
      </c>
      <c r="AI609" s="78">
        <v>226</v>
      </c>
      <c r="AJ609" s="78">
        <v>19</v>
      </c>
      <c r="AK609" s="78">
        <v>306</v>
      </c>
      <c r="AL609" s="78">
        <v>1</v>
      </c>
    </row>
    <row r="610" spans="1:38" x14ac:dyDescent="0.3">
      <c r="A610" s="78" t="s">
        <v>1123</v>
      </c>
      <c r="B610" s="78">
        <v>5067</v>
      </c>
      <c r="C610" s="78">
        <v>2</v>
      </c>
      <c r="D610" s="78" t="s">
        <v>148</v>
      </c>
      <c r="E610" s="78" t="s">
        <v>1141</v>
      </c>
      <c r="F610" s="78">
        <v>306</v>
      </c>
      <c r="G610" s="78">
        <v>27.9</v>
      </c>
      <c r="H610" s="78">
        <v>92.24</v>
      </c>
      <c r="I610" s="78">
        <v>22.22</v>
      </c>
      <c r="J610" s="78">
        <v>73.47</v>
      </c>
      <c r="K610" s="78">
        <v>72</v>
      </c>
      <c r="T610" s="78">
        <v>3</v>
      </c>
      <c r="U610" s="78">
        <v>1</v>
      </c>
      <c r="V610" s="78" t="s">
        <v>88</v>
      </c>
      <c r="W610" s="78" t="s">
        <v>1145</v>
      </c>
      <c r="X610" s="78">
        <v>15</v>
      </c>
      <c r="Y610" s="78">
        <v>12</v>
      </c>
      <c r="Z610" s="78" t="s">
        <v>1142</v>
      </c>
      <c r="AA610" s="78" t="s">
        <v>1143</v>
      </c>
      <c r="AB610" s="78" t="s">
        <v>84</v>
      </c>
      <c r="AC610" s="78" t="s">
        <v>85</v>
      </c>
      <c r="AD610" s="78" t="s">
        <v>1128</v>
      </c>
      <c r="AG610" s="78" t="s">
        <v>1144</v>
      </c>
      <c r="AH610" s="78">
        <v>0</v>
      </c>
      <c r="AI610" s="78">
        <v>226</v>
      </c>
      <c r="AJ610" s="78">
        <v>19</v>
      </c>
      <c r="AK610" s="78">
        <v>306</v>
      </c>
      <c r="AL610" s="78">
        <v>1</v>
      </c>
    </row>
    <row r="611" spans="1:38" x14ac:dyDescent="0.3">
      <c r="A611" s="78" t="s">
        <v>1123</v>
      </c>
      <c r="B611" s="78">
        <v>5067</v>
      </c>
      <c r="C611" s="78">
        <v>3</v>
      </c>
      <c r="D611" s="78" t="s">
        <v>148</v>
      </c>
      <c r="E611" s="78" t="s">
        <v>1141</v>
      </c>
      <c r="F611" s="78">
        <v>306</v>
      </c>
      <c r="G611" s="78">
        <v>31.65</v>
      </c>
      <c r="H611" s="78">
        <v>104.63</v>
      </c>
      <c r="I611" s="78">
        <v>25.7</v>
      </c>
      <c r="J611" s="78">
        <v>84.99</v>
      </c>
      <c r="K611" s="78">
        <v>132</v>
      </c>
      <c r="T611" s="78">
        <v>3</v>
      </c>
      <c r="U611" s="78">
        <v>2</v>
      </c>
      <c r="V611" s="78" t="s">
        <v>88</v>
      </c>
      <c r="W611" s="78">
        <v>104</v>
      </c>
      <c r="X611" s="78">
        <v>15</v>
      </c>
      <c r="Y611" s="78">
        <v>12</v>
      </c>
      <c r="Z611" s="78" t="s">
        <v>1142</v>
      </c>
      <c r="AA611" s="78" t="s">
        <v>1143</v>
      </c>
      <c r="AB611" s="78" t="s">
        <v>84</v>
      </c>
      <c r="AC611" s="78" t="s">
        <v>85</v>
      </c>
      <c r="AD611" s="78" t="s">
        <v>1128</v>
      </c>
      <c r="AG611" s="78" t="s">
        <v>1144</v>
      </c>
      <c r="AH611" s="78">
        <v>0</v>
      </c>
      <c r="AI611" s="78">
        <v>226</v>
      </c>
      <c r="AJ611" s="78">
        <v>19</v>
      </c>
      <c r="AK611" s="78">
        <v>306</v>
      </c>
      <c r="AL611" s="78">
        <v>1</v>
      </c>
    </row>
    <row r="612" spans="1:38" x14ac:dyDescent="0.3">
      <c r="A612" s="78" t="s">
        <v>1123</v>
      </c>
      <c r="B612" s="78">
        <v>5067</v>
      </c>
      <c r="C612" s="78">
        <v>4</v>
      </c>
      <c r="D612" s="78" t="s">
        <v>148</v>
      </c>
      <c r="E612" s="78" t="s">
        <v>1141</v>
      </c>
      <c r="F612" s="78">
        <v>306</v>
      </c>
      <c r="G612" s="78">
        <v>31.6</v>
      </c>
      <c r="H612" s="78">
        <v>104.47</v>
      </c>
      <c r="I612" s="78">
        <v>25.68</v>
      </c>
      <c r="J612" s="78">
        <v>84.9</v>
      </c>
      <c r="K612" s="78">
        <v>30</v>
      </c>
      <c r="T612" s="78">
        <v>3</v>
      </c>
      <c r="U612" s="78">
        <v>2</v>
      </c>
      <c r="V612" s="78" t="s">
        <v>88</v>
      </c>
      <c r="W612" s="78" t="s">
        <v>1146</v>
      </c>
      <c r="X612" s="78">
        <v>15</v>
      </c>
      <c r="Y612" s="78">
        <v>12</v>
      </c>
      <c r="Z612" s="78" t="s">
        <v>1142</v>
      </c>
      <c r="AA612" s="78" t="s">
        <v>1143</v>
      </c>
      <c r="AB612" s="78" t="s">
        <v>84</v>
      </c>
      <c r="AC612" s="78" t="s">
        <v>85</v>
      </c>
      <c r="AD612" s="78" t="s">
        <v>1128</v>
      </c>
      <c r="AG612" s="78" t="s">
        <v>1144</v>
      </c>
      <c r="AH612" s="78">
        <v>0</v>
      </c>
      <c r="AI612" s="78">
        <v>226</v>
      </c>
      <c r="AJ612" s="78">
        <v>19</v>
      </c>
      <c r="AK612" s="78">
        <v>306</v>
      </c>
      <c r="AL612" s="78">
        <v>1</v>
      </c>
    </row>
    <row r="613" spans="1:38" x14ac:dyDescent="0.3">
      <c r="A613" s="78" t="s">
        <v>1123</v>
      </c>
      <c r="B613" s="78">
        <v>128224</v>
      </c>
      <c r="C613" s="78">
        <v>1</v>
      </c>
      <c r="D613" s="78" t="s">
        <v>1147</v>
      </c>
      <c r="E613" s="78" t="s">
        <v>1148</v>
      </c>
      <c r="F613" s="78">
        <v>402</v>
      </c>
      <c r="G613" s="78">
        <v>16.239999999999998</v>
      </c>
      <c r="H613" s="78">
        <v>53.69</v>
      </c>
      <c r="I613" s="78">
        <v>12.08</v>
      </c>
      <c r="J613" s="78">
        <v>39.96</v>
      </c>
      <c r="K613" s="78">
        <v>402</v>
      </c>
      <c r="T613" s="78">
        <v>2</v>
      </c>
      <c r="U613" s="78">
        <v>1</v>
      </c>
      <c r="V613" s="78" t="s">
        <v>88</v>
      </c>
      <c r="W613" s="78">
        <v>53</v>
      </c>
      <c r="X613" s="78">
        <v>18</v>
      </c>
      <c r="Y613" s="78">
        <v>15</v>
      </c>
      <c r="Z613" s="78" t="s">
        <v>1149</v>
      </c>
      <c r="AA613" s="78" t="s">
        <v>1150</v>
      </c>
      <c r="AB613" s="78" t="s">
        <v>84</v>
      </c>
      <c r="AC613" s="78" t="s">
        <v>85</v>
      </c>
      <c r="AD613" s="78" t="s">
        <v>1128</v>
      </c>
      <c r="AG613" s="78" t="s">
        <v>1151</v>
      </c>
      <c r="AH613" s="78">
        <v>0</v>
      </c>
      <c r="AI613" s="78">
        <v>418</v>
      </c>
      <c r="AJ613" s="78">
        <v>33</v>
      </c>
      <c r="AK613" s="78">
        <v>245</v>
      </c>
      <c r="AL613" s="78">
        <v>0.61</v>
      </c>
    </row>
    <row r="614" spans="1:38" x14ac:dyDescent="0.3">
      <c r="A614" s="78" t="s">
        <v>1123</v>
      </c>
      <c r="B614" s="78">
        <v>112707</v>
      </c>
      <c r="C614" s="78">
        <v>1</v>
      </c>
      <c r="D614" s="78" t="s">
        <v>1152</v>
      </c>
      <c r="E614" s="78" t="s">
        <v>1153</v>
      </c>
      <c r="F614" s="78">
        <v>854</v>
      </c>
      <c r="G614" s="78">
        <v>24.35</v>
      </c>
      <c r="H614" s="78">
        <v>80.5</v>
      </c>
      <c r="I614" s="78">
        <v>18.11</v>
      </c>
      <c r="J614" s="78">
        <v>59.88</v>
      </c>
      <c r="K614" s="78">
        <v>174</v>
      </c>
      <c r="T614" s="78">
        <v>3</v>
      </c>
      <c r="U614" s="78">
        <v>2</v>
      </c>
      <c r="V614" s="78" t="s">
        <v>88</v>
      </c>
      <c r="W614" s="78">
        <v>80</v>
      </c>
      <c r="X614" s="78">
        <v>29</v>
      </c>
      <c r="Y614" s="78">
        <v>29</v>
      </c>
      <c r="Z614" s="78" t="s">
        <v>1154</v>
      </c>
      <c r="AA614" s="78" t="s">
        <v>1155</v>
      </c>
      <c r="AB614" s="78" t="s">
        <v>84</v>
      </c>
      <c r="AC614" s="78" t="s">
        <v>85</v>
      </c>
      <c r="AD614" s="78" t="s">
        <v>1128</v>
      </c>
      <c r="AG614" s="78" t="s">
        <v>1156</v>
      </c>
      <c r="AH614" s="78">
        <v>0</v>
      </c>
      <c r="AI614" s="78">
        <v>0</v>
      </c>
      <c r="AJ614" s="78">
        <v>0</v>
      </c>
      <c r="AK614" s="78">
        <v>1100</v>
      </c>
      <c r="AL614" s="78">
        <v>1.29</v>
      </c>
    </row>
    <row r="615" spans="1:38" x14ac:dyDescent="0.3">
      <c r="A615" s="78" t="s">
        <v>1123</v>
      </c>
      <c r="B615" s="78">
        <v>112707</v>
      </c>
      <c r="C615" s="78">
        <v>2</v>
      </c>
      <c r="D615" s="78" t="s">
        <v>1152</v>
      </c>
      <c r="E615" s="78" t="s">
        <v>1153</v>
      </c>
      <c r="F615" s="78">
        <v>854</v>
      </c>
      <c r="G615" s="78">
        <v>30.38</v>
      </c>
      <c r="H615" s="78">
        <v>100.43</v>
      </c>
      <c r="I615" s="78">
        <v>22.67</v>
      </c>
      <c r="J615" s="78">
        <v>74.959999999999994</v>
      </c>
      <c r="K615" s="78">
        <v>174</v>
      </c>
      <c r="T615" s="78">
        <v>3</v>
      </c>
      <c r="U615" s="78">
        <v>2</v>
      </c>
      <c r="V615" s="78" t="s">
        <v>88</v>
      </c>
      <c r="W615" s="78" t="s">
        <v>467</v>
      </c>
      <c r="X615" s="78">
        <v>29</v>
      </c>
      <c r="Y615" s="78">
        <v>29</v>
      </c>
      <c r="Z615" s="78" t="s">
        <v>1154</v>
      </c>
      <c r="AA615" s="78" t="s">
        <v>1155</v>
      </c>
      <c r="AB615" s="78" t="s">
        <v>84</v>
      </c>
      <c r="AC615" s="78" t="s">
        <v>85</v>
      </c>
      <c r="AD615" s="78" t="s">
        <v>1128</v>
      </c>
      <c r="AG615" s="78" t="s">
        <v>1156</v>
      </c>
      <c r="AH615" s="78">
        <v>0</v>
      </c>
      <c r="AI615" s="78">
        <v>0</v>
      </c>
      <c r="AJ615" s="78">
        <v>0</v>
      </c>
      <c r="AK615" s="78">
        <v>1100</v>
      </c>
      <c r="AL615" s="78">
        <v>1.29</v>
      </c>
    </row>
    <row r="616" spans="1:38" x14ac:dyDescent="0.3">
      <c r="A616" s="78" t="s">
        <v>1123</v>
      </c>
      <c r="B616" s="78">
        <v>112707</v>
      </c>
      <c r="C616" s="78">
        <v>3</v>
      </c>
      <c r="D616" s="78" t="s">
        <v>1152</v>
      </c>
      <c r="E616" s="78" t="s">
        <v>1153</v>
      </c>
      <c r="F616" s="78">
        <v>854</v>
      </c>
      <c r="G616" s="78">
        <v>30.27</v>
      </c>
      <c r="H616" s="78">
        <v>100.08</v>
      </c>
      <c r="I616" s="78">
        <v>22.67</v>
      </c>
      <c r="J616" s="78">
        <v>74.959999999999994</v>
      </c>
      <c r="K616" s="78">
        <v>84</v>
      </c>
      <c r="T616" s="78">
        <v>3</v>
      </c>
      <c r="U616" s="78">
        <v>2</v>
      </c>
      <c r="V616" s="78" t="s">
        <v>88</v>
      </c>
      <c r="W616" s="78" t="s">
        <v>702</v>
      </c>
      <c r="X616" s="78">
        <v>29</v>
      </c>
      <c r="Y616" s="78">
        <v>29</v>
      </c>
      <c r="Z616" s="78" t="s">
        <v>1154</v>
      </c>
      <c r="AA616" s="78" t="s">
        <v>1155</v>
      </c>
      <c r="AB616" s="78" t="s">
        <v>84</v>
      </c>
      <c r="AC616" s="78" t="s">
        <v>85</v>
      </c>
      <c r="AD616" s="78" t="s">
        <v>1128</v>
      </c>
      <c r="AG616" s="78" t="s">
        <v>1156</v>
      </c>
      <c r="AH616" s="78">
        <v>0</v>
      </c>
      <c r="AI616" s="78">
        <v>0</v>
      </c>
      <c r="AJ616" s="78">
        <v>0</v>
      </c>
      <c r="AK616" s="78">
        <v>1100</v>
      </c>
      <c r="AL616" s="78">
        <v>1.29</v>
      </c>
    </row>
    <row r="617" spans="1:38" x14ac:dyDescent="0.3">
      <c r="A617" s="78" t="s">
        <v>1123</v>
      </c>
      <c r="B617" s="78">
        <v>112707</v>
      </c>
      <c r="C617" s="78">
        <v>4</v>
      </c>
      <c r="D617" s="78" t="s">
        <v>1152</v>
      </c>
      <c r="E617" s="78" t="s">
        <v>1153</v>
      </c>
      <c r="F617" s="78">
        <v>854</v>
      </c>
      <c r="G617" s="78">
        <v>34.229999999999997</v>
      </c>
      <c r="H617" s="78">
        <v>113.18</v>
      </c>
      <c r="I617" s="78">
        <v>25.7</v>
      </c>
      <c r="J617" s="78">
        <v>84.99</v>
      </c>
      <c r="K617" s="78">
        <v>253</v>
      </c>
      <c r="T617" s="78">
        <v>3</v>
      </c>
      <c r="U617" s="78">
        <v>2</v>
      </c>
      <c r="V617" s="78" t="s">
        <v>88</v>
      </c>
      <c r="W617" s="78" t="s">
        <v>727</v>
      </c>
      <c r="X617" s="78">
        <v>29</v>
      </c>
      <c r="Y617" s="78">
        <v>29</v>
      </c>
      <c r="Z617" s="78" t="s">
        <v>1154</v>
      </c>
      <c r="AA617" s="78" t="s">
        <v>1155</v>
      </c>
      <c r="AB617" s="78" t="s">
        <v>84</v>
      </c>
      <c r="AC617" s="78" t="s">
        <v>85</v>
      </c>
      <c r="AD617" s="78" t="s">
        <v>1128</v>
      </c>
      <c r="AG617" s="78" t="s">
        <v>1156</v>
      </c>
      <c r="AH617" s="78">
        <v>0</v>
      </c>
      <c r="AI617" s="78">
        <v>0</v>
      </c>
      <c r="AJ617" s="78">
        <v>0</v>
      </c>
      <c r="AK617" s="78">
        <v>1100</v>
      </c>
      <c r="AL617" s="78">
        <v>1.29</v>
      </c>
    </row>
    <row r="618" spans="1:38" x14ac:dyDescent="0.3">
      <c r="A618" s="78" t="s">
        <v>1123</v>
      </c>
      <c r="B618" s="78">
        <v>112707</v>
      </c>
      <c r="C618" s="78">
        <v>5</v>
      </c>
      <c r="D618" s="78" t="s">
        <v>1152</v>
      </c>
      <c r="E618" s="78" t="s">
        <v>1153</v>
      </c>
      <c r="F618" s="78">
        <v>854</v>
      </c>
      <c r="G618" s="78">
        <v>34.46</v>
      </c>
      <c r="H618" s="78">
        <v>113.93</v>
      </c>
      <c r="I618" s="78">
        <v>25.64</v>
      </c>
      <c r="J618" s="78">
        <v>84.78</v>
      </c>
      <c r="K618" s="78">
        <v>82</v>
      </c>
      <c r="T618" s="78">
        <v>3</v>
      </c>
      <c r="U618" s="78">
        <v>2</v>
      </c>
      <c r="V618" s="78" t="s">
        <v>88</v>
      </c>
      <c r="W618" s="78" t="s">
        <v>178</v>
      </c>
      <c r="X618" s="78">
        <v>29</v>
      </c>
      <c r="Y618" s="78">
        <v>29</v>
      </c>
      <c r="Z618" s="78" t="s">
        <v>1154</v>
      </c>
      <c r="AA618" s="78" t="s">
        <v>1155</v>
      </c>
      <c r="AB618" s="78" t="s">
        <v>84</v>
      </c>
      <c r="AC618" s="78" t="s">
        <v>85</v>
      </c>
      <c r="AD618" s="78" t="s">
        <v>1128</v>
      </c>
      <c r="AG618" s="78" t="s">
        <v>1156</v>
      </c>
      <c r="AH618" s="78">
        <v>0</v>
      </c>
      <c r="AI618" s="78">
        <v>0</v>
      </c>
      <c r="AJ618" s="78">
        <v>0</v>
      </c>
      <c r="AK618" s="78">
        <v>1100</v>
      </c>
      <c r="AL618" s="78">
        <v>1.29</v>
      </c>
    </row>
    <row r="619" spans="1:38" x14ac:dyDescent="0.3">
      <c r="A619" s="78" t="s">
        <v>1123</v>
      </c>
      <c r="B619" s="78">
        <v>112707</v>
      </c>
      <c r="C619" s="78">
        <v>6</v>
      </c>
      <c r="D619" s="78" t="s">
        <v>1152</v>
      </c>
      <c r="E619" s="78" t="s">
        <v>1153</v>
      </c>
      <c r="F619" s="78">
        <v>854</v>
      </c>
      <c r="G619" s="78">
        <v>42.42</v>
      </c>
      <c r="H619" s="78">
        <v>140.25</v>
      </c>
      <c r="I619" s="78">
        <v>32.17</v>
      </c>
      <c r="J619" s="78">
        <v>106.35</v>
      </c>
      <c r="K619" s="78">
        <v>87</v>
      </c>
      <c r="T619" s="78">
        <v>4</v>
      </c>
      <c r="U619" s="78">
        <v>2</v>
      </c>
      <c r="V619" s="78" t="s">
        <v>88</v>
      </c>
      <c r="W619" s="78">
        <v>140</v>
      </c>
      <c r="X619" s="78">
        <v>29</v>
      </c>
      <c r="Y619" s="78">
        <v>29</v>
      </c>
      <c r="Z619" s="78" t="s">
        <v>1154</v>
      </c>
      <c r="AA619" s="78" t="s">
        <v>1155</v>
      </c>
      <c r="AB619" s="78" t="s">
        <v>84</v>
      </c>
      <c r="AC619" s="78" t="s">
        <v>85</v>
      </c>
      <c r="AD619" s="78" t="s">
        <v>1128</v>
      </c>
      <c r="AG619" s="78" t="s">
        <v>1156</v>
      </c>
      <c r="AH619" s="78">
        <v>0</v>
      </c>
      <c r="AI619" s="78">
        <v>0</v>
      </c>
      <c r="AJ619" s="78">
        <v>0</v>
      </c>
      <c r="AK619" s="78">
        <v>1100</v>
      </c>
      <c r="AL619" s="78">
        <v>1.29</v>
      </c>
    </row>
    <row r="620" spans="1:38" x14ac:dyDescent="0.3">
      <c r="A620" s="78" t="s">
        <v>1123</v>
      </c>
      <c r="B620" s="78">
        <v>5069</v>
      </c>
      <c r="C620" s="78">
        <v>1</v>
      </c>
      <c r="D620" s="78" t="s">
        <v>1157</v>
      </c>
      <c r="E620" s="78" t="s">
        <v>407</v>
      </c>
      <c r="F620" s="78">
        <v>270</v>
      </c>
      <c r="G620" s="78">
        <v>20.13</v>
      </c>
      <c r="H620" s="78">
        <v>66.55</v>
      </c>
      <c r="I620" s="78">
        <v>14.86</v>
      </c>
      <c r="J620" s="78">
        <v>49.14</v>
      </c>
      <c r="K620" s="78">
        <v>150</v>
      </c>
      <c r="T620" s="78">
        <v>2</v>
      </c>
      <c r="U620" s="78">
        <v>1</v>
      </c>
      <c r="V620" s="78" t="s">
        <v>81</v>
      </c>
      <c r="W620" s="78">
        <v>66</v>
      </c>
      <c r="X620" s="78">
        <v>15</v>
      </c>
      <c r="Y620" s="78">
        <v>15</v>
      </c>
      <c r="Z620" s="78" t="s">
        <v>1158</v>
      </c>
      <c r="AA620" s="78" t="s">
        <v>1159</v>
      </c>
      <c r="AB620" s="78" t="s">
        <v>84</v>
      </c>
      <c r="AC620" s="78" t="s">
        <v>85</v>
      </c>
      <c r="AD620" s="78" t="s">
        <v>1128</v>
      </c>
      <c r="AG620" s="78" t="s">
        <v>1160</v>
      </c>
      <c r="AH620" s="78">
        <v>0</v>
      </c>
      <c r="AI620" s="78">
        <v>189</v>
      </c>
      <c r="AJ620" s="78">
        <v>15</v>
      </c>
      <c r="AK620" s="78">
        <v>122</v>
      </c>
      <c r="AL620" s="78">
        <v>0.45</v>
      </c>
    </row>
    <row r="621" spans="1:38" x14ac:dyDescent="0.3">
      <c r="A621" s="78" t="s">
        <v>1123</v>
      </c>
      <c r="B621" s="78">
        <v>5069</v>
      </c>
      <c r="C621" s="78">
        <v>2</v>
      </c>
      <c r="D621" s="78" t="s">
        <v>1157</v>
      </c>
      <c r="E621" s="78" t="s">
        <v>407</v>
      </c>
      <c r="F621" s="78">
        <v>270</v>
      </c>
      <c r="G621" s="78">
        <v>24.02</v>
      </c>
      <c r="H621" s="78">
        <v>79.42</v>
      </c>
      <c r="I621" s="78">
        <v>17.96</v>
      </c>
      <c r="J621" s="78">
        <v>59.4</v>
      </c>
      <c r="K621" s="78">
        <v>120</v>
      </c>
      <c r="T621" s="78">
        <v>3</v>
      </c>
      <c r="U621" s="78">
        <v>1</v>
      </c>
      <c r="V621" s="78" t="s">
        <v>81</v>
      </c>
      <c r="W621" s="78">
        <v>79</v>
      </c>
      <c r="X621" s="78">
        <v>15</v>
      </c>
      <c r="Y621" s="78">
        <v>15</v>
      </c>
      <c r="Z621" s="78" t="s">
        <v>1158</v>
      </c>
      <c r="AA621" s="78" t="s">
        <v>1159</v>
      </c>
      <c r="AB621" s="78" t="s">
        <v>84</v>
      </c>
      <c r="AC621" s="78" t="s">
        <v>85</v>
      </c>
      <c r="AD621" s="78" t="s">
        <v>1128</v>
      </c>
      <c r="AG621" s="78" t="s">
        <v>1160</v>
      </c>
      <c r="AH621" s="78">
        <v>0</v>
      </c>
      <c r="AI621" s="78">
        <v>189</v>
      </c>
      <c r="AJ621" s="78">
        <v>15</v>
      </c>
      <c r="AK621" s="78">
        <v>122</v>
      </c>
      <c r="AL621" s="78">
        <v>0.45</v>
      </c>
    </row>
    <row r="622" spans="1:38" x14ac:dyDescent="0.3">
      <c r="A622" s="78" t="s">
        <v>1123</v>
      </c>
      <c r="B622" s="78">
        <v>139928</v>
      </c>
      <c r="C622" s="78">
        <v>1</v>
      </c>
      <c r="D622" s="78" t="s">
        <v>1161</v>
      </c>
      <c r="E622" s="78" t="s">
        <v>1162</v>
      </c>
      <c r="F622" s="78">
        <v>771</v>
      </c>
      <c r="G622" s="78">
        <v>33.159999999999997</v>
      </c>
      <c r="H622" s="78">
        <v>109.63</v>
      </c>
      <c r="I622" s="78">
        <v>25.7</v>
      </c>
      <c r="J622" s="78">
        <v>84.99</v>
      </c>
      <c r="K622" s="78">
        <v>442</v>
      </c>
      <c r="T622" s="78">
        <v>3</v>
      </c>
      <c r="U622" s="78">
        <v>2</v>
      </c>
      <c r="V622" s="78" t="s">
        <v>88</v>
      </c>
      <c r="W622" s="78" t="s">
        <v>1075</v>
      </c>
      <c r="X622" s="78">
        <v>29</v>
      </c>
      <c r="Y622" s="78">
        <v>19</v>
      </c>
      <c r="Z622" s="78" t="s">
        <v>1163</v>
      </c>
      <c r="AA622" s="78" t="s">
        <v>1164</v>
      </c>
      <c r="AB622" s="78" t="s">
        <v>84</v>
      </c>
      <c r="AC622" s="78" t="s">
        <v>85</v>
      </c>
      <c r="AD622" s="78" t="s">
        <v>1128</v>
      </c>
      <c r="AG622" s="78" t="s">
        <v>175</v>
      </c>
      <c r="AH622" s="78">
        <v>0</v>
      </c>
      <c r="AI622" s="78">
        <v>249</v>
      </c>
      <c r="AJ622" s="78">
        <v>17</v>
      </c>
      <c r="AK622" s="78">
        <v>1094</v>
      </c>
      <c r="AL622" s="78">
        <v>1.42</v>
      </c>
    </row>
    <row r="623" spans="1:38" x14ac:dyDescent="0.3">
      <c r="A623" s="78" t="s">
        <v>1123</v>
      </c>
      <c r="B623" s="78">
        <v>139928</v>
      </c>
      <c r="C623" s="78">
        <v>2</v>
      </c>
      <c r="D623" s="78" t="s">
        <v>1161</v>
      </c>
      <c r="E623" s="78" t="s">
        <v>1162</v>
      </c>
      <c r="F623" s="78">
        <v>771</v>
      </c>
      <c r="G623" s="78">
        <v>33.159999999999997</v>
      </c>
      <c r="H623" s="78">
        <v>109.65</v>
      </c>
      <c r="I623" s="78">
        <v>25.7</v>
      </c>
      <c r="J623" s="78">
        <v>84.99</v>
      </c>
      <c r="K623" s="78">
        <v>111</v>
      </c>
      <c r="T623" s="78">
        <v>3</v>
      </c>
      <c r="U623" s="78">
        <v>2</v>
      </c>
      <c r="V623" s="78" t="s">
        <v>88</v>
      </c>
      <c r="W623" s="78" t="s">
        <v>1165</v>
      </c>
      <c r="X623" s="78">
        <v>29</v>
      </c>
      <c r="Y623" s="78">
        <v>19</v>
      </c>
      <c r="Z623" s="78" t="s">
        <v>1163</v>
      </c>
      <c r="AA623" s="78" t="s">
        <v>1164</v>
      </c>
      <c r="AB623" s="78" t="s">
        <v>84</v>
      </c>
      <c r="AC623" s="78" t="s">
        <v>85</v>
      </c>
      <c r="AD623" s="78" t="s">
        <v>1128</v>
      </c>
      <c r="AG623" s="78" t="s">
        <v>175</v>
      </c>
      <c r="AH623" s="78">
        <v>0</v>
      </c>
      <c r="AI623" s="78">
        <v>249</v>
      </c>
      <c r="AJ623" s="78">
        <v>17</v>
      </c>
      <c r="AK623" s="78">
        <v>1094</v>
      </c>
      <c r="AL623" s="78">
        <v>1.42</v>
      </c>
    </row>
    <row r="624" spans="1:38" x14ac:dyDescent="0.3">
      <c r="A624" s="78" t="s">
        <v>1123</v>
      </c>
      <c r="B624" s="78">
        <v>139928</v>
      </c>
      <c r="C624" s="78">
        <v>3</v>
      </c>
      <c r="D624" s="78" t="s">
        <v>1161</v>
      </c>
      <c r="E624" s="78" t="s">
        <v>1162</v>
      </c>
      <c r="F624" s="78">
        <v>771</v>
      </c>
      <c r="G624" s="78">
        <v>33.18</v>
      </c>
      <c r="H624" s="78">
        <v>109.7</v>
      </c>
      <c r="I624" s="78">
        <v>25.7</v>
      </c>
      <c r="J624" s="78">
        <v>84.97</v>
      </c>
      <c r="K624" s="78">
        <v>36</v>
      </c>
      <c r="T624" s="78">
        <v>3</v>
      </c>
      <c r="U624" s="78">
        <v>2</v>
      </c>
      <c r="V624" s="78" t="s">
        <v>88</v>
      </c>
      <c r="W624" s="78" t="s">
        <v>1166</v>
      </c>
      <c r="X624" s="78">
        <v>29</v>
      </c>
      <c r="Y624" s="78">
        <v>19</v>
      </c>
      <c r="Z624" s="78" t="s">
        <v>1163</v>
      </c>
      <c r="AA624" s="78" t="s">
        <v>1164</v>
      </c>
      <c r="AB624" s="78" t="s">
        <v>84</v>
      </c>
      <c r="AC624" s="78" t="s">
        <v>85</v>
      </c>
      <c r="AD624" s="78" t="s">
        <v>1128</v>
      </c>
      <c r="AG624" s="78" t="s">
        <v>175</v>
      </c>
      <c r="AH624" s="78">
        <v>0</v>
      </c>
      <c r="AI624" s="78">
        <v>249</v>
      </c>
      <c r="AJ624" s="78">
        <v>17</v>
      </c>
      <c r="AK624" s="78">
        <v>1094</v>
      </c>
      <c r="AL624" s="78">
        <v>1.42</v>
      </c>
    </row>
    <row r="625" spans="1:38" x14ac:dyDescent="0.3">
      <c r="A625" s="78" t="s">
        <v>1123</v>
      </c>
      <c r="B625" s="78">
        <v>139928</v>
      </c>
      <c r="C625" s="78">
        <v>4</v>
      </c>
      <c r="D625" s="78" t="s">
        <v>1161</v>
      </c>
      <c r="E625" s="78" t="s">
        <v>1162</v>
      </c>
      <c r="F625" s="78">
        <v>771</v>
      </c>
      <c r="G625" s="78">
        <v>40.94</v>
      </c>
      <c r="H625" s="78">
        <v>135.35</v>
      </c>
      <c r="I625" s="78">
        <v>32.35</v>
      </c>
      <c r="J625" s="78">
        <v>106.95</v>
      </c>
      <c r="K625" s="78">
        <v>125</v>
      </c>
      <c r="T625" s="78">
        <v>4</v>
      </c>
      <c r="U625" s="78">
        <v>2</v>
      </c>
      <c r="V625" s="78" t="s">
        <v>88</v>
      </c>
      <c r="W625" s="78">
        <v>135</v>
      </c>
      <c r="X625" s="78">
        <v>29</v>
      </c>
      <c r="Y625" s="78">
        <v>19</v>
      </c>
      <c r="Z625" s="78" t="s">
        <v>1163</v>
      </c>
      <c r="AA625" s="78" t="s">
        <v>1164</v>
      </c>
      <c r="AB625" s="78" t="s">
        <v>84</v>
      </c>
      <c r="AC625" s="78" t="s">
        <v>85</v>
      </c>
      <c r="AD625" s="78" t="s">
        <v>1128</v>
      </c>
      <c r="AG625" s="78" t="s">
        <v>175</v>
      </c>
      <c r="AH625" s="78">
        <v>0</v>
      </c>
      <c r="AI625" s="78">
        <v>249</v>
      </c>
      <c r="AJ625" s="78">
        <v>17</v>
      </c>
      <c r="AK625" s="78">
        <v>1094</v>
      </c>
      <c r="AL625" s="78">
        <v>1.42</v>
      </c>
    </row>
    <row r="626" spans="1:38" x14ac:dyDescent="0.3">
      <c r="A626" s="78" t="s">
        <v>1123</v>
      </c>
      <c r="B626" s="78">
        <v>139928</v>
      </c>
      <c r="C626" s="78">
        <v>5</v>
      </c>
      <c r="D626" s="78" t="s">
        <v>1161</v>
      </c>
      <c r="E626" s="78" t="s">
        <v>1162</v>
      </c>
      <c r="F626" s="78">
        <v>771</v>
      </c>
      <c r="G626" s="78">
        <v>47.8</v>
      </c>
      <c r="H626" s="78">
        <v>158.02000000000001</v>
      </c>
      <c r="I626" s="78">
        <v>37.79</v>
      </c>
      <c r="J626" s="78">
        <v>124.93</v>
      </c>
      <c r="K626" s="78">
        <v>54</v>
      </c>
      <c r="T626" s="78">
        <v>4</v>
      </c>
      <c r="U626" s="78">
        <v>2</v>
      </c>
      <c r="V626" s="78" t="s">
        <v>88</v>
      </c>
      <c r="W626" s="78">
        <v>158</v>
      </c>
      <c r="X626" s="78">
        <v>29</v>
      </c>
      <c r="Y626" s="78">
        <v>19</v>
      </c>
      <c r="Z626" s="78" t="s">
        <v>1163</v>
      </c>
      <c r="AA626" s="78" t="s">
        <v>1164</v>
      </c>
      <c r="AB626" s="78" t="s">
        <v>84</v>
      </c>
      <c r="AC626" s="78" t="s">
        <v>85</v>
      </c>
      <c r="AD626" s="78" t="s">
        <v>1128</v>
      </c>
      <c r="AG626" s="78" t="s">
        <v>175</v>
      </c>
      <c r="AH626" s="78">
        <v>0</v>
      </c>
      <c r="AI626" s="78">
        <v>249</v>
      </c>
      <c r="AJ626" s="78">
        <v>17</v>
      </c>
      <c r="AK626" s="78">
        <v>1094</v>
      </c>
      <c r="AL626" s="78">
        <v>1.42</v>
      </c>
    </row>
    <row r="627" spans="1:38" x14ac:dyDescent="0.3">
      <c r="A627" s="78" t="s">
        <v>1123</v>
      </c>
      <c r="B627" s="78">
        <v>139928</v>
      </c>
      <c r="C627" s="78">
        <v>6</v>
      </c>
      <c r="D627" s="78" t="s">
        <v>1161</v>
      </c>
      <c r="E627" s="78" t="s">
        <v>1162</v>
      </c>
      <c r="F627" s="78">
        <v>771</v>
      </c>
      <c r="G627" s="78">
        <v>55.76</v>
      </c>
      <c r="H627" s="78">
        <v>184.36</v>
      </c>
      <c r="I627" s="78">
        <v>43.28</v>
      </c>
      <c r="J627" s="78">
        <v>143.08000000000001</v>
      </c>
      <c r="K627" s="78">
        <v>1</v>
      </c>
      <c r="T627" s="78">
        <v>4</v>
      </c>
      <c r="U627" s="78">
        <v>3</v>
      </c>
      <c r="V627" s="78" t="s">
        <v>88</v>
      </c>
      <c r="W627" s="78">
        <v>184</v>
      </c>
      <c r="X627" s="78">
        <v>29</v>
      </c>
      <c r="Y627" s="78">
        <v>19</v>
      </c>
      <c r="Z627" s="78" t="s">
        <v>1163</v>
      </c>
      <c r="AA627" s="78" t="s">
        <v>1164</v>
      </c>
      <c r="AB627" s="78" t="s">
        <v>84</v>
      </c>
      <c r="AC627" s="78" t="s">
        <v>85</v>
      </c>
      <c r="AD627" s="78" t="s">
        <v>1128</v>
      </c>
      <c r="AG627" s="78" t="s">
        <v>175</v>
      </c>
      <c r="AH627" s="78">
        <v>0</v>
      </c>
      <c r="AI627" s="78">
        <v>249</v>
      </c>
      <c r="AJ627" s="78">
        <v>17</v>
      </c>
      <c r="AK627" s="78">
        <v>1094</v>
      </c>
      <c r="AL627" s="78">
        <v>1.42</v>
      </c>
    </row>
    <row r="628" spans="1:38" x14ac:dyDescent="0.3">
      <c r="A628" s="78" t="s">
        <v>1123</v>
      </c>
      <c r="B628" s="78">
        <v>139928</v>
      </c>
      <c r="C628" s="78">
        <v>7</v>
      </c>
      <c r="D628" s="78" t="s">
        <v>1161</v>
      </c>
      <c r="E628" s="78" t="s">
        <v>1162</v>
      </c>
      <c r="F628" s="78">
        <v>771</v>
      </c>
      <c r="G628" s="78">
        <v>59.74</v>
      </c>
      <c r="H628" s="78">
        <v>197.51</v>
      </c>
      <c r="I628" s="78">
        <v>46.88</v>
      </c>
      <c r="J628" s="78">
        <v>154.97999999999999</v>
      </c>
      <c r="K628" s="78">
        <v>2</v>
      </c>
      <c r="T628" s="78">
        <v>5</v>
      </c>
      <c r="U628" s="78">
        <v>3</v>
      </c>
      <c r="V628" s="78" t="s">
        <v>88</v>
      </c>
      <c r="W628" s="78">
        <v>197</v>
      </c>
      <c r="X628" s="78">
        <v>29</v>
      </c>
      <c r="Y628" s="78">
        <v>19</v>
      </c>
      <c r="Z628" s="78" t="s">
        <v>1163</v>
      </c>
      <c r="AA628" s="78" t="s">
        <v>1164</v>
      </c>
      <c r="AB628" s="78" t="s">
        <v>84</v>
      </c>
      <c r="AC628" s="78" t="s">
        <v>85</v>
      </c>
      <c r="AD628" s="78" t="s">
        <v>1128</v>
      </c>
      <c r="AG628" s="78" t="s">
        <v>175</v>
      </c>
      <c r="AH628" s="78">
        <v>0</v>
      </c>
      <c r="AI628" s="78">
        <v>249</v>
      </c>
      <c r="AJ628" s="78">
        <v>17</v>
      </c>
      <c r="AK628" s="78">
        <v>1094</v>
      </c>
      <c r="AL628" s="78">
        <v>1.42</v>
      </c>
    </row>
    <row r="629" spans="1:38" x14ac:dyDescent="0.3">
      <c r="A629" s="78" t="s">
        <v>1123</v>
      </c>
      <c r="B629" s="78">
        <v>5065</v>
      </c>
      <c r="C629" s="78">
        <v>1</v>
      </c>
      <c r="D629" s="78" t="s">
        <v>1167</v>
      </c>
      <c r="E629" s="78" t="s">
        <v>271</v>
      </c>
      <c r="F629" s="78">
        <v>383</v>
      </c>
      <c r="G629" s="78">
        <v>18.3</v>
      </c>
      <c r="H629" s="78">
        <v>60.51</v>
      </c>
      <c r="I629" s="78">
        <v>14.4</v>
      </c>
      <c r="J629" s="78">
        <v>47.62</v>
      </c>
      <c r="K629" s="78">
        <v>120</v>
      </c>
      <c r="T629" s="78">
        <v>3</v>
      </c>
      <c r="U629" s="78">
        <v>1</v>
      </c>
      <c r="V629" s="78" t="s">
        <v>88</v>
      </c>
      <c r="W629" s="78">
        <v>60</v>
      </c>
      <c r="X629" s="78">
        <v>15</v>
      </c>
      <c r="Y629" s="78">
        <v>12</v>
      </c>
      <c r="Z629" s="78" t="s">
        <v>1168</v>
      </c>
      <c r="AA629" s="78" t="s">
        <v>1169</v>
      </c>
      <c r="AB629" s="78" t="s">
        <v>84</v>
      </c>
      <c r="AC629" s="78" t="s">
        <v>85</v>
      </c>
      <c r="AD629" s="78" t="s">
        <v>1128</v>
      </c>
      <c r="AG629" s="78" t="s">
        <v>1170</v>
      </c>
      <c r="AH629" s="78">
        <v>0</v>
      </c>
      <c r="AI629" s="78">
        <v>197</v>
      </c>
      <c r="AJ629" s="78">
        <v>18</v>
      </c>
      <c r="AK629" s="78">
        <v>346</v>
      </c>
      <c r="AL629" s="78">
        <v>0.9</v>
      </c>
    </row>
    <row r="630" spans="1:38" x14ac:dyDescent="0.3">
      <c r="A630" s="78" t="s">
        <v>1123</v>
      </c>
      <c r="B630" s="78">
        <v>5065</v>
      </c>
      <c r="C630" s="78">
        <v>2</v>
      </c>
      <c r="D630" s="78" t="s">
        <v>1167</v>
      </c>
      <c r="E630" s="78" t="s">
        <v>271</v>
      </c>
      <c r="F630" s="78">
        <v>383</v>
      </c>
      <c r="G630" s="78">
        <v>22.99</v>
      </c>
      <c r="H630" s="78">
        <v>76.03</v>
      </c>
      <c r="I630" s="78">
        <v>18.100000000000001</v>
      </c>
      <c r="J630" s="78">
        <v>59.84</v>
      </c>
      <c r="K630" s="78">
        <v>263</v>
      </c>
      <c r="T630" s="78">
        <v>3</v>
      </c>
      <c r="U630" s="78">
        <v>1</v>
      </c>
      <c r="V630" s="78" t="s">
        <v>88</v>
      </c>
      <c r="W630" s="78">
        <v>76</v>
      </c>
      <c r="X630" s="78">
        <v>15</v>
      </c>
      <c r="Y630" s="78">
        <v>12</v>
      </c>
      <c r="Z630" s="78" t="s">
        <v>1168</v>
      </c>
      <c r="AA630" s="78" t="s">
        <v>1169</v>
      </c>
      <c r="AB630" s="78" t="s">
        <v>84</v>
      </c>
      <c r="AC630" s="78" t="s">
        <v>85</v>
      </c>
      <c r="AD630" s="78" t="s">
        <v>1128</v>
      </c>
      <c r="AG630" s="78" t="s">
        <v>1170</v>
      </c>
      <c r="AH630" s="78">
        <v>0</v>
      </c>
      <c r="AI630" s="78">
        <v>197</v>
      </c>
      <c r="AJ630" s="78">
        <v>18</v>
      </c>
      <c r="AK630" s="78">
        <v>346</v>
      </c>
      <c r="AL630" s="78">
        <v>0.9</v>
      </c>
    </row>
    <row r="631" spans="1:38" x14ac:dyDescent="0.3">
      <c r="A631" s="78" t="s">
        <v>1123</v>
      </c>
      <c r="B631" s="78">
        <v>111158</v>
      </c>
      <c r="C631" s="78">
        <v>1</v>
      </c>
      <c r="D631" s="78" t="s">
        <v>1171</v>
      </c>
      <c r="E631" s="78" t="s">
        <v>1172</v>
      </c>
      <c r="F631" s="78">
        <v>480</v>
      </c>
      <c r="G631" s="78">
        <v>33.47</v>
      </c>
      <c r="H631" s="78">
        <v>110.66</v>
      </c>
      <c r="I631" s="78">
        <v>25.67</v>
      </c>
      <c r="J631" s="78">
        <v>84.88</v>
      </c>
      <c r="K631" s="78">
        <v>251</v>
      </c>
      <c r="T631" s="78">
        <v>3</v>
      </c>
      <c r="U631" s="78">
        <v>2</v>
      </c>
      <c r="V631" s="78" t="s">
        <v>88</v>
      </c>
      <c r="W631" s="78" t="s">
        <v>102</v>
      </c>
      <c r="X631" s="78">
        <v>36</v>
      </c>
      <c r="Y631" s="78">
        <v>27</v>
      </c>
      <c r="Z631" s="78" t="s">
        <v>1173</v>
      </c>
      <c r="AA631" s="78" t="s">
        <v>1174</v>
      </c>
      <c r="AB631" s="78" t="s">
        <v>84</v>
      </c>
      <c r="AC631" s="78" t="s">
        <v>85</v>
      </c>
      <c r="AD631" s="78" t="s">
        <v>1128</v>
      </c>
      <c r="AG631" s="78" t="s">
        <v>1175</v>
      </c>
      <c r="AH631" s="78">
        <v>0</v>
      </c>
      <c r="AI631" s="78">
        <v>598</v>
      </c>
      <c r="AJ631" s="78">
        <v>69</v>
      </c>
      <c r="AK631" s="78">
        <v>652</v>
      </c>
      <c r="AL631" s="78">
        <v>1.36</v>
      </c>
    </row>
    <row r="632" spans="1:38" x14ac:dyDescent="0.3">
      <c r="A632" s="78" t="s">
        <v>1123</v>
      </c>
      <c r="B632" s="78">
        <v>111158</v>
      </c>
      <c r="C632" s="78">
        <v>2</v>
      </c>
      <c r="D632" s="78" t="s">
        <v>1171</v>
      </c>
      <c r="E632" s="78" t="s">
        <v>1172</v>
      </c>
      <c r="F632" s="78">
        <v>480</v>
      </c>
      <c r="G632" s="78">
        <v>33.33</v>
      </c>
      <c r="H632" s="78">
        <v>110.21</v>
      </c>
      <c r="I632" s="78">
        <v>25.7</v>
      </c>
      <c r="J632" s="78">
        <v>84.99</v>
      </c>
      <c r="K632" s="78">
        <v>229</v>
      </c>
      <c r="T632" s="78">
        <v>3</v>
      </c>
      <c r="U632" s="78">
        <v>2</v>
      </c>
      <c r="V632" s="78" t="s">
        <v>88</v>
      </c>
      <c r="W632" s="78" t="s">
        <v>101</v>
      </c>
      <c r="X632" s="78">
        <v>36</v>
      </c>
      <c r="Y632" s="78">
        <v>27</v>
      </c>
      <c r="Z632" s="78" t="s">
        <v>1173</v>
      </c>
      <c r="AA632" s="78" t="s">
        <v>1174</v>
      </c>
      <c r="AB632" s="78" t="s">
        <v>84</v>
      </c>
      <c r="AC632" s="78" t="s">
        <v>85</v>
      </c>
      <c r="AD632" s="78" t="s">
        <v>1128</v>
      </c>
      <c r="AG632" s="78" t="s">
        <v>1175</v>
      </c>
      <c r="AH632" s="78">
        <v>0</v>
      </c>
      <c r="AI632" s="78">
        <v>598</v>
      </c>
      <c r="AJ632" s="78">
        <v>69</v>
      </c>
      <c r="AK632" s="78">
        <v>652</v>
      </c>
      <c r="AL632" s="78">
        <v>1.36</v>
      </c>
    </row>
    <row r="633" spans="1:38" x14ac:dyDescent="0.3">
      <c r="A633" s="78" t="s">
        <v>1123</v>
      </c>
      <c r="B633" s="78">
        <v>5073</v>
      </c>
      <c r="C633" s="78">
        <v>1</v>
      </c>
      <c r="D633" s="78" t="s">
        <v>121</v>
      </c>
      <c r="E633" s="78" t="s">
        <v>523</v>
      </c>
      <c r="F633" s="78">
        <v>560</v>
      </c>
      <c r="G633" s="78">
        <v>27.78</v>
      </c>
      <c r="H633" s="78">
        <v>91.86</v>
      </c>
      <c r="I633" s="78">
        <v>22.72</v>
      </c>
      <c r="J633" s="78">
        <v>75.12</v>
      </c>
      <c r="K633" s="78">
        <v>112</v>
      </c>
      <c r="T633" s="78">
        <v>3</v>
      </c>
      <c r="U633" s="78">
        <v>1</v>
      </c>
      <c r="V633" s="78" t="s">
        <v>88</v>
      </c>
      <c r="W633" s="78">
        <v>91</v>
      </c>
      <c r="X633" s="78">
        <v>15</v>
      </c>
      <c r="Y633" s="78">
        <v>14</v>
      </c>
      <c r="Z633" s="78" t="s">
        <v>1176</v>
      </c>
      <c r="AA633" s="78" t="s">
        <v>1177</v>
      </c>
      <c r="AB633" s="78" t="s">
        <v>84</v>
      </c>
      <c r="AC633" s="78" t="s">
        <v>85</v>
      </c>
      <c r="AD633" s="78" t="s">
        <v>1128</v>
      </c>
      <c r="AG633" s="78" t="s">
        <v>1178</v>
      </c>
      <c r="AH633" s="78">
        <v>0</v>
      </c>
      <c r="AI633" s="78">
        <v>199</v>
      </c>
      <c r="AJ633" s="78">
        <v>18</v>
      </c>
      <c r="AK633" s="78">
        <v>560</v>
      </c>
      <c r="AL633" s="78">
        <v>1</v>
      </c>
    </row>
    <row r="634" spans="1:38" x14ac:dyDescent="0.3">
      <c r="A634" s="78" t="s">
        <v>1123</v>
      </c>
      <c r="B634" s="78">
        <v>5073</v>
      </c>
      <c r="C634" s="78">
        <v>2</v>
      </c>
      <c r="D634" s="78" t="s">
        <v>121</v>
      </c>
      <c r="E634" s="78" t="s">
        <v>523</v>
      </c>
      <c r="F634" s="78">
        <v>560</v>
      </c>
      <c r="G634" s="78">
        <v>27.75</v>
      </c>
      <c r="H634" s="78">
        <v>91.75</v>
      </c>
      <c r="I634" s="78">
        <v>22.69</v>
      </c>
      <c r="J634" s="78">
        <v>75.03</v>
      </c>
      <c r="K634" s="78">
        <v>28</v>
      </c>
      <c r="T634" s="78">
        <v>3</v>
      </c>
      <c r="U634" s="78">
        <v>1</v>
      </c>
      <c r="V634" s="78" t="s">
        <v>88</v>
      </c>
      <c r="W634" s="78">
        <v>91</v>
      </c>
      <c r="X634" s="78">
        <v>15</v>
      </c>
      <c r="Y634" s="78">
        <v>14</v>
      </c>
      <c r="Z634" s="78" t="s">
        <v>1176</v>
      </c>
      <c r="AA634" s="78" t="s">
        <v>1177</v>
      </c>
      <c r="AB634" s="78" t="s">
        <v>84</v>
      </c>
      <c r="AC634" s="78" t="s">
        <v>85</v>
      </c>
      <c r="AD634" s="78" t="s">
        <v>1128</v>
      </c>
      <c r="AG634" s="78" t="s">
        <v>1178</v>
      </c>
      <c r="AH634" s="78">
        <v>0</v>
      </c>
      <c r="AI634" s="78">
        <v>199</v>
      </c>
      <c r="AJ634" s="78">
        <v>18</v>
      </c>
      <c r="AK634" s="78">
        <v>560</v>
      </c>
      <c r="AL634" s="78">
        <v>1</v>
      </c>
    </row>
    <row r="635" spans="1:38" x14ac:dyDescent="0.3">
      <c r="A635" s="78" t="s">
        <v>1123</v>
      </c>
      <c r="B635" s="78">
        <v>5073</v>
      </c>
      <c r="C635" s="78">
        <v>3</v>
      </c>
      <c r="D635" s="78" t="s">
        <v>121</v>
      </c>
      <c r="E635" s="78" t="s">
        <v>523</v>
      </c>
      <c r="F635" s="78">
        <v>560</v>
      </c>
      <c r="G635" s="78">
        <v>31.42</v>
      </c>
      <c r="H635" s="78">
        <v>103.89</v>
      </c>
      <c r="I635" s="78">
        <v>25.7</v>
      </c>
      <c r="J635" s="78">
        <v>84.96</v>
      </c>
      <c r="K635" s="78">
        <v>420</v>
      </c>
      <c r="T635" s="78">
        <v>3</v>
      </c>
      <c r="U635" s="78">
        <v>2</v>
      </c>
      <c r="V635" s="78" t="s">
        <v>88</v>
      </c>
      <c r="W635" s="78">
        <v>103</v>
      </c>
      <c r="X635" s="78">
        <v>15</v>
      </c>
      <c r="Y635" s="78">
        <v>14</v>
      </c>
      <c r="Z635" s="78" t="s">
        <v>1176</v>
      </c>
      <c r="AA635" s="78" t="s">
        <v>1177</v>
      </c>
      <c r="AB635" s="78" t="s">
        <v>84</v>
      </c>
      <c r="AC635" s="78" t="s">
        <v>85</v>
      </c>
      <c r="AD635" s="78" t="s">
        <v>1128</v>
      </c>
      <c r="AG635" s="78" t="s">
        <v>1178</v>
      </c>
      <c r="AH635" s="78">
        <v>0</v>
      </c>
      <c r="AI635" s="78">
        <v>199</v>
      </c>
      <c r="AJ635" s="78">
        <v>18</v>
      </c>
      <c r="AK635" s="78">
        <v>560</v>
      </c>
      <c r="AL635" s="78">
        <v>1</v>
      </c>
    </row>
    <row r="636" spans="1:38" x14ac:dyDescent="0.3">
      <c r="A636" s="78" t="s">
        <v>1123</v>
      </c>
      <c r="B636" s="78">
        <v>126017</v>
      </c>
      <c r="C636" s="78">
        <v>1</v>
      </c>
      <c r="D636" s="78" t="s">
        <v>1179</v>
      </c>
      <c r="E636" s="78" t="s">
        <v>1180</v>
      </c>
      <c r="F636" s="78">
        <v>64</v>
      </c>
      <c r="G636" s="78">
        <v>28.53</v>
      </c>
      <c r="H636" s="78">
        <v>94.34</v>
      </c>
      <c r="I636" s="78">
        <v>21.47</v>
      </c>
      <c r="J636" s="78">
        <v>70.989999999999995</v>
      </c>
      <c r="K636" s="78">
        <v>64</v>
      </c>
      <c r="T636" s="78">
        <v>3</v>
      </c>
      <c r="U636" s="78">
        <v>2</v>
      </c>
      <c r="V636" s="78" t="s">
        <v>88</v>
      </c>
      <c r="W636" s="78">
        <v>94</v>
      </c>
      <c r="X636" s="78">
        <v>12</v>
      </c>
      <c r="Y636" s="78">
        <v>11</v>
      </c>
      <c r="Z636" s="78" t="s">
        <v>1181</v>
      </c>
      <c r="AA636" s="78" t="s">
        <v>1182</v>
      </c>
      <c r="AB636" s="78" t="s">
        <v>84</v>
      </c>
      <c r="AC636" s="78" t="s">
        <v>85</v>
      </c>
      <c r="AD636" s="78" t="s">
        <v>1128</v>
      </c>
      <c r="AG636" s="78" t="s">
        <v>1183</v>
      </c>
      <c r="AH636" s="78">
        <v>0</v>
      </c>
      <c r="AI636" s="78">
        <v>195</v>
      </c>
      <c r="AJ636" s="78">
        <v>24</v>
      </c>
      <c r="AK636" s="78">
        <v>64</v>
      </c>
      <c r="AL636" s="78">
        <v>1</v>
      </c>
    </row>
    <row r="637" spans="1:38" x14ac:dyDescent="0.3">
      <c r="A637" s="78" t="s">
        <v>1123</v>
      </c>
      <c r="B637" s="78">
        <v>127340</v>
      </c>
      <c r="C637" s="78">
        <v>1</v>
      </c>
      <c r="D637" s="78" t="s">
        <v>1184</v>
      </c>
      <c r="E637" s="78" t="s">
        <v>1114</v>
      </c>
      <c r="F637" s="78">
        <v>60</v>
      </c>
      <c r="G637" s="78">
        <v>26.88</v>
      </c>
      <c r="H637" s="78">
        <v>88.86</v>
      </c>
      <c r="I637" s="78">
        <v>21.58</v>
      </c>
      <c r="J637" s="78">
        <v>71.37</v>
      </c>
      <c r="K637" s="78">
        <v>40</v>
      </c>
      <c r="T637" s="78">
        <v>3</v>
      </c>
      <c r="U637" s="78">
        <v>2</v>
      </c>
      <c r="V637" s="78" t="s">
        <v>88</v>
      </c>
      <c r="W637" s="78">
        <v>88</v>
      </c>
      <c r="X637" s="78">
        <v>10</v>
      </c>
      <c r="Y637" s="78">
        <v>10</v>
      </c>
      <c r="Z637" s="78" t="s">
        <v>1185</v>
      </c>
      <c r="AA637" s="78" t="s">
        <v>1186</v>
      </c>
      <c r="AB637" s="78" t="s">
        <v>84</v>
      </c>
      <c r="AC637" s="78" t="s">
        <v>85</v>
      </c>
      <c r="AD637" s="78" t="s">
        <v>1128</v>
      </c>
      <c r="AG637" s="78" t="s">
        <v>1187</v>
      </c>
      <c r="AH637" s="78">
        <v>0</v>
      </c>
      <c r="AI637" s="78">
        <v>248</v>
      </c>
      <c r="AJ637" s="78">
        <v>28</v>
      </c>
      <c r="AK637" s="78">
        <v>0</v>
      </c>
      <c r="AL637" s="78">
        <v>0</v>
      </c>
    </row>
    <row r="638" spans="1:38" x14ac:dyDescent="0.3">
      <c r="A638" s="78" t="s">
        <v>1123</v>
      </c>
      <c r="B638" s="78">
        <v>127340</v>
      </c>
      <c r="C638" s="78">
        <v>2</v>
      </c>
      <c r="D638" s="78" t="s">
        <v>1184</v>
      </c>
      <c r="E638" s="78" t="s">
        <v>1114</v>
      </c>
      <c r="F638" s="78">
        <v>60</v>
      </c>
      <c r="G638" s="78">
        <v>28.33</v>
      </c>
      <c r="H638" s="78">
        <v>93.68</v>
      </c>
      <c r="I638" s="78">
        <v>22.76</v>
      </c>
      <c r="J638" s="78">
        <v>75.239999999999995</v>
      </c>
      <c r="K638" s="78">
        <v>20</v>
      </c>
      <c r="T638" s="78">
        <v>3</v>
      </c>
      <c r="U638" s="78">
        <v>2</v>
      </c>
      <c r="V638" s="78" t="s">
        <v>88</v>
      </c>
      <c r="W638" s="78">
        <v>93</v>
      </c>
      <c r="X638" s="78">
        <v>10</v>
      </c>
      <c r="Y638" s="78">
        <v>10</v>
      </c>
      <c r="Z638" s="78" t="s">
        <v>1185</v>
      </c>
      <c r="AA638" s="78" t="s">
        <v>1186</v>
      </c>
      <c r="AB638" s="78" t="s">
        <v>84</v>
      </c>
      <c r="AC638" s="78" t="s">
        <v>85</v>
      </c>
      <c r="AD638" s="78" t="s">
        <v>1128</v>
      </c>
      <c r="AG638" s="78" t="s">
        <v>1187</v>
      </c>
      <c r="AH638" s="78">
        <v>0</v>
      </c>
      <c r="AI638" s="78">
        <v>248</v>
      </c>
      <c r="AJ638" s="78">
        <v>28</v>
      </c>
      <c r="AK638" s="78">
        <v>0</v>
      </c>
      <c r="AL638" s="78">
        <v>0</v>
      </c>
    </row>
    <row r="639" spans="1:38" x14ac:dyDescent="0.3">
      <c r="A639" s="78" t="s">
        <v>1123</v>
      </c>
      <c r="B639" s="78">
        <v>125752</v>
      </c>
      <c r="C639" s="78">
        <v>1</v>
      </c>
      <c r="D639" s="78" t="s">
        <v>1188</v>
      </c>
      <c r="E639" s="78" t="s">
        <v>1189</v>
      </c>
      <c r="F639" s="78">
        <v>973</v>
      </c>
      <c r="G639" s="78">
        <v>24.05</v>
      </c>
      <c r="H639" s="78">
        <v>79.510000000000005</v>
      </c>
      <c r="I639" s="78">
        <v>18.14</v>
      </c>
      <c r="J639" s="78">
        <v>59.99</v>
      </c>
      <c r="K639" s="78">
        <v>171</v>
      </c>
      <c r="T639" s="78">
        <v>3</v>
      </c>
      <c r="U639" s="78">
        <v>2</v>
      </c>
      <c r="V639" s="78" t="s">
        <v>88</v>
      </c>
      <c r="W639" s="78" t="s">
        <v>282</v>
      </c>
      <c r="X639" s="78">
        <v>29</v>
      </c>
      <c r="Y639" s="78">
        <v>24</v>
      </c>
      <c r="Z639" s="78" t="s">
        <v>1190</v>
      </c>
      <c r="AA639" s="78" t="s">
        <v>1191</v>
      </c>
      <c r="AB639" s="78" t="s">
        <v>84</v>
      </c>
      <c r="AC639" s="78" t="s">
        <v>85</v>
      </c>
      <c r="AD639" s="78" t="s">
        <v>1128</v>
      </c>
      <c r="AG639" s="78" t="s">
        <v>1192</v>
      </c>
      <c r="AH639" s="78">
        <v>0</v>
      </c>
      <c r="AI639" s="78">
        <v>249</v>
      </c>
      <c r="AJ639" s="78">
        <v>17</v>
      </c>
      <c r="AK639" s="78">
        <v>1289</v>
      </c>
      <c r="AL639" s="78">
        <v>1.32</v>
      </c>
    </row>
    <row r="640" spans="1:38" x14ac:dyDescent="0.3">
      <c r="A640" s="78" t="s">
        <v>1123</v>
      </c>
      <c r="B640" s="78">
        <v>125752</v>
      </c>
      <c r="C640" s="78">
        <v>2</v>
      </c>
      <c r="D640" s="78" t="s">
        <v>1188</v>
      </c>
      <c r="E640" s="78" t="s">
        <v>1189</v>
      </c>
      <c r="F640" s="78">
        <v>973</v>
      </c>
      <c r="G640" s="78">
        <v>24.03</v>
      </c>
      <c r="H640" s="78">
        <v>79.459999999999994</v>
      </c>
      <c r="I640" s="78">
        <v>18.14</v>
      </c>
      <c r="J640" s="78">
        <v>59.98</v>
      </c>
      <c r="K640" s="78">
        <v>58</v>
      </c>
      <c r="T640" s="78">
        <v>3</v>
      </c>
      <c r="U640" s="78">
        <v>2</v>
      </c>
      <c r="V640" s="78" t="s">
        <v>88</v>
      </c>
      <c r="W640" s="78" t="s">
        <v>912</v>
      </c>
      <c r="X640" s="78">
        <v>29</v>
      </c>
      <c r="Y640" s="78">
        <v>24</v>
      </c>
      <c r="Z640" s="78" t="s">
        <v>1190</v>
      </c>
      <c r="AA640" s="78" t="s">
        <v>1191</v>
      </c>
      <c r="AB640" s="78" t="s">
        <v>84</v>
      </c>
      <c r="AC640" s="78" t="s">
        <v>85</v>
      </c>
      <c r="AD640" s="78" t="s">
        <v>1128</v>
      </c>
      <c r="AG640" s="78" t="s">
        <v>1192</v>
      </c>
      <c r="AH640" s="78">
        <v>0</v>
      </c>
      <c r="AI640" s="78">
        <v>249</v>
      </c>
      <c r="AJ640" s="78">
        <v>17</v>
      </c>
      <c r="AK640" s="78">
        <v>1289</v>
      </c>
      <c r="AL640" s="78">
        <v>1.32</v>
      </c>
    </row>
    <row r="641" spans="1:38" x14ac:dyDescent="0.3">
      <c r="A641" s="78" t="s">
        <v>1123</v>
      </c>
      <c r="B641" s="78">
        <v>125752</v>
      </c>
      <c r="C641" s="78">
        <v>3</v>
      </c>
      <c r="D641" s="78" t="s">
        <v>1188</v>
      </c>
      <c r="E641" s="78" t="s">
        <v>1189</v>
      </c>
      <c r="F641" s="78">
        <v>973</v>
      </c>
      <c r="G641" s="78">
        <v>33.479999999999997</v>
      </c>
      <c r="H641" s="78">
        <v>110.68</v>
      </c>
      <c r="I641" s="78">
        <v>25.7</v>
      </c>
      <c r="J641" s="78">
        <v>84.99</v>
      </c>
      <c r="K641" s="78">
        <v>492</v>
      </c>
      <c r="T641" s="78">
        <v>3</v>
      </c>
      <c r="U641" s="78">
        <v>2</v>
      </c>
      <c r="V641" s="78" t="s">
        <v>88</v>
      </c>
      <c r="W641" s="78" t="s">
        <v>102</v>
      </c>
      <c r="X641" s="78">
        <v>29</v>
      </c>
      <c r="Y641" s="78">
        <v>24</v>
      </c>
      <c r="Z641" s="78" t="s">
        <v>1190</v>
      </c>
      <c r="AA641" s="78" t="s">
        <v>1191</v>
      </c>
      <c r="AB641" s="78" t="s">
        <v>84</v>
      </c>
      <c r="AC641" s="78" t="s">
        <v>85</v>
      </c>
      <c r="AD641" s="78" t="s">
        <v>1128</v>
      </c>
      <c r="AG641" s="78" t="s">
        <v>1192</v>
      </c>
      <c r="AH641" s="78">
        <v>0</v>
      </c>
      <c r="AI641" s="78">
        <v>249</v>
      </c>
      <c r="AJ641" s="78">
        <v>17</v>
      </c>
      <c r="AK641" s="78">
        <v>1289</v>
      </c>
      <c r="AL641" s="78">
        <v>1.32</v>
      </c>
    </row>
    <row r="642" spans="1:38" x14ac:dyDescent="0.3">
      <c r="A642" s="78" t="s">
        <v>1123</v>
      </c>
      <c r="B642" s="78">
        <v>125752</v>
      </c>
      <c r="C642" s="78">
        <v>4</v>
      </c>
      <c r="D642" s="78" t="s">
        <v>1188</v>
      </c>
      <c r="E642" s="78" t="s">
        <v>1189</v>
      </c>
      <c r="F642" s="78">
        <v>973</v>
      </c>
      <c r="G642" s="78">
        <v>33.57</v>
      </c>
      <c r="H642" s="78">
        <v>110.99</v>
      </c>
      <c r="I642" s="78">
        <v>25.7</v>
      </c>
      <c r="J642" s="78">
        <v>84.99</v>
      </c>
      <c r="K642" s="78">
        <v>81</v>
      </c>
      <c r="T642" s="78">
        <v>3</v>
      </c>
      <c r="U642" s="78">
        <v>2</v>
      </c>
      <c r="V642" s="78" t="s">
        <v>88</v>
      </c>
      <c r="W642" s="78" t="s">
        <v>101</v>
      </c>
      <c r="X642" s="78">
        <v>29</v>
      </c>
      <c r="Y642" s="78">
        <v>24</v>
      </c>
      <c r="Z642" s="78" t="s">
        <v>1190</v>
      </c>
      <c r="AA642" s="78" t="s">
        <v>1191</v>
      </c>
      <c r="AB642" s="78" t="s">
        <v>84</v>
      </c>
      <c r="AC642" s="78" t="s">
        <v>85</v>
      </c>
      <c r="AD642" s="78" t="s">
        <v>1128</v>
      </c>
      <c r="AG642" s="78" t="s">
        <v>1192</v>
      </c>
      <c r="AH642" s="78">
        <v>0</v>
      </c>
      <c r="AI642" s="78">
        <v>249</v>
      </c>
      <c r="AJ642" s="78">
        <v>17</v>
      </c>
      <c r="AK642" s="78">
        <v>1289</v>
      </c>
      <c r="AL642" s="78">
        <v>1.32</v>
      </c>
    </row>
    <row r="643" spans="1:38" x14ac:dyDescent="0.3">
      <c r="A643" s="78" t="s">
        <v>1123</v>
      </c>
      <c r="B643" s="78">
        <v>125752</v>
      </c>
      <c r="C643" s="78">
        <v>5</v>
      </c>
      <c r="D643" s="78" t="s">
        <v>1188</v>
      </c>
      <c r="E643" s="78" t="s">
        <v>1189</v>
      </c>
      <c r="F643" s="78">
        <v>973</v>
      </c>
      <c r="G643" s="78">
        <v>40.6</v>
      </c>
      <c r="H643" s="78">
        <v>134.22</v>
      </c>
      <c r="I643" s="78">
        <v>31.45</v>
      </c>
      <c r="J643" s="78">
        <v>103.97</v>
      </c>
      <c r="K643" s="78">
        <v>112</v>
      </c>
      <c r="T643" s="78">
        <v>4</v>
      </c>
      <c r="U643" s="78">
        <v>2</v>
      </c>
      <c r="V643" s="78" t="s">
        <v>88</v>
      </c>
      <c r="W643" s="78">
        <v>134</v>
      </c>
      <c r="X643" s="78">
        <v>29</v>
      </c>
      <c r="Y643" s="78">
        <v>24</v>
      </c>
      <c r="Z643" s="78" t="s">
        <v>1190</v>
      </c>
      <c r="AA643" s="78" t="s">
        <v>1191</v>
      </c>
      <c r="AB643" s="78" t="s">
        <v>84</v>
      </c>
      <c r="AC643" s="78" t="s">
        <v>85</v>
      </c>
      <c r="AD643" s="78" t="s">
        <v>1128</v>
      </c>
      <c r="AG643" s="78" t="s">
        <v>1192</v>
      </c>
      <c r="AH643" s="78">
        <v>0</v>
      </c>
      <c r="AI643" s="78">
        <v>249</v>
      </c>
      <c r="AJ643" s="78">
        <v>17</v>
      </c>
      <c r="AK643" s="78">
        <v>1289</v>
      </c>
      <c r="AL643" s="78">
        <v>1.32</v>
      </c>
    </row>
    <row r="644" spans="1:38" x14ac:dyDescent="0.3">
      <c r="A644" s="78" t="s">
        <v>1123</v>
      </c>
      <c r="B644" s="78">
        <v>125752</v>
      </c>
      <c r="C644" s="78">
        <v>6</v>
      </c>
      <c r="D644" s="78" t="s">
        <v>1188</v>
      </c>
      <c r="E644" s="78" t="s">
        <v>1189</v>
      </c>
      <c r="F644" s="78">
        <v>973</v>
      </c>
      <c r="G644" s="78">
        <v>46.32</v>
      </c>
      <c r="H644" s="78">
        <v>153.15</v>
      </c>
      <c r="I644" s="78">
        <v>35.99</v>
      </c>
      <c r="J644" s="78">
        <v>118.99</v>
      </c>
      <c r="K644" s="78">
        <v>56</v>
      </c>
      <c r="T644" s="78">
        <v>4</v>
      </c>
      <c r="U644" s="78">
        <v>2</v>
      </c>
      <c r="V644" s="78" t="s">
        <v>88</v>
      </c>
      <c r="W644" s="78">
        <v>153</v>
      </c>
      <c r="X644" s="78">
        <v>29</v>
      </c>
      <c r="Y644" s="78">
        <v>24</v>
      </c>
      <c r="Z644" s="78" t="s">
        <v>1190</v>
      </c>
      <c r="AA644" s="78" t="s">
        <v>1191</v>
      </c>
      <c r="AB644" s="78" t="s">
        <v>84</v>
      </c>
      <c r="AC644" s="78" t="s">
        <v>85</v>
      </c>
      <c r="AD644" s="78" t="s">
        <v>1128</v>
      </c>
      <c r="AG644" s="78" t="s">
        <v>1192</v>
      </c>
      <c r="AH644" s="78">
        <v>0</v>
      </c>
      <c r="AI644" s="78">
        <v>249</v>
      </c>
      <c r="AJ644" s="78">
        <v>17</v>
      </c>
      <c r="AK644" s="78">
        <v>1289</v>
      </c>
      <c r="AL644" s="78">
        <v>1.32</v>
      </c>
    </row>
    <row r="645" spans="1:38" x14ac:dyDescent="0.3">
      <c r="A645" s="78" t="s">
        <v>1123</v>
      </c>
      <c r="B645" s="78">
        <v>125752</v>
      </c>
      <c r="C645" s="78">
        <v>7</v>
      </c>
      <c r="D645" s="78" t="s">
        <v>1188</v>
      </c>
      <c r="E645" s="78" t="s">
        <v>1189</v>
      </c>
      <c r="F645" s="78">
        <v>973</v>
      </c>
      <c r="G645" s="78">
        <v>58.14</v>
      </c>
      <c r="H645" s="78">
        <v>192.23</v>
      </c>
      <c r="I645" s="78">
        <v>44.15</v>
      </c>
      <c r="J645" s="78">
        <v>145.96</v>
      </c>
      <c r="K645" s="78">
        <v>3</v>
      </c>
      <c r="T645" s="78">
        <v>4</v>
      </c>
      <c r="U645" s="78">
        <v>3</v>
      </c>
      <c r="V645" s="78" t="s">
        <v>88</v>
      </c>
      <c r="W645" s="78">
        <v>192</v>
      </c>
      <c r="X645" s="78">
        <v>29</v>
      </c>
      <c r="Y645" s="78">
        <v>24</v>
      </c>
      <c r="Z645" s="78" t="s">
        <v>1190</v>
      </c>
      <c r="AA645" s="78" t="s">
        <v>1191</v>
      </c>
      <c r="AB645" s="78" t="s">
        <v>84</v>
      </c>
      <c r="AC645" s="78" t="s">
        <v>85</v>
      </c>
      <c r="AD645" s="78" t="s">
        <v>1128</v>
      </c>
      <c r="AG645" s="78" t="s">
        <v>1192</v>
      </c>
      <c r="AH645" s="78">
        <v>0</v>
      </c>
      <c r="AI645" s="78">
        <v>249</v>
      </c>
      <c r="AJ645" s="78">
        <v>17</v>
      </c>
      <c r="AK645" s="78">
        <v>1289</v>
      </c>
      <c r="AL645" s="78">
        <v>1.32</v>
      </c>
    </row>
    <row r="646" spans="1:38" x14ac:dyDescent="0.3">
      <c r="A646" s="78" t="s">
        <v>1123</v>
      </c>
      <c r="B646" s="78">
        <v>135799</v>
      </c>
      <c r="C646" s="78">
        <v>1</v>
      </c>
      <c r="D646" s="78" t="s">
        <v>210</v>
      </c>
      <c r="F646" s="78">
        <v>204</v>
      </c>
      <c r="G646" s="78">
        <v>25.37</v>
      </c>
      <c r="H646" s="78">
        <v>83.87</v>
      </c>
      <c r="I646" s="78">
        <v>18.100000000000001</v>
      </c>
      <c r="J646" s="78">
        <v>59.86</v>
      </c>
      <c r="K646" s="78">
        <v>204</v>
      </c>
      <c r="T646" s="78">
        <v>3</v>
      </c>
      <c r="U646" s="78">
        <v>2</v>
      </c>
      <c r="V646" s="78" t="s">
        <v>88</v>
      </c>
      <c r="W646" s="78">
        <v>83</v>
      </c>
      <c r="X646" s="78">
        <v>15</v>
      </c>
      <c r="Y646" s="78">
        <v>15</v>
      </c>
      <c r="Z646" s="78" t="s">
        <v>1193</v>
      </c>
      <c r="AA646" s="78" t="s">
        <v>1194</v>
      </c>
      <c r="AB646" s="78" t="s">
        <v>84</v>
      </c>
      <c r="AC646" s="78" t="s">
        <v>85</v>
      </c>
      <c r="AD646" s="78" t="s">
        <v>1128</v>
      </c>
      <c r="AG646" s="78" t="s">
        <v>1195</v>
      </c>
      <c r="AH646" s="78">
        <v>0</v>
      </c>
      <c r="AI646" s="78">
        <v>202</v>
      </c>
      <c r="AJ646" s="78">
        <v>20</v>
      </c>
      <c r="AK646" s="78">
        <v>180</v>
      </c>
      <c r="AL646" s="78">
        <v>0.88</v>
      </c>
    </row>
    <row r="647" spans="1:38" x14ac:dyDescent="0.3">
      <c r="A647" s="78" t="s">
        <v>1123</v>
      </c>
      <c r="B647" s="78">
        <v>120089</v>
      </c>
      <c r="C647" s="78">
        <v>1</v>
      </c>
      <c r="D647" s="78" t="s">
        <v>1196</v>
      </c>
      <c r="E647" s="78" t="s">
        <v>1197</v>
      </c>
      <c r="F647" s="78">
        <v>423</v>
      </c>
      <c r="G647" s="78">
        <v>33.119999999999997</v>
      </c>
      <c r="H647" s="78">
        <v>109.51</v>
      </c>
      <c r="I647" s="78">
        <v>25.69</v>
      </c>
      <c r="J647" s="78">
        <v>84.94</v>
      </c>
      <c r="K647" s="78">
        <v>202</v>
      </c>
      <c r="T647" s="78">
        <v>3</v>
      </c>
      <c r="U647" s="78">
        <v>2</v>
      </c>
      <c r="V647" s="78" t="s">
        <v>88</v>
      </c>
      <c r="W647" s="78" t="s">
        <v>1075</v>
      </c>
      <c r="X647" s="78">
        <v>29</v>
      </c>
      <c r="Y647" s="78">
        <v>18</v>
      </c>
      <c r="Z647" s="78" t="s">
        <v>1198</v>
      </c>
      <c r="AA647" s="78" t="s">
        <v>1199</v>
      </c>
      <c r="AB647" s="78" t="s">
        <v>84</v>
      </c>
      <c r="AC647" s="78" t="s">
        <v>85</v>
      </c>
      <c r="AD647" s="78" t="s">
        <v>1128</v>
      </c>
      <c r="AG647" s="78" t="s">
        <v>1200</v>
      </c>
      <c r="AH647" s="78">
        <v>0</v>
      </c>
      <c r="AI647" s="78">
        <v>0</v>
      </c>
      <c r="AJ647" s="78">
        <v>0</v>
      </c>
      <c r="AK647" s="78">
        <v>593</v>
      </c>
      <c r="AL647" s="78">
        <v>1.4</v>
      </c>
    </row>
    <row r="648" spans="1:38" x14ac:dyDescent="0.3">
      <c r="A648" s="78" t="s">
        <v>1123</v>
      </c>
      <c r="B648" s="78">
        <v>120089</v>
      </c>
      <c r="C648" s="78">
        <v>2</v>
      </c>
      <c r="D648" s="78" t="s">
        <v>1196</v>
      </c>
      <c r="E648" s="78" t="s">
        <v>1197</v>
      </c>
      <c r="F648" s="78">
        <v>423</v>
      </c>
      <c r="G648" s="78">
        <v>33.6</v>
      </c>
      <c r="H648" s="78">
        <v>111.1</v>
      </c>
      <c r="I648" s="78">
        <v>25.69</v>
      </c>
      <c r="J648" s="78">
        <v>84.95</v>
      </c>
      <c r="K648" s="78">
        <v>109</v>
      </c>
      <c r="T648" s="78">
        <v>3</v>
      </c>
      <c r="U648" s="78">
        <v>2</v>
      </c>
      <c r="V648" s="78" t="s">
        <v>88</v>
      </c>
      <c r="W648" s="78" t="s">
        <v>427</v>
      </c>
      <c r="X648" s="78">
        <v>29</v>
      </c>
      <c r="Y648" s="78">
        <v>18</v>
      </c>
      <c r="Z648" s="78" t="s">
        <v>1198</v>
      </c>
      <c r="AA648" s="78" t="s">
        <v>1199</v>
      </c>
      <c r="AB648" s="78" t="s">
        <v>84</v>
      </c>
      <c r="AC648" s="78" t="s">
        <v>85</v>
      </c>
      <c r="AD648" s="78" t="s">
        <v>1128</v>
      </c>
      <c r="AG648" s="78" t="s">
        <v>1200</v>
      </c>
      <c r="AH648" s="78">
        <v>0</v>
      </c>
      <c r="AI648" s="78">
        <v>0</v>
      </c>
      <c r="AJ648" s="78">
        <v>0</v>
      </c>
      <c r="AK648" s="78">
        <v>593</v>
      </c>
      <c r="AL648" s="78">
        <v>1.4</v>
      </c>
    </row>
    <row r="649" spans="1:38" x14ac:dyDescent="0.3">
      <c r="A649" s="78" t="s">
        <v>1123</v>
      </c>
      <c r="B649" s="78">
        <v>120089</v>
      </c>
      <c r="C649" s="78">
        <v>3</v>
      </c>
      <c r="D649" s="78" t="s">
        <v>1196</v>
      </c>
      <c r="E649" s="78" t="s">
        <v>1197</v>
      </c>
      <c r="F649" s="78">
        <v>423</v>
      </c>
      <c r="G649" s="78">
        <v>44.22</v>
      </c>
      <c r="H649" s="78">
        <v>146.21</v>
      </c>
      <c r="I649" s="78">
        <v>34.44</v>
      </c>
      <c r="J649" s="78">
        <v>113.88</v>
      </c>
      <c r="K649" s="78">
        <v>110</v>
      </c>
      <c r="T649" s="78">
        <v>3</v>
      </c>
      <c r="U649" s="78">
        <v>2</v>
      </c>
      <c r="V649" s="78" t="s">
        <v>88</v>
      </c>
      <c r="W649" s="78">
        <v>146</v>
      </c>
      <c r="X649" s="78">
        <v>29</v>
      </c>
      <c r="Y649" s="78">
        <v>18</v>
      </c>
      <c r="Z649" s="78" t="s">
        <v>1198</v>
      </c>
      <c r="AA649" s="78" t="s">
        <v>1199</v>
      </c>
      <c r="AB649" s="78" t="s">
        <v>84</v>
      </c>
      <c r="AC649" s="78" t="s">
        <v>85</v>
      </c>
      <c r="AD649" s="78" t="s">
        <v>1128</v>
      </c>
      <c r="AG649" s="78" t="s">
        <v>1200</v>
      </c>
      <c r="AH649" s="78">
        <v>0</v>
      </c>
      <c r="AI649" s="78">
        <v>0</v>
      </c>
      <c r="AJ649" s="78">
        <v>0</v>
      </c>
      <c r="AK649" s="78">
        <v>593</v>
      </c>
      <c r="AL649" s="78">
        <v>1.4</v>
      </c>
    </row>
    <row r="650" spans="1:38" x14ac:dyDescent="0.3">
      <c r="A650" s="78" t="s">
        <v>1123</v>
      </c>
      <c r="B650" s="78">
        <v>120089</v>
      </c>
      <c r="C650" s="78">
        <v>4</v>
      </c>
      <c r="D650" s="78" t="s">
        <v>1196</v>
      </c>
      <c r="E650" s="78" t="s">
        <v>1197</v>
      </c>
      <c r="F650" s="78">
        <v>423</v>
      </c>
      <c r="G650" s="78">
        <v>56.88</v>
      </c>
      <c r="H650" s="78">
        <v>188.05</v>
      </c>
      <c r="I650" s="78">
        <v>43.32</v>
      </c>
      <c r="J650" s="78">
        <v>143.22999999999999</v>
      </c>
      <c r="K650" s="78">
        <v>2</v>
      </c>
      <c r="T650" s="78">
        <v>4</v>
      </c>
      <c r="U650" s="78">
        <v>2</v>
      </c>
      <c r="V650" s="78" t="s">
        <v>88</v>
      </c>
      <c r="W650" s="78" t="s">
        <v>1201</v>
      </c>
      <c r="X650" s="78">
        <v>29</v>
      </c>
      <c r="Y650" s="78">
        <v>18</v>
      </c>
      <c r="Z650" s="78" t="s">
        <v>1198</v>
      </c>
      <c r="AA650" s="78" t="s">
        <v>1199</v>
      </c>
      <c r="AB650" s="78" t="s">
        <v>84</v>
      </c>
      <c r="AC650" s="78" t="s">
        <v>85</v>
      </c>
      <c r="AD650" s="78" t="s">
        <v>1128</v>
      </c>
      <c r="AG650" s="78" t="s">
        <v>1200</v>
      </c>
      <c r="AH650" s="78">
        <v>0</v>
      </c>
      <c r="AI650" s="78">
        <v>0</v>
      </c>
      <c r="AJ650" s="78">
        <v>0</v>
      </c>
      <c r="AK650" s="78">
        <v>593</v>
      </c>
      <c r="AL650" s="78">
        <v>1.4</v>
      </c>
    </row>
    <row r="651" spans="1:38" x14ac:dyDescent="0.3">
      <c r="A651" s="78" t="s">
        <v>1202</v>
      </c>
      <c r="B651" s="78">
        <v>141761</v>
      </c>
      <c r="C651" s="78">
        <v>1</v>
      </c>
      <c r="D651" s="78" t="s">
        <v>1203</v>
      </c>
      <c r="E651" s="78" t="s">
        <v>1204</v>
      </c>
      <c r="F651" s="78">
        <v>665</v>
      </c>
      <c r="G651" s="78">
        <v>33.119999999999997</v>
      </c>
      <c r="H651" s="78">
        <v>109.52</v>
      </c>
      <c r="I651" s="78">
        <v>25.69</v>
      </c>
      <c r="J651" s="78">
        <v>84.94</v>
      </c>
      <c r="K651" s="78">
        <v>255</v>
      </c>
      <c r="T651" s="78">
        <v>3</v>
      </c>
      <c r="U651" s="78">
        <v>2</v>
      </c>
      <c r="V651" s="78" t="s">
        <v>88</v>
      </c>
      <c r="W651" s="78" t="s">
        <v>1075</v>
      </c>
      <c r="X651" s="78">
        <v>29</v>
      </c>
      <c r="Y651" s="78">
        <v>13</v>
      </c>
      <c r="Z651" s="78" t="s">
        <v>1205</v>
      </c>
      <c r="AA651" s="78" t="s">
        <v>1206</v>
      </c>
      <c r="AB651" s="78" t="s">
        <v>84</v>
      </c>
      <c r="AC651" s="78" t="s">
        <v>85</v>
      </c>
      <c r="AD651" s="78" t="s">
        <v>1207</v>
      </c>
      <c r="AG651" s="78" t="s">
        <v>175</v>
      </c>
      <c r="AH651" s="78">
        <v>0</v>
      </c>
      <c r="AI651" s="78">
        <v>0</v>
      </c>
      <c r="AJ651" s="78">
        <v>0</v>
      </c>
      <c r="AK651" s="78">
        <v>1175</v>
      </c>
      <c r="AL651" s="78">
        <v>1.77</v>
      </c>
    </row>
    <row r="652" spans="1:38" x14ac:dyDescent="0.3">
      <c r="A652" s="78" t="s">
        <v>1202</v>
      </c>
      <c r="B652" s="78">
        <v>141761</v>
      </c>
      <c r="C652" s="78">
        <v>2</v>
      </c>
      <c r="D652" s="78" t="s">
        <v>1203</v>
      </c>
      <c r="E652" s="78" t="s">
        <v>1204</v>
      </c>
      <c r="F652" s="78">
        <v>665</v>
      </c>
      <c r="G652" s="78">
        <v>33.35</v>
      </c>
      <c r="H652" s="78">
        <v>110.25</v>
      </c>
      <c r="I652" s="78">
        <v>25.67</v>
      </c>
      <c r="J652" s="78">
        <v>84.88</v>
      </c>
      <c r="K652" s="78">
        <v>118</v>
      </c>
      <c r="T652" s="78">
        <v>3</v>
      </c>
      <c r="U652" s="78">
        <v>2</v>
      </c>
      <c r="V652" s="78" t="s">
        <v>88</v>
      </c>
      <c r="W652" s="78" t="s">
        <v>101</v>
      </c>
      <c r="X652" s="78">
        <v>29</v>
      </c>
      <c r="Y652" s="78">
        <v>13</v>
      </c>
      <c r="Z652" s="78" t="s">
        <v>1205</v>
      </c>
      <c r="AA652" s="78" t="s">
        <v>1206</v>
      </c>
      <c r="AB652" s="78" t="s">
        <v>84</v>
      </c>
      <c r="AC652" s="78" t="s">
        <v>85</v>
      </c>
      <c r="AD652" s="78" t="s">
        <v>1207</v>
      </c>
      <c r="AG652" s="78" t="s">
        <v>175</v>
      </c>
      <c r="AH652" s="78">
        <v>0</v>
      </c>
      <c r="AI652" s="78">
        <v>0</v>
      </c>
      <c r="AJ652" s="78">
        <v>0</v>
      </c>
      <c r="AK652" s="78">
        <v>1175</v>
      </c>
      <c r="AL652" s="78">
        <v>1.77</v>
      </c>
    </row>
    <row r="653" spans="1:38" x14ac:dyDescent="0.3">
      <c r="A653" s="78" t="s">
        <v>1202</v>
      </c>
      <c r="B653" s="78">
        <v>141761</v>
      </c>
      <c r="C653" s="78">
        <v>3</v>
      </c>
      <c r="D653" s="78" t="s">
        <v>1203</v>
      </c>
      <c r="E653" s="78" t="s">
        <v>1204</v>
      </c>
      <c r="F653" s="78">
        <v>665</v>
      </c>
      <c r="G653" s="78">
        <v>46.07</v>
      </c>
      <c r="H653" s="78">
        <v>152.33000000000001</v>
      </c>
      <c r="I653" s="78">
        <v>35.96</v>
      </c>
      <c r="J653" s="78">
        <v>118.9</v>
      </c>
      <c r="K653" s="78">
        <v>157</v>
      </c>
      <c r="T653" s="78">
        <v>4</v>
      </c>
      <c r="U653" s="78">
        <v>2</v>
      </c>
      <c r="V653" s="78" t="s">
        <v>88</v>
      </c>
      <c r="W653" s="78">
        <v>152</v>
      </c>
      <c r="X653" s="78">
        <v>29</v>
      </c>
      <c r="Y653" s="78">
        <v>13</v>
      </c>
      <c r="Z653" s="78" t="s">
        <v>1205</v>
      </c>
      <c r="AA653" s="78" t="s">
        <v>1206</v>
      </c>
      <c r="AB653" s="78" t="s">
        <v>84</v>
      </c>
      <c r="AC653" s="78" t="s">
        <v>85</v>
      </c>
      <c r="AD653" s="78" t="s">
        <v>1207</v>
      </c>
      <c r="AG653" s="78" t="s">
        <v>175</v>
      </c>
      <c r="AH653" s="78">
        <v>0</v>
      </c>
      <c r="AI653" s="78">
        <v>0</v>
      </c>
      <c r="AJ653" s="78">
        <v>0</v>
      </c>
      <c r="AK653" s="78">
        <v>1175</v>
      </c>
      <c r="AL653" s="78">
        <v>1.77</v>
      </c>
    </row>
    <row r="654" spans="1:38" x14ac:dyDescent="0.3">
      <c r="A654" s="78" t="s">
        <v>1202</v>
      </c>
      <c r="B654" s="78">
        <v>141761</v>
      </c>
      <c r="C654" s="78">
        <v>4</v>
      </c>
      <c r="D654" s="78" t="s">
        <v>1203</v>
      </c>
      <c r="E654" s="78" t="s">
        <v>1204</v>
      </c>
      <c r="F654" s="78">
        <v>665</v>
      </c>
      <c r="G654" s="78">
        <v>46.55</v>
      </c>
      <c r="H654" s="78">
        <v>153.88999999999999</v>
      </c>
      <c r="I654" s="78">
        <v>36.28</v>
      </c>
      <c r="J654" s="78">
        <v>119.94</v>
      </c>
      <c r="K654" s="78">
        <v>11</v>
      </c>
      <c r="T654" s="78">
        <v>4</v>
      </c>
      <c r="U654" s="78">
        <v>2</v>
      </c>
      <c r="V654" s="78" t="s">
        <v>88</v>
      </c>
      <c r="W654" s="78">
        <v>153</v>
      </c>
      <c r="X654" s="78">
        <v>29</v>
      </c>
      <c r="Y654" s="78">
        <v>13</v>
      </c>
      <c r="Z654" s="78" t="s">
        <v>1205</v>
      </c>
      <c r="AA654" s="78" t="s">
        <v>1206</v>
      </c>
      <c r="AB654" s="78" t="s">
        <v>84</v>
      </c>
      <c r="AC654" s="78" t="s">
        <v>85</v>
      </c>
      <c r="AD654" s="78" t="s">
        <v>1207</v>
      </c>
      <c r="AG654" s="78" t="s">
        <v>175</v>
      </c>
      <c r="AH654" s="78">
        <v>0</v>
      </c>
      <c r="AI654" s="78">
        <v>0</v>
      </c>
      <c r="AJ654" s="78">
        <v>0</v>
      </c>
      <c r="AK654" s="78">
        <v>1175</v>
      </c>
      <c r="AL654" s="78">
        <v>1.77</v>
      </c>
    </row>
    <row r="655" spans="1:38" x14ac:dyDescent="0.3">
      <c r="A655" s="78" t="s">
        <v>1202</v>
      </c>
      <c r="B655" s="78">
        <v>141761</v>
      </c>
      <c r="C655" s="78">
        <v>5</v>
      </c>
      <c r="D655" s="78" t="s">
        <v>1203</v>
      </c>
      <c r="E655" s="78" t="s">
        <v>1204</v>
      </c>
      <c r="F655" s="78">
        <v>665</v>
      </c>
      <c r="G655" s="78">
        <v>56.36</v>
      </c>
      <c r="H655" s="78">
        <v>186.33</v>
      </c>
      <c r="I655" s="78">
        <v>44.44</v>
      </c>
      <c r="J655" s="78">
        <v>146.91</v>
      </c>
      <c r="K655" s="78">
        <v>120</v>
      </c>
      <c r="T655" s="78">
        <v>3</v>
      </c>
      <c r="U655" s="78">
        <v>3</v>
      </c>
      <c r="V655" s="78" t="s">
        <v>88</v>
      </c>
      <c r="W655" s="78">
        <v>186</v>
      </c>
      <c r="X655" s="78">
        <v>29</v>
      </c>
      <c r="Y655" s="78">
        <v>13</v>
      </c>
      <c r="Z655" s="78" t="s">
        <v>1205</v>
      </c>
      <c r="AA655" s="78" t="s">
        <v>1206</v>
      </c>
      <c r="AB655" s="78" t="s">
        <v>84</v>
      </c>
      <c r="AC655" s="78" t="s">
        <v>85</v>
      </c>
      <c r="AD655" s="78" t="s">
        <v>1207</v>
      </c>
      <c r="AG655" s="78" t="s">
        <v>175</v>
      </c>
      <c r="AH655" s="78">
        <v>0</v>
      </c>
      <c r="AI655" s="78">
        <v>0</v>
      </c>
      <c r="AJ655" s="78">
        <v>0</v>
      </c>
      <c r="AK655" s="78">
        <v>1175</v>
      </c>
      <c r="AL655" s="78">
        <v>1.77</v>
      </c>
    </row>
    <row r="656" spans="1:38" x14ac:dyDescent="0.3">
      <c r="A656" s="78" t="s">
        <v>1202</v>
      </c>
      <c r="B656" s="78">
        <v>141761</v>
      </c>
      <c r="C656" s="78">
        <v>6</v>
      </c>
      <c r="D656" s="78" t="s">
        <v>1203</v>
      </c>
      <c r="E656" s="78" t="s">
        <v>1204</v>
      </c>
      <c r="F656" s="78">
        <v>665</v>
      </c>
      <c r="G656" s="78">
        <v>70.84</v>
      </c>
      <c r="H656" s="78">
        <v>234.21</v>
      </c>
      <c r="I656" s="78">
        <v>54.87</v>
      </c>
      <c r="J656" s="78">
        <v>181.42</v>
      </c>
      <c r="K656" s="78">
        <v>2</v>
      </c>
      <c r="T656" s="78">
        <v>3</v>
      </c>
      <c r="U656" s="78">
        <v>3</v>
      </c>
      <c r="V656" s="78" t="s">
        <v>88</v>
      </c>
      <c r="W656" s="78" t="s">
        <v>1208</v>
      </c>
      <c r="X656" s="78">
        <v>29</v>
      </c>
      <c r="Y656" s="78">
        <v>13</v>
      </c>
      <c r="Z656" s="78" t="s">
        <v>1205</v>
      </c>
      <c r="AA656" s="78" t="s">
        <v>1206</v>
      </c>
      <c r="AB656" s="78" t="s">
        <v>84</v>
      </c>
      <c r="AC656" s="78" t="s">
        <v>85</v>
      </c>
      <c r="AD656" s="78" t="s">
        <v>1207</v>
      </c>
      <c r="AG656" s="78" t="s">
        <v>175</v>
      </c>
      <c r="AH656" s="78">
        <v>0</v>
      </c>
      <c r="AI656" s="78">
        <v>0</v>
      </c>
      <c r="AJ656" s="78">
        <v>0</v>
      </c>
      <c r="AK656" s="78">
        <v>1175</v>
      </c>
      <c r="AL656" s="78">
        <v>1.77</v>
      </c>
    </row>
    <row r="657" spans="1:38" x14ac:dyDescent="0.3">
      <c r="A657" s="78" t="s">
        <v>1202</v>
      </c>
      <c r="B657" s="78">
        <v>141761</v>
      </c>
      <c r="C657" s="78">
        <v>7</v>
      </c>
      <c r="D657" s="78" t="s">
        <v>1203</v>
      </c>
      <c r="E657" s="78" t="s">
        <v>1204</v>
      </c>
      <c r="F657" s="78">
        <v>665</v>
      </c>
      <c r="G657" s="78">
        <v>92.11</v>
      </c>
      <c r="H657" s="78">
        <v>304.52</v>
      </c>
      <c r="I657" s="78">
        <v>72.22</v>
      </c>
      <c r="J657" s="78">
        <v>238.75</v>
      </c>
      <c r="K657" s="78">
        <v>2</v>
      </c>
      <c r="T657" s="78">
        <v>5</v>
      </c>
      <c r="U657" s="78">
        <v>4</v>
      </c>
      <c r="V657" s="78" t="s">
        <v>88</v>
      </c>
      <c r="W657" s="78" t="s">
        <v>1209</v>
      </c>
      <c r="X657" s="78">
        <v>29</v>
      </c>
      <c r="Y657" s="78">
        <v>13</v>
      </c>
      <c r="Z657" s="78" t="s">
        <v>1205</v>
      </c>
      <c r="AA657" s="78" t="s">
        <v>1206</v>
      </c>
      <c r="AB657" s="78" t="s">
        <v>84</v>
      </c>
      <c r="AC657" s="78" t="s">
        <v>85</v>
      </c>
      <c r="AD657" s="78" t="s">
        <v>1207</v>
      </c>
      <c r="AG657" s="78" t="s">
        <v>175</v>
      </c>
      <c r="AH657" s="78">
        <v>0</v>
      </c>
      <c r="AI657" s="78">
        <v>0</v>
      </c>
      <c r="AJ657" s="78">
        <v>0</v>
      </c>
      <c r="AK657" s="78">
        <v>1175</v>
      </c>
      <c r="AL657" s="78">
        <v>1.77</v>
      </c>
    </row>
    <row r="658" spans="1:38" x14ac:dyDescent="0.3">
      <c r="A658" s="78" t="s">
        <v>1202</v>
      </c>
      <c r="B658" s="78">
        <v>26913</v>
      </c>
      <c r="C658" s="78">
        <v>1</v>
      </c>
      <c r="D658" s="78" t="s">
        <v>1210</v>
      </c>
      <c r="E658" s="78" t="s">
        <v>1211</v>
      </c>
      <c r="F658" s="78">
        <v>532</v>
      </c>
      <c r="G658" s="78">
        <v>36.21</v>
      </c>
      <c r="H658" s="78">
        <v>119.73</v>
      </c>
      <c r="I658" s="78">
        <v>25.67</v>
      </c>
      <c r="J658" s="78">
        <v>84.87</v>
      </c>
      <c r="K658" s="78">
        <v>196</v>
      </c>
      <c r="T658" s="78">
        <v>3</v>
      </c>
      <c r="U658" s="78">
        <v>2</v>
      </c>
      <c r="V658" s="78" t="s">
        <v>88</v>
      </c>
      <c r="W658" s="78">
        <v>119</v>
      </c>
      <c r="X658" s="78">
        <v>15</v>
      </c>
      <c r="Y658" s="78">
        <v>11</v>
      </c>
      <c r="Z658" s="78" t="s">
        <v>1212</v>
      </c>
      <c r="AA658" s="78" t="s">
        <v>1213</v>
      </c>
      <c r="AB658" s="78" t="s">
        <v>84</v>
      </c>
      <c r="AC658" s="78" t="s">
        <v>85</v>
      </c>
      <c r="AD658" s="78" t="s">
        <v>1207</v>
      </c>
      <c r="AG658" s="78" t="s">
        <v>1214</v>
      </c>
      <c r="AH658" s="78">
        <v>0</v>
      </c>
      <c r="AI658" s="78">
        <v>233</v>
      </c>
      <c r="AJ658" s="78">
        <v>20</v>
      </c>
      <c r="AK658" s="78">
        <v>849</v>
      </c>
      <c r="AL658" s="78">
        <v>1.6</v>
      </c>
    </row>
    <row r="659" spans="1:38" x14ac:dyDescent="0.3">
      <c r="A659" s="78" t="s">
        <v>1202</v>
      </c>
      <c r="B659" s="78">
        <v>26913</v>
      </c>
      <c r="C659" s="78">
        <v>2</v>
      </c>
      <c r="D659" s="78" t="s">
        <v>1210</v>
      </c>
      <c r="E659" s="78" t="s">
        <v>1211</v>
      </c>
      <c r="F659" s="78">
        <v>532</v>
      </c>
      <c r="G659" s="78">
        <v>47.05</v>
      </c>
      <c r="H659" s="78">
        <v>155.55000000000001</v>
      </c>
      <c r="I659" s="78">
        <v>38.99</v>
      </c>
      <c r="J659" s="78">
        <v>128.9</v>
      </c>
      <c r="K659" s="78">
        <v>198</v>
      </c>
      <c r="T659" s="78">
        <v>4</v>
      </c>
      <c r="U659" s="78">
        <v>2</v>
      </c>
      <c r="V659" s="78" t="s">
        <v>88</v>
      </c>
      <c r="W659" s="78">
        <v>155</v>
      </c>
      <c r="X659" s="78">
        <v>15</v>
      </c>
      <c r="Y659" s="78">
        <v>11</v>
      </c>
      <c r="Z659" s="78" t="s">
        <v>1212</v>
      </c>
      <c r="AA659" s="78" t="s">
        <v>1213</v>
      </c>
      <c r="AB659" s="78" t="s">
        <v>84</v>
      </c>
      <c r="AC659" s="78" t="s">
        <v>85</v>
      </c>
      <c r="AD659" s="78" t="s">
        <v>1207</v>
      </c>
      <c r="AG659" s="78" t="s">
        <v>1214</v>
      </c>
      <c r="AH659" s="78">
        <v>0</v>
      </c>
      <c r="AI659" s="78">
        <v>233</v>
      </c>
      <c r="AJ659" s="78">
        <v>20</v>
      </c>
      <c r="AK659" s="78">
        <v>849</v>
      </c>
      <c r="AL659" s="78">
        <v>1.6</v>
      </c>
    </row>
    <row r="660" spans="1:38" x14ac:dyDescent="0.3">
      <c r="A660" s="78" t="s">
        <v>1202</v>
      </c>
      <c r="B660" s="78">
        <v>26913</v>
      </c>
      <c r="C660" s="78">
        <v>3</v>
      </c>
      <c r="D660" s="78" t="s">
        <v>1210</v>
      </c>
      <c r="E660" s="78" t="s">
        <v>1211</v>
      </c>
      <c r="F660" s="78">
        <v>532</v>
      </c>
      <c r="G660" s="78">
        <v>55.42</v>
      </c>
      <c r="H660" s="78">
        <v>183.23</v>
      </c>
      <c r="I660" s="78">
        <v>46.74</v>
      </c>
      <c r="J660" s="78">
        <v>154.53</v>
      </c>
      <c r="K660" s="78">
        <v>108</v>
      </c>
      <c r="T660" s="78">
        <v>4</v>
      </c>
      <c r="U660" s="78">
        <v>2</v>
      </c>
      <c r="V660" s="78" t="s">
        <v>88</v>
      </c>
      <c r="W660" s="78">
        <v>183</v>
      </c>
      <c r="X660" s="78">
        <v>15</v>
      </c>
      <c r="Y660" s="78">
        <v>11</v>
      </c>
      <c r="Z660" s="78" t="s">
        <v>1212</v>
      </c>
      <c r="AA660" s="78" t="s">
        <v>1213</v>
      </c>
      <c r="AB660" s="78" t="s">
        <v>84</v>
      </c>
      <c r="AC660" s="78" t="s">
        <v>85</v>
      </c>
      <c r="AD660" s="78" t="s">
        <v>1207</v>
      </c>
      <c r="AG660" s="78" t="s">
        <v>1214</v>
      </c>
      <c r="AH660" s="78">
        <v>0</v>
      </c>
      <c r="AI660" s="78">
        <v>233</v>
      </c>
      <c r="AJ660" s="78">
        <v>20</v>
      </c>
      <c r="AK660" s="78">
        <v>849</v>
      </c>
      <c r="AL660" s="78">
        <v>1.6</v>
      </c>
    </row>
    <row r="661" spans="1:38" x14ac:dyDescent="0.3">
      <c r="A661" s="78" t="s">
        <v>1202</v>
      </c>
      <c r="B661" s="78">
        <v>26913</v>
      </c>
      <c r="C661" s="78">
        <v>4</v>
      </c>
      <c r="D661" s="78" t="s">
        <v>1210</v>
      </c>
      <c r="E661" s="78" t="s">
        <v>1211</v>
      </c>
      <c r="F661" s="78">
        <v>532</v>
      </c>
      <c r="G661" s="78">
        <v>64.739999999999995</v>
      </c>
      <c r="H661" s="78">
        <v>214.04</v>
      </c>
      <c r="I661" s="78">
        <v>54.81</v>
      </c>
      <c r="J661" s="78">
        <v>181.21</v>
      </c>
      <c r="K661" s="78">
        <v>30</v>
      </c>
      <c r="T661" s="78">
        <v>5</v>
      </c>
      <c r="U661" s="78">
        <v>3</v>
      </c>
      <c r="V661" s="78" t="s">
        <v>88</v>
      </c>
      <c r="W661" s="78">
        <v>214</v>
      </c>
      <c r="X661" s="78">
        <v>15</v>
      </c>
      <c r="Y661" s="78">
        <v>11</v>
      </c>
      <c r="Z661" s="78" t="s">
        <v>1212</v>
      </c>
      <c r="AA661" s="78" t="s">
        <v>1213</v>
      </c>
      <c r="AB661" s="78" t="s">
        <v>84</v>
      </c>
      <c r="AC661" s="78" t="s">
        <v>85</v>
      </c>
      <c r="AD661" s="78" t="s">
        <v>1207</v>
      </c>
      <c r="AG661" s="78" t="s">
        <v>1214</v>
      </c>
      <c r="AH661" s="78">
        <v>0</v>
      </c>
      <c r="AI661" s="78">
        <v>233</v>
      </c>
      <c r="AJ661" s="78">
        <v>20</v>
      </c>
      <c r="AK661" s="78">
        <v>849</v>
      </c>
      <c r="AL661" s="78">
        <v>1.6</v>
      </c>
    </row>
    <row r="662" spans="1:38" x14ac:dyDescent="0.3">
      <c r="A662" s="78" t="s">
        <v>1202</v>
      </c>
      <c r="B662" s="78">
        <v>104620</v>
      </c>
      <c r="C662" s="78">
        <v>1</v>
      </c>
      <c r="D662" s="78" t="s">
        <v>1215</v>
      </c>
      <c r="E662" s="78" t="s">
        <v>1216</v>
      </c>
      <c r="F662" s="78">
        <v>935</v>
      </c>
      <c r="G662" s="78">
        <v>25.5</v>
      </c>
      <c r="H662" s="78">
        <v>84.3</v>
      </c>
      <c r="I662" s="78">
        <v>18.14</v>
      </c>
      <c r="J662" s="78">
        <v>59.97</v>
      </c>
      <c r="K662" s="78">
        <v>133</v>
      </c>
      <c r="T662" s="78">
        <v>3</v>
      </c>
      <c r="U662" s="78">
        <v>2</v>
      </c>
      <c r="V662" s="78" t="s">
        <v>88</v>
      </c>
      <c r="W662" s="78" t="s">
        <v>1066</v>
      </c>
      <c r="X662" s="78">
        <v>25</v>
      </c>
      <c r="Y662" s="78">
        <v>18</v>
      </c>
      <c r="Z662" s="78" t="s">
        <v>1217</v>
      </c>
      <c r="AA662" s="78" t="s">
        <v>1218</v>
      </c>
      <c r="AB662" s="78" t="s">
        <v>84</v>
      </c>
      <c r="AC662" s="78" t="s">
        <v>85</v>
      </c>
      <c r="AD662" s="78" t="s">
        <v>1207</v>
      </c>
      <c r="AG662" s="78" t="s">
        <v>1219</v>
      </c>
      <c r="AH662" s="78">
        <v>0</v>
      </c>
      <c r="AI662" s="78">
        <v>245</v>
      </c>
      <c r="AJ662" s="78">
        <v>18</v>
      </c>
      <c r="AK662" s="78">
        <v>1135</v>
      </c>
      <c r="AL662" s="78">
        <v>1.21</v>
      </c>
    </row>
    <row r="663" spans="1:38" x14ac:dyDescent="0.3">
      <c r="A663" s="78" t="s">
        <v>1202</v>
      </c>
      <c r="B663" s="78">
        <v>104620</v>
      </c>
      <c r="C663" s="78">
        <v>2</v>
      </c>
      <c r="D663" s="78" t="s">
        <v>1215</v>
      </c>
      <c r="E663" s="78" t="s">
        <v>1216</v>
      </c>
      <c r="F663" s="78">
        <v>935</v>
      </c>
      <c r="G663" s="78">
        <v>25.6</v>
      </c>
      <c r="H663" s="78">
        <v>84.63</v>
      </c>
      <c r="I663" s="78">
        <v>18.12</v>
      </c>
      <c r="J663" s="78">
        <v>59.91</v>
      </c>
      <c r="K663" s="78">
        <v>48</v>
      </c>
      <c r="T663" s="78">
        <v>3</v>
      </c>
      <c r="U663" s="78">
        <v>2</v>
      </c>
      <c r="V663" s="78" t="s">
        <v>88</v>
      </c>
      <c r="W663" s="78" t="s">
        <v>1220</v>
      </c>
      <c r="X663" s="78">
        <v>25</v>
      </c>
      <c r="Y663" s="78">
        <v>18</v>
      </c>
      <c r="Z663" s="78" t="s">
        <v>1217</v>
      </c>
      <c r="AA663" s="78" t="s">
        <v>1218</v>
      </c>
      <c r="AB663" s="78" t="s">
        <v>84</v>
      </c>
      <c r="AC663" s="78" t="s">
        <v>85</v>
      </c>
      <c r="AD663" s="78" t="s">
        <v>1207</v>
      </c>
      <c r="AG663" s="78" t="s">
        <v>1219</v>
      </c>
      <c r="AH663" s="78">
        <v>0</v>
      </c>
      <c r="AI663" s="78">
        <v>245</v>
      </c>
      <c r="AJ663" s="78">
        <v>18</v>
      </c>
      <c r="AK663" s="78">
        <v>1135</v>
      </c>
      <c r="AL663" s="78">
        <v>1.21</v>
      </c>
    </row>
    <row r="664" spans="1:38" x14ac:dyDescent="0.3">
      <c r="A664" s="78" t="s">
        <v>1202</v>
      </c>
      <c r="B664" s="78">
        <v>104620</v>
      </c>
      <c r="C664" s="78">
        <v>3</v>
      </c>
      <c r="D664" s="78" t="s">
        <v>1215</v>
      </c>
      <c r="E664" s="78" t="s">
        <v>1216</v>
      </c>
      <c r="F664" s="78">
        <v>935</v>
      </c>
      <c r="G664" s="78">
        <v>31.3</v>
      </c>
      <c r="H664" s="78">
        <v>103.5</v>
      </c>
      <c r="I664" s="78">
        <v>22.68</v>
      </c>
      <c r="J664" s="78">
        <v>74.989999999999995</v>
      </c>
      <c r="K664" s="78">
        <v>213</v>
      </c>
      <c r="T664" s="78">
        <v>3</v>
      </c>
      <c r="U664" s="78">
        <v>2</v>
      </c>
      <c r="V664" s="78" t="s">
        <v>88</v>
      </c>
      <c r="W664" s="78" t="s">
        <v>913</v>
      </c>
      <c r="X664" s="78">
        <v>25</v>
      </c>
      <c r="Y664" s="78">
        <v>18</v>
      </c>
      <c r="Z664" s="78" t="s">
        <v>1217</v>
      </c>
      <c r="AA664" s="78" t="s">
        <v>1218</v>
      </c>
      <c r="AB664" s="78" t="s">
        <v>84</v>
      </c>
      <c r="AC664" s="78" t="s">
        <v>85</v>
      </c>
      <c r="AD664" s="78" t="s">
        <v>1207</v>
      </c>
      <c r="AG664" s="78" t="s">
        <v>1219</v>
      </c>
      <c r="AH664" s="78">
        <v>0</v>
      </c>
      <c r="AI664" s="78">
        <v>245</v>
      </c>
      <c r="AJ664" s="78">
        <v>18</v>
      </c>
      <c r="AK664" s="78">
        <v>1135</v>
      </c>
      <c r="AL664" s="78">
        <v>1.21</v>
      </c>
    </row>
    <row r="665" spans="1:38" x14ac:dyDescent="0.3">
      <c r="A665" s="78" t="s">
        <v>1202</v>
      </c>
      <c r="B665" s="78">
        <v>104620</v>
      </c>
      <c r="C665" s="78">
        <v>4</v>
      </c>
      <c r="D665" s="78" t="s">
        <v>1215</v>
      </c>
      <c r="E665" s="78" t="s">
        <v>1216</v>
      </c>
      <c r="F665" s="78">
        <v>935</v>
      </c>
      <c r="G665" s="78">
        <v>31.42</v>
      </c>
      <c r="H665" s="78">
        <v>103.87</v>
      </c>
      <c r="I665" s="78">
        <v>22.67</v>
      </c>
      <c r="J665" s="78">
        <v>74.97</v>
      </c>
      <c r="K665" s="78">
        <v>71</v>
      </c>
      <c r="T665" s="78">
        <v>3</v>
      </c>
      <c r="U665" s="78">
        <v>2</v>
      </c>
      <c r="V665" s="78" t="s">
        <v>88</v>
      </c>
      <c r="W665" s="78" t="s">
        <v>1122</v>
      </c>
      <c r="X665" s="78">
        <v>25</v>
      </c>
      <c r="Y665" s="78">
        <v>18</v>
      </c>
      <c r="Z665" s="78" t="s">
        <v>1217</v>
      </c>
      <c r="AA665" s="78" t="s">
        <v>1218</v>
      </c>
      <c r="AB665" s="78" t="s">
        <v>84</v>
      </c>
      <c r="AC665" s="78" t="s">
        <v>85</v>
      </c>
      <c r="AD665" s="78" t="s">
        <v>1207</v>
      </c>
      <c r="AG665" s="78" t="s">
        <v>1219</v>
      </c>
      <c r="AH665" s="78">
        <v>0</v>
      </c>
      <c r="AI665" s="78">
        <v>245</v>
      </c>
      <c r="AJ665" s="78">
        <v>18</v>
      </c>
      <c r="AK665" s="78">
        <v>1135</v>
      </c>
      <c r="AL665" s="78">
        <v>1.21</v>
      </c>
    </row>
    <row r="666" spans="1:38" x14ac:dyDescent="0.3">
      <c r="A666" s="78" t="s">
        <v>1202</v>
      </c>
      <c r="B666" s="78">
        <v>104620</v>
      </c>
      <c r="C666" s="78">
        <v>5</v>
      </c>
      <c r="D666" s="78" t="s">
        <v>1215</v>
      </c>
      <c r="E666" s="78" t="s">
        <v>1216</v>
      </c>
      <c r="F666" s="78">
        <v>935</v>
      </c>
      <c r="G666" s="78">
        <v>34.68</v>
      </c>
      <c r="H666" s="78">
        <v>114.66</v>
      </c>
      <c r="I666" s="78">
        <v>25.7</v>
      </c>
      <c r="J666" s="78">
        <v>84.98</v>
      </c>
      <c r="K666" s="78">
        <v>309</v>
      </c>
      <c r="T666" s="78">
        <v>3</v>
      </c>
      <c r="U666" s="78">
        <v>2</v>
      </c>
      <c r="V666" s="78" t="s">
        <v>88</v>
      </c>
      <c r="W666" s="78" t="s">
        <v>999</v>
      </c>
      <c r="X666" s="78">
        <v>25</v>
      </c>
      <c r="Y666" s="78">
        <v>18</v>
      </c>
      <c r="Z666" s="78" t="s">
        <v>1217</v>
      </c>
      <c r="AA666" s="78" t="s">
        <v>1218</v>
      </c>
      <c r="AB666" s="78" t="s">
        <v>84</v>
      </c>
      <c r="AC666" s="78" t="s">
        <v>85</v>
      </c>
      <c r="AD666" s="78" t="s">
        <v>1207</v>
      </c>
      <c r="AG666" s="78" t="s">
        <v>1219</v>
      </c>
      <c r="AH666" s="78">
        <v>0</v>
      </c>
      <c r="AI666" s="78">
        <v>245</v>
      </c>
      <c r="AJ666" s="78">
        <v>18</v>
      </c>
      <c r="AK666" s="78">
        <v>1135</v>
      </c>
      <c r="AL666" s="78">
        <v>1.21</v>
      </c>
    </row>
    <row r="667" spans="1:38" x14ac:dyDescent="0.3">
      <c r="A667" s="78" t="s">
        <v>1202</v>
      </c>
      <c r="B667" s="78">
        <v>104620</v>
      </c>
      <c r="C667" s="78">
        <v>6</v>
      </c>
      <c r="D667" s="78" t="s">
        <v>1215</v>
      </c>
      <c r="E667" s="78" t="s">
        <v>1216</v>
      </c>
      <c r="F667" s="78">
        <v>935</v>
      </c>
      <c r="G667" s="78">
        <v>34.479999999999997</v>
      </c>
      <c r="H667" s="78">
        <v>114.01</v>
      </c>
      <c r="I667" s="78">
        <v>25.7</v>
      </c>
      <c r="J667" s="78">
        <v>84.98</v>
      </c>
      <c r="K667" s="78">
        <v>161</v>
      </c>
      <c r="T667" s="78">
        <v>3</v>
      </c>
      <c r="U667" s="78">
        <v>2</v>
      </c>
      <c r="V667" s="78" t="s">
        <v>88</v>
      </c>
      <c r="W667" s="78" t="s">
        <v>978</v>
      </c>
      <c r="X667" s="78">
        <v>25</v>
      </c>
      <c r="Y667" s="78">
        <v>18</v>
      </c>
      <c r="Z667" s="78" t="s">
        <v>1217</v>
      </c>
      <c r="AA667" s="78" t="s">
        <v>1218</v>
      </c>
      <c r="AB667" s="78" t="s">
        <v>84</v>
      </c>
      <c r="AC667" s="78" t="s">
        <v>85</v>
      </c>
      <c r="AD667" s="78" t="s">
        <v>1207</v>
      </c>
      <c r="AG667" s="78" t="s">
        <v>1219</v>
      </c>
      <c r="AH667" s="78">
        <v>0</v>
      </c>
      <c r="AI667" s="78">
        <v>245</v>
      </c>
      <c r="AJ667" s="78">
        <v>18</v>
      </c>
      <c r="AK667" s="78">
        <v>1135</v>
      </c>
      <c r="AL667" s="78">
        <v>1.21</v>
      </c>
    </row>
    <row r="668" spans="1:38" x14ac:dyDescent="0.3">
      <c r="A668" s="78" t="s">
        <v>1202</v>
      </c>
      <c r="B668" s="78">
        <v>109796</v>
      </c>
      <c r="C668" s="78">
        <v>1</v>
      </c>
      <c r="D668" s="78" t="s">
        <v>1221</v>
      </c>
      <c r="E668" s="78" t="s">
        <v>1180</v>
      </c>
      <c r="F668" s="78">
        <v>502</v>
      </c>
      <c r="G668" s="78">
        <v>24.99</v>
      </c>
      <c r="H668" s="78">
        <v>82.63</v>
      </c>
      <c r="I668" s="78">
        <v>18.14</v>
      </c>
      <c r="J668" s="78">
        <v>59.97</v>
      </c>
      <c r="K668" s="78">
        <v>120</v>
      </c>
      <c r="T668" s="78">
        <v>3</v>
      </c>
      <c r="U668" s="78">
        <v>2</v>
      </c>
      <c r="V668" s="78" t="s">
        <v>88</v>
      </c>
      <c r="W668" s="78">
        <v>82</v>
      </c>
      <c r="X668" s="78">
        <v>20</v>
      </c>
      <c r="Y668" s="78">
        <v>16</v>
      </c>
      <c r="Z668" s="78" t="s">
        <v>1222</v>
      </c>
      <c r="AA668" s="78" t="s">
        <v>1223</v>
      </c>
      <c r="AB668" s="78" t="s">
        <v>84</v>
      </c>
      <c r="AC668" s="78" t="s">
        <v>85</v>
      </c>
      <c r="AD668" s="78" t="s">
        <v>1207</v>
      </c>
      <c r="AG668" s="78" t="s">
        <v>1224</v>
      </c>
      <c r="AH668" s="78">
        <v>0</v>
      </c>
      <c r="AI668" s="78">
        <v>249</v>
      </c>
      <c r="AJ668" s="78">
        <v>21</v>
      </c>
      <c r="AK668" s="78">
        <v>550</v>
      </c>
      <c r="AL668" s="78">
        <v>1.1000000000000001</v>
      </c>
    </row>
    <row r="669" spans="1:38" x14ac:dyDescent="0.3">
      <c r="A669" s="78" t="s">
        <v>1202</v>
      </c>
      <c r="B669" s="78">
        <v>109796</v>
      </c>
      <c r="C669" s="78">
        <v>2</v>
      </c>
      <c r="D669" s="78" t="s">
        <v>1221</v>
      </c>
      <c r="E669" s="78" t="s">
        <v>1180</v>
      </c>
      <c r="F669" s="78">
        <v>502</v>
      </c>
      <c r="G669" s="78">
        <v>32.799999999999997</v>
      </c>
      <c r="H669" s="78">
        <v>108.45</v>
      </c>
      <c r="I669" s="78">
        <v>25.69</v>
      </c>
      <c r="J669" s="78">
        <v>84.95</v>
      </c>
      <c r="K669" s="78">
        <v>170</v>
      </c>
      <c r="T669" s="78">
        <v>3</v>
      </c>
      <c r="U669" s="78">
        <v>2</v>
      </c>
      <c r="V669" s="78" t="s">
        <v>88</v>
      </c>
      <c r="W669" s="78" t="s">
        <v>1225</v>
      </c>
      <c r="X669" s="78">
        <v>20</v>
      </c>
      <c r="Y669" s="78">
        <v>16</v>
      </c>
      <c r="Z669" s="78" t="s">
        <v>1222</v>
      </c>
      <c r="AA669" s="78" t="s">
        <v>1223</v>
      </c>
      <c r="AB669" s="78" t="s">
        <v>84</v>
      </c>
      <c r="AC669" s="78" t="s">
        <v>85</v>
      </c>
      <c r="AD669" s="78" t="s">
        <v>1207</v>
      </c>
      <c r="AG669" s="78" t="s">
        <v>1224</v>
      </c>
      <c r="AH669" s="78">
        <v>0</v>
      </c>
      <c r="AI669" s="78">
        <v>249</v>
      </c>
      <c r="AJ669" s="78">
        <v>21</v>
      </c>
      <c r="AK669" s="78">
        <v>550</v>
      </c>
      <c r="AL669" s="78">
        <v>1.1000000000000001</v>
      </c>
    </row>
    <row r="670" spans="1:38" x14ac:dyDescent="0.3">
      <c r="A670" s="78" t="s">
        <v>1202</v>
      </c>
      <c r="B670" s="78">
        <v>109796</v>
      </c>
      <c r="C670" s="78">
        <v>3</v>
      </c>
      <c r="D670" s="78" t="s">
        <v>1221</v>
      </c>
      <c r="E670" s="78" t="s">
        <v>1180</v>
      </c>
      <c r="F670" s="78">
        <v>502</v>
      </c>
      <c r="G670" s="78">
        <v>32.79</v>
      </c>
      <c r="H670" s="78">
        <v>108.41</v>
      </c>
      <c r="I670" s="78">
        <v>25.69</v>
      </c>
      <c r="J670" s="78">
        <v>84.95</v>
      </c>
      <c r="K670" s="78">
        <v>144</v>
      </c>
      <c r="T670" s="78">
        <v>3</v>
      </c>
      <c r="U670" s="78">
        <v>2</v>
      </c>
      <c r="V670" s="78" t="s">
        <v>88</v>
      </c>
      <c r="W670" s="78" t="s">
        <v>96</v>
      </c>
      <c r="X670" s="78">
        <v>20</v>
      </c>
      <c r="Y670" s="78">
        <v>16</v>
      </c>
      <c r="Z670" s="78" t="s">
        <v>1222</v>
      </c>
      <c r="AA670" s="78" t="s">
        <v>1223</v>
      </c>
      <c r="AB670" s="78" t="s">
        <v>84</v>
      </c>
      <c r="AC670" s="78" t="s">
        <v>85</v>
      </c>
      <c r="AD670" s="78" t="s">
        <v>1207</v>
      </c>
      <c r="AG670" s="78" t="s">
        <v>1224</v>
      </c>
      <c r="AH670" s="78">
        <v>0</v>
      </c>
      <c r="AI670" s="78">
        <v>249</v>
      </c>
      <c r="AJ670" s="78">
        <v>21</v>
      </c>
      <c r="AK670" s="78">
        <v>550</v>
      </c>
      <c r="AL670" s="78">
        <v>1.1000000000000001</v>
      </c>
    </row>
    <row r="671" spans="1:38" x14ac:dyDescent="0.3">
      <c r="A671" s="78" t="s">
        <v>1202</v>
      </c>
      <c r="B671" s="78">
        <v>109796</v>
      </c>
      <c r="C671" s="78">
        <v>4</v>
      </c>
      <c r="D671" s="78" t="s">
        <v>1221</v>
      </c>
      <c r="E671" s="78" t="s">
        <v>1180</v>
      </c>
      <c r="F671" s="78">
        <v>502</v>
      </c>
      <c r="G671" s="78">
        <v>32.89</v>
      </c>
      <c r="H671" s="78">
        <v>108.75</v>
      </c>
      <c r="I671" s="78">
        <v>25.7</v>
      </c>
      <c r="J671" s="78">
        <v>84.98</v>
      </c>
      <c r="K671" s="78">
        <v>68</v>
      </c>
      <c r="T671" s="78">
        <v>3</v>
      </c>
      <c r="U671" s="78">
        <v>2</v>
      </c>
      <c r="V671" s="78" t="s">
        <v>88</v>
      </c>
      <c r="W671" s="78" t="s">
        <v>1226</v>
      </c>
      <c r="X671" s="78">
        <v>20</v>
      </c>
      <c r="Y671" s="78">
        <v>16</v>
      </c>
      <c r="Z671" s="78" t="s">
        <v>1222</v>
      </c>
      <c r="AA671" s="78" t="s">
        <v>1223</v>
      </c>
      <c r="AB671" s="78" t="s">
        <v>84</v>
      </c>
      <c r="AC671" s="78" t="s">
        <v>85</v>
      </c>
      <c r="AD671" s="78" t="s">
        <v>1207</v>
      </c>
      <c r="AG671" s="78" t="s">
        <v>1224</v>
      </c>
      <c r="AH671" s="78">
        <v>0</v>
      </c>
      <c r="AI671" s="78">
        <v>249</v>
      </c>
      <c r="AJ671" s="78">
        <v>21</v>
      </c>
      <c r="AK671" s="78">
        <v>550</v>
      </c>
      <c r="AL671" s="78">
        <v>1.1000000000000001</v>
      </c>
    </row>
    <row r="672" spans="1:38" x14ac:dyDescent="0.3">
      <c r="A672" s="78" t="s">
        <v>1202</v>
      </c>
      <c r="B672" s="78">
        <v>112195</v>
      </c>
      <c r="C672" s="78">
        <v>1</v>
      </c>
      <c r="D672" s="78" t="s">
        <v>1227</v>
      </c>
      <c r="E672" s="78" t="s">
        <v>1228</v>
      </c>
      <c r="F672" s="78">
        <v>382</v>
      </c>
      <c r="G672" s="78">
        <v>23.28</v>
      </c>
      <c r="H672" s="78">
        <v>76.98</v>
      </c>
      <c r="I672" s="78">
        <v>18.07</v>
      </c>
      <c r="J672" s="78">
        <v>59.74</v>
      </c>
      <c r="K672" s="78">
        <v>41</v>
      </c>
      <c r="T672" s="78">
        <v>3</v>
      </c>
      <c r="U672" s="78">
        <v>2</v>
      </c>
      <c r="V672" s="78" t="s">
        <v>88</v>
      </c>
      <c r="W672" s="78" t="s">
        <v>388</v>
      </c>
      <c r="X672" s="78">
        <v>19</v>
      </c>
      <c r="Y672" s="78">
        <v>15</v>
      </c>
      <c r="Z672" s="78" t="s">
        <v>1229</v>
      </c>
      <c r="AA672" s="78" t="s">
        <v>1230</v>
      </c>
      <c r="AB672" s="78" t="s">
        <v>84</v>
      </c>
      <c r="AC672" s="78" t="s">
        <v>85</v>
      </c>
      <c r="AD672" s="78" t="s">
        <v>1207</v>
      </c>
      <c r="AG672" s="78" t="s">
        <v>1231</v>
      </c>
      <c r="AH672" s="78">
        <v>0</v>
      </c>
      <c r="AI672" s="78">
        <v>246</v>
      </c>
      <c r="AJ672" s="78">
        <v>24</v>
      </c>
      <c r="AK672" s="78">
        <v>425</v>
      </c>
      <c r="AL672" s="78">
        <v>1.1100000000000001</v>
      </c>
    </row>
    <row r="673" spans="1:38" x14ac:dyDescent="0.3">
      <c r="A673" s="78" t="s">
        <v>1202</v>
      </c>
      <c r="B673" s="78">
        <v>112195</v>
      </c>
      <c r="C673" s="78">
        <v>2</v>
      </c>
      <c r="D673" s="78" t="s">
        <v>1227</v>
      </c>
      <c r="E673" s="78" t="s">
        <v>1228</v>
      </c>
      <c r="F673" s="78">
        <v>382</v>
      </c>
      <c r="G673" s="78">
        <v>23.37</v>
      </c>
      <c r="H673" s="78">
        <v>77.260000000000005</v>
      </c>
      <c r="I673" s="78">
        <v>18.09</v>
      </c>
      <c r="J673" s="78">
        <v>59.83</v>
      </c>
      <c r="K673" s="78">
        <v>28</v>
      </c>
      <c r="T673" s="78">
        <v>3</v>
      </c>
      <c r="U673" s="78">
        <v>2</v>
      </c>
      <c r="V673" s="78" t="s">
        <v>88</v>
      </c>
      <c r="W673" s="78" t="s">
        <v>654</v>
      </c>
      <c r="X673" s="78">
        <v>19</v>
      </c>
      <c r="Y673" s="78">
        <v>15</v>
      </c>
      <c r="Z673" s="78" t="s">
        <v>1229</v>
      </c>
      <c r="AA673" s="78" t="s">
        <v>1230</v>
      </c>
      <c r="AB673" s="78" t="s">
        <v>84</v>
      </c>
      <c r="AC673" s="78" t="s">
        <v>85</v>
      </c>
      <c r="AD673" s="78" t="s">
        <v>1207</v>
      </c>
      <c r="AG673" s="78" t="s">
        <v>1231</v>
      </c>
      <c r="AH673" s="78">
        <v>0</v>
      </c>
      <c r="AI673" s="78">
        <v>246</v>
      </c>
      <c r="AJ673" s="78">
        <v>24</v>
      </c>
      <c r="AK673" s="78">
        <v>425</v>
      </c>
      <c r="AL673" s="78">
        <v>1.1100000000000001</v>
      </c>
    </row>
    <row r="674" spans="1:38" x14ac:dyDescent="0.3">
      <c r="A674" s="78" t="s">
        <v>1202</v>
      </c>
      <c r="B674" s="78">
        <v>112195</v>
      </c>
      <c r="C674" s="78">
        <v>3</v>
      </c>
      <c r="D674" s="78" t="s">
        <v>1227</v>
      </c>
      <c r="E674" s="78" t="s">
        <v>1228</v>
      </c>
      <c r="F674" s="78">
        <v>382</v>
      </c>
      <c r="G674" s="78">
        <v>28.37</v>
      </c>
      <c r="H674" s="78">
        <v>93.8</v>
      </c>
      <c r="I674" s="78">
        <v>22.17</v>
      </c>
      <c r="J674" s="78">
        <v>73.31</v>
      </c>
      <c r="K674" s="78">
        <v>14</v>
      </c>
      <c r="T674" s="78">
        <v>3</v>
      </c>
      <c r="U674" s="78">
        <v>2</v>
      </c>
      <c r="V674" s="78" t="s">
        <v>88</v>
      </c>
      <c r="W674" s="78">
        <v>93</v>
      </c>
      <c r="X674" s="78">
        <v>19</v>
      </c>
      <c r="Y674" s="78">
        <v>15</v>
      </c>
      <c r="Z674" s="78" t="s">
        <v>1229</v>
      </c>
      <c r="AA674" s="78" t="s">
        <v>1230</v>
      </c>
      <c r="AB674" s="78" t="s">
        <v>84</v>
      </c>
      <c r="AC674" s="78" t="s">
        <v>85</v>
      </c>
      <c r="AD674" s="78" t="s">
        <v>1207</v>
      </c>
      <c r="AG674" s="78" t="s">
        <v>1231</v>
      </c>
      <c r="AH674" s="78">
        <v>0</v>
      </c>
      <c r="AI674" s="78">
        <v>246</v>
      </c>
      <c r="AJ674" s="78">
        <v>24</v>
      </c>
      <c r="AK674" s="78">
        <v>425</v>
      </c>
      <c r="AL674" s="78">
        <v>1.1100000000000001</v>
      </c>
    </row>
    <row r="675" spans="1:38" x14ac:dyDescent="0.3">
      <c r="A675" s="78" t="s">
        <v>1202</v>
      </c>
      <c r="B675" s="78">
        <v>112195</v>
      </c>
      <c r="C675" s="78">
        <v>4</v>
      </c>
      <c r="D675" s="78" t="s">
        <v>1227</v>
      </c>
      <c r="E675" s="78" t="s">
        <v>1228</v>
      </c>
      <c r="F675" s="78">
        <v>382</v>
      </c>
      <c r="G675" s="78">
        <v>32.630000000000003</v>
      </c>
      <c r="H675" s="78">
        <v>107.89</v>
      </c>
      <c r="I675" s="78">
        <v>25.5</v>
      </c>
      <c r="J675" s="78">
        <v>84.32</v>
      </c>
      <c r="K675" s="78">
        <v>187</v>
      </c>
      <c r="T675" s="78">
        <v>3</v>
      </c>
      <c r="U675" s="78">
        <v>2</v>
      </c>
      <c r="V675" s="78" t="s">
        <v>88</v>
      </c>
      <c r="W675" s="78" t="s">
        <v>1232</v>
      </c>
      <c r="X675" s="78">
        <v>19</v>
      </c>
      <c r="Y675" s="78">
        <v>15</v>
      </c>
      <c r="Z675" s="78" t="s">
        <v>1229</v>
      </c>
      <c r="AA675" s="78" t="s">
        <v>1230</v>
      </c>
      <c r="AB675" s="78" t="s">
        <v>84</v>
      </c>
      <c r="AC675" s="78" t="s">
        <v>85</v>
      </c>
      <c r="AD675" s="78" t="s">
        <v>1207</v>
      </c>
      <c r="AG675" s="78" t="s">
        <v>1231</v>
      </c>
      <c r="AH675" s="78">
        <v>0</v>
      </c>
      <c r="AI675" s="78">
        <v>246</v>
      </c>
      <c r="AJ675" s="78">
        <v>24</v>
      </c>
      <c r="AK675" s="78">
        <v>425</v>
      </c>
      <c r="AL675" s="78">
        <v>1.1100000000000001</v>
      </c>
    </row>
    <row r="676" spans="1:38" x14ac:dyDescent="0.3">
      <c r="A676" s="78" t="s">
        <v>1202</v>
      </c>
      <c r="B676" s="78">
        <v>112195</v>
      </c>
      <c r="C676" s="78">
        <v>5</v>
      </c>
      <c r="D676" s="78" t="s">
        <v>1227</v>
      </c>
      <c r="E676" s="78" t="s">
        <v>1228</v>
      </c>
      <c r="F676" s="78">
        <v>382</v>
      </c>
      <c r="G676" s="78">
        <v>32.83</v>
      </c>
      <c r="H676" s="78">
        <v>108.56</v>
      </c>
      <c r="I676" s="78">
        <v>25.7</v>
      </c>
      <c r="J676" s="78">
        <v>84.97</v>
      </c>
      <c r="K676" s="78">
        <v>74</v>
      </c>
      <c r="T676" s="78">
        <v>3</v>
      </c>
      <c r="U676" s="78">
        <v>2</v>
      </c>
      <c r="V676" s="78" t="s">
        <v>88</v>
      </c>
      <c r="W676" s="78" t="s">
        <v>1226</v>
      </c>
      <c r="X676" s="78">
        <v>19</v>
      </c>
      <c r="Y676" s="78">
        <v>15</v>
      </c>
      <c r="Z676" s="78" t="s">
        <v>1229</v>
      </c>
      <c r="AA676" s="78" t="s">
        <v>1230</v>
      </c>
      <c r="AB676" s="78" t="s">
        <v>84</v>
      </c>
      <c r="AC676" s="78" t="s">
        <v>85</v>
      </c>
      <c r="AD676" s="78" t="s">
        <v>1207</v>
      </c>
      <c r="AG676" s="78" t="s">
        <v>1231</v>
      </c>
      <c r="AH676" s="78">
        <v>0</v>
      </c>
      <c r="AI676" s="78">
        <v>246</v>
      </c>
      <c r="AJ676" s="78">
        <v>24</v>
      </c>
      <c r="AK676" s="78">
        <v>425</v>
      </c>
      <c r="AL676" s="78">
        <v>1.1100000000000001</v>
      </c>
    </row>
    <row r="677" spans="1:38" x14ac:dyDescent="0.3">
      <c r="A677" s="78" t="s">
        <v>1202</v>
      </c>
      <c r="B677" s="78">
        <v>112195</v>
      </c>
      <c r="C677" s="78">
        <v>6</v>
      </c>
      <c r="D677" s="78" t="s">
        <v>1227</v>
      </c>
      <c r="E677" s="78" t="s">
        <v>1228</v>
      </c>
      <c r="F677" s="78">
        <v>382</v>
      </c>
      <c r="G677" s="78">
        <v>32.71</v>
      </c>
      <c r="H677" s="78">
        <v>108.15</v>
      </c>
      <c r="I677" s="78">
        <v>25.64</v>
      </c>
      <c r="J677" s="78">
        <v>84.78</v>
      </c>
      <c r="K677" s="78">
        <v>38</v>
      </c>
      <c r="T677" s="78">
        <v>3</v>
      </c>
      <c r="U677" s="78">
        <v>2</v>
      </c>
      <c r="V677" s="78" t="s">
        <v>88</v>
      </c>
      <c r="W677" s="78" t="s">
        <v>96</v>
      </c>
      <c r="X677" s="78">
        <v>19</v>
      </c>
      <c r="Y677" s="78">
        <v>15</v>
      </c>
      <c r="Z677" s="78" t="s">
        <v>1229</v>
      </c>
      <c r="AA677" s="78" t="s">
        <v>1230</v>
      </c>
      <c r="AB677" s="78" t="s">
        <v>84</v>
      </c>
      <c r="AC677" s="78" t="s">
        <v>85</v>
      </c>
      <c r="AD677" s="78" t="s">
        <v>1207</v>
      </c>
      <c r="AG677" s="78" t="s">
        <v>1231</v>
      </c>
      <c r="AH677" s="78">
        <v>0</v>
      </c>
      <c r="AI677" s="78">
        <v>246</v>
      </c>
      <c r="AJ677" s="78">
        <v>24</v>
      </c>
      <c r="AK677" s="78">
        <v>425</v>
      </c>
      <c r="AL677" s="78">
        <v>1.1100000000000001</v>
      </c>
    </row>
    <row r="678" spans="1:38" x14ac:dyDescent="0.3">
      <c r="A678" s="78" t="s">
        <v>1202</v>
      </c>
      <c r="B678" s="78">
        <v>26767</v>
      </c>
      <c r="C678" s="78">
        <v>1</v>
      </c>
      <c r="D678" s="78" t="s">
        <v>1233</v>
      </c>
      <c r="E678" s="78" t="s">
        <v>1234</v>
      </c>
      <c r="F678" s="78">
        <v>472</v>
      </c>
      <c r="G678" s="78">
        <v>34.36</v>
      </c>
      <c r="H678" s="78">
        <v>113.61</v>
      </c>
      <c r="I678" s="78">
        <v>25.63</v>
      </c>
      <c r="J678" s="78">
        <v>84.74</v>
      </c>
      <c r="K678" s="78">
        <v>472</v>
      </c>
      <c r="T678" s="78">
        <v>3</v>
      </c>
      <c r="U678" s="78">
        <v>2</v>
      </c>
      <c r="V678" s="78" t="s">
        <v>88</v>
      </c>
      <c r="W678" s="78">
        <v>113</v>
      </c>
      <c r="X678" s="78">
        <v>15</v>
      </c>
      <c r="Y678" s="78">
        <v>14</v>
      </c>
      <c r="Z678" s="78" t="s">
        <v>1235</v>
      </c>
      <c r="AA678" s="78" t="s">
        <v>1236</v>
      </c>
      <c r="AB678" s="78" t="s">
        <v>84</v>
      </c>
      <c r="AC678" s="78" t="s">
        <v>85</v>
      </c>
      <c r="AD678" s="78" t="s">
        <v>1207</v>
      </c>
      <c r="AG678" s="78" t="s">
        <v>1237</v>
      </c>
      <c r="AH678" s="78">
        <v>0</v>
      </c>
      <c r="AI678" s="78">
        <v>229</v>
      </c>
      <c r="AJ678" s="78">
        <v>21</v>
      </c>
      <c r="AK678" s="78">
        <v>478</v>
      </c>
      <c r="AL678" s="78">
        <v>1.01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경암동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86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경암동 새한('95.06.,304^)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79</v>
      </c>
      <c r="B6" s="10" t="s">
        <v>1240</v>
      </c>
      <c r="C6" s="107">
        <v>304</v>
      </c>
      <c r="D6" s="104">
        <v>76.8</v>
      </c>
      <c r="E6" s="106">
        <v>23</v>
      </c>
      <c r="F6" s="104">
        <v>59.3</v>
      </c>
      <c r="G6" s="17">
        <v>18</v>
      </c>
      <c r="H6" s="107">
        <v>138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7">
        <v>3</v>
      </c>
      <c r="R6" s="77">
        <v>1</v>
      </c>
      <c r="S6" s="77" t="s">
        <v>1241</v>
      </c>
      <c r="T6" s="5">
        <v>76</v>
      </c>
      <c r="U6" s="9"/>
      <c r="W6" s="104">
        <f t="shared" ref="W6:X8" si="2">D6</f>
        <v>76.8</v>
      </c>
      <c r="X6" s="106">
        <f t="shared" si="2"/>
        <v>23</v>
      </c>
      <c r="Y6" s="102">
        <f t="shared" ref="Y6:Z8" si="3">H6</f>
        <v>138</v>
      </c>
      <c r="Z6" s="109">
        <f t="shared" si="3"/>
        <v>0</v>
      </c>
      <c r="AA6" s="109">
        <f>K6</f>
        <v>0</v>
      </c>
      <c r="AB6" s="109">
        <f t="shared" ref="AB6:AD8" si="4">M6</f>
        <v>0</v>
      </c>
      <c r="AC6" s="4" t="str">
        <f t="shared" si="4"/>
        <v/>
      </c>
      <c r="AD6" s="105">
        <f t="shared" si="4"/>
        <v>0</v>
      </c>
      <c r="AE6" s="77" t="str">
        <f>S6</f>
        <v>복</v>
      </c>
      <c r="AF6" s="77" t="str">
        <f>Q6&amp;"/"&amp;R6</f>
        <v>3/1</v>
      </c>
      <c r="AH6" s="20" t="str">
        <f t="shared" si="1"/>
        <v>새한</v>
      </c>
      <c r="AI6" s="106">
        <f t="shared" si="0"/>
        <v>23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79</v>
      </c>
      <c r="B7" s="10" t="s">
        <v>1240</v>
      </c>
      <c r="C7" s="107">
        <v>304</v>
      </c>
      <c r="D7" s="104">
        <v>91.1</v>
      </c>
      <c r="E7" s="106">
        <v>28</v>
      </c>
      <c r="F7" s="104">
        <v>74.099999999999994</v>
      </c>
      <c r="G7" s="17">
        <v>22</v>
      </c>
      <c r="H7" s="107">
        <v>87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7">
        <v>3</v>
      </c>
      <c r="R7" s="77">
        <v>2</v>
      </c>
      <c r="S7" s="77" t="s">
        <v>1244</v>
      </c>
      <c r="T7" s="5">
        <v>91</v>
      </c>
      <c r="U7" s="9"/>
      <c r="W7" s="104">
        <f t="shared" si="2"/>
        <v>91.1</v>
      </c>
      <c r="X7" s="106">
        <f t="shared" si="2"/>
        <v>28</v>
      </c>
      <c r="Y7" s="102">
        <f t="shared" si="3"/>
        <v>87</v>
      </c>
      <c r="Z7" s="109">
        <f t="shared" si="3"/>
        <v>0</v>
      </c>
      <c r="AA7" s="109">
        <f>K7</f>
        <v>0</v>
      </c>
      <c r="AB7" s="109">
        <f t="shared" si="4"/>
        <v>0</v>
      </c>
      <c r="AC7" s="4" t="str">
        <f t="shared" si="4"/>
        <v/>
      </c>
      <c r="AD7" s="105">
        <f t="shared" si="4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새한</v>
      </c>
      <c r="AI7" s="106">
        <f t="shared" si="0"/>
        <v>28</v>
      </c>
      <c r="AJ7" s="77" t="str">
        <f>IF(AI7="","",$AJ$2)</f>
        <v>A-</v>
      </c>
      <c r="AK7" s="77" t="s">
        <v>13</v>
      </c>
      <c r="AL7" s="77" t="s">
        <v>1242</v>
      </c>
      <c r="AM7" s="77" t="s">
        <v>1243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48" x14ac:dyDescent="0.3">
      <c r="A8" s="9" t="s">
        <v>79</v>
      </c>
      <c r="B8" s="10" t="s">
        <v>1240</v>
      </c>
      <c r="C8" s="107">
        <v>304</v>
      </c>
      <c r="D8" s="104">
        <v>105.5</v>
      </c>
      <c r="E8" s="106">
        <v>32</v>
      </c>
      <c r="F8" s="104">
        <v>85</v>
      </c>
      <c r="G8" s="17">
        <v>26</v>
      </c>
      <c r="H8" s="107">
        <v>79</v>
      </c>
      <c r="I8" s="108">
        <v>12000</v>
      </c>
      <c r="J8" s="108" t="s">
        <v>1245</v>
      </c>
      <c r="K8" s="108"/>
      <c r="L8" s="108"/>
      <c r="M8" s="109">
        <f>I8-K8</f>
        <v>12000</v>
      </c>
      <c r="N8" s="4">
        <f>IF(ISERROR(K8/I8),"",K8/I8)</f>
        <v>0</v>
      </c>
      <c r="O8" s="105">
        <f>I8/E8</f>
        <v>375</v>
      </c>
      <c r="P8" s="105">
        <f>K8/E8</f>
        <v>0</v>
      </c>
      <c r="Q8" s="77">
        <v>3</v>
      </c>
      <c r="R8" s="77">
        <v>2</v>
      </c>
      <c r="S8" s="77" t="s">
        <v>1244</v>
      </c>
      <c r="T8" s="5">
        <v>105</v>
      </c>
      <c r="U8" s="9"/>
      <c r="W8" s="104">
        <f t="shared" si="2"/>
        <v>105.5</v>
      </c>
      <c r="X8" s="106">
        <f t="shared" si="2"/>
        <v>32</v>
      </c>
      <c r="Y8" s="102">
        <f t="shared" si="3"/>
        <v>79</v>
      </c>
      <c r="Z8" s="109">
        <f t="shared" si="3"/>
        <v>12000</v>
      </c>
      <c r="AA8" s="109">
        <f>K8</f>
        <v>0</v>
      </c>
      <c r="AB8" s="109">
        <f t="shared" si="4"/>
        <v>12000</v>
      </c>
      <c r="AC8" s="4">
        <f t="shared" si="4"/>
        <v>0</v>
      </c>
      <c r="AD8" s="105">
        <f t="shared" si="4"/>
        <v>375</v>
      </c>
      <c r="AE8" s="77" t="str">
        <f>S8</f>
        <v>계</v>
      </c>
      <c r="AF8" s="77" t="str">
        <f>Q8&amp;"/"&amp;R8</f>
        <v>3/2</v>
      </c>
      <c r="AH8" s="20" t="str">
        <f t="shared" si="1"/>
        <v>새한</v>
      </c>
      <c r="AI8" s="106">
        <f t="shared" si="0"/>
        <v>32</v>
      </c>
      <c r="AJ8" s="77" t="str">
        <f>IF(AI8="","",$AJ$2)</f>
        <v>A-</v>
      </c>
      <c r="AK8" s="77" t="s">
        <v>13</v>
      </c>
      <c r="AL8" s="77" t="s">
        <v>1242</v>
      </c>
      <c r="AM8" s="77" t="s">
        <v>1243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O</v>
      </c>
      <c r="AQ8" s="77" t="str">
        <f>IF(O8="","",IF(O8&lt;=$AQ$1,"O","X"))</f>
        <v>O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/>
      <c r="B9" s="77"/>
      <c r="C9" s="6"/>
      <c r="D9" s="9"/>
      <c r="E9" s="14"/>
      <c r="F9" s="104"/>
      <c r="G9" s="9"/>
      <c r="H9" s="9"/>
      <c r="I9" s="9"/>
      <c r="J9" s="9"/>
      <c r="K9" s="9"/>
      <c r="L9" s="9"/>
      <c r="M9" s="9"/>
      <c r="N9" s="9"/>
      <c r="O9" s="105"/>
      <c r="P9" s="105"/>
      <c r="Q9" s="106"/>
      <c r="R9" s="106"/>
      <c r="S9" s="9"/>
      <c r="T9" s="47"/>
      <c r="U9" s="9"/>
      <c r="W9" s="67" t="str">
        <f>$A$4&amp;" "&amp;A10&amp;"("&amp;B10&amp;","&amp;C10&amp;"^)"</f>
        <v>경암동 경암제일오투그란데('15.11.,352^)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3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94</v>
      </c>
      <c r="B10" s="10" t="s">
        <v>1246</v>
      </c>
      <c r="C10" s="107">
        <v>352</v>
      </c>
      <c r="D10" s="104">
        <v>109</v>
      </c>
      <c r="E10" s="106">
        <v>33</v>
      </c>
      <c r="F10" s="104">
        <v>83.9</v>
      </c>
      <c r="G10" s="17">
        <v>25</v>
      </c>
      <c r="H10" s="107">
        <v>20</v>
      </c>
      <c r="I10" s="108">
        <v>29500</v>
      </c>
      <c r="J10" s="108" t="s">
        <v>1247</v>
      </c>
      <c r="K10" s="108">
        <v>24000</v>
      </c>
      <c r="L10" s="108" t="s">
        <v>1248</v>
      </c>
      <c r="M10" s="109">
        <f>I10-K10</f>
        <v>5500</v>
      </c>
      <c r="N10" s="4">
        <f>IF(ISERROR(K10/I10),"",K10/I10)</f>
        <v>0.81355932203389836</v>
      </c>
      <c r="O10" s="105">
        <f>I10/E10</f>
        <v>893.93939393939399</v>
      </c>
      <c r="P10" s="105">
        <f>K10/E10</f>
        <v>727.27272727272725</v>
      </c>
      <c r="Q10" s="77">
        <v>3</v>
      </c>
      <c r="R10" s="77">
        <v>2</v>
      </c>
      <c r="S10" s="77" t="s">
        <v>1244</v>
      </c>
      <c r="T10" s="5" t="s">
        <v>96</v>
      </c>
      <c r="U10" s="9"/>
      <c r="W10" s="104">
        <f t="shared" ref="W10:X13" si="5">D10</f>
        <v>109</v>
      </c>
      <c r="X10" s="106">
        <f t="shared" si="5"/>
        <v>33</v>
      </c>
      <c r="Y10" s="102">
        <f t="shared" ref="Y10:Z13" si="6">H10</f>
        <v>20</v>
      </c>
      <c r="Z10" s="109">
        <f t="shared" si="6"/>
        <v>29500</v>
      </c>
      <c r="AA10" s="109">
        <f>K10</f>
        <v>24000</v>
      </c>
      <c r="AB10" s="109">
        <f t="shared" ref="AB10:AD13" si="7">M10</f>
        <v>5500</v>
      </c>
      <c r="AC10" s="4">
        <f t="shared" si="7"/>
        <v>0.81355932203389836</v>
      </c>
      <c r="AD10" s="105">
        <f t="shared" si="7"/>
        <v>893.93939393939399</v>
      </c>
      <c r="AE10" s="77" t="str">
        <f>S10</f>
        <v>계</v>
      </c>
      <c r="AF10" s="77" t="str">
        <f>Q10&amp;"/"&amp;R10</f>
        <v>3/2</v>
      </c>
      <c r="AH10" s="20" t="str">
        <f t="shared" si="1"/>
        <v>경암제일오투그란데</v>
      </c>
      <c r="AI10" s="106">
        <f t="shared" si="0"/>
        <v>33</v>
      </c>
      <c r="AJ10" s="77" t="str">
        <f>IF(AI10="","",$AJ$2)</f>
        <v>A-</v>
      </c>
      <c r="AK10" s="77" t="s">
        <v>13</v>
      </c>
      <c r="AL10" s="77" t="s">
        <v>1242</v>
      </c>
      <c r="AM10" s="77" t="s">
        <v>1243</v>
      </c>
      <c r="AN10" s="77" t="str">
        <f>IF(AI10="","",$AN$2)</f>
        <v>C</v>
      </c>
      <c r="AO10" s="77" t="str">
        <f>IF(N10="","",IF(N10&gt;=$AO$1/100,"O","X"))</f>
        <v>O</v>
      </c>
      <c r="AP10" s="77" t="str">
        <f>IF(I10="","",IF(I10&lt;=$AP$1,"O","X"))</f>
        <v>O</v>
      </c>
      <c r="AQ10" s="77" t="str">
        <f>IF(O10="","",IF(O10&lt;=$AQ$1,"O","X"))</f>
        <v>O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 t="s">
        <v>94</v>
      </c>
      <c r="B11" s="10" t="s">
        <v>1246</v>
      </c>
      <c r="C11" s="107">
        <v>352</v>
      </c>
      <c r="D11" s="104">
        <v>109.5</v>
      </c>
      <c r="E11" s="106">
        <v>33</v>
      </c>
      <c r="F11" s="104">
        <v>85</v>
      </c>
      <c r="G11" s="17">
        <v>26</v>
      </c>
      <c r="H11" s="107">
        <v>104</v>
      </c>
      <c r="I11" s="108">
        <v>29800</v>
      </c>
      <c r="J11" s="108" t="s">
        <v>1249</v>
      </c>
      <c r="K11" s="108"/>
      <c r="L11" s="108"/>
      <c r="M11" s="109">
        <f>I11-K11</f>
        <v>29800</v>
      </c>
      <c r="N11" s="4">
        <f>IF(ISERROR(K11/I11),"",K11/I11)</f>
        <v>0</v>
      </c>
      <c r="O11" s="105">
        <f>I11/E11</f>
        <v>903.030303030303</v>
      </c>
      <c r="P11" s="105">
        <f>K11/E11</f>
        <v>0</v>
      </c>
      <c r="Q11" s="77">
        <v>3</v>
      </c>
      <c r="R11" s="77">
        <v>2</v>
      </c>
      <c r="S11" s="77" t="s">
        <v>1244</v>
      </c>
      <c r="T11" s="5" t="s">
        <v>100</v>
      </c>
      <c r="U11" s="9"/>
      <c r="W11" s="104">
        <f t="shared" si="5"/>
        <v>109.5</v>
      </c>
      <c r="X11" s="106">
        <f t="shared" si="5"/>
        <v>33</v>
      </c>
      <c r="Y11" s="102">
        <f t="shared" si="6"/>
        <v>104</v>
      </c>
      <c r="Z11" s="109">
        <f t="shared" si="6"/>
        <v>29800</v>
      </c>
      <c r="AA11" s="109">
        <f>K11</f>
        <v>0</v>
      </c>
      <c r="AB11" s="109">
        <f t="shared" si="7"/>
        <v>29800</v>
      </c>
      <c r="AC11" s="4">
        <f t="shared" si="7"/>
        <v>0</v>
      </c>
      <c r="AD11" s="105">
        <f t="shared" si="7"/>
        <v>903.030303030303</v>
      </c>
      <c r="AE11" s="77" t="str">
        <f>S11</f>
        <v>계</v>
      </c>
      <c r="AF11" s="77" t="str">
        <f>Q11&amp;"/"&amp;R11</f>
        <v>3/2</v>
      </c>
      <c r="AH11" s="20" t="str">
        <f t="shared" si="1"/>
        <v>경암제일오투그란데</v>
      </c>
      <c r="AI11" s="106">
        <f t="shared" si="0"/>
        <v>33</v>
      </c>
      <c r="AJ11" s="77" t="str">
        <f>IF(AI11="","",$AJ$2)</f>
        <v>A-</v>
      </c>
      <c r="AK11" s="77" t="s">
        <v>13</v>
      </c>
      <c r="AL11" s="77" t="s">
        <v>1242</v>
      </c>
      <c r="AM11" s="77" t="s">
        <v>1243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O</v>
      </c>
      <c r="AQ11" s="77" t="str">
        <f>IF(O11="","",IF(O11&lt;=$AQ$1,"O","X"))</f>
        <v>O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48" x14ac:dyDescent="0.3">
      <c r="A12" s="9" t="s">
        <v>94</v>
      </c>
      <c r="B12" s="10" t="s">
        <v>1246</v>
      </c>
      <c r="C12" s="107">
        <v>352</v>
      </c>
      <c r="D12" s="104">
        <v>110.6</v>
      </c>
      <c r="E12" s="106">
        <v>33</v>
      </c>
      <c r="F12" s="104">
        <v>84.5</v>
      </c>
      <c r="G12" s="17">
        <v>26</v>
      </c>
      <c r="H12" s="107">
        <v>131</v>
      </c>
      <c r="I12" s="108">
        <v>27000</v>
      </c>
      <c r="J12" s="108" t="s">
        <v>1250</v>
      </c>
      <c r="K12" s="108"/>
      <c r="L12" s="108"/>
      <c r="M12" s="109">
        <f>I12-K12</f>
        <v>27000</v>
      </c>
      <c r="N12" s="4">
        <f>IF(ISERROR(K12/I12),"",K12/I12)</f>
        <v>0</v>
      </c>
      <c r="O12" s="105">
        <f>I12/E12</f>
        <v>818.18181818181813</v>
      </c>
      <c r="P12" s="105">
        <f>K12/E12</f>
        <v>0</v>
      </c>
      <c r="Q12" s="77">
        <v>3</v>
      </c>
      <c r="R12" s="77">
        <v>2</v>
      </c>
      <c r="S12" s="77" t="s">
        <v>1244</v>
      </c>
      <c r="T12" s="5" t="s">
        <v>101</v>
      </c>
      <c r="U12" s="9"/>
      <c r="W12" s="104">
        <f t="shared" si="5"/>
        <v>110.6</v>
      </c>
      <c r="X12" s="106">
        <f t="shared" si="5"/>
        <v>33</v>
      </c>
      <c r="Y12" s="102">
        <f t="shared" si="6"/>
        <v>131</v>
      </c>
      <c r="Z12" s="109">
        <f t="shared" si="6"/>
        <v>27000</v>
      </c>
      <c r="AA12" s="109">
        <f>K12</f>
        <v>0</v>
      </c>
      <c r="AB12" s="109">
        <f t="shared" si="7"/>
        <v>27000</v>
      </c>
      <c r="AC12" s="4">
        <f t="shared" si="7"/>
        <v>0</v>
      </c>
      <c r="AD12" s="105">
        <f t="shared" si="7"/>
        <v>818.18181818181813</v>
      </c>
      <c r="AE12" s="77" t="str">
        <f>S12</f>
        <v>계</v>
      </c>
      <c r="AF12" s="77" t="str">
        <f>Q12&amp;"/"&amp;R12</f>
        <v>3/2</v>
      </c>
      <c r="AH12" s="20" t="str">
        <f t="shared" si="1"/>
        <v>경암제일오투그란데</v>
      </c>
      <c r="AI12" s="106">
        <f t="shared" si="0"/>
        <v>33</v>
      </c>
      <c r="AJ12" s="77" t="str">
        <f>IF(AI12="","",$AJ$2)</f>
        <v>A-</v>
      </c>
      <c r="AK12" s="77" t="s">
        <v>13</v>
      </c>
      <c r="AL12" s="77" t="s">
        <v>1242</v>
      </c>
      <c r="AM12" s="77" t="s">
        <v>1243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O</v>
      </c>
      <c r="AQ12" s="77" t="str">
        <f>IF(O12="","",IF(O12&lt;=$AQ$1,"O","X"))</f>
        <v>O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 t="s">
        <v>94</v>
      </c>
      <c r="B13" s="10" t="s">
        <v>1246</v>
      </c>
      <c r="C13" s="107">
        <v>352</v>
      </c>
      <c r="D13" s="104">
        <v>110.1</v>
      </c>
      <c r="E13" s="106">
        <v>33</v>
      </c>
      <c r="F13" s="104">
        <v>84.9</v>
      </c>
      <c r="G13" s="17">
        <v>26</v>
      </c>
      <c r="H13" s="107">
        <v>97</v>
      </c>
      <c r="I13" s="108">
        <v>29000</v>
      </c>
      <c r="J13" s="108" t="s">
        <v>1251</v>
      </c>
      <c r="K13" s="108">
        <v>24000</v>
      </c>
      <c r="L13" s="108" t="s">
        <v>1251</v>
      </c>
      <c r="M13" s="109">
        <f>I13-K13</f>
        <v>5000</v>
      </c>
      <c r="N13" s="4">
        <f>IF(ISERROR(K13/I13),"",K13/I13)</f>
        <v>0.82758620689655171</v>
      </c>
      <c r="O13" s="105">
        <f>I13/E13</f>
        <v>878.78787878787875</v>
      </c>
      <c r="P13" s="105">
        <f>K13/E13</f>
        <v>727.27272727272725</v>
      </c>
      <c r="Q13" s="77">
        <v>3</v>
      </c>
      <c r="R13" s="77">
        <v>2</v>
      </c>
      <c r="S13" s="77" t="s">
        <v>1244</v>
      </c>
      <c r="T13" s="5" t="s">
        <v>102</v>
      </c>
      <c r="U13" s="9"/>
      <c r="W13" s="104">
        <f t="shared" si="5"/>
        <v>110.1</v>
      </c>
      <c r="X13" s="106">
        <f t="shared" si="5"/>
        <v>33</v>
      </c>
      <c r="Y13" s="102">
        <f t="shared" si="6"/>
        <v>97</v>
      </c>
      <c r="Z13" s="109">
        <f t="shared" si="6"/>
        <v>29000</v>
      </c>
      <c r="AA13" s="109">
        <f>K13</f>
        <v>24000</v>
      </c>
      <c r="AB13" s="109">
        <f t="shared" si="7"/>
        <v>5000</v>
      </c>
      <c r="AC13" s="4">
        <f t="shared" si="7"/>
        <v>0.82758620689655171</v>
      </c>
      <c r="AD13" s="105">
        <f t="shared" si="7"/>
        <v>878.78787878787875</v>
      </c>
      <c r="AE13" s="77" t="str">
        <f>S13</f>
        <v>계</v>
      </c>
      <c r="AF13" s="77" t="str">
        <f>Q13&amp;"/"&amp;R13</f>
        <v>3/2</v>
      </c>
      <c r="AH13" s="20" t="str">
        <f t="shared" si="1"/>
        <v>경암제일오투그란데</v>
      </c>
      <c r="AI13" s="106">
        <f t="shared" si="0"/>
        <v>33</v>
      </c>
      <c r="AJ13" s="77" t="str">
        <f>IF(AI13="","",$AJ$2)</f>
        <v>A-</v>
      </c>
      <c r="AK13" s="77" t="s">
        <v>13</v>
      </c>
      <c r="AL13" s="77" t="s">
        <v>1242</v>
      </c>
      <c r="AM13" s="77" t="s">
        <v>1243</v>
      </c>
      <c r="AN13" s="77" t="str">
        <f>IF(AI13="","",$AN$2)</f>
        <v>C</v>
      </c>
      <c r="AO13" s="77" t="str">
        <f>IF(N13="","",IF(N13&gt;=$AO$1/100,"O","X"))</f>
        <v>O</v>
      </c>
      <c r="AP13" s="77" t="str">
        <f>IF(I13="","",IF(I13&lt;=$AP$1,"O","X"))</f>
        <v>O</v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>후보</v>
      </c>
    </row>
    <row r="14" spans="1:48" x14ac:dyDescent="0.3">
      <c r="A14" s="9"/>
      <c r="B14" s="77"/>
      <c r="C14" s="6"/>
      <c r="D14" s="9"/>
      <c r="E14" s="14"/>
      <c r="F14" s="104"/>
      <c r="G14" s="9"/>
      <c r="H14" s="9"/>
      <c r="I14" s="9"/>
      <c r="J14" s="9"/>
      <c r="K14" s="9"/>
      <c r="L14" s="9"/>
      <c r="M14" s="9"/>
      <c r="N14" s="9"/>
      <c r="O14" s="105"/>
      <c r="P14" s="105"/>
      <c r="Q14" s="106"/>
      <c r="R14" s="106"/>
      <c r="S14" s="9"/>
      <c r="T14" s="47"/>
      <c r="U14" s="9"/>
      <c r="W14" s="67" t="str">
        <f>$A$4&amp;" "&amp;A15&amp;"("&amp;B15&amp;","&amp;C15&amp;"^)"</f>
        <v>경암동 경암부향하나로('98.09.,880^)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3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x14ac:dyDescent="0.3">
      <c r="A15" s="9" t="s">
        <v>108</v>
      </c>
      <c r="B15" s="10" t="s">
        <v>1252</v>
      </c>
      <c r="C15" s="107">
        <v>880</v>
      </c>
      <c r="D15" s="104">
        <v>55</v>
      </c>
      <c r="E15" s="106">
        <v>17</v>
      </c>
      <c r="F15" s="104">
        <v>40</v>
      </c>
      <c r="G15" s="17">
        <v>12</v>
      </c>
      <c r="H15" s="107">
        <v>163</v>
      </c>
      <c r="I15" s="108">
        <v>4400</v>
      </c>
      <c r="J15" s="108" t="s">
        <v>1253</v>
      </c>
      <c r="K15" s="108"/>
      <c r="L15" s="108"/>
      <c r="M15" s="109">
        <f>I15-K15</f>
        <v>4400</v>
      </c>
      <c r="N15" s="4">
        <f>IF(ISERROR(K15/I15),"",K15/I15)</f>
        <v>0</v>
      </c>
      <c r="O15" s="105">
        <f>I15/E15</f>
        <v>258.8235294117647</v>
      </c>
      <c r="P15" s="105">
        <f>K15/E15</f>
        <v>0</v>
      </c>
      <c r="Q15" s="77">
        <v>3</v>
      </c>
      <c r="R15" s="77">
        <v>1</v>
      </c>
      <c r="S15" s="77" t="s">
        <v>1244</v>
      </c>
      <c r="T15" s="5">
        <v>54</v>
      </c>
      <c r="U15" s="9"/>
      <c r="W15" s="104">
        <f>D15</f>
        <v>55</v>
      </c>
      <c r="X15" s="106">
        <f>E15</f>
        <v>17</v>
      </c>
      <c r="Y15" s="102">
        <f>H15</f>
        <v>163</v>
      </c>
      <c r="Z15" s="109">
        <f>I15</f>
        <v>4400</v>
      </c>
      <c r="AA15" s="109">
        <f>K15</f>
        <v>0</v>
      </c>
      <c r="AB15" s="109">
        <f>M15</f>
        <v>4400</v>
      </c>
      <c r="AC15" s="4">
        <f>N15</f>
        <v>0</v>
      </c>
      <c r="AD15" s="105">
        <f>O15</f>
        <v>258.8235294117647</v>
      </c>
      <c r="AE15" s="77" t="str">
        <f>S15</f>
        <v>계</v>
      </c>
      <c r="AF15" s="77" t="str">
        <f>Q15&amp;"/"&amp;R15</f>
        <v>3/1</v>
      </c>
      <c r="AH15" s="20" t="str">
        <f t="shared" si="1"/>
        <v>경암부향하나로</v>
      </c>
      <c r="AI15" s="106">
        <f t="shared" si="0"/>
        <v>17</v>
      </c>
      <c r="AJ15" s="77" t="str">
        <f>IF(AI15="","",$AJ$2)</f>
        <v>A-</v>
      </c>
      <c r="AK15" s="77" t="s">
        <v>13</v>
      </c>
      <c r="AL15" s="77" t="s">
        <v>1242</v>
      </c>
      <c r="AM15" s="77" t="s">
        <v>1243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O</v>
      </c>
      <c r="AQ15" s="77" t="str">
        <f>IF(O15="","",IF(O15&lt;=$AQ$1,"O","X"))</f>
        <v>O</v>
      </c>
      <c r="AR15" s="77" t="str">
        <f>IF(M15="","",IF(M15&lt;=$AR$1,"O","X"))</f>
        <v>O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</sheetData>
  <mergeCells count="1">
    <mergeCell ref="AJ1:AN1"/>
  </mergeCells>
  <phoneticPr fontId="2" type="noConversion"/>
  <conditionalFormatting sqref="AV4:AV6">
    <cfRule type="expression" dxfId="23193" priority="153">
      <formula>AV4="X"</formula>
    </cfRule>
    <cfRule type="expression" dxfId="23192" priority="154">
      <formula>AV4="후보"</formula>
    </cfRule>
  </conditionalFormatting>
  <conditionalFormatting sqref="AC1:AC2 AC4:AC6 N4:N5">
    <cfRule type="cellIs" dxfId="23191" priority="151" operator="greaterThan">
      <formula>0.9</formula>
    </cfRule>
    <cfRule type="cellIs" dxfId="23190" priority="152" operator="greaterThan">
      <formula>0.85</formula>
    </cfRule>
  </conditionalFormatting>
  <conditionalFormatting sqref="N1:N2">
    <cfRule type="cellIs" dxfId="23189" priority="149" operator="greaterThan">
      <formula>0.9</formula>
    </cfRule>
    <cfRule type="cellIs" dxfId="23188" priority="150" operator="greaterThan">
      <formula>0.85</formula>
    </cfRule>
  </conditionalFormatting>
  <conditionalFormatting sqref="N6">
    <cfRule type="cellIs" dxfId="23187" priority="147" operator="greaterThan">
      <formula>0.9</formula>
    </cfRule>
    <cfRule type="cellIs" dxfId="23186" priority="148" operator="greaterThan">
      <formula>0.85</formula>
    </cfRule>
  </conditionalFormatting>
  <conditionalFormatting sqref="E6">
    <cfRule type="expression" dxfId="23185" priority="143">
      <formula>AND(IF(OR($Q6=1,$Q6=2),1,0),IF($X6&lt;=20,1,0))</formula>
    </cfRule>
    <cfRule type="expression" dxfId="23184" priority="144">
      <formula>AND(IF($Q6=2,1,0),IF($X6&lt;30,1,0))</formula>
    </cfRule>
    <cfRule type="expression" dxfId="23183" priority="145">
      <formula>AND(IF($Q6=3,1,0),IF($X6&lt;30,1,0))</formula>
    </cfRule>
    <cfRule type="expression" dxfId="23182" priority="146">
      <formula>AND(IF($Q6=3,1,IF($Q6=4,1,0)),IF($F6&lt;=85,1,0))</formula>
    </cfRule>
  </conditionalFormatting>
  <conditionalFormatting sqref="X6">
    <cfRule type="expression" dxfId="23181" priority="139">
      <formula>AND(IF(OR($Q6=1,$Q6=2),1,0),IF($X6&lt;=20,1,0))</formula>
    </cfRule>
    <cfRule type="expression" dxfId="23180" priority="140">
      <formula>AND(IF($Q6=2,1,0),IF($X6&lt;30,1,0))</formula>
    </cfRule>
    <cfRule type="expression" dxfId="23179" priority="141">
      <formula>AND(IF($Q6=3,1,0),IF($X6&lt;30,1,0))</formula>
    </cfRule>
    <cfRule type="expression" dxfId="23178" priority="142">
      <formula>AND(IF($Q6=3,1,IF($Q6=4,1,0)),IF($F6&lt;=85,1,0))</formula>
    </cfRule>
  </conditionalFormatting>
  <conditionalFormatting sqref="AI6">
    <cfRule type="expression" dxfId="23177" priority="135">
      <formula>AND(IF(OR($Q6=1,$Q6=2),1,0),IF($X6&lt;=20,1,0))</formula>
    </cfRule>
    <cfRule type="expression" dxfId="23176" priority="136">
      <formula>AND(IF($Q6=2,1,0),IF($X6&lt;30,1,0))</formula>
    </cfRule>
    <cfRule type="expression" dxfId="23175" priority="137">
      <formula>AND(IF($Q6=3,1,0),IF($X6&lt;30,1,0))</formula>
    </cfRule>
    <cfRule type="expression" dxfId="23174" priority="138">
      <formula>AND(IF($Q6=3,1,IF($Q6=4,1,0)),IF($F6&lt;=85,1,0))</formula>
    </cfRule>
  </conditionalFormatting>
  <conditionalFormatting sqref="AV7">
    <cfRule type="expression" dxfId="23173" priority="133">
      <formula>AV7="X"</formula>
    </cfRule>
    <cfRule type="expression" dxfId="23172" priority="134">
      <formula>AV7="후보"</formula>
    </cfRule>
  </conditionalFormatting>
  <conditionalFormatting sqref="AC7">
    <cfRule type="cellIs" dxfId="23171" priority="131" operator="greaterThan">
      <formula>0.9</formula>
    </cfRule>
    <cfRule type="cellIs" dxfId="23170" priority="132" operator="greaterThan">
      <formula>0.85</formula>
    </cfRule>
  </conditionalFormatting>
  <conditionalFormatting sqref="N7">
    <cfRule type="cellIs" dxfId="23169" priority="129" operator="greaterThan">
      <formula>0.9</formula>
    </cfRule>
    <cfRule type="cellIs" dxfId="23168" priority="130" operator="greaterThan">
      <formula>0.85</formula>
    </cfRule>
  </conditionalFormatting>
  <conditionalFormatting sqref="E7">
    <cfRule type="expression" dxfId="23167" priority="125">
      <formula>AND(IF(OR($Q7=1,$Q7=2),1,0),IF($X7&lt;=20,1,0))</formula>
    </cfRule>
    <cfRule type="expression" dxfId="23166" priority="126">
      <formula>AND(IF($Q7=2,1,0),IF($X7&lt;30,1,0))</formula>
    </cfRule>
    <cfRule type="expression" dxfId="23165" priority="127">
      <formula>AND(IF($Q7=3,1,0),IF($X7&lt;30,1,0))</formula>
    </cfRule>
    <cfRule type="expression" dxfId="23164" priority="128">
      <formula>AND(IF($Q7=3,1,IF($Q7=4,1,0)),IF($F7&lt;=85,1,0))</formula>
    </cfRule>
  </conditionalFormatting>
  <conditionalFormatting sqref="X7">
    <cfRule type="expression" dxfId="23163" priority="121">
      <formula>AND(IF(OR($Q7=1,$Q7=2),1,0),IF($X7&lt;=20,1,0))</formula>
    </cfRule>
    <cfRule type="expression" dxfId="23162" priority="122">
      <formula>AND(IF($Q7=2,1,0),IF($X7&lt;30,1,0))</formula>
    </cfRule>
    <cfRule type="expression" dxfId="23161" priority="123">
      <formula>AND(IF($Q7=3,1,0),IF($X7&lt;30,1,0))</formula>
    </cfRule>
    <cfRule type="expression" dxfId="23160" priority="124">
      <formula>AND(IF($Q7=3,1,IF($Q7=4,1,0)),IF($F7&lt;=85,1,0))</formula>
    </cfRule>
  </conditionalFormatting>
  <conditionalFormatting sqref="AI7">
    <cfRule type="expression" dxfId="23159" priority="117">
      <formula>AND(IF(OR($Q7=1,$Q7=2),1,0),IF($X7&lt;=20,1,0))</formula>
    </cfRule>
    <cfRule type="expression" dxfId="23158" priority="118">
      <formula>AND(IF($Q7=2,1,0),IF($X7&lt;30,1,0))</formula>
    </cfRule>
    <cfRule type="expression" dxfId="23157" priority="119">
      <formula>AND(IF($Q7=3,1,0),IF($X7&lt;30,1,0))</formula>
    </cfRule>
    <cfRule type="expression" dxfId="23156" priority="120">
      <formula>AND(IF($Q7=3,1,IF($Q7=4,1,0)),IF($F7&lt;=85,1,0))</formula>
    </cfRule>
  </conditionalFormatting>
  <conditionalFormatting sqref="AV8">
    <cfRule type="expression" dxfId="23155" priority="115">
      <formula>AV8="X"</formula>
    </cfRule>
    <cfRule type="expression" dxfId="23154" priority="116">
      <formula>AV8="후보"</formula>
    </cfRule>
  </conditionalFormatting>
  <conditionalFormatting sqref="AC8">
    <cfRule type="cellIs" dxfId="23153" priority="113" operator="greaterThan">
      <formula>0.9</formula>
    </cfRule>
    <cfRule type="cellIs" dxfId="23152" priority="114" operator="greaterThan">
      <formula>0.85</formula>
    </cfRule>
  </conditionalFormatting>
  <conditionalFormatting sqref="N8">
    <cfRule type="cellIs" dxfId="23151" priority="111" operator="greaterThan">
      <formula>0.9</formula>
    </cfRule>
    <cfRule type="cellIs" dxfId="23150" priority="112" operator="greaterThan">
      <formula>0.85</formula>
    </cfRule>
  </conditionalFormatting>
  <conditionalFormatting sqref="E8">
    <cfRule type="expression" dxfId="23149" priority="107">
      <formula>AND(IF(OR($Q8=1,$Q8=2),1,0),IF($X8&lt;=20,1,0))</formula>
    </cfRule>
    <cfRule type="expression" dxfId="23148" priority="108">
      <formula>AND(IF($Q8=2,1,0),IF($X8&lt;30,1,0))</formula>
    </cfRule>
    <cfRule type="expression" dxfId="23147" priority="109">
      <formula>AND(IF($Q8=3,1,0),IF($X8&lt;30,1,0))</formula>
    </cfRule>
    <cfRule type="expression" dxfId="23146" priority="110">
      <formula>AND(IF($Q8=3,1,IF($Q8=4,1,0)),IF($F8&lt;=85,1,0))</formula>
    </cfRule>
  </conditionalFormatting>
  <conditionalFormatting sqref="X8">
    <cfRule type="expression" dxfId="23145" priority="103">
      <formula>AND(IF(OR($Q8=1,$Q8=2),1,0),IF($X8&lt;=20,1,0))</formula>
    </cfRule>
    <cfRule type="expression" dxfId="23144" priority="104">
      <formula>AND(IF($Q8=2,1,0),IF($X8&lt;30,1,0))</formula>
    </cfRule>
    <cfRule type="expression" dxfId="23143" priority="105">
      <formula>AND(IF($Q8=3,1,0),IF($X8&lt;30,1,0))</formula>
    </cfRule>
    <cfRule type="expression" dxfId="23142" priority="106">
      <formula>AND(IF($Q8=3,1,IF($Q8=4,1,0)),IF($F8&lt;=85,1,0))</formula>
    </cfRule>
  </conditionalFormatting>
  <conditionalFormatting sqref="AI8">
    <cfRule type="expression" dxfId="23141" priority="99">
      <formula>AND(IF(OR($Q8=1,$Q8=2),1,0),IF($X8&lt;=20,1,0))</formula>
    </cfRule>
    <cfRule type="expression" dxfId="23140" priority="100">
      <formula>AND(IF($Q8=2,1,0),IF($X8&lt;30,1,0))</formula>
    </cfRule>
    <cfRule type="expression" dxfId="23139" priority="101">
      <formula>AND(IF($Q8=3,1,0),IF($X8&lt;30,1,0))</formula>
    </cfRule>
    <cfRule type="expression" dxfId="23138" priority="102">
      <formula>AND(IF($Q8=3,1,IF($Q8=4,1,0)),IF($F8&lt;=85,1,0))</formula>
    </cfRule>
  </conditionalFormatting>
  <conditionalFormatting sqref="AV9">
    <cfRule type="expression" dxfId="23137" priority="97">
      <formula>AV9="X"</formula>
    </cfRule>
    <cfRule type="expression" dxfId="23136" priority="98">
      <formula>AV9="후보"</formula>
    </cfRule>
  </conditionalFormatting>
  <conditionalFormatting sqref="AC9 N9">
    <cfRule type="cellIs" dxfId="23135" priority="95" operator="greaterThan">
      <formula>0.9</formula>
    </cfRule>
    <cfRule type="cellIs" dxfId="23134" priority="96" operator="greaterThan">
      <formula>0.85</formula>
    </cfRule>
  </conditionalFormatting>
  <conditionalFormatting sqref="AV10">
    <cfRule type="expression" dxfId="23133" priority="93">
      <formula>AV10="X"</formula>
    </cfRule>
    <cfRule type="expression" dxfId="23132" priority="94">
      <formula>AV10="후보"</formula>
    </cfRule>
  </conditionalFormatting>
  <conditionalFormatting sqref="AC10">
    <cfRule type="cellIs" dxfId="23131" priority="91" operator="greaterThan">
      <formula>0.9</formula>
    </cfRule>
    <cfRule type="cellIs" dxfId="23130" priority="92" operator="greaterThan">
      <formula>0.85</formula>
    </cfRule>
  </conditionalFormatting>
  <conditionalFormatting sqref="N10">
    <cfRule type="cellIs" dxfId="23129" priority="89" operator="greaterThan">
      <formula>0.9</formula>
    </cfRule>
    <cfRule type="cellIs" dxfId="23128" priority="90" operator="greaterThan">
      <formula>0.85</formula>
    </cfRule>
  </conditionalFormatting>
  <conditionalFormatting sqref="E10">
    <cfRule type="expression" dxfId="23127" priority="85">
      <formula>AND(IF(OR($Q10=1,$Q10=2),1,0),IF($X10&lt;=20,1,0))</formula>
    </cfRule>
    <cfRule type="expression" dxfId="23126" priority="86">
      <formula>AND(IF($Q10=2,1,0),IF($X10&lt;30,1,0))</formula>
    </cfRule>
    <cfRule type="expression" dxfId="23125" priority="87">
      <formula>AND(IF($Q10=3,1,0),IF($X10&lt;30,1,0))</formula>
    </cfRule>
    <cfRule type="expression" dxfId="23124" priority="88">
      <formula>AND(IF($Q10=3,1,IF($Q10=4,1,0)),IF($F10&lt;=85,1,0))</formula>
    </cfRule>
  </conditionalFormatting>
  <conditionalFormatting sqref="X10">
    <cfRule type="expression" dxfId="23123" priority="81">
      <formula>AND(IF(OR($Q10=1,$Q10=2),1,0),IF($X10&lt;=20,1,0))</formula>
    </cfRule>
    <cfRule type="expression" dxfId="23122" priority="82">
      <formula>AND(IF($Q10=2,1,0),IF($X10&lt;30,1,0))</formula>
    </cfRule>
    <cfRule type="expression" dxfId="23121" priority="83">
      <formula>AND(IF($Q10=3,1,0),IF($X10&lt;30,1,0))</formula>
    </cfRule>
    <cfRule type="expression" dxfId="23120" priority="84">
      <formula>AND(IF($Q10=3,1,IF($Q10=4,1,0)),IF($F10&lt;=85,1,0))</formula>
    </cfRule>
  </conditionalFormatting>
  <conditionalFormatting sqref="AI10">
    <cfRule type="expression" dxfId="23119" priority="77">
      <formula>AND(IF(OR($Q10=1,$Q10=2),1,0),IF($X10&lt;=20,1,0))</formula>
    </cfRule>
    <cfRule type="expression" dxfId="23118" priority="78">
      <formula>AND(IF($Q10=2,1,0),IF($X10&lt;30,1,0))</formula>
    </cfRule>
    <cfRule type="expression" dxfId="23117" priority="79">
      <formula>AND(IF($Q10=3,1,0),IF($X10&lt;30,1,0))</formula>
    </cfRule>
    <cfRule type="expression" dxfId="23116" priority="80">
      <formula>AND(IF($Q10=3,1,IF($Q10=4,1,0)),IF($F10&lt;=85,1,0))</formula>
    </cfRule>
  </conditionalFormatting>
  <conditionalFormatting sqref="AV11">
    <cfRule type="expression" dxfId="23115" priority="75">
      <formula>AV11="X"</formula>
    </cfRule>
    <cfRule type="expression" dxfId="23114" priority="76">
      <formula>AV11="후보"</formula>
    </cfRule>
  </conditionalFormatting>
  <conditionalFormatting sqref="AC11">
    <cfRule type="cellIs" dxfId="23113" priority="73" operator="greaterThan">
      <formula>0.9</formula>
    </cfRule>
    <cfRule type="cellIs" dxfId="23112" priority="74" operator="greaterThan">
      <formula>0.85</formula>
    </cfRule>
  </conditionalFormatting>
  <conditionalFormatting sqref="N11">
    <cfRule type="cellIs" dxfId="23111" priority="71" operator="greaterThan">
      <formula>0.9</formula>
    </cfRule>
    <cfRule type="cellIs" dxfId="23110" priority="72" operator="greaterThan">
      <formula>0.85</formula>
    </cfRule>
  </conditionalFormatting>
  <conditionalFormatting sqref="E11">
    <cfRule type="expression" dxfId="23109" priority="67">
      <formula>AND(IF(OR($Q11=1,$Q11=2),1,0),IF($X11&lt;=20,1,0))</formula>
    </cfRule>
    <cfRule type="expression" dxfId="23108" priority="68">
      <formula>AND(IF($Q11=2,1,0),IF($X11&lt;30,1,0))</formula>
    </cfRule>
    <cfRule type="expression" dxfId="23107" priority="69">
      <formula>AND(IF($Q11=3,1,0),IF($X11&lt;30,1,0))</formula>
    </cfRule>
    <cfRule type="expression" dxfId="23106" priority="70">
      <formula>AND(IF($Q11=3,1,IF($Q11=4,1,0)),IF($F11&lt;=85,1,0))</formula>
    </cfRule>
  </conditionalFormatting>
  <conditionalFormatting sqref="X11">
    <cfRule type="expression" dxfId="23105" priority="63">
      <formula>AND(IF(OR($Q11=1,$Q11=2),1,0),IF($X11&lt;=20,1,0))</formula>
    </cfRule>
    <cfRule type="expression" dxfId="23104" priority="64">
      <formula>AND(IF($Q11=2,1,0),IF($X11&lt;30,1,0))</formula>
    </cfRule>
    <cfRule type="expression" dxfId="23103" priority="65">
      <formula>AND(IF($Q11=3,1,0),IF($X11&lt;30,1,0))</formula>
    </cfRule>
    <cfRule type="expression" dxfId="23102" priority="66">
      <formula>AND(IF($Q11=3,1,IF($Q11=4,1,0)),IF($F11&lt;=85,1,0))</formula>
    </cfRule>
  </conditionalFormatting>
  <conditionalFormatting sqref="AI11">
    <cfRule type="expression" dxfId="23101" priority="59">
      <formula>AND(IF(OR($Q11=1,$Q11=2),1,0),IF($X11&lt;=20,1,0))</formula>
    </cfRule>
    <cfRule type="expression" dxfId="23100" priority="60">
      <formula>AND(IF($Q11=2,1,0),IF($X11&lt;30,1,0))</formula>
    </cfRule>
    <cfRule type="expression" dxfId="23099" priority="61">
      <formula>AND(IF($Q11=3,1,0),IF($X11&lt;30,1,0))</formula>
    </cfRule>
    <cfRule type="expression" dxfId="23098" priority="62">
      <formula>AND(IF($Q11=3,1,IF($Q11=4,1,0)),IF($F11&lt;=85,1,0))</formula>
    </cfRule>
  </conditionalFormatting>
  <conditionalFormatting sqref="AV12">
    <cfRule type="expression" dxfId="23097" priority="57">
      <formula>AV12="X"</formula>
    </cfRule>
    <cfRule type="expression" dxfId="23096" priority="58">
      <formula>AV12="후보"</formula>
    </cfRule>
  </conditionalFormatting>
  <conditionalFormatting sqref="AC12">
    <cfRule type="cellIs" dxfId="23095" priority="55" operator="greaterThan">
      <formula>0.9</formula>
    </cfRule>
    <cfRule type="cellIs" dxfId="23094" priority="56" operator="greaterThan">
      <formula>0.85</formula>
    </cfRule>
  </conditionalFormatting>
  <conditionalFormatting sqref="N12">
    <cfRule type="cellIs" dxfId="23093" priority="53" operator="greaterThan">
      <formula>0.9</formula>
    </cfRule>
    <cfRule type="cellIs" dxfId="23092" priority="54" operator="greaterThan">
      <formula>0.85</formula>
    </cfRule>
  </conditionalFormatting>
  <conditionalFormatting sqref="E12">
    <cfRule type="expression" dxfId="23091" priority="49">
      <formula>AND(IF(OR($Q12=1,$Q12=2),1,0),IF($X12&lt;=20,1,0))</formula>
    </cfRule>
    <cfRule type="expression" dxfId="23090" priority="50">
      <formula>AND(IF($Q12=2,1,0),IF($X12&lt;30,1,0))</formula>
    </cfRule>
    <cfRule type="expression" dxfId="23089" priority="51">
      <formula>AND(IF($Q12=3,1,0),IF($X12&lt;30,1,0))</formula>
    </cfRule>
    <cfRule type="expression" dxfId="23088" priority="52">
      <formula>AND(IF($Q12=3,1,IF($Q12=4,1,0)),IF($F12&lt;=85,1,0))</formula>
    </cfRule>
  </conditionalFormatting>
  <conditionalFormatting sqref="X12">
    <cfRule type="expression" dxfId="23087" priority="45">
      <formula>AND(IF(OR($Q12=1,$Q12=2),1,0),IF($X12&lt;=20,1,0))</formula>
    </cfRule>
    <cfRule type="expression" dxfId="23086" priority="46">
      <formula>AND(IF($Q12=2,1,0),IF($X12&lt;30,1,0))</formula>
    </cfRule>
    <cfRule type="expression" dxfId="23085" priority="47">
      <formula>AND(IF($Q12=3,1,0),IF($X12&lt;30,1,0))</formula>
    </cfRule>
    <cfRule type="expression" dxfId="23084" priority="48">
      <formula>AND(IF($Q12=3,1,IF($Q12=4,1,0)),IF($F12&lt;=85,1,0))</formula>
    </cfRule>
  </conditionalFormatting>
  <conditionalFormatting sqref="AI12">
    <cfRule type="expression" dxfId="23083" priority="41">
      <formula>AND(IF(OR($Q12=1,$Q12=2),1,0),IF($X12&lt;=20,1,0))</formula>
    </cfRule>
    <cfRule type="expression" dxfId="23082" priority="42">
      <formula>AND(IF($Q12=2,1,0),IF($X12&lt;30,1,0))</formula>
    </cfRule>
    <cfRule type="expression" dxfId="23081" priority="43">
      <formula>AND(IF($Q12=3,1,0),IF($X12&lt;30,1,0))</formula>
    </cfRule>
    <cfRule type="expression" dxfId="23080" priority="44">
      <formula>AND(IF($Q12=3,1,IF($Q12=4,1,0)),IF($F12&lt;=85,1,0))</formula>
    </cfRule>
  </conditionalFormatting>
  <conditionalFormatting sqref="AV13">
    <cfRule type="expression" dxfId="23079" priority="39">
      <formula>AV13="X"</formula>
    </cfRule>
    <cfRule type="expression" dxfId="23078" priority="40">
      <formula>AV13="후보"</formula>
    </cfRule>
  </conditionalFormatting>
  <conditionalFormatting sqref="AC13">
    <cfRule type="cellIs" dxfId="23077" priority="37" operator="greaterThan">
      <formula>0.9</formula>
    </cfRule>
    <cfRule type="cellIs" dxfId="23076" priority="38" operator="greaterThan">
      <formula>0.85</formula>
    </cfRule>
  </conditionalFormatting>
  <conditionalFormatting sqref="N13">
    <cfRule type="cellIs" dxfId="23075" priority="35" operator="greaterThan">
      <formula>0.9</formula>
    </cfRule>
    <cfRule type="cellIs" dxfId="23074" priority="36" operator="greaterThan">
      <formula>0.85</formula>
    </cfRule>
  </conditionalFormatting>
  <conditionalFormatting sqref="E13">
    <cfRule type="expression" dxfId="23073" priority="31">
      <formula>AND(IF(OR($Q13=1,$Q13=2),1,0),IF($X13&lt;=20,1,0))</formula>
    </cfRule>
    <cfRule type="expression" dxfId="23072" priority="32">
      <formula>AND(IF($Q13=2,1,0),IF($X13&lt;30,1,0))</formula>
    </cfRule>
    <cfRule type="expression" dxfId="23071" priority="33">
      <formula>AND(IF($Q13=3,1,0),IF($X13&lt;30,1,0))</formula>
    </cfRule>
    <cfRule type="expression" dxfId="23070" priority="34">
      <formula>AND(IF($Q13=3,1,IF($Q13=4,1,0)),IF($F13&lt;=85,1,0))</formula>
    </cfRule>
  </conditionalFormatting>
  <conditionalFormatting sqref="X13">
    <cfRule type="expression" dxfId="23069" priority="27">
      <formula>AND(IF(OR($Q13=1,$Q13=2),1,0),IF($X13&lt;=20,1,0))</formula>
    </cfRule>
    <cfRule type="expression" dxfId="23068" priority="28">
      <formula>AND(IF($Q13=2,1,0),IF($X13&lt;30,1,0))</formula>
    </cfRule>
    <cfRule type="expression" dxfId="23067" priority="29">
      <formula>AND(IF($Q13=3,1,0),IF($X13&lt;30,1,0))</formula>
    </cfRule>
    <cfRule type="expression" dxfId="23066" priority="30">
      <formula>AND(IF($Q13=3,1,IF($Q13=4,1,0)),IF($F13&lt;=85,1,0))</formula>
    </cfRule>
  </conditionalFormatting>
  <conditionalFormatting sqref="AI13">
    <cfRule type="expression" dxfId="23065" priority="23">
      <formula>AND(IF(OR($Q13=1,$Q13=2),1,0),IF($X13&lt;=20,1,0))</formula>
    </cfRule>
    <cfRule type="expression" dxfId="23064" priority="24">
      <formula>AND(IF($Q13=2,1,0),IF($X13&lt;30,1,0))</formula>
    </cfRule>
    <cfRule type="expression" dxfId="23063" priority="25">
      <formula>AND(IF($Q13=3,1,0),IF($X13&lt;30,1,0))</formula>
    </cfRule>
    <cfRule type="expression" dxfId="23062" priority="26">
      <formula>AND(IF($Q13=3,1,IF($Q13=4,1,0)),IF($F13&lt;=85,1,0))</formula>
    </cfRule>
  </conditionalFormatting>
  <conditionalFormatting sqref="AV14">
    <cfRule type="expression" dxfId="23061" priority="21">
      <formula>AV14="X"</formula>
    </cfRule>
    <cfRule type="expression" dxfId="23060" priority="22">
      <formula>AV14="후보"</formula>
    </cfRule>
  </conditionalFormatting>
  <conditionalFormatting sqref="AC14 N14">
    <cfRule type="cellIs" dxfId="23059" priority="19" operator="greaterThan">
      <formula>0.9</formula>
    </cfRule>
    <cfRule type="cellIs" dxfId="23058" priority="20" operator="greaterThan">
      <formula>0.85</formula>
    </cfRule>
  </conditionalFormatting>
  <conditionalFormatting sqref="AV15">
    <cfRule type="expression" dxfId="23057" priority="17">
      <formula>AV15="X"</formula>
    </cfRule>
    <cfRule type="expression" dxfId="23056" priority="18">
      <formula>AV15="후보"</formula>
    </cfRule>
  </conditionalFormatting>
  <conditionalFormatting sqref="AC15">
    <cfRule type="cellIs" dxfId="23055" priority="15" operator="greaterThan">
      <formula>0.9</formula>
    </cfRule>
    <cfRule type="cellIs" dxfId="23054" priority="16" operator="greaterThan">
      <formula>0.85</formula>
    </cfRule>
  </conditionalFormatting>
  <conditionalFormatting sqref="N15">
    <cfRule type="cellIs" dxfId="23053" priority="13" operator="greaterThan">
      <formula>0.9</formula>
    </cfRule>
    <cfRule type="cellIs" dxfId="23052" priority="14" operator="greaterThan">
      <formula>0.85</formula>
    </cfRule>
  </conditionalFormatting>
  <conditionalFormatting sqref="E15">
    <cfRule type="expression" dxfId="23051" priority="9">
      <formula>AND(IF(OR($Q15=1,$Q15=2),1,0),IF($X15&lt;=20,1,0))</formula>
    </cfRule>
    <cfRule type="expression" dxfId="23050" priority="10">
      <formula>AND(IF($Q15=2,1,0),IF($X15&lt;30,1,0))</formula>
    </cfRule>
    <cfRule type="expression" dxfId="23049" priority="11">
      <formula>AND(IF($Q15=3,1,0),IF($X15&lt;30,1,0))</formula>
    </cfRule>
    <cfRule type="expression" dxfId="23048" priority="12">
      <formula>AND(IF($Q15=3,1,IF($Q15=4,1,0)),IF($F15&lt;=85,1,0))</formula>
    </cfRule>
  </conditionalFormatting>
  <conditionalFormatting sqref="X15">
    <cfRule type="expression" dxfId="23047" priority="5">
      <formula>AND(IF(OR($Q15=1,$Q15=2),1,0),IF($X15&lt;=20,1,0))</formula>
    </cfRule>
    <cfRule type="expression" dxfId="23046" priority="6">
      <formula>AND(IF($Q15=2,1,0),IF($X15&lt;30,1,0))</formula>
    </cfRule>
    <cfRule type="expression" dxfId="23045" priority="7">
      <formula>AND(IF($Q15=3,1,0),IF($X15&lt;30,1,0))</formula>
    </cfRule>
    <cfRule type="expression" dxfId="23044" priority="8">
      <formula>AND(IF($Q15=3,1,IF($Q15=4,1,0)),IF($F15&lt;=85,1,0))</formula>
    </cfRule>
  </conditionalFormatting>
  <conditionalFormatting sqref="AI15">
    <cfRule type="expression" dxfId="23043" priority="1">
      <formula>AND(IF(OR($Q15=1,$Q15=2),1,0),IF($X15&lt;=20,1,0))</formula>
    </cfRule>
    <cfRule type="expression" dxfId="23042" priority="2">
      <formula>AND(IF($Q15=2,1,0),IF($X15&lt;30,1,0))</formula>
    </cfRule>
    <cfRule type="expression" dxfId="23041" priority="3">
      <formula>AND(IF($Q15=3,1,0),IF($X15&lt;30,1,0))</formula>
    </cfRule>
    <cfRule type="expression" dxfId="23040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구암동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125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구암동 현대('94.03.,1084^)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4" si="1"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121</v>
      </c>
      <c r="B6" s="10" t="s">
        <v>1254</v>
      </c>
      <c r="C6" s="107">
        <v>1084</v>
      </c>
      <c r="D6" s="104">
        <v>80.099999999999994</v>
      </c>
      <c r="E6" s="106">
        <v>24</v>
      </c>
      <c r="F6" s="104">
        <v>59.9</v>
      </c>
      <c r="G6" s="17">
        <v>18</v>
      </c>
      <c r="H6" s="107">
        <v>427</v>
      </c>
      <c r="I6" s="108">
        <v>7000</v>
      </c>
      <c r="J6" s="108" t="s">
        <v>1255</v>
      </c>
      <c r="K6" s="108"/>
      <c r="L6" s="108"/>
      <c r="M6" s="109">
        <f>I6-K6</f>
        <v>7000</v>
      </c>
      <c r="N6" s="4">
        <f>IF(ISERROR(K6/I6),"",K6/I6)</f>
        <v>0</v>
      </c>
      <c r="O6" s="105">
        <f>I6/E6</f>
        <v>291.66666666666669</v>
      </c>
      <c r="P6" s="105">
        <f>K6/E6</f>
        <v>0</v>
      </c>
      <c r="Q6" s="77">
        <v>3</v>
      </c>
      <c r="R6" s="77">
        <v>1</v>
      </c>
      <c r="S6" s="77" t="s">
        <v>1244</v>
      </c>
      <c r="T6" s="5">
        <v>80</v>
      </c>
      <c r="U6" s="9"/>
      <c r="W6" s="104">
        <f t="shared" ref="W6:X8" si="2">D6</f>
        <v>80.099999999999994</v>
      </c>
      <c r="X6" s="106">
        <f t="shared" si="2"/>
        <v>24</v>
      </c>
      <c r="Y6" s="102">
        <f t="shared" ref="Y6:Z8" si="3">H6</f>
        <v>427</v>
      </c>
      <c r="Z6" s="109">
        <f t="shared" si="3"/>
        <v>7000</v>
      </c>
      <c r="AA6" s="109">
        <f>K6</f>
        <v>0</v>
      </c>
      <c r="AB6" s="109">
        <f t="shared" ref="AB6:AD8" si="4">M6</f>
        <v>7000</v>
      </c>
      <c r="AC6" s="4">
        <f t="shared" si="4"/>
        <v>0</v>
      </c>
      <c r="AD6" s="105">
        <f t="shared" si="4"/>
        <v>291.66666666666669</v>
      </c>
      <c r="AE6" s="77" t="str">
        <f>S6</f>
        <v>계</v>
      </c>
      <c r="AF6" s="77" t="str">
        <f>Q6&amp;"/"&amp;R6</f>
        <v>3/1</v>
      </c>
      <c r="AH6" s="20" t="str">
        <f t="shared" si="1"/>
        <v>현대</v>
      </c>
      <c r="AI6" s="106">
        <f t="shared" si="0"/>
        <v>24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121</v>
      </c>
      <c r="B7" s="10" t="s">
        <v>1254</v>
      </c>
      <c r="C7" s="107">
        <v>1084</v>
      </c>
      <c r="D7" s="104">
        <v>102.5</v>
      </c>
      <c r="E7" s="106">
        <v>31</v>
      </c>
      <c r="F7" s="104">
        <v>84.9</v>
      </c>
      <c r="G7" s="17">
        <v>26</v>
      </c>
      <c r="H7" s="107">
        <v>537</v>
      </c>
      <c r="I7" s="108">
        <v>13200</v>
      </c>
      <c r="J7" s="108" t="s">
        <v>1256</v>
      </c>
      <c r="K7" s="108"/>
      <c r="L7" s="108"/>
      <c r="M7" s="109">
        <f>I7-K7</f>
        <v>13200</v>
      </c>
      <c r="N7" s="4">
        <f>IF(ISERROR(K7/I7),"",K7/I7)</f>
        <v>0</v>
      </c>
      <c r="O7" s="105">
        <f>I7/E7</f>
        <v>425.80645161290323</v>
      </c>
      <c r="P7" s="105">
        <f>K7/E7</f>
        <v>0</v>
      </c>
      <c r="Q7" s="77">
        <v>3</v>
      </c>
      <c r="R7" s="77">
        <v>2</v>
      </c>
      <c r="S7" s="77" t="s">
        <v>1244</v>
      </c>
      <c r="T7" s="5">
        <v>102</v>
      </c>
      <c r="U7" s="9"/>
      <c r="W7" s="104">
        <f t="shared" si="2"/>
        <v>102.5</v>
      </c>
      <c r="X7" s="106">
        <f t="shared" si="2"/>
        <v>31</v>
      </c>
      <c r="Y7" s="102">
        <f t="shared" si="3"/>
        <v>537</v>
      </c>
      <c r="Z7" s="109">
        <f t="shared" si="3"/>
        <v>13200</v>
      </c>
      <c r="AA7" s="109">
        <f>K7</f>
        <v>0</v>
      </c>
      <c r="AB7" s="109">
        <f t="shared" si="4"/>
        <v>13200</v>
      </c>
      <c r="AC7" s="4">
        <f t="shared" si="4"/>
        <v>0</v>
      </c>
      <c r="AD7" s="105">
        <f t="shared" si="4"/>
        <v>425.80645161290323</v>
      </c>
      <c r="AE7" s="77" t="str">
        <f>S7</f>
        <v>계</v>
      </c>
      <c r="AF7" s="77" t="str">
        <f>Q7&amp;"/"&amp;R7</f>
        <v>3/2</v>
      </c>
      <c r="AH7" s="20" t="str">
        <f t="shared" si="1"/>
        <v>현대</v>
      </c>
      <c r="AI7" s="106">
        <f t="shared" si="0"/>
        <v>31</v>
      </c>
      <c r="AJ7" s="77" t="str">
        <f>IF(AI7="","",$AJ$2)</f>
        <v>A-</v>
      </c>
      <c r="AK7" s="77" t="s">
        <v>13</v>
      </c>
      <c r="AL7" s="77" t="s">
        <v>1242</v>
      </c>
      <c r="AM7" s="77" t="s">
        <v>1243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121</v>
      </c>
      <c r="B8" s="10" t="s">
        <v>1254</v>
      </c>
      <c r="C8" s="107">
        <v>1084</v>
      </c>
      <c r="D8" s="104">
        <v>146.30000000000001</v>
      </c>
      <c r="E8" s="106">
        <v>44</v>
      </c>
      <c r="F8" s="104">
        <v>125.9</v>
      </c>
      <c r="G8" s="17">
        <v>38</v>
      </c>
      <c r="H8" s="107">
        <v>120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7">
        <v>4</v>
      </c>
      <c r="R8" s="77">
        <v>2</v>
      </c>
      <c r="S8" s="77" t="s">
        <v>1244</v>
      </c>
      <c r="T8" s="5">
        <v>146</v>
      </c>
      <c r="U8" s="9"/>
      <c r="W8" s="104">
        <f t="shared" si="2"/>
        <v>146.30000000000001</v>
      </c>
      <c r="X8" s="106">
        <f t="shared" si="2"/>
        <v>44</v>
      </c>
      <c r="Y8" s="102">
        <f t="shared" si="3"/>
        <v>120</v>
      </c>
      <c r="Z8" s="109">
        <f t="shared" si="3"/>
        <v>0</v>
      </c>
      <c r="AA8" s="109">
        <f>K8</f>
        <v>0</v>
      </c>
      <c r="AB8" s="109">
        <f t="shared" si="4"/>
        <v>0</v>
      </c>
      <c r="AC8" s="4" t="str">
        <f t="shared" si="4"/>
        <v/>
      </c>
      <c r="AD8" s="105">
        <f t="shared" si="4"/>
        <v>0</v>
      </c>
      <c r="AE8" s="77" t="str">
        <f>S8</f>
        <v>계</v>
      </c>
      <c r="AF8" s="77" t="str">
        <f>Q8&amp;"/"&amp;R8</f>
        <v>4/2</v>
      </c>
      <c r="AH8" s="20" t="str">
        <f t="shared" si="1"/>
        <v>현대</v>
      </c>
      <c r="AI8" s="106">
        <f t="shared" si="0"/>
        <v>44</v>
      </c>
      <c r="AJ8" s="77" t="str">
        <f>IF(AI8="","",$AJ$2)</f>
        <v>A-</v>
      </c>
      <c r="AK8" s="77" t="s">
        <v>13</v>
      </c>
      <c r="AL8" s="77" t="s">
        <v>1242</v>
      </c>
      <c r="AM8" s="77" t="s">
        <v>1243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/>
      <c r="B9" s="77"/>
      <c r="C9" s="6"/>
      <c r="D9" s="9"/>
      <c r="E9" s="14"/>
      <c r="F9" s="104"/>
      <c r="G9" s="9"/>
      <c r="H9" s="9"/>
      <c r="I9" s="9"/>
      <c r="J9" s="9"/>
      <c r="K9" s="9"/>
      <c r="L9" s="9"/>
      <c r="M9" s="9"/>
      <c r="N9" s="9"/>
      <c r="O9" s="105"/>
      <c r="P9" s="105"/>
      <c r="Q9" s="106"/>
      <c r="R9" s="106"/>
      <c r="S9" s="9"/>
      <c r="T9" s="47"/>
      <c r="U9" s="9"/>
      <c r="W9" s="67" t="str">
        <f>$A$4&amp;" "&amp;A10&amp;"("&amp;B10&amp;","&amp;C10&amp;"^)"</f>
        <v>구암동 세풍('97.01.,437^)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3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127</v>
      </c>
      <c r="B10" s="10" t="s">
        <v>1257</v>
      </c>
      <c r="C10" s="107">
        <v>437</v>
      </c>
      <c r="D10" s="104">
        <v>74.7</v>
      </c>
      <c r="E10" s="106">
        <v>23</v>
      </c>
      <c r="F10" s="104">
        <v>59.9</v>
      </c>
      <c r="G10" s="17">
        <v>18</v>
      </c>
      <c r="H10" s="107">
        <v>164</v>
      </c>
      <c r="I10" s="108"/>
      <c r="J10" s="108"/>
      <c r="K10" s="108"/>
      <c r="L10" s="108"/>
      <c r="M10" s="109">
        <f>I10-K10</f>
        <v>0</v>
      </c>
      <c r="N10" s="4" t="str">
        <f>IF(ISERROR(K10/I10),"",K10/I10)</f>
        <v/>
      </c>
      <c r="O10" s="105">
        <f>I10/E10</f>
        <v>0</v>
      </c>
      <c r="P10" s="105">
        <f>K10/E10</f>
        <v>0</v>
      </c>
      <c r="Q10" s="77">
        <v>3</v>
      </c>
      <c r="R10" s="77">
        <v>1</v>
      </c>
      <c r="S10" s="77" t="s">
        <v>1244</v>
      </c>
      <c r="T10" s="5" t="s">
        <v>129</v>
      </c>
      <c r="U10" s="9"/>
      <c r="W10" s="104">
        <f t="shared" ref="W10:X14" si="5">D10</f>
        <v>74.7</v>
      </c>
      <c r="X10" s="106">
        <f t="shared" si="5"/>
        <v>23</v>
      </c>
      <c r="Y10" s="102">
        <f t="shared" ref="Y10:Z14" si="6">H10</f>
        <v>164</v>
      </c>
      <c r="Z10" s="109">
        <f t="shared" si="6"/>
        <v>0</v>
      </c>
      <c r="AA10" s="109">
        <f>K10</f>
        <v>0</v>
      </c>
      <c r="AB10" s="109">
        <f t="shared" ref="AB10:AD14" si="7">M10</f>
        <v>0</v>
      </c>
      <c r="AC10" s="4" t="str">
        <f t="shared" si="7"/>
        <v/>
      </c>
      <c r="AD10" s="105">
        <f t="shared" si="7"/>
        <v>0</v>
      </c>
      <c r="AE10" s="77" t="str">
        <f>S10</f>
        <v>계</v>
      </c>
      <c r="AF10" s="77" t="str">
        <f>Q10&amp;"/"&amp;R10</f>
        <v>3/1</v>
      </c>
      <c r="AH10" s="20" t="str">
        <f t="shared" si="1"/>
        <v>세풍</v>
      </c>
      <c r="AI10" s="106">
        <f t="shared" si="0"/>
        <v>23</v>
      </c>
      <c r="AJ10" s="77" t="str">
        <f>IF(AI10="","",$AJ$2)</f>
        <v>A-</v>
      </c>
      <c r="AK10" s="77" t="s">
        <v>13</v>
      </c>
      <c r="AL10" s="77" t="s">
        <v>1242</v>
      </c>
      <c r="AM10" s="77" t="s">
        <v>1243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/>
      </c>
    </row>
    <row r="11" spans="1:48" x14ac:dyDescent="0.3">
      <c r="A11" s="9" t="s">
        <v>127</v>
      </c>
      <c r="B11" s="10" t="s">
        <v>1257</v>
      </c>
      <c r="C11" s="107">
        <v>437</v>
      </c>
      <c r="D11" s="104">
        <v>74.2</v>
      </c>
      <c r="E11" s="106">
        <v>22</v>
      </c>
      <c r="F11" s="104">
        <v>59.5</v>
      </c>
      <c r="G11" s="17">
        <v>18</v>
      </c>
      <c r="H11" s="107">
        <v>11</v>
      </c>
      <c r="I11" s="108"/>
      <c r="J11" s="108"/>
      <c r="K11" s="108"/>
      <c r="L11" s="108"/>
      <c r="M11" s="109">
        <f>I11-K11</f>
        <v>0</v>
      </c>
      <c r="N11" s="4" t="str">
        <f>IF(ISERROR(K11/I11),"",K11/I11)</f>
        <v/>
      </c>
      <c r="O11" s="105">
        <f>I11/E11</f>
        <v>0</v>
      </c>
      <c r="P11" s="105">
        <f>K11/E11</f>
        <v>0</v>
      </c>
      <c r="Q11" s="77">
        <v>3</v>
      </c>
      <c r="R11" s="77">
        <v>1</v>
      </c>
      <c r="S11" s="77" t="s">
        <v>1244</v>
      </c>
      <c r="T11" s="5" t="s">
        <v>133</v>
      </c>
      <c r="U11" s="9"/>
      <c r="W11" s="104">
        <f t="shared" si="5"/>
        <v>74.2</v>
      </c>
      <c r="X11" s="106">
        <f t="shared" si="5"/>
        <v>22</v>
      </c>
      <c r="Y11" s="102">
        <f t="shared" si="6"/>
        <v>11</v>
      </c>
      <c r="Z11" s="109">
        <f t="shared" si="6"/>
        <v>0</v>
      </c>
      <c r="AA11" s="109">
        <f>K11</f>
        <v>0</v>
      </c>
      <c r="AB11" s="109">
        <f t="shared" si="7"/>
        <v>0</v>
      </c>
      <c r="AC11" s="4" t="str">
        <f t="shared" si="7"/>
        <v/>
      </c>
      <c r="AD11" s="105">
        <f t="shared" si="7"/>
        <v>0</v>
      </c>
      <c r="AE11" s="77" t="str">
        <f>S11</f>
        <v>계</v>
      </c>
      <c r="AF11" s="77" t="str">
        <f>Q11&amp;"/"&amp;R11</f>
        <v>3/1</v>
      </c>
      <c r="AH11" s="20" t="str">
        <f t="shared" si="1"/>
        <v>세풍</v>
      </c>
      <c r="AI11" s="106">
        <f t="shared" si="0"/>
        <v>22</v>
      </c>
      <c r="AJ11" s="77" t="str">
        <f>IF(AI11="","",$AJ$2)</f>
        <v>A-</v>
      </c>
      <c r="AK11" s="77" t="s">
        <v>13</v>
      </c>
      <c r="AL11" s="77" t="s">
        <v>1242</v>
      </c>
      <c r="AM11" s="77" t="s">
        <v>1243</v>
      </c>
      <c r="AN11" s="77" t="str">
        <f>IF(AI11="","",$AN$2)</f>
        <v>C</v>
      </c>
      <c r="AO11" s="77" t="str">
        <f>IF(N11="","",IF(N11&gt;=$AO$1/100,"O","X"))</f>
        <v/>
      </c>
      <c r="AP11" s="77" t="str">
        <f>IF(I11="","",IF(I11&lt;=$AP$1,"O","X"))</f>
        <v/>
      </c>
      <c r="AQ11" s="77" t="str">
        <f>IF(O11="","",IF(O11&lt;=$AQ$1,"O","X"))</f>
        <v>O</v>
      </c>
      <c r="AR11" s="77" t="str">
        <f>IF(M11="","",IF(M11&lt;=$AR$1,"O","X"))</f>
        <v>O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/>
      </c>
    </row>
    <row r="12" spans="1:48" x14ac:dyDescent="0.3">
      <c r="A12" s="9" t="s">
        <v>127</v>
      </c>
      <c r="B12" s="10" t="s">
        <v>1257</v>
      </c>
      <c r="C12" s="107">
        <v>437</v>
      </c>
      <c r="D12" s="104">
        <v>106</v>
      </c>
      <c r="E12" s="106">
        <v>32</v>
      </c>
      <c r="F12" s="104">
        <v>85</v>
      </c>
      <c r="G12" s="17">
        <v>26</v>
      </c>
      <c r="H12" s="107">
        <v>208</v>
      </c>
      <c r="I12" s="108">
        <v>12500</v>
      </c>
      <c r="J12" s="108" t="s">
        <v>1256</v>
      </c>
      <c r="K12" s="108"/>
      <c r="L12" s="108"/>
      <c r="M12" s="109">
        <f>I12-K12</f>
        <v>12500</v>
      </c>
      <c r="N12" s="4">
        <f>IF(ISERROR(K12/I12),"",K12/I12)</f>
        <v>0</v>
      </c>
      <c r="O12" s="105">
        <f>I12/E12</f>
        <v>390.625</v>
      </c>
      <c r="P12" s="105">
        <f>K12/E12</f>
        <v>0</v>
      </c>
      <c r="Q12" s="77">
        <v>3</v>
      </c>
      <c r="R12" s="77">
        <v>2</v>
      </c>
      <c r="S12" s="77" t="s">
        <v>1244</v>
      </c>
      <c r="T12" s="5" t="s">
        <v>134</v>
      </c>
      <c r="U12" s="9"/>
      <c r="W12" s="104">
        <f t="shared" si="5"/>
        <v>106</v>
      </c>
      <c r="X12" s="106">
        <f t="shared" si="5"/>
        <v>32</v>
      </c>
      <c r="Y12" s="102">
        <f t="shared" si="6"/>
        <v>208</v>
      </c>
      <c r="Z12" s="109">
        <f t="shared" si="6"/>
        <v>12500</v>
      </c>
      <c r="AA12" s="109">
        <f>K12</f>
        <v>0</v>
      </c>
      <c r="AB12" s="109">
        <f t="shared" si="7"/>
        <v>12500</v>
      </c>
      <c r="AC12" s="4">
        <f t="shared" si="7"/>
        <v>0</v>
      </c>
      <c r="AD12" s="105">
        <f t="shared" si="7"/>
        <v>390.625</v>
      </c>
      <c r="AE12" s="77" t="str">
        <f>S12</f>
        <v>계</v>
      </c>
      <c r="AF12" s="77" t="str">
        <f>Q12&amp;"/"&amp;R12</f>
        <v>3/2</v>
      </c>
      <c r="AH12" s="20" t="str">
        <f t="shared" si="1"/>
        <v>세풍</v>
      </c>
      <c r="AI12" s="106">
        <f t="shared" si="0"/>
        <v>32</v>
      </c>
      <c r="AJ12" s="77" t="str">
        <f>IF(AI12="","",$AJ$2)</f>
        <v>A-</v>
      </c>
      <c r="AK12" s="77" t="s">
        <v>13</v>
      </c>
      <c r="AL12" s="77" t="s">
        <v>1242</v>
      </c>
      <c r="AM12" s="77" t="s">
        <v>1243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O</v>
      </c>
      <c r="AQ12" s="77" t="str">
        <f>IF(O12="","",IF(O12&lt;=$AQ$1,"O","X"))</f>
        <v>O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 t="s">
        <v>127</v>
      </c>
      <c r="B13" s="10" t="s">
        <v>1257</v>
      </c>
      <c r="C13" s="107">
        <v>437</v>
      </c>
      <c r="D13" s="104">
        <v>106</v>
      </c>
      <c r="E13" s="106">
        <v>32</v>
      </c>
      <c r="F13" s="104">
        <v>85</v>
      </c>
      <c r="G13" s="17">
        <v>26</v>
      </c>
      <c r="H13" s="107">
        <v>32</v>
      </c>
      <c r="I13" s="108">
        <v>12500</v>
      </c>
      <c r="J13" s="108" t="s">
        <v>1256</v>
      </c>
      <c r="K13" s="108"/>
      <c r="L13" s="108"/>
      <c r="M13" s="109">
        <f>I13-K13</f>
        <v>12500</v>
      </c>
      <c r="N13" s="4">
        <f>IF(ISERROR(K13/I13),"",K13/I13)</f>
        <v>0</v>
      </c>
      <c r="O13" s="105">
        <f>I13/E13</f>
        <v>390.625</v>
      </c>
      <c r="P13" s="105">
        <f>K13/E13</f>
        <v>0</v>
      </c>
      <c r="Q13" s="77">
        <v>3</v>
      </c>
      <c r="R13" s="77">
        <v>2</v>
      </c>
      <c r="S13" s="77" t="s">
        <v>1244</v>
      </c>
      <c r="T13" s="5" t="s">
        <v>135</v>
      </c>
      <c r="U13" s="9"/>
      <c r="W13" s="104">
        <f t="shared" si="5"/>
        <v>106</v>
      </c>
      <c r="X13" s="106">
        <f t="shared" si="5"/>
        <v>32</v>
      </c>
      <c r="Y13" s="102">
        <f t="shared" si="6"/>
        <v>32</v>
      </c>
      <c r="Z13" s="109">
        <f t="shared" si="6"/>
        <v>12500</v>
      </c>
      <c r="AA13" s="109">
        <f>K13</f>
        <v>0</v>
      </c>
      <c r="AB13" s="109">
        <f t="shared" si="7"/>
        <v>12500</v>
      </c>
      <c r="AC13" s="4">
        <f t="shared" si="7"/>
        <v>0</v>
      </c>
      <c r="AD13" s="105">
        <f t="shared" si="7"/>
        <v>390.625</v>
      </c>
      <c r="AE13" s="77" t="str">
        <f>S13</f>
        <v>계</v>
      </c>
      <c r="AF13" s="77" t="str">
        <f>Q13&amp;"/"&amp;R13</f>
        <v>3/2</v>
      </c>
      <c r="AH13" s="20" t="str">
        <f t="shared" si="1"/>
        <v>세풍</v>
      </c>
      <c r="AI13" s="106">
        <f t="shared" si="0"/>
        <v>32</v>
      </c>
      <c r="AJ13" s="77" t="str">
        <f>IF(AI13="","",$AJ$2)</f>
        <v>A-</v>
      </c>
      <c r="AK13" s="77" t="s">
        <v>13</v>
      </c>
      <c r="AL13" s="77" t="s">
        <v>1242</v>
      </c>
      <c r="AM13" s="77" t="s">
        <v>1243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O</v>
      </c>
      <c r="AQ13" s="77" t="str">
        <f>IF(O13="","",IF(O13&lt;=$AQ$1,"O","X"))</f>
        <v>O</v>
      </c>
      <c r="AR13" s="77" t="str">
        <f>IF(M13="","",IF(M13&lt;=$AR$1,"O","X"))</f>
        <v>X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48" x14ac:dyDescent="0.3">
      <c r="A14" s="9" t="s">
        <v>127</v>
      </c>
      <c r="B14" s="10" t="s">
        <v>1257</v>
      </c>
      <c r="C14" s="107">
        <v>437</v>
      </c>
      <c r="D14" s="104">
        <v>124.8</v>
      </c>
      <c r="E14" s="106">
        <v>38</v>
      </c>
      <c r="F14" s="104">
        <v>100.1</v>
      </c>
      <c r="G14" s="17">
        <v>30</v>
      </c>
      <c r="H14" s="107">
        <v>22</v>
      </c>
      <c r="I14" s="108"/>
      <c r="J14" s="108"/>
      <c r="K14" s="108"/>
      <c r="L14" s="108"/>
      <c r="M14" s="109">
        <f>I14-K14</f>
        <v>0</v>
      </c>
      <c r="N14" s="4" t="str">
        <f>IF(ISERROR(K14/I14),"",K14/I14)</f>
        <v/>
      </c>
      <c r="O14" s="105">
        <f>I14/E14</f>
        <v>0</v>
      </c>
      <c r="P14" s="105">
        <f>K14/E14</f>
        <v>0</v>
      </c>
      <c r="Q14" s="77">
        <v>3</v>
      </c>
      <c r="R14" s="77">
        <v>2</v>
      </c>
      <c r="S14" s="77" t="s">
        <v>1244</v>
      </c>
      <c r="T14" s="5">
        <v>124</v>
      </c>
      <c r="U14" s="9"/>
      <c r="W14" s="104">
        <f t="shared" si="5"/>
        <v>124.8</v>
      </c>
      <c r="X14" s="106">
        <f t="shared" si="5"/>
        <v>38</v>
      </c>
      <c r="Y14" s="102">
        <f t="shared" si="6"/>
        <v>22</v>
      </c>
      <c r="Z14" s="109">
        <f t="shared" si="6"/>
        <v>0</v>
      </c>
      <c r="AA14" s="109">
        <f>K14</f>
        <v>0</v>
      </c>
      <c r="AB14" s="109">
        <f t="shared" si="7"/>
        <v>0</v>
      </c>
      <c r="AC14" s="4" t="str">
        <f t="shared" si="7"/>
        <v/>
      </c>
      <c r="AD14" s="105">
        <f t="shared" si="7"/>
        <v>0</v>
      </c>
      <c r="AE14" s="77" t="str">
        <f>S14</f>
        <v>계</v>
      </c>
      <c r="AF14" s="77" t="str">
        <f>Q14&amp;"/"&amp;R14</f>
        <v>3/2</v>
      </c>
      <c r="AH14" s="20" t="str">
        <f t="shared" si="1"/>
        <v>세풍</v>
      </c>
      <c r="AI14" s="106">
        <f t="shared" si="0"/>
        <v>38</v>
      </c>
      <c r="AJ14" s="77" t="str">
        <f>IF(AI14="","",$AJ$2)</f>
        <v>A-</v>
      </c>
      <c r="AK14" s="77" t="s">
        <v>13</v>
      </c>
      <c r="AL14" s="77" t="s">
        <v>1242</v>
      </c>
      <c r="AM14" s="77" t="s">
        <v>1243</v>
      </c>
      <c r="AN14" s="77" t="str">
        <f>IF(AI14="","",$AN$2)</f>
        <v>C</v>
      </c>
      <c r="AO14" s="77" t="str">
        <f>IF(N14="","",IF(N14&gt;=$AO$1/100,"O","X"))</f>
        <v/>
      </c>
      <c r="AP14" s="77" t="str">
        <f>IF(I14="","",IF(I14&lt;=$AP$1,"O","X"))</f>
        <v/>
      </c>
      <c r="AQ14" s="77" t="str">
        <f>IF(O14="","",IF(O14&lt;=$AQ$1,"O","X"))</f>
        <v>O</v>
      </c>
      <c r="AR14" s="77" t="str">
        <f>IF(M14="","",IF(M14&lt;=$AR$1,"O","X"))</f>
        <v>O</v>
      </c>
      <c r="AS14" s="77" t="s">
        <v>2</v>
      </c>
      <c r="AT14" s="77" t="str">
        <f>IF(OR(F14="",AI14=""),"",IF(AND((F14&lt;=85),(AI14&gt;=15)),"O","X"))</f>
        <v>X</v>
      </c>
      <c r="AU14" s="77" t="str">
        <f>IF(C14="","",IF(C14&gt;=$AU$1,"O","X"))</f>
        <v>O</v>
      </c>
      <c r="AV14" s="77" t="str">
        <f>IF(AO14="","",IF(AND(AO14="O",AP14="O",AR14="O",AT14="O",AU14="O"),"후보","X"))</f>
        <v/>
      </c>
    </row>
  </sheetData>
  <mergeCells count="1">
    <mergeCell ref="AJ1:AN1"/>
  </mergeCells>
  <phoneticPr fontId="2" type="noConversion"/>
  <conditionalFormatting sqref="AV4:AV6">
    <cfRule type="expression" dxfId="23039" priority="149">
      <formula>AV4="X"</formula>
    </cfRule>
    <cfRule type="expression" dxfId="23038" priority="150">
      <formula>AV4="후보"</formula>
    </cfRule>
  </conditionalFormatting>
  <conditionalFormatting sqref="AC1:AC2 AC4:AC6 N4:N5">
    <cfRule type="cellIs" dxfId="23037" priority="147" operator="greaterThan">
      <formula>0.9</formula>
    </cfRule>
    <cfRule type="cellIs" dxfId="23036" priority="148" operator="greaterThan">
      <formula>0.85</formula>
    </cfRule>
  </conditionalFormatting>
  <conditionalFormatting sqref="N1:N2">
    <cfRule type="cellIs" dxfId="23035" priority="145" operator="greaterThan">
      <formula>0.9</formula>
    </cfRule>
    <cfRule type="cellIs" dxfId="23034" priority="146" operator="greaterThan">
      <formula>0.85</formula>
    </cfRule>
  </conditionalFormatting>
  <conditionalFormatting sqref="N6">
    <cfRule type="cellIs" dxfId="23033" priority="143" operator="greaterThan">
      <formula>0.9</formula>
    </cfRule>
    <cfRule type="cellIs" dxfId="23032" priority="144" operator="greaterThan">
      <formula>0.85</formula>
    </cfRule>
  </conditionalFormatting>
  <conditionalFormatting sqref="E6">
    <cfRule type="expression" dxfId="23031" priority="139">
      <formula>AND(IF(OR($Q6=1,$Q6=2),1,0),IF($X6&lt;=20,1,0))</formula>
    </cfRule>
    <cfRule type="expression" dxfId="23030" priority="140">
      <formula>AND(IF($Q6=2,1,0),IF($X6&lt;30,1,0))</formula>
    </cfRule>
    <cfRule type="expression" dxfId="23029" priority="141">
      <formula>AND(IF($Q6=3,1,0),IF($X6&lt;30,1,0))</formula>
    </cfRule>
    <cfRule type="expression" dxfId="23028" priority="142">
      <formula>AND(IF($Q6=3,1,IF($Q6=4,1,0)),IF($F6&lt;=85,1,0))</formula>
    </cfRule>
  </conditionalFormatting>
  <conditionalFormatting sqref="X6">
    <cfRule type="expression" dxfId="23027" priority="135">
      <formula>AND(IF(OR($Q6=1,$Q6=2),1,0),IF($X6&lt;=20,1,0))</formula>
    </cfRule>
    <cfRule type="expression" dxfId="23026" priority="136">
      <formula>AND(IF($Q6=2,1,0),IF($X6&lt;30,1,0))</formula>
    </cfRule>
    <cfRule type="expression" dxfId="23025" priority="137">
      <formula>AND(IF($Q6=3,1,0),IF($X6&lt;30,1,0))</formula>
    </cfRule>
    <cfRule type="expression" dxfId="23024" priority="138">
      <formula>AND(IF($Q6=3,1,IF($Q6=4,1,0)),IF($F6&lt;=85,1,0))</formula>
    </cfRule>
  </conditionalFormatting>
  <conditionalFormatting sqref="AI6">
    <cfRule type="expression" dxfId="23023" priority="131">
      <formula>AND(IF(OR($Q6=1,$Q6=2),1,0),IF($X6&lt;=20,1,0))</formula>
    </cfRule>
    <cfRule type="expression" dxfId="23022" priority="132">
      <formula>AND(IF($Q6=2,1,0),IF($X6&lt;30,1,0))</formula>
    </cfRule>
    <cfRule type="expression" dxfId="23021" priority="133">
      <formula>AND(IF($Q6=3,1,0),IF($X6&lt;30,1,0))</formula>
    </cfRule>
    <cfRule type="expression" dxfId="23020" priority="134">
      <formula>AND(IF($Q6=3,1,IF($Q6=4,1,0)),IF($F6&lt;=85,1,0))</formula>
    </cfRule>
  </conditionalFormatting>
  <conditionalFormatting sqref="AV7">
    <cfRule type="expression" dxfId="23019" priority="129">
      <formula>AV7="X"</formula>
    </cfRule>
    <cfRule type="expression" dxfId="23018" priority="130">
      <formula>AV7="후보"</formula>
    </cfRule>
  </conditionalFormatting>
  <conditionalFormatting sqref="AC7">
    <cfRule type="cellIs" dxfId="23017" priority="127" operator="greaterThan">
      <formula>0.9</formula>
    </cfRule>
    <cfRule type="cellIs" dxfId="23016" priority="128" operator="greaterThan">
      <formula>0.85</formula>
    </cfRule>
  </conditionalFormatting>
  <conditionalFormatting sqref="N7">
    <cfRule type="cellIs" dxfId="23015" priority="125" operator="greaterThan">
      <formula>0.9</formula>
    </cfRule>
    <cfRule type="cellIs" dxfId="23014" priority="126" operator="greaterThan">
      <formula>0.85</formula>
    </cfRule>
  </conditionalFormatting>
  <conditionalFormatting sqref="E7">
    <cfRule type="expression" dxfId="23013" priority="121">
      <formula>AND(IF(OR($Q7=1,$Q7=2),1,0),IF($X7&lt;=20,1,0))</formula>
    </cfRule>
    <cfRule type="expression" dxfId="23012" priority="122">
      <formula>AND(IF($Q7=2,1,0),IF($X7&lt;30,1,0))</formula>
    </cfRule>
    <cfRule type="expression" dxfId="23011" priority="123">
      <formula>AND(IF($Q7=3,1,0),IF($X7&lt;30,1,0))</formula>
    </cfRule>
    <cfRule type="expression" dxfId="23010" priority="124">
      <formula>AND(IF($Q7=3,1,IF($Q7=4,1,0)),IF($F7&lt;=85,1,0))</formula>
    </cfRule>
  </conditionalFormatting>
  <conditionalFormatting sqref="X7">
    <cfRule type="expression" dxfId="23009" priority="117">
      <formula>AND(IF(OR($Q7=1,$Q7=2),1,0),IF($X7&lt;=20,1,0))</formula>
    </cfRule>
    <cfRule type="expression" dxfId="23008" priority="118">
      <formula>AND(IF($Q7=2,1,0),IF($X7&lt;30,1,0))</formula>
    </cfRule>
    <cfRule type="expression" dxfId="23007" priority="119">
      <formula>AND(IF($Q7=3,1,0),IF($X7&lt;30,1,0))</formula>
    </cfRule>
    <cfRule type="expression" dxfId="23006" priority="120">
      <formula>AND(IF($Q7=3,1,IF($Q7=4,1,0)),IF($F7&lt;=85,1,0))</formula>
    </cfRule>
  </conditionalFormatting>
  <conditionalFormatting sqref="AI7">
    <cfRule type="expression" dxfId="23005" priority="113">
      <formula>AND(IF(OR($Q7=1,$Q7=2),1,0),IF($X7&lt;=20,1,0))</formula>
    </cfRule>
    <cfRule type="expression" dxfId="23004" priority="114">
      <formula>AND(IF($Q7=2,1,0),IF($X7&lt;30,1,0))</formula>
    </cfRule>
    <cfRule type="expression" dxfId="23003" priority="115">
      <formula>AND(IF($Q7=3,1,0),IF($X7&lt;30,1,0))</formula>
    </cfRule>
    <cfRule type="expression" dxfId="23002" priority="116">
      <formula>AND(IF($Q7=3,1,IF($Q7=4,1,0)),IF($F7&lt;=85,1,0))</formula>
    </cfRule>
  </conditionalFormatting>
  <conditionalFormatting sqref="AV8">
    <cfRule type="expression" dxfId="23001" priority="111">
      <formula>AV8="X"</formula>
    </cfRule>
    <cfRule type="expression" dxfId="23000" priority="112">
      <formula>AV8="후보"</formula>
    </cfRule>
  </conditionalFormatting>
  <conditionalFormatting sqref="AC8">
    <cfRule type="cellIs" dxfId="22999" priority="109" operator="greaterThan">
      <formula>0.9</formula>
    </cfRule>
    <cfRule type="cellIs" dxfId="22998" priority="110" operator="greaterThan">
      <formula>0.85</formula>
    </cfRule>
  </conditionalFormatting>
  <conditionalFormatting sqref="N8">
    <cfRule type="cellIs" dxfId="22997" priority="107" operator="greaterThan">
      <formula>0.9</formula>
    </cfRule>
    <cfRule type="cellIs" dxfId="22996" priority="108" operator="greaterThan">
      <formula>0.85</formula>
    </cfRule>
  </conditionalFormatting>
  <conditionalFormatting sqref="E8">
    <cfRule type="expression" dxfId="22995" priority="103">
      <formula>AND(IF(OR($Q8=1,$Q8=2),1,0),IF($X8&lt;=20,1,0))</formula>
    </cfRule>
    <cfRule type="expression" dxfId="22994" priority="104">
      <formula>AND(IF($Q8=2,1,0),IF($X8&lt;30,1,0))</formula>
    </cfRule>
    <cfRule type="expression" dxfId="22993" priority="105">
      <formula>AND(IF($Q8=3,1,0),IF($X8&lt;30,1,0))</formula>
    </cfRule>
    <cfRule type="expression" dxfId="22992" priority="106">
      <formula>AND(IF($Q8=3,1,IF($Q8=4,1,0)),IF($F8&lt;=85,1,0))</formula>
    </cfRule>
  </conditionalFormatting>
  <conditionalFormatting sqref="X8">
    <cfRule type="expression" dxfId="22991" priority="99">
      <formula>AND(IF(OR($Q8=1,$Q8=2),1,0),IF($X8&lt;=20,1,0))</formula>
    </cfRule>
    <cfRule type="expression" dxfId="22990" priority="100">
      <formula>AND(IF($Q8=2,1,0),IF($X8&lt;30,1,0))</formula>
    </cfRule>
    <cfRule type="expression" dxfId="22989" priority="101">
      <formula>AND(IF($Q8=3,1,0),IF($X8&lt;30,1,0))</formula>
    </cfRule>
    <cfRule type="expression" dxfId="22988" priority="102">
      <formula>AND(IF($Q8=3,1,IF($Q8=4,1,0)),IF($F8&lt;=85,1,0))</formula>
    </cfRule>
  </conditionalFormatting>
  <conditionalFormatting sqref="AI8">
    <cfRule type="expression" dxfId="22987" priority="95">
      <formula>AND(IF(OR($Q8=1,$Q8=2),1,0),IF($X8&lt;=20,1,0))</formula>
    </cfRule>
    <cfRule type="expression" dxfId="22986" priority="96">
      <formula>AND(IF($Q8=2,1,0),IF($X8&lt;30,1,0))</formula>
    </cfRule>
    <cfRule type="expression" dxfId="22985" priority="97">
      <formula>AND(IF($Q8=3,1,0),IF($X8&lt;30,1,0))</formula>
    </cfRule>
    <cfRule type="expression" dxfId="22984" priority="98">
      <formula>AND(IF($Q8=3,1,IF($Q8=4,1,0)),IF($F8&lt;=85,1,0))</formula>
    </cfRule>
  </conditionalFormatting>
  <conditionalFormatting sqref="AV9">
    <cfRule type="expression" dxfId="22983" priority="93">
      <formula>AV9="X"</formula>
    </cfRule>
    <cfRule type="expression" dxfId="22982" priority="94">
      <formula>AV9="후보"</formula>
    </cfRule>
  </conditionalFormatting>
  <conditionalFormatting sqref="AC9 N9">
    <cfRule type="cellIs" dxfId="22981" priority="91" operator="greaterThan">
      <formula>0.9</formula>
    </cfRule>
    <cfRule type="cellIs" dxfId="22980" priority="92" operator="greaterThan">
      <formula>0.85</formula>
    </cfRule>
  </conditionalFormatting>
  <conditionalFormatting sqref="AV10">
    <cfRule type="expression" dxfId="22979" priority="89">
      <formula>AV10="X"</formula>
    </cfRule>
    <cfRule type="expression" dxfId="22978" priority="90">
      <formula>AV10="후보"</formula>
    </cfRule>
  </conditionalFormatting>
  <conditionalFormatting sqref="AC10">
    <cfRule type="cellIs" dxfId="22977" priority="87" operator="greaterThan">
      <formula>0.9</formula>
    </cfRule>
    <cfRule type="cellIs" dxfId="22976" priority="88" operator="greaterThan">
      <formula>0.85</formula>
    </cfRule>
  </conditionalFormatting>
  <conditionalFormatting sqref="N10">
    <cfRule type="cellIs" dxfId="22975" priority="85" operator="greaterThan">
      <formula>0.9</formula>
    </cfRule>
    <cfRule type="cellIs" dxfId="22974" priority="86" operator="greaterThan">
      <formula>0.85</formula>
    </cfRule>
  </conditionalFormatting>
  <conditionalFormatting sqref="E10">
    <cfRule type="expression" dxfId="22973" priority="81">
      <formula>AND(IF(OR($Q10=1,$Q10=2),1,0),IF($X10&lt;=20,1,0))</formula>
    </cfRule>
    <cfRule type="expression" dxfId="22972" priority="82">
      <formula>AND(IF($Q10=2,1,0),IF($X10&lt;30,1,0))</formula>
    </cfRule>
    <cfRule type="expression" dxfId="22971" priority="83">
      <formula>AND(IF($Q10=3,1,0),IF($X10&lt;30,1,0))</formula>
    </cfRule>
    <cfRule type="expression" dxfId="22970" priority="84">
      <formula>AND(IF($Q10=3,1,IF($Q10=4,1,0)),IF($F10&lt;=85,1,0))</formula>
    </cfRule>
  </conditionalFormatting>
  <conditionalFormatting sqref="X10">
    <cfRule type="expression" dxfId="22969" priority="77">
      <formula>AND(IF(OR($Q10=1,$Q10=2),1,0),IF($X10&lt;=20,1,0))</formula>
    </cfRule>
    <cfRule type="expression" dxfId="22968" priority="78">
      <formula>AND(IF($Q10=2,1,0),IF($X10&lt;30,1,0))</formula>
    </cfRule>
    <cfRule type="expression" dxfId="22967" priority="79">
      <formula>AND(IF($Q10=3,1,0),IF($X10&lt;30,1,0))</formula>
    </cfRule>
    <cfRule type="expression" dxfId="22966" priority="80">
      <formula>AND(IF($Q10=3,1,IF($Q10=4,1,0)),IF($F10&lt;=85,1,0))</formula>
    </cfRule>
  </conditionalFormatting>
  <conditionalFormatting sqref="AI10">
    <cfRule type="expression" dxfId="22965" priority="73">
      <formula>AND(IF(OR($Q10=1,$Q10=2),1,0),IF($X10&lt;=20,1,0))</formula>
    </cfRule>
    <cfRule type="expression" dxfId="22964" priority="74">
      <formula>AND(IF($Q10=2,1,0),IF($X10&lt;30,1,0))</formula>
    </cfRule>
    <cfRule type="expression" dxfId="22963" priority="75">
      <formula>AND(IF($Q10=3,1,0),IF($X10&lt;30,1,0))</formula>
    </cfRule>
    <cfRule type="expression" dxfId="22962" priority="76">
      <formula>AND(IF($Q10=3,1,IF($Q10=4,1,0)),IF($F10&lt;=85,1,0))</formula>
    </cfRule>
  </conditionalFormatting>
  <conditionalFormatting sqref="AV11">
    <cfRule type="expression" dxfId="22961" priority="71">
      <formula>AV11="X"</formula>
    </cfRule>
    <cfRule type="expression" dxfId="22960" priority="72">
      <formula>AV11="후보"</formula>
    </cfRule>
  </conditionalFormatting>
  <conditionalFormatting sqref="AC11">
    <cfRule type="cellIs" dxfId="22959" priority="69" operator="greaterThan">
      <formula>0.9</formula>
    </cfRule>
    <cfRule type="cellIs" dxfId="22958" priority="70" operator="greaterThan">
      <formula>0.85</formula>
    </cfRule>
  </conditionalFormatting>
  <conditionalFormatting sqref="N11">
    <cfRule type="cellIs" dxfId="22957" priority="67" operator="greaterThan">
      <formula>0.9</formula>
    </cfRule>
    <cfRule type="cellIs" dxfId="22956" priority="68" operator="greaterThan">
      <formula>0.85</formula>
    </cfRule>
  </conditionalFormatting>
  <conditionalFormatting sqref="E11">
    <cfRule type="expression" dxfId="22955" priority="63">
      <formula>AND(IF(OR($Q11=1,$Q11=2),1,0),IF($X11&lt;=20,1,0))</formula>
    </cfRule>
    <cfRule type="expression" dxfId="22954" priority="64">
      <formula>AND(IF($Q11=2,1,0),IF($X11&lt;30,1,0))</formula>
    </cfRule>
    <cfRule type="expression" dxfId="22953" priority="65">
      <formula>AND(IF($Q11=3,1,0),IF($X11&lt;30,1,0))</formula>
    </cfRule>
    <cfRule type="expression" dxfId="22952" priority="66">
      <formula>AND(IF($Q11=3,1,IF($Q11=4,1,0)),IF($F11&lt;=85,1,0))</formula>
    </cfRule>
  </conditionalFormatting>
  <conditionalFormatting sqref="X11">
    <cfRule type="expression" dxfId="22951" priority="59">
      <formula>AND(IF(OR($Q11=1,$Q11=2),1,0),IF($X11&lt;=20,1,0))</formula>
    </cfRule>
    <cfRule type="expression" dxfId="22950" priority="60">
      <formula>AND(IF($Q11=2,1,0),IF($X11&lt;30,1,0))</formula>
    </cfRule>
    <cfRule type="expression" dxfId="22949" priority="61">
      <formula>AND(IF($Q11=3,1,0),IF($X11&lt;30,1,0))</formula>
    </cfRule>
    <cfRule type="expression" dxfId="22948" priority="62">
      <formula>AND(IF($Q11=3,1,IF($Q11=4,1,0)),IF($F11&lt;=85,1,0))</formula>
    </cfRule>
  </conditionalFormatting>
  <conditionalFormatting sqref="AI11">
    <cfRule type="expression" dxfId="22947" priority="55">
      <formula>AND(IF(OR($Q11=1,$Q11=2),1,0),IF($X11&lt;=20,1,0))</formula>
    </cfRule>
    <cfRule type="expression" dxfId="22946" priority="56">
      <formula>AND(IF($Q11=2,1,0),IF($X11&lt;30,1,0))</formula>
    </cfRule>
    <cfRule type="expression" dxfId="22945" priority="57">
      <formula>AND(IF($Q11=3,1,0),IF($X11&lt;30,1,0))</formula>
    </cfRule>
    <cfRule type="expression" dxfId="22944" priority="58">
      <formula>AND(IF($Q11=3,1,IF($Q11=4,1,0)),IF($F11&lt;=85,1,0))</formula>
    </cfRule>
  </conditionalFormatting>
  <conditionalFormatting sqref="AV12">
    <cfRule type="expression" dxfId="22943" priority="53">
      <formula>AV12="X"</formula>
    </cfRule>
    <cfRule type="expression" dxfId="22942" priority="54">
      <formula>AV12="후보"</formula>
    </cfRule>
  </conditionalFormatting>
  <conditionalFormatting sqref="AC12">
    <cfRule type="cellIs" dxfId="22941" priority="51" operator="greaterThan">
      <formula>0.9</formula>
    </cfRule>
    <cfRule type="cellIs" dxfId="22940" priority="52" operator="greaterThan">
      <formula>0.85</formula>
    </cfRule>
  </conditionalFormatting>
  <conditionalFormatting sqref="N12">
    <cfRule type="cellIs" dxfId="22939" priority="49" operator="greaterThan">
      <formula>0.9</formula>
    </cfRule>
    <cfRule type="cellIs" dxfId="22938" priority="50" operator="greaterThan">
      <formula>0.85</formula>
    </cfRule>
  </conditionalFormatting>
  <conditionalFormatting sqref="E12">
    <cfRule type="expression" dxfId="22937" priority="45">
      <formula>AND(IF(OR($Q12=1,$Q12=2),1,0),IF($X12&lt;=20,1,0))</formula>
    </cfRule>
    <cfRule type="expression" dxfId="22936" priority="46">
      <formula>AND(IF($Q12=2,1,0),IF($X12&lt;30,1,0))</formula>
    </cfRule>
    <cfRule type="expression" dxfId="22935" priority="47">
      <formula>AND(IF($Q12=3,1,0),IF($X12&lt;30,1,0))</formula>
    </cfRule>
    <cfRule type="expression" dxfId="22934" priority="48">
      <formula>AND(IF($Q12=3,1,IF($Q12=4,1,0)),IF($F12&lt;=85,1,0))</formula>
    </cfRule>
  </conditionalFormatting>
  <conditionalFormatting sqref="X12">
    <cfRule type="expression" dxfId="22933" priority="41">
      <formula>AND(IF(OR($Q12=1,$Q12=2),1,0),IF($X12&lt;=20,1,0))</formula>
    </cfRule>
    <cfRule type="expression" dxfId="22932" priority="42">
      <formula>AND(IF($Q12=2,1,0),IF($X12&lt;30,1,0))</formula>
    </cfRule>
    <cfRule type="expression" dxfId="22931" priority="43">
      <formula>AND(IF($Q12=3,1,0),IF($X12&lt;30,1,0))</formula>
    </cfRule>
    <cfRule type="expression" dxfId="22930" priority="44">
      <formula>AND(IF($Q12=3,1,IF($Q12=4,1,0)),IF($F12&lt;=85,1,0))</formula>
    </cfRule>
  </conditionalFormatting>
  <conditionalFormatting sqref="AI12">
    <cfRule type="expression" dxfId="22929" priority="37">
      <formula>AND(IF(OR($Q12=1,$Q12=2),1,0),IF($X12&lt;=20,1,0))</formula>
    </cfRule>
    <cfRule type="expression" dxfId="22928" priority="38">
      <formula>AND(IF($Q12=2,1,0),IF($X12&lt;30,1,0))</formula>
    </cfRule>
    <cfRule type="expression" dxfId="22927" priority="39">
      <formula>AND(IF($Q12=3,1,0),IF($X12&lt;30,1,0))</formula>
    </cfRule>
    <cfRule type="expression" dxfId="22926" priority="40">
      <formula>AND(IF($Q12=3,1,IF($Q12=4,1,0)),IF($F12&lt;=85,1,0))</formula>
    </cfRule>
  </conditionalFormatting>
  <conditionalFormatting sqref="AV13">
    <cfRule type="expression" dxfId="22925" priority="35">
      <formula>AV13="X"</formula>
    </cfRule>
    <cfRule type="expression" dxfId="22924" priority="36">
      <formula>AV13="후보"</formula>
    </cfRule>
  </conditionalFormatting>
  <conditionalFormatting sqref="AC13">
    <cfRule type="cellIs" dxfId="22923" priority="33" operator="greaterThan">
      <formula>0.9</formula>
    </cfRule>
    <cfRule type="cellIs" dxfId="22922" priority="34" operator="greaterThan">
      <formula>0.85</formula>
    </cfRule>
  </conditionalFormatting>
  <conditionalFormatting sqref="N13">
    <cfRule type="cellIs" dxfId="22921" priority="31" operator="greaterThan">
      <formula>0.9</formula>
    </cfRule>
    <cfRule type="cellIs" dxfId="22920" priority="32" operator="greaterThan">
      <formula>0.85</formula>
    </cfRule>
  </conditionalFormatting>
  <conditionalFormatting sqref="E13">
    <cfRule type="expression" dxfId="22919" priority="27">
      <formula>AND(IF(OR($Q13=1,$Q13=2),1,0),IF($X13&lt;=20,1,0))</formula>
    </cfRule>
    <cfRule type="expression" dxfId="22918" priority="28">
      <formula>AND(IF($Q13=2,1,0),IF($X13&lt;30,1,0))</formula>
    </cfRule>
    <cfRule type="expression" dxfId="22917" priority="29">
      <formula>AND(IF($Q13=3,1,0),IF($X13&lt;30,1,0))</formula>
    </cfRule>
    <cfRule type="expression" dxfId="22916" priority="30">
      <formula>AND(IF($Q13=3,1,IF($Q13=4,1,0)),IF($F13&lt;=85,1,0))</formula>
    </cfRule>
  </conditionalFormatting>
  <conditionalFormatting sqref="X13">
    <cfRule type="expression" dxfId="22915" priority="23">
      <formula>AND(IF(OR($Q13=1,$Q13=2),1,0),IF($X13&lt;=20,1,0))</formula>
    </cfRule>
    <cfRule type="expression" dxfId="22914" priority="24">
      <formula>AND(IF($Q13=2,1,0),IF($X13&lt;30,1,0))</formula>
    </cfRule>
    <cfRule type="expression" dxfId="22913" priority="25">
      <formula>AND(IF($Q13=3,1,0),IF($X13&lt;30,1,0))</formula>
    </cfRule>
    <cfRule type="expression" dxfId="22912" priority="26">
      <formula>AND(IF($Q13=3,1,IF($Q13=4,1,0)),IF($F13&lt;=85,1,0))</formula>
    </cfRule>
  </conditionalFormatting>
  <conditionalFormatting sqref="AI13">
    <cfRule type="expression" dxfId="22911" priority="19">
      <formula>AND(IF(OR($Q13=1,$Q13=2),1,0),IF($X13&lt;=20,1,0))</formula>
    </cfRule>
    <cfRule type="expression" dxfId="22910" priority="20">
      <formula>AND(IF($Q13=2,1,0),IF($X13&lt;30,1,0))</formula>
    </cfRule>
    <cfRule type="expression" dxfId="22909" priority="21">
      <formula>AND(IF($Q13=3,1,0),IF($X13&lt;30,1,0))</formula>
    </cfRule>
    <cfRule type="expression" dxfId="22908" priority="22">
      <formula>AND(IF($Q13=3,1,IF($Q13=4,1,0)),IF($F13&lt;=85,1,0))</formula>
    </cfRule>
  </conditionalFormatting>
  <conditionalFormatting sqref="AV14">
    <cfRule type="expression" dxfId="22907" priority="17">
      <formula>AV14="X"</formula>
    </cfRule>
    <cfRule type="expression" dxfId="22906" priority="18">
      <formula>AV14="후보"</formula>
    </cfRule>
  </conditionalFormatting>
  <conditionalFormatting sqref="AC14">
    <cfRule type="cellIs" dxfId="22905" priority="15" operator="greaterThan">
      <formula>0.9</formula>
    </cfRule>
    <cfRule type="cellIs" dxfId="22904" priority="16" operator="greaterThan">
      <formula>0.85</formula>
    </cfRule>
  </conditionalFormatting>
  <conditionalFormatting sqref="N14">
    <cfRule type="cellIs" dxfId="22903" priority="13" operator="greaterThan">
      <formula>0.9</formula>
    </cfRule>
    <cfRule type="cellIs" dxfId="22902" priority="14" operator="greaterThan">
      <formula>0.85</formula>
    </cfRule>
  </conditionalFormatting>
  <conditionalFormatting sqref="E14">
    <cfRule type="expression" dxfId="22901" priority="9">
      <formula>AND(IF(OR($Q14=1,$Q14=2),1,0),IF($X14&lt;=20,1,0))</formula>
    </cfRule>
    <cfRule type="expression" dxfId="22900" priority="10">
      <formula>AND(IF($Q14=2,1,0),IF($X14&lt;30,1,0))</formula>
    </cfRule>
    <cfRule type="expression" dxfId="22899" priority="11">
      <formula>AND(IF($Q14=3,1,0),IF($X14&lt;30,1,0))</formula>
    </cfRule>
    <cfRule type="expression" dxfId="22898" priority="12">
      <formula>AND(IF($Q14=3,1,IF($Q14=4,1,0)),IF($F14&lt;=85,1,0))</formula>
    </cfRule>
  </conditionalFormatting>
  <conditionalFormatting sqref="X14">
    <cfRule type="expression" dxfId="22897" priority="5">
      <formula>AND(IF(OR($Q14=1,$Q14=2),1,0),IF($X14&lt;=20,1,0))</formula>
    </cfRule>
    <cfRule type="expression" dxfId="22896" priority="6">
      <formula>AND(IF($Q14=2,1,0),IF($X14&lt;30,1,0))</formula>
    </cfRule>
    <cfRule type="expression" dxfId="22895" priority="7">
      <formula>AND(IF($Q14=3,1,0),IF($X14&lt;30,1,0))</formula>
    </cfRule>
    <cfRule type="expression" dxfId="22894" priority="8">
      <formula>AND(IF($Q14=3,1,IF($Q14=4,1,0)),IF($F14&lt;=85,1,0))</formula>
    </cfRule>
  </conditionalFormatting>
  <conditionalFormatting sqref="AI14">
    <cfRule type="expression" dxfId="22893" priority="1">
      <formula>AND(IF(OR($Q14=1,$Q14=2),1,0),IF($X14&lt;=20,1,0))</formula>
    </cfRule>
    <cfRule type="expression" dxfId="22892" priority="2">
      <formula>AND(IF($Q14=2,1,0),IF($X14&lt;30,1,0))</formula>
    </cfRule>
    <cfRule type="expression" dxfId="22891" priority="3">
      <formula>AND(IF($Q14=3,1,0),IF($X14&lt;30,1,0))</formula>
    </cfRule>
    <cfRule type="expression" dxfId="22890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금광동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152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금광동 삼성('90.11.,424^)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148</v>
      </c>
      <c r="B6" s="10" t="s">
        <v>1258</v>
      </c>
      <c r="C6" s="107">
        <v>424</v>
      </c>
      <c r="D6" s="104">
        <v>106.7</v>
      </c>
      <c r="E6" s="106">
        <v>32</v>
      </c>
      <c r="F6" s="104">
        <v>84.9</v>
      </c>
      <c r="G6" s="17">
        <v>26</v>
      </c>
      <c r="H6" s="107">
        <v>192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7">
        <v>3</v>
      </c>
      <c r="R6" s="77">
        <v>2</v>
      </c>
      <c r="S6" s="77" t="s">
        <v>1244</v>
      </c>
      <c r="T6" s="5" t="s">
        <v>134</v>
      </c>
      <c r="U6" s="9"/>
      <c r="W6" s="104">
        <f t="shared" ref="W6:X9" si="1">D6</f>
        <v>106.7</v>
      </c>
      <c r="X6" s="106">
        <f t="shared" si="1"/>
        <v>32</v>
      </c>
      <c r="Y6" s="102">
        <f t="shared" ref="Y6:Z9" si="2">H6</f>
        <v>192</v>
      </c>
      <c r="Z6" s="109">
        <f t="shared" si="2"/>
        <v>0</v>
      </c>
      <c r="AA6" s="109">
        <f>K6</f>
        <v>0</v>
      </c>
      <c r="AB6" s="109">
        <f t="shared" ref="AB6:AD9" si="3">M6</f>
        <v>0</v>
      </c>
      <c r="AC6" s="4" t="str">
        <f t="shared" si="3"/>
        <v/>
      </c>
      <c r="AD6" s="105">
        <f t="shared" si="3"/>
        <v>0</v>
      </c>
      <c r="AE6" s="77" t="str">
        <f>S6</f>
        <v>계</v>
      </c>
      <c r="AF6" s="77" t="str">
        <f>Q6&amp;"/"&amp;R6</f>
        <v>3/2</v>
      </c>
      <c r="AH6" s="20" t="str">
        <f>IF(A6="","",A6)</f>
        <v>삼성</v>
      </c>
      <c r="AI6" s="106">
        <f t="shared" si="0"/>
        <v>32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148</v>
      </c>
      <c r="B7" s="10" t="s">
        <v>1258</v>
      </c>
      <c r="C7" s="107">
        <v>424</v>
      </c>
      <c r="D7" s="104">
        <v>106.9</v>
      </c>
      <c r="E7" s="106">
        <v>32</v>
      </c>
      <c r="F7" s="104">
        <v>84.9</v>
      </c>
      <c r="G7" s="17">
        <v>26</v>
      </c>
      <c r="H7" s="107">
        <v>66</v>
      </c>
      <c r="I7" s="108">
        <v>12500</v>
      </c>
      <c r="J7" s="108" t="s">
        <v>1245</v>
      </c>
      <c r="K7" s="108"/>
      <c r="L7" s="108"/>
      <c r="M7" s="109">
        <f>I7-K7</f>
        <v>12500</v>
      </c>
      <c r="N7" s="4">
        <f>IF(ISERROR(K7/I7),"",K7/I7)</f>
        <v>0</v>
      </c>
      <c r="O7" s="105">
        <f>I7/E7</f>
        <v>390.625</v>
      </c>
      <c r="P7" s="105">
        <f>K7/E7</f>
        <v>0</v>
      </c>
      <c r="Q7" s="77">
        <v>3</v>
      </c>
      <c r="R7" s="77">
        <v>2</v>
      </c>
      <c r="S7" s="77" t="s">
        <v>1244</v>
      </c>
      <c r="T7" s="5" t="s">
        <v>135</v>
      </c>
      <c r="U7" s="9"/>
      <c r="W7" s="104">
        <f t="shared" si="1"/>
        <v>106.9</v>
      </c>
      <c r="X7" s="106">
        <f t="shared" si="1"/>
        <v>32</v>
      </c>
      <c r="Y7" s="102">
        <f t="shared" si="2"/>
        <v>66</v>
      </c>
      <c r="Z7" s="109">
        <f t="shared" si="2"/>
        <v>12500</v>
      </c>
      <c r="AA7" s="109">
        <f>K7</f>
        <v>0</v>
      </c>
      <c r="AB7" s="109">
        <f t="shared" si="3"/>
        <v>12500</v>
      </c>
      <c r="AC7" s="4">
        <f t="shared" si="3"/>
        <v>0</v>
      </c>
      <c r="AD7" s="105">
        <f t="shared" si="3"/>
        <v>390.625</v>
      </c>
      <c r="AE7" s="77" t="str">
        <f>S7</f>
        <v>계</v>
      </c>
      <c r="AF7" s="77" t="str">
        <f>Q7&amp;"/"&amp;R7</f>
        <v>3/2</v>
      </c>
      <c r="AH7" s="20" t="str">
        <f>IF(A7="","",A7)</f>
        <v>삼성</v>
      </c>
      <c r="AI7" s="106">
        <f t="shared" si="0"/>
        <v>32</v>
      </c>
      <c r="AJ7" s="77" t="str">
        <f>IF(AI7="","",$AJ$2)</f>
        <v>A-</v>
      </c>
      <c r="AK7" s="77" t="s">
        <v>13</v>
      </c>
      <c r="AL7" s="77" t="s">
        <v>1242</v>
      </c>
      <c r="AM7" s="77" t="s">
        <v>1243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148</v>
      </c>
      <c r="B8" s="10" t="s">
        <v>1258</v>
      </c>
      <c r="C8" s="107">
        <v>424</v>
      </c>
      <c r="D8" s="104">
        <v>154.9</v>
      </c>
      <c r="E8" s="106">
        <v>47</v>
      </c>
      <c r="F8" s="104">
        <v>127.7</v>
      </c>
      <c r="G8" s="17">
        <v>39</v>
      </c>
      <c r="H8" s="107">
        <v>78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7">
        <v>4</v>
      </c>
      <c r="R8" s="77">
        <v>2</v>
      </c>
      <c r="S8" s="77" t="s">
        <v>1244</v>
      </c>
      <c r="T8" s="5">
        <v>154</v>
      </c>
      <c r="U8" s="9"/>
      <c r="W8" s="104">
        <f t="shared" si="1"/>
        <v>154.9</v>
      </c>
      <c r="X8" s="106">
        <f t="shared" si="1"/>
        <v>47</v>
      </c>
      <c r="Y8" s="102">
        <f t="shared" si="2"/>
        <v>78</v>
      </c>
      <c r="Z8" s="109">
        <f t="shared" si="2"/>
        <v>0</v>
      </c>
      <c r="AA8" s="109">
        <f>K8</f>
        <v>0</v>
      </c>
      <c r="AB8" s="109">
        <f t="shared" si="3"/>
        <v>0</v>
      </c>
      <c r="AC8" s="4" t="str">
        <f t="shared" si="3"/>
        <v/>
      </c>
      <c r="AD8" s="105">
        <f t="shared" si="3"/>
        <v>0</v>
      </c>
      <c r="AE8" s="77" t="str">
        <f>S8</f>
        <v>계</v>
      </c>
      <c r="AF8" s="77" t="str">
        <f>Q8&amp;"/"&amp;R8</f>
        <v>4/2</v>
      </c>
      <c r="AH8" s="20" t="str">
        <f>IF(A8="","",A8)</f>
        <v>삼성</v>
      </c>
      <c r="AI8" s="106">
        <f t="shared" si="0"/>
        <v>47</v>
      </c>
      <c r="AJ8" s="77" t="str">
        <f>IF(AI8="","",$AJ$2)</f>
        <v>A-</v>
      </c>
      <c r="AK8" s="77" t="s">
        <v>13</v>
      </c>
      <c r="AL8" s="77" t="s">
        <v>1242</v>
      </c>
      <c r="AM8" s="77" t="s">
        <v>1243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 t="s">
        <v>148</v>
      </c>
      <c r="B9" s="10" t="s">
        <v>1258</v>
      </c>
      <c r="C9" s="107">
        <v>424</v>
      </c>
      <c r="D9" s="104">
        <v>155.4</v>
      </c>
      <c r="E9" s="106">
        <v>47</v>
      </c>
      <c r="F9" s="104">
        <v>128.5</v>
      </c>
      <c r="G9" s="17">
        <v>39</v>
      </c>
      <c r="H9" s="107">
        <v>88</v>
      </c>
      <c r="I9" s="108"/>
      <c r="J9" s="108"/>
      <c r="K9" s="108"/>
      <c r="L9" s="108"/>
      <c r="M9" s="109">
        <f>I9-K9</f>
        <v>0</v>
      </c>
      <c r="N9" s="4" t="str">
        <f>IF(ISERROR(K9/I9),"",K9/I9)</f>
        <v/>
      </c>
      <c r="O9" s="105">
        <f>I9/E9</f>
        <v>0</v>
      </c>
      <c r="P9" s="105">
        <f>K9/E9</f>
        <v>0</v>
      </c>
      <c r="Q9" s="77">
        <v>4</v>
      </c>
      <c r="R9" s="77">
        <v>2</v>
      </c>
      <c r="S9" s="77" t="s">
        <v>1241</v>
      </c>
      <c r="T9" s="5">
        <v>155</v>
      </c>
      <c r="U9" s="9"/>
      <c r="W9" s="104">
        <f t="shared" si="1"/>
        <v>155.4</v>
      </c>
      <c r="X9" s="106">
        <f t="shared" si="1"/>
        <v>47</v>
      </c>
      <c r="Y9" s="102">
        <f t="shared" si="2"/>
        <v>88</v>
      </c>
      <c r="Z9" s="109">
        <f t="shared" si="2"/>
        <v>0</v>
      </c>
      <c r="AA9" s="109">
        <f>K9</f>
        <v>0</v>
      </c>
      <c r="AB9" s="109">
        <f t="shared" si="3"/>
        <v>0</v>
      </c>
      <c r="AC9" s="4" t="str">
        <f t="shared" si="3"/>
        <v/>
      </c>
      <c r="AD9" s="105">
        <f t="shared" si="3"/>
        <v>0</v>
      </c>
      <c r="AE9" s="77" t="str">
        <f>S9</f>
        <v>복</v>
      </c>
      <c r="AF9" s="77" t="str">
        <f>Q9&amp;"/"&amp;R9</f>
        <v>4/2</v>
      </c>
      <c r="AH9" s="20" t="str">
        <f>IF(A9="","",A9)</f>
        <v>삼성</v>
      </c>
      <c r="AI9" s="106">
        <f t="shared" si="0"/>
        <v>47</v>
      </c>
      <c r="AJ9" s="77" t="str">
        <f>IF(AI9="","",$AJ$2)</f>
        <v>A-</v>
      </c>
      <c r="AK9" s="77" t="s">
        <v>13</v>
      </c>
      <c r="AL9" s="77" t="s">
        <v>1242</v>
      </c>
      <c r="AM9" s="77" t="s">
        <v>1243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22889" priority="73">
      <formula>AV4="X"</formula>
    </cfRule>
    <cfRule type="expression" dxfId="22888" priority="74">
      <formula>AV4="후보"</formula>
    </cfRule>
  </conditionalFormatting>
  <conditionalFormatting sqref="AC1:AC2 AC4:AC6 N4:N5">
    <cfRule type="cellIs" dxfId="22887" priority="71" operator="greaterThan">
      <formula>0.9</formula>
    </cfRule>
    <cfRule type="cellIs" dxfId="22886" priority="72" operator="greaterThan">
      <formula>0.85</formula>
    </cfRule>
  </conditionalFormatting>
  <conditionalFormatting sqref="N1:N2">
    <cfRule type="cellIs" dxfId="22885" priority="69" operator="greaterThan">
      <formula>0.9</formula>
    </cfRule>
    <cfRule type="cellIs" dxfId="22884" priority="70" operator="greaterThan">
      <formula>0.85</formula>
    </cfRule>
  </conditionalFormatting>
  <conditionalFormatting sqref="N6">
    <cfRule type="cellIs" dxfId="22883" priority="67" operator="greaterThan">
      <formula>0.9</formula>
    </cfRule>
    <cfRule type="cellIs" dxfId="22882" priority="68" operator="greaterThan">
      <formula>0.85</formula>
    </cfRule>
  </conditionalFormatting>
  <conditionalFormatting sqref="E6">
    <cfRule type="expression" dxfId="22881" priority="63">
      <formula>AND(IF(OR($Q6=1,$Q6=2),1,0),IF($X6&lt;=20,1,0))</formula>
    </cfRule>
    <cfRule type="expression" dxfId="22880" priority="64">
      <formula>AND(IF($Q6=2,1,0),IF($X6&lt;30,1,0))</formula>
    </cfRule>
    <cfRule type="expression" dxfId="22879" priority="65">
      <formula>AND(IF($Q6=3,1,0),IF($X6&lt;30,1,0))</formula>
    </cfRule>
    <cfRule type="expression" dxfId="22878" priority="66">
      <formula>AND(IF($Q6=3,1,IF($Q6=4,1,0)),IF($F6&lt;=85,1,0))</formula>
    </cfRule>
  </conditionalFormatting>
  <conditionalFormatting sqref="X6">
    <cfRule type="expression" dxfId="22877" priority="59">
      <formula>AND(IF(OR($Q6=1,$Q6=2),1,0),IF($X6&lt;=20,1,0))</formula>
    </cfRule>
    <cfRule type="expression" dxfId="22876" priority="60">
      <formula>AND(IF($Q6=2,1,0),IF($X6&lt;30,1,0))</formula>
    </cfRule>
    <cfRule type="expression" dxfId="22875" priority="61">
      <formula>AND(IF($Q6=3,1,0),IF($X6&lt;30,1,0))</formula>
    </cfRule>
    <cfRule type="expression" dxfId="22874" priority="62">
      <formula>AND(IF($Q6=3,1,IF($Q6=4,1,0)),IF($F6&lt;=85,1,0))</formula>
    </cfRule>
  </conditionalFormatting>
  <conditionalFormatting sqref="AI6">
    <cfRule type="expression" dxfId="22873" priority="55">
      <formula>AND(IF(OR($Q6=1,$Q6=2),1,0),IF($X6&lt;=20,1,0))</formula>
    </cfRule>
    <cfRule type="expression" dxfId="22872" priority="56">
      <formula>AND(IF($Q6=2,1,0),IF($X6&lt;30,1,0))</formula>
    </cfRule>
    <cfRule type="expression" dxfId="22871" priority="57">
      <formula>AND(IF($Q6=3,1,0),IF($X6&lt;30,1,0))</formula>
    </cfRule>
    <cfRule type="expression" dxfId="22870" priority="58">
      <formula>AND(IF($Q6=3,1,IF($Q6=4,1,0)),IF($F6&lt;=85,1,0))</formula>
    </cfRule>
  </conditionalFormatting>
  <conditionalFormatting sqref="AV7">
    <cfRule type="expression" dxfId="22869" priority="53">
      <formula>AV7="X"</formula>
    </cfRule>
    <cfRule type="expression" dxfId="22868" priority="54">
      <formula>AV7="후보"</formula>
    </cfRule>
  </conditionalFormatting>
  <conditionalFormatting sqref="AC7">
    <cfRule type="cellIs" dxfId="22867" priority="51" operator="greaterThan">
      <formula>0.9</formula>
    </cfRule>
    <cfRule type="cellIs" dxfId="22866" priority="52" operator="greaterThan">
      <formula>0.85</formula>
    </cfRule>
  </conditionalFormatting>
  <conditionalFormatting sqref="N7">
    <cfRule type="cellIs" dxfId="22865" priority="49" operator="greaterThan">
      <formula>0.9</formula>
    </cfRule>
    <cfRule type="cellIs" dxfId="22864" priority="50" operator="greaterThan">
      <formula>0.85</formula>
    </cfRule>
  </conditionalFormatting>
  <conditionalFormatting sqref="E7">
    <cfRule type="expression" dxfId="22863" priority="45">
      <formula>AND(IF(OR($Q7=1,$Q7=2),1,0),IF($X7&lt;=20,1,0))</formula>
    </cfRule>
    <cfRule type="expression" dxfId="22862" priority="46">
      <formula>AND(IF($Q7=2,1,0),IF($X7&lt;30,1,0))</formula>
    </cfRule>
    <cfRule type="expression" dxfId="22861" priority="47">
      <formula>AND(IF($Q7=3,1,0),IF($X7&lt;30,1,0))</formula>
    </cfRule>
    <cfRule type="expression" dxfId="22860" priority="48">
      <formula>AND(IF($Q7=3,1,IF($Q7=4,1,0)),IF($F7&lt;=85,1,0))</formula>
    </cfRule>
  </conditionalFormatting>
  <conditionalFormatting sqref="X7">
    <cfRule type="expression" dxfId="22859" priority="41">
      <formula>AND(IF(OR($Q7=1,$Q7=2),1,0),IF($X7&lt;=20,1,0))</formula>
    </cfRule>
    <cfRule type="expression" dxfId="22858" priority="42">
      <formula>AND(IF($Q7=2,1,0),IF($X7&lt;30,1,0))</formula>
    </cfRule>
    <cfRule type="expression" dxfId="22857" priority="43">
      <formula>AND(IF($Q7=3,1,0),IF($X7&lt;30,1,0))</formula>
    </cfRule>
    <cfRule type="expression" dxfId="22856" priority="44">
      <formula>AND(IF($Q7=3,1,IF($Q7=4,1,0)),IF($F7&lt;=85,1,0))</formula>
    </cfRule>
  </conditionalFormatting>
  <conditionalFormatting sqref="AI7">
    <cfRule type="expression" dxfId="22855" priority="37">
      <formula>AND(IF(OR($Q7=1,$Q7=2),1,0),IF($X7&lt;=20,1,0))</formula>
    </cfRule>
    <cfRule type="expression" dxfId="22854" priority="38">
      <formula>AND(IF($Q7=2,1,0),IF($X7&lt;30,1,0))</formula>
    </cfRule>
    <cfRule type="expression" dxfId="22853" priority="39">
      <formula>AND(IF($Q7=3,1,0),IF($X7&lt;30,1,0))</formula>
    </cfRule>
    <cfRule type="expression" dxfId="22852" priority="40">
      <formula>AND(IF($Q7=3,1,IF($Q7=4,1,0)),IF($F7&lt;=85,1,0))</formula>
    </cfRule>
  </conditionalFormatting>
  <conditionalFormatting sqref="AV8">
    <cfRule type="expression" dxfId="22851" priority="35">
      <formula>AV8="X"</formula>
    </cfRule>
    <cfRule type="expression" dxfId="22850" priority="36">
      <formula>AV8="후보"</formula>
    </cfRule>
  </conditionalFormatting>
  <conditionalFormatting sqref="AC8">
    <cfRule type="cellIs" dxfId="22849" priority="33" operator="greaterThan">
      <formula>0.9</formula>
    </cfRule>
    <cfRule type="cellIs" dxfId="22848" priority="34" operator="greaterThan">
      <formula>0.85</formula>
    </cfRule>
  </conditionalFormatting>
  <conditionalFormatting sqref="N8">
    <cfRule type="cellIs" dxfId="22847" priority="31" operator="greaterThan">
      <formula>0.9</formula>
    </cfRule>
    <cfRule type="cellIs" dxfId="22846" priority="32" operator="greaterThan">
      <formula>0.85</formula>
    </cfRule>
  </conditionalFormatting>
  <conditionalFormatting sqref="E8">
    <cfRule type="expression" dxfId="22845" priority="27">
      <formula>AND(IF(OR($Q8=1,$Q8=2),1,0),IF($X8&lt;=20,1,0))</formula>
    </cfRule>
    <cfRule type="expression" dxfId="22844" priority="28">
      <formula>AND(IF($Q8=2,1,0),IF($X8&lt;30,1,0))</formula>
    </cfRule>
    <cfRule type="expression" dxfId="22843" priority="29">
      <formula>AND(IF($Q8=3,1,0),IF($X8&lt;30,1,0))</formula>
    </cfRule>
    <cfRule type="expression" dxfId="22842" priority="30">
      <formula>AND(IF($Q8=3,1,IF($Q8=4,1,0)),IF($F8&lt;=85,1,0))</formula>
    </cfRule>
  </conditionalFormatting>
  <conditionalFormatting sqref="X8">
    <cfRule type="expression" dxfId="22841" priority="23">
      <formula>AND(IF(OR($Q8=1,$Q8=2),1,0),IF($X8&lt;=20,1,0))</formula>
    </cfRule>
    <cfRule type="expression" dxfId="22840" priority="24">
      <formula>AND(IF($Q8=2,1,0),IF($X8&lt;30,1,0))</formula>
    </cfRule>
    <cfRule type="expression" dxfId="22839" priority="25">
      <formula>AND(IF($Q8=3,1,0),IF($X8&lt;30,1,0))</formula>
    </cfRule>
    <cfRule type="expression" dxfId="22838" priority="26">
      <formula>AND(IF($Q8=3,1,IF($Q8=4,1,0)),IF($F8&lt;=85,1,0))</formula>
    </cfRule>
  </conditionalFormatting>
  <conditionalFormatting sqref="AI8">
    <cfRule type="expression" dxfId="22837" priority="19">
      <formula>AND(IF(OR($Q8=1,$Q8=2),1,0),IF($X8&lt;=20,1,0))</formula>
    </cfRule>
    <cfRule type="expression" dxfId="22836" priority="20">
      <formula>AND(IF($Q8=2,1,0),IF($X8&lt;30,1,0))</formula>
    </cfRule>
    <cfRule type="expression" dxfId="22835" priority="21">
      <formula>AND(IF($Q8=3,1,0),IF($X8&lt;30,1,0))</formula>
    </cfRule>
    <cfRule type="expression" dxfId="22834" priority="22">
      <formula>AND(IF($Q8=3,1,IF($Q8=4,1,0)),IF($F8&lt;=85,1,0))</formula>
    </cfRule>
  </conditionalFormatting>
  <conditionalFormatting sqref="AV9">
    <cfRule type="expression" dxfId="22833" priority="17">
      <formula>AV9="X"</formula>
    </cfRule>
    <cfRule type="expression" dxfId="22832" priority="18">
      <formula>AV9="후보"</formula>
    </cfRule>
  </conditionalFormatting>
  <conditionalFormatting sqref="AC9">
    <cfRule type="cellIs" dxfId="22831" priority="15" operator="greaterThan">
      <formula>0.9</formula>
    </cfRule>
    <cfRule type="cellIs" dxfId="22830" priority="16" operator="greaterThan">
      <formula>0.85</formula>
    </cfRule>
  </conditionalFormatting>
  <conditionalFormatting sqref="N9">
    <cfRule type="cellIs" dxfId="22829" priority="13" operator="greaterThan">
      <formula>0.9</formula>
    </cfRule>
    <cfRule type="cellIs" dxfId="22828" priority="14" operator="greaterThan">
      <formula>0.85</formula>
    </cfRule>
  </conditionalFormatting>
  <conditionalFormatting sqref="E9">
    <cfRule type="expression" dxfId="22827" priority="9">
      <formula>AND(IF(OR($Q9=1,$Q9=2),1,0),IF($X9&lt;=20,1,0))</formula>
    </cfRule>
    <cfRule type="expression" dxfId="22826" priority="10">
      <formula>AND(IF($Q9=2,1,0),IF($X9&lt;30,1,0))</formula>
    </cfRule>
    <cfRule type="expression" dxfId="22825" priority="11">
      <formula>AND(IF($Q9=3,1,0),IF($X9&lt;30,1,0))</formula>
    </cfRule>
    <cfRule type="expression" dxfId="22824" priority="12">
      <formula>AND(IF($Q9=3,1,IF($Q9=4,1,0)),IF($F9&lt;=85,1,0))</formula>
    </cfRule>
  </conditionalFormatting>
  <conditionalFormatting sqref="X9">
    <cfRule type="expression" dxfId="22823" priority="5">
      <formula>AND(IF(OR($Q9=1,$Q9=2),1,0),IF($X9&lt;=20,1,0))</formula>
    </cfRule>
    <cfRule type="expression" dxfId="22822" priority="6">
      <formula>AND(IF($Q9=2,1,0),IF($X9&lt;30,1,0))</formula>
    </cfRule>
    <cfRule type="expression" dxfId="22821" priority="7">
      <formula>AND(IF($Q9=3,1,0),IF($X9&lt;30,1,0))</formula>
    </cfRule>
    <cfRule type="expression" dxfId="22820" priority="8">
      <formula>AND(IF($Q9=3,1,IF($Q9=4,1,0)),IF($F9&lt;=85,1,0))</formula>
    </cfRule>
  </conditionalFormatting>
  <conditionalFormatting sqref="AI9">
    <cfRule type="expression" dxfId="22819" priority="1">
      <formula>AND(IF(OR($Q9=1,$Q9=2),1,0),IF($X9&lt;=20,1,0))</formula>
    </cfRule>
    <cfRule type="expression" dxfId="22818" priority="2">
      <formula>AND(IF($Q9=2,1,0),IF($X9&lt;30,1,0))</formula>
    </cfRule>
    <cfRule type="expression" dxfId="22817" priority="3">
      <formula>AND(IF($Q9=3,1,0),IF($X9&lt;30,1,0))</formula>
    </cfRule>
    <cfRule type="expression" dxfId="22816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4" sqref="A134:XFD13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나운동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174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나운동 나운금호어울림센트럴('22.09.,993^)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169</v>
      </c>
      <c r="B6" s="10" t="s">
        <v>1259</v>
      </c>
      <c r="C6" s="107">
        <v>993</v>
      </c>
      <c r="D6" s="104">
        <v>80.5</v>
      </c>
      <c r="E6" s="106">
        <v>24</v>
      </c>
      <c r="F6" s="104">
        <v>59.8</v>
      </c>
      <c r="G6" s="17">
        <v>18</v>
      </c>
      <c r="H6" s="107">
        <v>178</v>
      </c>
      <c r="I6" s="108"/>
      <c r="J6" s="108"/>
      <c r="K6" s="108"/>
      <c r="L6" s="108"/>
      <c r="M6" s="109">
        <f t="shared" ref="M6:M11" si="2">I6-K6</f>
        <v>0</v>
      </c>
      <c r="N6" s="4" t="str">
        <f t="shared" ref="N6:N11" si="3">IF(ISERROR(K6/I6),"",K6/I6)</f>
        <v/>
      </c>
      <c r="O6" s="105">
        <f t="shared" ref="O6:O11" si="4">I6/E6</f>
        <v>0</v>
      </c>
      <c r="P6" s="105">
        <f t="shared" ref="P6:P11" si="5">K6/E6</f>
        <v>0</v>
      </c>
      <c r="Q6" s="77">
        <v>3</v>
      </c>
      <c r="R6" s="77">
        <v>2</v>
      </c>
      <c r="S6" s="77" t="s">
        <v>1244</v>
      </c>
      <c r="T6" s="5" t="s">
        <v>171</v>
      </c>
      <c r="U6" s="9"/>
      <c r="W6" s="104">
        <f t="shared" ref="W6:X11" si="6">D6</f>
        <v>80.5</v>
      </c>
      <c r="X6" s="106">
        <f t="shared" si="6"/>
        <v>24</v>
      </c>
      <c r="Y6" s="102">
        <f t="shared" ref="Y6:Z11" si="7">H6</f>
        <v>178</v>
      </c>
      <c r="Z6" s="109">
        <f t="shared" si="7"/>
        <v>0</v>
      </c>
      <c r="AA6" s="109">
        <f t="shared" ref="AA6:AA11" si="8">K6</f>
        <v>0</v>
      </c>
      <c r="AB6" s="109">
        <f t="shared" ref="AB6:AD11" si="9">M6</f>
        <v>0</v>
      </c>
      <c r="AC6" s="4" t="str">
        <f t="shared" si="9"/>
        <v/>
      </c>
      <c r="AD6" s="105">
        <f t="shared" si="9"/>
        <v>0</v>
      </c>
      <c r="AE6" s="77" t="str">
        <f t="shared" ref="AE6:AE11" si="10">S6</f>
        <v>계</v>
      </c>
      <c r="AF6" s="77" t="str">
        <f t="shared" ref="AF6:AF11" si="11">Q6&amp;"/"&amp;R6</f>
        <v>3/2</v>
      </c>
      <c r="AH6" s="20" t="str">
        <f t="shared" si="1"/>
        <v>나운금호어울림센트럴</v>
      </c>
      <c r="AI6" s="106">
        <f t="shared" si="0"/>
        <v>24</v>
      </c>
      <c r="AJ6" s="77" t="str">
        <f t="shared" ref="AJ6:AJ11" si="12"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 t="shared" ref="AN6:AN11" si="13">IF(AI6="","",$AN$2)</f>
        <v>C</v>
      </c>
      <c r="AO6" s="77" t="str">
        <f t="shared" ref="AO6:AO11" si="14">IF(N6="","",IF(N6&gt;=$AO$1/100,"O","X"))</f>
        <v/>
      </c>
      <c r="AP6" s="77" t="str">
        <f t="shared" ref="AP6:AP11" si="15">IF(I6="","",IF(I6&lt;=$AP$1,"O","X"))</f>
        <v/>
      </c>
      <c r="AQ6" s="77" t="str">
        <f t="shared" ref="AQ6:AQ11" si="16">IF(O6="","",IF(O6&lt;=$AQ$1,"O","X"))</f>
        <v>O</v>
      </c>
      <c r="AR6" s="77" t="str">
        <f t="shared" ref="AR6:AR11" si="17">IF(M6="","",IF(M6&lt;=$AR$1,"O","X"))</f>
        <v>O</v>
      </c>
      <c r="AS6" s="77" t="s">
        <v>2</v>
      </c>
      <c r="AT6" s="77" t="str">
        <f t="shared" ref="AT6:AT11" si="18">IF(OR(F6="",AI6=""),"",IF(AND((F6&lt;=85),(AI6&gt;=15)),"O","X"))</f>
        <v>O</v>
      </c>
      <c r="AU6" s="77" t="str">
        <f t="shared" ref="AU6:AU11" si="19">IF(C6="","",IF(C6&gt;=$AU$1,"O","X"))</f>
        <v>O</v>
      </c>
      <c r="AV6" s="77" t="str">
        <f t="shared" ref="AV6:AV11" si="20">IF(AO6="","",IF(AND(AO6="O",AP6="O",AR6="O",AT6="O",AU6="O"),"후보","X"))</f>
        <v/>
      </c>
    </row>
    <row r="7" spans="1:48" x14ac:dyDescent="0.3">
      <c r="A7" s="9" t="s">
        <v>169</v>
      </c>
      <c r="B7" s="10" t="s">
        <v>1259</v>
      </c>
      <c r="C7" s="107">
        <v>993</v>
      </c>
      <c r="D7" s="104">
        <v>80.599999999999994</v>
      </c>
      <c r="E7" s="106">
        <v>24</v>
      </c>
      <c r="F7" s="104">
        <v>60</v>
      </c>
      <c r="G7" s="17">
        <v>18</v>
      </c>
      <c r="H7" s="107">
        <v>82</v>
      </c>
      <c r="I7" s="108"/>
      <c r="J7" s="108"/>
      <c r="K7" s="108"/>
      <c r="L7" s="108"/>
      <c r="M7" s="109">
        <f t="shared" si="2"/>
        <v>0</v>
      </c>
      <c r="N7" s="4" t="str">
        <f t="shared" si="3"/>
        <v/>
      </c>
      <c r="O7" s="105">
        <f t="shared" si="4"/>
        <v>0</v>
      </c>
      <c r="P7" s="105">
        <f t="shared" si="5"/>
        <v>0</v>
      </c>
      <c r="Q7" s="77">
        <v>3</v>
      </c>
      <c r="R7" s="77">
        <v>2</v>
      </c>
      <c r="S7" s="77" t="s">
        <v>1244</v>
      </c>
      <c r="T7" s="5" t="s">
        <v>176</v>
      </c>
      <c r="U7" s="9"/>
      <c r="W7" s="104">
        <f t="shared" si="6"/>
        <v>80.599999999999994</v>
      </c>
      <c r="X7" s="106">
        <f t="shared" si="6"/>
        <v>24</v>
      </c>
      <c r="Y7" s="102">
        <f t="shared" si="7"/>
        <v>82</v>
      </c>
      <c r="Z7" s="109">
        <f t="shared" si="7"/>
        <v>0</v>
      </c>
      <c r="AA7" s="109">
        <f t="shared" si="8"/>
        <v>0</v>
      </c>
      <c r="AB7" s="109">
        <f t="shared" si="9"/>
        <v>0</v>
      </c>
      <c r="AC7" s="4" t="str">
        <f t="shared" si="9"/>
        <v/>
      </c>
      <c r="AD7" s="105">
        <f t="shared" si="9"/>
        <v>0</v>
      </c>
      <c r="AE7" s="77" t="str">
        <f t="shared" si="10"/>
        <v>계</v>
      </c>
      <c r="AF7" s="77" t="str">
        <f t="shared" si="11"/>
        <v>3/2</v>
      </c>
      <c r="AH7" s="20" t="str">
        <f t="shared" si="1"/>
        <v>나운금호어울림센트럴</v>
      </c>
      <c r="AI7" s="106">
        <f t="shared" si="0"/>
        <v>24</v>
      </c>
      <c r="AJ7" s="77" t="str">
        <f t="shared" si="12"/>
        <v>A-</v>
      </c>
      <c r="AK7" s="77" t="s">
        <v>13</v>
      </c>
      <c r="AL7" s="77" t="s">
        <v>1242</v>
      </c>
      <c r="AM7" s="77" t="s">
        <v>1243</v>
      </c>
      <c r="AN7" s="77" t="str">
        <f t="shared" si="13"/>
        <v>C</v>
      </c>
      <c r="AO7" s="77" t="str">
        <f t="shared" si="14"/>
        <v/>
      </c>
      <c r="AP7" s="77" t="str">
        <f t="shared" si="15"/>
        <v/>
      </c>
      <c r="AQ7" s="77" t="str">
        <f t="shared" si="16"/>
        <v>O</v>
      </c>
      <c r="AR7" s="77" t="str">
        <f t="shared" si="17"/>
        <v>O</v>
      </c>
      <c r="AS7" s="77" t="s">
        <v>2</v>
      </c>
      <c r="AT7" s="77" t="str">
        <f t="shared" si="18"/>
        <v>O</v>
      </c>
      <c r="AU7" s="77" t="str">
        <f t="shared" si="19"/>
        <v>O</v>
      </c>
      <c r="AV7" s="77" t="str">
        <f t="shared" si="20"/>
        <v/>
      </c>
    </row>
    <row r="8" spans="1:48" x14ac:dyDescent="0.3">
      <c r="A8" s="9" t="s">
        <v>169</v>
      </c>
      <c r="B8" s="10" t="s">
        <v>1259</v>
      </c>
      <c r="C8" s="107">
        <v>993</v>
      </c>
      <c r="D8" s="104">
        <v>98.3</v>
      </c>
      <c r="E8" s="106">
        <v>30</v>
      </c>
      <c r="F8" s="104">
        <v>73.400000000000006</v>
      </c>
      <c r="G8" s="17">
        <v>22</v>
      </c>
      <c r="H8" s="107">
        <v>86</v>
      </c>
      <c r="I8" s="108"/>
      <c r="J8" s="108"/>
      <c r="K8" s="108"/>
      <c r="L8" s="108"/>
      <c r="M8" s="109">
        <f t="shared" si="2"/>
        <v>0</v>
      </c>
      <c r="N8" s="4" t="str">
        <f t="shared" si="3"/>
        <v/>
      </c>
      <c r="O8" s="105">
        <f t="shared" si="4"/>
        <v>0</v>
      </c>
      <c r="P8" s="105">
        <f t="shared" si="5"/>
        <v>0</v>
      </c>
      <c r="Q8" s="77">
        <v>3</v>
      </c>
      <c r="R8" s="77">
        <v>2</v>
      </c>
      <c r="S8" s="77" t="s">
        <v>1244</v>
      </c>
      <c r="T8" s="5">
        <v>98</v>
      </c>
      <c r="U8" s="9"/>
      <c r="W8" s="104">
        <f t="shared" si="6"/>
        <v>98.3</v>
      </c>
      <c r="X8" s="106">
        <f t="shared" si="6"/>
        <v>30</v>
      </c>
      <c r="Y8" s="102">
        <f t="shared" si="7"/>
        <v>86</v>
      </c>
      <c r="Z8" s="109">
        <f t="shared" si="7"/>
        <v>0</v>
      </c>
      <c r="AA8" s="109">
        <f t="shared" si="8"/>
        <v>0</v>
      </c>
      <c r="AB8" s="109">
        <f t="shared" si="9"/>
        <v>0</v>
      </c>
      <c r="AC8" s="4" t="str">
        <f t="shared" si="9"/>
        <v/>
      </c>
      <c r="AD8" s="105">
        <f t="shared" si="9"/>
        <v>0</v>
      </c>
      <c r="AE8" s="77" t="str">
        <f t="shared" si="10"/>
        <v>계</v>
      </c>
      <c r="AF8" s="77" t="str">
        <f t="shared" si="11"/>
        <v>3/2</v>
      </c>
      <c r="AH8" s="20" t="str">
        <f t="shared" si="1"/>
        <v>나운금호어울림센트럴</v>
      </c>
      <c r="AI8" s="106">
        <f t="shared" si="0"/>
        <v>30</v>
      </c>
      <c r="AJ8" s="77" t="str">
        <f t="shared" si="12"/>
        <v>A-</v>
      </c>
      <c r="AK8" s="77" t="s">
        <v>13</v>
      </c>
      <c r="AL8" s="77" t="s">
        <v>1242</v>
      </c>
      <c r="AM8" s="77" t="s">
        <v>1243</v>
      </c>
      <c r="AN8" s="77" t="str">
        <f t="shared" si="13"/>
        <v>C</v>
      </c>
      <c r="AO8" s="77" t="str">
        <f t="shared" si="14"/>
        <v/>
      </c>
      <c r="AP8" s="77" t="str">
        <f t="shared" si="15"/>
        <v/>
      </c>
      <c r="AQ8" s="77" t="str">
        <f t="shared" si="16"/>
        <v>O</v>
      </c>
      <c r="AR8" s="77" t="str">
        <f t="shared" si="17"/>
        <v>O</v>
      </c>
      <c r="AS8" s="77" t="s">
        <v>2</v>
      </c>
      <c r="AT8" s="77" t="str">
        <f t="shared" si="18"/>
        <v>O</v>
      </c>
      <c r="AU8" s="77" t="str">
        <f t="shared" si="19"/>
        <v>O</v>
      </c>
      <c r="AV8" s="77" t="str">
        <f t="shared" si="20"/>
        <v/>
      </c>
    </row>
    <row r="9" spans="1:48" x14ac:dyDescent="0.3">
      <c r="A9" s="9" t="s">
        <v>169</v>
      </c>
      <c r="B9" s="10" t="s">
        <v>1259</v>
      </c>
      <c r="C9" s="107">
        <v>993</v>
      </c>
      <c r="D9" s="104">
        <v>112.4</v>
      </c>
      <c r="E9" s="106">
        <v>34</v>
      </c>
      <c r="F9" s="104">
        <v>85</v>
      </c>
      <c r="G9" s="17">
        <v>26</v>
      </c>
      <c r="H9" s="107">
        <v>36</v>
      </c>
      <c r="I9" s="108"/>
      <c r="J9" s="108"/>
      <c r="K9" s="108"/>
      <c r="L9" s="108"/>
      <c r="M9" s="109">
        <f t="shared" si="2"/>
        <v>0</v>
      </c>
      <c r="N9" s="4" t="str">
        <f t="shared" si="3"/>
        <v/>
      </c>
      <c r="O9" s="105">
        <f t="shared" si="4"/>
        <v>0</v>
      </c>
      <c r="P9" s="105">
        <f t="shared" si="5"/>
        <v>0</v>
      </c>
      <c r="Q9" s="77">
        <v>3</v>
      </c>
      <c r="R9" s="77">
        <v>2</v>
      </c>
      <c r="S9" s="77" t="s">
        <v>1244</v>
      </c>
      <c r="T9" s="5" t="s">
        <v>177</v>
      </c>
      <c r="U9" s="9"/>
      <c r="W9" s="104">
        <f t="shared" si="6"/>
        <v>112.4</v>
      </c>
      <c r="X9" s="106">
        <f t="shared" si="6"/>
        <v>34</v>
      </c>
      <c r="Y9" s="102">
        <f t="shared" si="7"/>
        <v>36</v>
      </c>
      <c r="Z9" s="109">
        <f t="shared" si="7"/>
        <v>0</v>
      </c>
      <c r="AA9" s="109">
        <f t="shared" si="8"/>
        <v>0</v>
      </c>
      <c r="AB9" s="109">
        <f t="shared" si="9"/>
        <v>0</v>
      </c>
      <c r="AC9" s="4" t="str">
        <f t="shared" si="9"/>
        <v/>
      </c>
      <c r="AD9" s="105">
        <f t="shared" si="9"/>
        <v>0</v>
      </c>
      <c r="AE9" s="77" t="str">
        <f t="shared" si="10"/>
        <v>계</v>
      </c>
      <c r="AF9" s="77" t="str">
        <f t="shared" si="11"/>
        <v>3/2</v>
      </c>
      <c r="AH9" s="20" t="str">
        <f t="shared" si="1"/>
        <v>나운금호어울림센트럴</v>
      </c>
      <c r="AI9" s="106">
        <f t="shared" si="0"/>
        <v>34</v>
      </c>
      <c r="AJ9" s="77" t="str">
        <f t="shared" si="12"/>
        <v>A-</v>
      </c>
      <c r="AK9" s="77" t="s">
        <v>13</v>
      </c>
      <c r="AL9" s="77" t="s">
        <v>1242</v>
      </c>
      <c r="AM9" s="77" t="s">
        <v>1243</v>
      </c>
      <c r="AN9" s="77" t="str">
        <f t="shared" si="13"/>
        <v>C</v>
      </c>
      <c r="AO9" s="77" t="str">
        <f t="shared" si="14"/>
        <v/>
      </c>
      <c r="AP9" s="77" t="str">
        <f t="shared" si="15"/>
        <v/>
      </c>
      <c r="AQ9" s="77" t="str">
        <f t="shared" si="16"/>
        <v>O</v>
      </c>
      <c r="AR9" s="77" t="str">
        <f t="shared" si="17"/>
        <v>O</v>
      </c>
      <c r="AS9" s="77" t="s">
        <v>2</v>
      </c>
      <c r="AT9" s="77" t="str">
        <f t="shared" si="18"/>
        <v>O</v>
      </c>
      <c r="AU9" s="77" t="str">
        <f t="shared" si="19"/>
        <v>O</v>
      </c>
      <c r="AV9" s="77" t="str">
        <f t="shared" si="20"/>
        <v/>
      </c>
    </row>
    <row r="10" spans="1:48" x14ac:dyDescent="0.3">
      <c r="A10" s="9" t="s">
        <v>169</v>
      </c>
      <c r="B10" s="10" t="s">
        <v>1259</v>
      </c>
      <c r="C10" s="107">
        <v>993</v>
      </c>
      <c r="D10" s="104">
        <v>113.4</v>
      </c>
      <c r="E10" s="106">
        <v>34</v>
      </c>
      <c r="F10" s="104">
        <v>84.9</v>
      </c>
      <c r="G10" s="17">
        <v>26</v>
      </c>
      <c r="H10" s="107">
        <v>4</v>
      </c>
      <c r="I10" s="108"/>
      <c r="J10" s="108"/>
      <c r="K10" s="108"/>
      <c r="L10" s="108"/>
      <c r="M10" s="109">
        <f t="shared" si="2"/>
        <v>0</v>
      </c>
      <c r="N10" s="4" t="str">
        <f t="shared" si="3"/>
        <v/>
      </c>
      <c r="O10" s="105">
        <f t="shared" si="4"/>
        <v>0</v>
      </c>
      <c r="P10" s="105">
        <f t="shared" si="5"/>
        <v>0</v>
      </c>
      <c r="Q10" s="77">
        <v>3</v>
      </c>
      <c r="R10" s="77">
        <v>2</v>
      </c>
      <c r="S10" s="77" t="s">
        <v>1244</v>
      </c>
      <c r="T10" s="5" t="s">
        <v>178</v>
      </c>
      <c r="U10" s="9"/>
      <c r="W10" s="104">
        <f t="shared" si="6"/>
        <v>113.4</v>
      </c>
      <c r="X10" s="106">
        <f t="shared" si="6"/>
        <v>34</v>
      </c>
      <c r="Y10" s="102">
        <f t="shared" si="7"/>
        <v>4</v>
      </c>
      <c r="Z10" s="109">
        <f t="shared" si="7"/>
        <v>0</v>
      </c>
      <c r="AA10" s="109">
        <f t="shared" si="8"/>
        <v>0</v>
      </c>
      <c r="AB10" s="109">
        <f t="shared" si="9"/>
        <v>0</v>
      </c>
      <c r="AC10" s="4" t="str">
        <f t="shared" si="9"/>
        <v/>
      </c>
      <c r="AD10" s="105">
        <f t="shared" si="9"/>
        <v>0</v>
      </c>
      <c r="AE10" s="77" t="str">
        <f t="shared" si="10"/>
        <v>계</v>
      </c>
      <c r="AF10" s="77" t="str">
        <f t="shared" si="11"/>
        <v>3/2</v>
      </c>
      <c r="AH10" s="20" t="str">
        <f t="shared" si="1"/>
        <v>나운금호어울림센트럴</v>
      </c>
      <c r="AI10" s="106">
        <f t="shared" si="0"/>
        <v>34</v>
      </c>
      <c r="AJ10" s="77" t="str">
        <f t="shared" si="12"/>
        <v>A-</v>
      </c>
      <c r="AK10" s="77" t="s">
        <v>13</v>
      </c>
      <c r="AL10" s="77" t="s">
        <v>1242</v>
      </c>
      <c r="AM10" s="77" t="s">
        <v>1243</v>
      </c>
      <c r="AN10" s="77" t="str">
        <f t="shared" si="13"/>
        <v>C</v>
      </c>
      <c r="AO10" s="77" t="str">
        <f t="shared" si="14"/>
        <v/>
      </c>
      <c r="AP10" s="77" t="str">
        <f t="shared" si="15"/>
        <v/>
      </c>
      <c r="AQ10" s="77" t="str">
        <f t="shared" si="16"/>
        <v>O</v>
      </c>
      <c r="AR10" s="77" t="str">
        <f t="shared" si="17"/>
        <v>O</v>
      </c>
      <c r="AS10" s="77" t="s">
        <v>2</v>
      </c>
      <c r="AT10" s="77" t="str">
        <f t="shared" si="18"/>
        <v>O</v>
      </c>
      <c r="AU10" s="77" t="str">
        <f t="shared" si="19"/>
        <v>O</v>
      </c>
      <c r="AV10" s="77" t="str">
        <f t="shared" si="20"/>
        <v/>
      </c>
    </row>
    <row r="11" spans="1:48" x14ac:dyDescent="0.3">
      <c r="A11" s="9" t="s">
        <v>169</v>
      </c>
      <c r="B11" s="10" t="s">
        <v>1259</v>
      </c>
      <c r="C11" s="107">
        <v>993</v>
      </c>
      <c r="D11" s="104">
        <v>115.3</v>
      </c>
      <c r="E11" s="106">
        <v>35</v>
      </c>
      <c r="F11" s="104">
        <v>84.9</v>
      </c>
      <c r="G11" s="17">
        <v>26</v>
      </c>
      <c r="H11" s="107">
        <v>6</v>
      </c>
      <c r="I11" s="108"/>
      <c r="J11" s="108"/>
      <c r="K11" s="108"/>
      <c r="L11" s="108"/>
      <c r="M11" s="109">
        <f t="shared" si="2"/>
        <v>0</v>
      </c>
      <c r="N11" s="4" t="str">
        <f t="shared" si="3"/>
        <v/>
      </c>
      <c r="O11" s="105">
        <f t="shared" si="4"/>
        <v>0</v>
      </c>
      <c r="P11" s="105">
        <f t="shared" si="5"/>
        <v>0</v>
      </c>
      <c r="Q11" s="77">
        <v>3</v>
      </c>
      <c r="R11" s="77">
        <v>2</v>
      </c>
      <c r="S11" s="77" t="s">
        <v>1244</v>
      </c>
      <c r="T11" s="5" t="s">
        <v>179</v>
      </c>
      <c r="U11" s="9"/>
      <c r="W11" s="104">
        <f t="shared" si="6"/>
        <v>115.3</v>
      </c>
      <c r="X11" s="106">
        <f t="shared" si="6"/>
        <v>35</v>
      </c>
      <c r="Y11" s="102">
        <f t="shared" si="7"/>
        <v>6</v>
      </c>
      <c r="Z11" s="109">
        <f t="shared" si="7"/>
        <v>0</v>
      </c>
      <c r="AA11" s="109">
        <f t="shared" si="8"/>
        <v>0</v>
      </c>
      <c r="AB11" s="109">
        <f t="shared" si="9"/>
        <v>0</v>
      </c>
      <c r="AC11" s="4" t="str">
        <f t="shared" si="9"/>
        <v/>
      </c>
      <c r="AD11" s="105">
        <f t="shared" si="9"/>
        <v>0</v>
      </c>
      <c r="AE11" s="77" t="str">
        <f t="shared" si="10"/>
        <v>계</v>
      </c>
      <c r="AF11" s="77" t="str">
        <f t="shared" si="11"/>
        <v>3/2</v>
      </c>
      <c r="AH11" s="20" t="str">
        <f t="shared" si="1"/>
        <v>나운금호어울림센트럴</v>
      </c>
      <c r="AI11" s="106">
        <f t="shared" si="0"/>
        <v>35</v>
      </c>
      <c r="AJ11" s="77" t="str">
        <f t="shared" si="12"/>
        <v>A-</v>
      </c>
      <c r="AK11" s="77" t="s">
        <v>13</v>
      </c>
      <c r="AL11" s="77" t="s">
        <v>1242</v>
      </c>
      <c r="AM11" s="77" t="s">
        <v>1243</v>
      </c>
      <c r="AN11" s="77" t="str">
        <f t="shared" si="13"/>
        <v>C</v>
      </c>
      <c r="AO11" s="77" t="str">
        <f t="shared" si="14"/>
        <v/>
      </c>
      <c r="AP11" s="77" t="str">
        <f t="shared" si="15"/>
        <v/>
      </c>
      <c r="AQ11" s="77" t="str">
        <f t="shared" si="16"/>
        <v>O</v>
      </c>
      <c r="AR11" s="77" t="str">
        <f t="shared" si="17"/>
        <v>O</v>
      </c>
      <c r="AS11" s="77" t="s">
        <v>2</v>
      </c>
      <c r="AT11" s="77" t="str">
        <f t="shared" si="18"/>
        <v>O</v>
      </c>
      <c r="AU11" s="77" t="str">
        <f t="shared" si="19"/>
        <v>O</v>
      </c>
      <c r="AV11" s="77" t="str">
        <f t="shared" si="20"/>
        <v/>
      </c>
    </row>
    <row r="12" spans="1:48" x14ac:dyDescent="0.3">
      <c r="A12" s="9"/>
      <c r="B12" s="77"/>
      <c r="C12" s="6"/>
      <c r="D12" s="9"/>
      <c r="E12" s="14"/>
      <c r="F12" s="104"/>
      <c r="G12" s="9"/>
      <c r="H12" s="9"/>
      <c r="I12" s="9"/>
      <c r="J12" s="9"/>
      <c r="K12" s="9"/>
      <c r="L12" s="9"/>
      <c r="M12" s="9"/>
      <c r="N12" s="9"/>
      <c r="O12" s="105"/>
      <c r="P12" s="105"/>
      <c r="Q12" s="106"/>
      <c r="R12" s="106"/>
      <c r="S12" s="9"/>
      <c r="T12" s="47"/>
      <c r="U12" s="9"/>
      <c r="W12" s="67" t="str">
        <f>$A$4&amp;" "&amp;A13&amp;"("&amp;B13&amp;","&amp;C13&amp;"^)"</f>
        <v>나운동 세경('02.12.,1186^)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3" t="str">
        <f t="shared" si="0"/>
        <v/>
      </c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</row>
    <row r="13" spans="1:48" x14ac:dyDescent="0.3">
      <c r="A13" s="9" t="s">
        <v>210</v>
      </c>
      <c r="B13" s="10" t="s">
        <v>1260</v>
      </c>
      <c r="C13" s="107">
        <v>1186</v>
      </c>
      <c r="D13" s="104">
        <v>51.7</v>
      </c>
      <c r="E13" s="106">
        <v>16</v>
      </c>
      <c r="F13" s="104">
        <v>40.299999999999997</v>
      </c>
      <c r="G13" s="17">
        <v>12</v>
      </c>
      <c r="H13" s="107">
        <v>230</v>
      </c>
      <c r="I13" s="108">
        <v>4500</v>
      </c>
      <c r="J13" s="108" t="s">
        <v>1250</v>
      </c>
      <c r="K13" s="108"/>
      <c r="L13" s="108"/>
      <c r="M13" s="109">
        <f>I13-K13</f>
        <v>4500</v>
      </c>
      <c r="N13" s="4">
        <f>IF(ISERROR(K13/I13),"",K13/I13)</f>
        <v>0</v>
      </c>
      <c r="O13" s="105">
        <f>I13/E13</f>
        <v>281.25</v>
      </c>
      <c r="P13" s="105">
        <f>K13/E13</f>
        <v>0</v>
      </c>
      <c r="Q13" s="77">
        <v>1</v>
      </c>
      <c r="R13" s="77">
        <v>1</v>
      </c>
      <c r="S13" s="77" t="s">
        <v>1241</v>
      </c>
      <c r="T13" s="5">
        <v>51</v>
      </c>
      <c r="U13" s="9"/>
      <c r="W13" s="104">
        <f>D13</f>
        <v>51.7</v>
      </c>
      <c r="X13" s="106">
        <f>E13</f>
        <v>16</v>
      </c>
      <c r="Y13" s="102">
        <f>H13</f>
        <v>230</v>
      </c>
      <c r="Z13" s="109">
        <f>I13</f>
        <v>4500</v>
      </c>
      <c r="AA13" s="109">
        <f>K13</f>
        <v>0</v>
      </c>
      <c r="AB13" s="109">
        <f t="shared" ref="AB13:AD14" si="21">M13</f>
        <v>4500</v>
      </c>
      <c r="AC13" s="4">
        <f t="shared" si="21"/>
        <v>0</v>
      </c>
      <c r="AD13" s="105">
        <f t="shared" si="21"/>
        <v>281.25</v>
      </c>
      <c r="AE13" s="77" t="str">
        <f>S13</f>
        <v>복</v>
      </c>
      <c r="AF13" s="77" t="str">
        <f>Q13&amp;"/"&amp;R13</f>
        <v>1/1</v>
      </c>
      <c r="AH13" s="20" t="str">
        <f t="shared" si="1"/>
        <v>세경</v>
      </c>
      <c r="AI13" s="106">
        <f t="shared" si="0"/>
        <v>16</v>
      </c>
      <c r="AJ13" s="77" t="str">
        <f>IF(AI13="","",$AJ$2)</f>
        <v>A-</v>
      </c>
      <c r="AK13" s="77" t="s">
        <v>13</v>
      </c>
      <c r="AL13" s="77" t="s">
        <v>1242</v>
      </c>
      <c r="AM13" s="77" t="s">
        <v>1243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O</v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48" x14ac:dyDescent="0.3">
      <c r="A14" s="9" t="s">
        <v>210</v>
      </c>
      <c r="B14" s="10" t="s">
        <v>1260</v>
      </c>
      <c r="C14" s="107">
        <v>1186</v>
      </c>
      <c r="D14" s="104">
        <v>69</v>
      </c>
      <c r="E14" s="106">
        <v>21</v>
      </c>
      <c r="F14" s="104">
        <v>53.8</v>
      </c>
      <c r="G14" s="17">
        <v>16</v>
      </c>
      <c r="H14" s="107">
        <v>941</v>
      </c>
      <c r="I14" s="108">
        <v>5700</v>
      </c>
      <c r="J14" s="108" t="s">
        <v>1255</v>
      </c>
      <c r="K14" s="108"/>
      <c r="L14" s="108"/>
      <c r="M14" s="109">
        <f>I14-K14</f>
        <v>5700</v>
      </c>
      <c r="N14" s="4">
        <f>IF(ISERROR(K14/I14),"",K14/I14)</f>
        <v>0</v>
      </c>
      <c r="O14" s="105">
        <f>I14/E14</f>
        <v>271.42857142857144</v>
      </c>
      <c r="P14" s="105">
        <f>K14/E14</f>
        <v>0</v>
      </c>
      <c r="Q14" s="77">
        <v>2</v>
      </c>
      <c r="R14" s="77">
        <v>1</v>
      </c>
      <c r="S14" s="77" t="s">
        <v>1241</v>
      </c>
      <c r="T14" s="5">
        <v>68</v>
      </c>
      <c r="U14" s="9"/>
      <c r="W14" s="104">
        <f>D14</f>
        <v>69</v>
      </c>
      <c r="X14" s="106">
        <f>E14</f>
        <v>21</v>
      </c>
      <c r="Y14" s="102">
        <f>H14</f>
        <v>941</v>
      </c>
      <c r="Z14" s="109">
        <f>I14</f>
        <v>5700</v>
      </c>
      <c r="AA14" s="109">
        <f>K14</f>
        <v>0</v>
      </c>
      <c r="AB14" s="109">
        <f t="shared" si="21"/>
        <v>5700</v>
      </c>
      <c r="AC14" s="4">
        <f t="shared" si="21"/>
        <v>0</v>
      </c>
      <c r="AD14" s="105">
        <f t="shared" si="21"/>
        <v>271.42857142857144</v>
      </c>
      <c r="AE14" s="77" t="str">
        <f>S14</f>
        <v>복</v>
      </c>
      <c r="AF14" s="77" t="str">
        <f>Q14&amp;"/"&amp;R14</f>
        <v>2/1</v>
      </c>
      <c r="AH14" s="20" t="str">
        <f t="shared" si="1"/>
        <v>세경</v>
      </c>
      <c r="AI14" s="106">
        <f t="shared" si="0"/>
        <v>21</v>
      </c>
      <c r="AJ14" s="77" t="str">
        <f>IF(AI14="","",$AJ$2)</f>
        <v>A-</v>
      </c>
      <c r="AK14" s="77" t="s">
        <v>13</v>
      </c>
      <c r="AL14" s="77" t="s">
        <v>1242</v>
      </c>
      <c r="AM14" s="77" t="s">
        <v>1243</v>
      </c>
      <c r="AN14" s="77" t="str">
        <f>IF(AI14="","",$AN$2)</f>
        <v>C</v>
      </c>
      <c r="AO14" s="77" t="str">
        <f>IF(N14="","",IF(N14&gt;=$AO$1/100,"O","X"))</f>
        <v>X</v>
      </c>
      <c r="AP14" s="77" t="str">
        <f>IF(I14="","",IF(I14&lt;=$AP$1,"O","X"))</f>
        <v>O</v>
      </c>
      <c r="AQ14" s="77" t="str">
        <f>IF(O14="","",IF(O14&lt;=$AQ$1,"O","X"))</f>
        <v>O</v>
      </c>
      <c r="AR14" s="77" t="str">
        <f>IF(M14="","",IF(M14&lt;=$AR$1,"O","X"))</f>
        <v>X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>X</v>
      </c>
    </row>
    <row r="15" spans="1:48" x14ac:dyDescent="0.3">
      <c r="A15" s="9"/>
      <c r="B15" s="77"/>
      <c r="C15" s="6"/>
      <c r="D15" s="9"/>
      <c r="E15" s="14"/>
      <c r="F15" s="104"/>
      <c r="G15" s="9"/>
      <c r="H15" s="9"/>
      <c r="I15" s="9"/>
      <c r="J15" s="9"/>
      <c r="K15" s="9"/>
      <c r="L15" s="9"/>
      <c r="M15" s="9"/>
      <c r="N15" s="9"/>
      <c r="O15" s="105"/>
      <c r="P15" s="105"/>
      <c r="Q15" s="106"/>
      <c r="R15" s="106"/>
      <c r="S15" s="9"/>
      <c r="T15" s="47"/>
      <c r="U15" s="9"/>
      <c r="W15" s="67" t="str">
        <f>$A$4&amp;" "&amp;A16&amp;"("&amp;B16&amp;","&amp;C16&amp;"^)"</f>
        <v>나운동 수송코아루('09.03.,392^)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3" t="str">
        <f t="shared" si="0"/>
        <v/>
      </c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</row>
    <row r="16" spans="1:48" x14ac:dyDescent="0.3">
      <c r="A16" s="9" t="s">
        <v>230</v>
      </c>
      <c r="B16" s="10" t="s">
        <v>1261</v>
      </c>
      <c r="C16" s="107">
        <v>392</v>
      </c>
      <c r="D16" s="104">
        <v>87.1</v>
      </c>
      <c r="E16" s="106">
        <v>26</v>
      </c>
      <c r="F16" s="104">
        <v>59.6</v>
      </c>
      <c r="G16" s="17">
        <v>18</v>
      </c>
      <c r="H16" s="107">
        <v>392</v>
      </c>
      <c r="I16" s="108">
        <v>19800</v>
      </c>
      <c r="J16" s="108" t="s">
        <v>1262</v>
      </c>
      <c r="K16" s="108"/>
      <c r="L16" s="108"/>
      <c r="M16" s="109">
        <f>I16-K16</f>
        <v>19800</v>
      </c>
      <c r="N16" s="4">
        <f>IF(ISERROR(K16/I16),"",K16/I16)</f>
        <v>0</v>
      </c>
      <c r="O16" s="105">
        <f>I16/E16</f>
        <v>761.53846153846155</v>
      </c>
      <c r="P16" s="105">
        <f>K16/E16</f>
        <v>0</v>
      </c>
      <c r="Q16" s="77">
        <v>3</v>
      </c>
      <c r="R16" s="77">
        <v>2</v>
      </c>
      <c r="S16" s="77" t="s">
        <v>1244</v>
      </c>
      <c r="T16" s="5">
        <v>87</v>
      </c>
      <c r="U16" s="9"/>
      <c r="W16" s="104">
        <f>D16</f>
        <v>87.1</v>
      </c>
      <c r="X16" s="106">
        <f>E16</f>
        <v>26</v>
      </c>
      <c r="Y16" s="102">
        <f>H16</f>
        <v>392</v>
      </c>
      <c r="Z16" s="109">
        <f>I16</f>
        <v>19800</v>
      </c>
      <c r="AA16" s="109">
        <f>K16</f>
        <v>0</v>
      </c>
      <c r="AB16" s="109">
        <f>M16</f>
        <v>19800</v>
      </c>
      <c r="AC16" s="4">
        <f>N16</f>
        <v>0</v>
      </c>
      <c r="AD16" s="105">
        <f>O16</f>
        <v>761.53846153846155</v>
      </c>
      <c r="AE16" s="77" t="str">
        <f>S16</f>
        <v>계</v>
      </c>
      <c r="AF16" s="77" t="str">
        <f>Q16&amp;"/"&amp;R16</f>
        <v>3/2</v>
      </c>
      <c r="AH16" s="20" t="str">
        <f t="shared" si="1"/>
        <v>수송코아루</v>
      </c>
      <c r="AI16" s="106">
        <f t="shared" si="0"/>
        <v>26</v>
      </c>
      <c r="AJ16" s="77" t="str">
        <f>IF(AI16="","",$AJ$2)</f>
        <v>A-</v>
      </c>
      <c r="AK16" s="77" t="s">
        <v>13</v>
      </c>
      <c r="AL16" s="77" t="s">
        <v>1242</v>
      </c>
      <c r="AM16" s="77" t="s">
        <v>1243</v>
      </c>
      <c r="AN16" s="77" t="str">
        <f>IF(AI16="","",$AN$2)</f>
        <v>C</v>
      </c>
      <c r="AO16" s="77" t="str">
        <f>IF(N16="","",IF(N16&gt;=$AO$1/100,"O","X"))</f>
        <v>X</v>
      </c>
      <c r="AP16" s="77" t="str">
        <f>IF(I16="","",IF(I16&lt;=$AP$1,"O","X"))</f>
        <v>O</v>
      </c>
      <c r="AQ16" s="77" t="str">
        <f>IF(O16="","",IF(O16&lt;=$AQ$1,"O","X"))</f>
        <v>O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x14ac:dyDescent="0.3">
      <c r="A17" s="9"/>
      <c r="B17" s="77"/>
      <c r="C17" s="6"/>
      <c r="D17" s="9"/>
      <c r="E17" s="14"/>
      <c r="F17" s="104"/>
      <c r="G17" s="9"/>
      <c r="H17" s="9"/>
      <c r="I17" s="9"/>
      <c r="J17" s="9"/>
      <c r="K17" s="9"/>
      <c r="L17" s="9"/>
      <c r="M17" s="9"/>
      <c r="N17" s="9"/>
      <c r="O17" s="105"/>
      <c r="P17" s="105"/>
      <c r="Q17" s="106"/>
      <c r="R17" s="106"/>
      <c r="S17" s="9"/>
      <c r="T17" s="47"/>
      <c r="U17" s="9"/>
      <c r="W17" s="67" t="str">
        <f>$A$4&amp;" "&amp;A18&amp;"("&amp;B18&amp;","&amp;C18&amp;"^)"</f>
        <v>나운동 금호타운2차('94.09.,336^)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3" t="str">
        <f t="shared" si="0"/>
        <v/>
      </c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</row>
    <row r="18" spans="1:48" x14ac:dyDescent="0.3">
      <c r="A18" s="9" t="s">
        <v>242</v>
      </c>
      <c r="B18" s="10" t="s">
        <v>1263</v>
      </c>
      <c r="C18" s="107">
        <v>336</v>
      </c>
      <c r="D18" s="104">
        <v>83.8</v>
      </c>
      <c r="E18" s="106">
        <v>25</v>
      </c>
      <c r="F18" s="104">
        <v>59.9</v>
      </c>
      <c r="G18" s="17">
        <v>18</v>
      </c>
      <c r="H18" s="107">
        <v>120</v>
      </c>
      <c r="I18" s="108">
        <v>9300</v>
      </c>
      <c r="J18" s="108" t="s">
        <v>1251</v>
      </c>
      <c r="K18" s="108"/>
      <c r="L18" s="108"/>
      <c r="M18" s="109">
        <f>I18-K18</f>
        <v>9300</v>
      </c>
      <c r="N18" s="4">
        <f>IF(ISERROR(K18/I18),"",K18/I18)</f>
        <v>0</v>
      </c>
      <c r="O18" s="105">
        <f>I18/E18</f>
        <v>372</v>
      </c>
      <c r="P18" s="105">
        <f>K18/E18</f>
        <v>0</v>
      </c>
      <c r="Q18" s="77">
        <v>2</v>
      </c>
      <c r="R18" s="77">
        <v>1</v>
      </c>
      <c r="S18" s="77" t="s">
        <v>1244</v>
      </c>
      <c r="T18" s="5">
        <v>83</v>
      </c>
      <c r="U18" s="9"/>
      <c r="W18" s="104">
        <f t="shared" ref="W18:X20" si="22">D18</f>
        <v>83.8</v>
      </c>
      <c r="X18" s="106">
        <f t="shared" si="22"/>
        <v>25</v>
      </c>
      <c r="Y18" s="102">
        <f t="shared" ref="Y18:Z20" si="23">H18</f>
        <v>120</v>
      </c>
      <c r="Z18" s="109">
        <f t="shared" si="23"/>
        <v>9300</v>
      </c>
      <c r="AA18" s="109">
        <f>K18</f>
        <v>0</v>
      </c>
      <c r="AB18" s="109">
        <f t="shared" ref="AB18:AD20" si="24">M18</f>
        <v>9300</v>
      </c>
      <c r="AC18" s="4">
        <f t="shared" si="24"/>
        <v>0</v>
      </c>
      <c r="AD18" s="105">
        <f t="shared" si="24"/>
        <v>372</v>
      </c>
      <c r="AE18" s="77" t="str">
        <f>S18</f>
        <v>계</v>
      </c>
      <c r="AF18" s="77" t="str">
        <f>Q18&amp;"/"&amp;R18</f>
        <v>2/1</v>
      </c>
      <c r="AH18" s="20" t="str">
        <f t="shared" si="1"/>
        <v>금호타운2차</v>
      </c>
      <c r="AI18" s="106">
        <f t="shared" si="0"/>
        <v>25</v>
      </c>
      <c r="AJ18" s="77" t="str">
        <f>IF(AI18="","",$AJ$2)</f>
        <v>A-</v>
      </c>
      <c r="AK18" s="77" t="s">
        <v>13</v>
      </c>
      <c r="AL18" s="77" t="s">
        <v>1242</v>
      </c>
      <c r="AM18" s="77" t="s">
        <v>1243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O</v>
      </c>
      <c r="AQ18" s="77" t="str">
        <f>IF(O18="","",IF(O18&lt;=$AQ$1,"O","X"))</f>
        <v>O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 t="s">
        <v>242</v>
      </c>
      <c r="B19" s="10" t="s">
        <v>1263</v>
      </c>
      <c r="C19" s="107">
        <v>336</v>
      </c>
      <c r="D19" s="104">
        <v>103</v>
      </c>
      <c r="E19" s="106">
        <v>31</v>
      </c>
      <c r="F19" s="104">
        <v>84.8</v>
      </c>
      <c r="G19" s="17">
        <v>26</v>
      </c>
      <c r="H19" s="107">
        <v>120</v>
      </c>
      <c r="I19" s="108">
        <v>17300</v>
      </c>
      <c r="J19" s="108" t="s">
        <v>1245</v>
      </c>
      <c r="K19" s="108"/>
      <c r="L19" s="108"/>
      <c r="M19" s="109">
        <f>I19-K19</f>
        <v>17300</v>
      </c>
      <c r="N19" s="4">
        <f>IF(ISERROR(K19/I19),"",K19/I19)</f>
        <v>0</v>
      </c>
      <c r="O19" s="105">
        <f>I19/E19</f>
        <v>558.06451612903231</v>
      </c>
      <c r="P19" s="105">
        <f>K19/E19</f>
        <v>0</v>
      </c>
      <c r="Q19" s="77">
        <v>3</v>
      </c>
      <c r="R19" s="77">
        <v>2</v>
      </c>
      <c r="S19" s="77" t="s">
        <v>1244</v>
      </c>
      <c r="T19" s="5">
        <v>103</v>
      </c>
      <c r="U19" s="9"/>
      <c r="W19" s="104">
        <f t="shared" si="22"/>
        <v>103</v>
      </c>
      <c r="X19" s="106">
        <f t="shared" si="22"/>
        <v>31</v>
      </c>
      <c r="Y19" s="102">
        <f t="shared" si="23"/>
        <v>120</v>
      </c>
      <c r="Z19" s="109">
        <f t="shared" si="23"/>
        <v>17300</v>
      </c>
      <c r="AA19" s="109">
        <f>K19</f>
        <v>0</v>
      </c>
      <c r="AB19" s="109">
        <f t="shared" si="24"/>
        <v>17300</v>
      </c>
      <c r="AC19" s="4">
        <f t="shared" si="24"/>
        <v>0</v>
      </c>
      <c r="AD19" s="105">
        <f t="shared" si="24"/>
        <v>558.06451612903231</v>
      </c>
      <c r="AE19" s="77" t="str">
        <f>S19</f>
        <v>계</v>
      </c>
      <c r="AF19" s="77" t="str">
        <f>Q19&amp;"/"&amp;R19</f>
        <v>3/2</v>
      </c>
      <c r="AH19" s="20" t="str">
        <f t="shared" si="1"/>
        <v>금호타운2차</v>
      </c>
      <c r="AI19" s="106">
        <f t="shared" si="0"/>
        <v>31</v>
      </c>
      <c r="AJ19" s="77" t="str">
        <f>IF(AI19="","",$AJ$2)</f>
        <v>A-</v>
      </c>
      <c r="AK19" s="77" t="s">
        <v>13</v>
      </c>
      <c r="AL19" s="77" t="s">
        <v>1242</v>
      </c>
      <c r="AM19" s="77" t="s">
        <v>1243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O</v>
      </c>
      <c r="AQ19" s="77" t="str">
        <f>IF(O19="","",IF(O19&lt;=$AQ$1,"O","X"))</f>
        <v>O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 t="s">
        <v>242</v>
      </c>
      <c r="B20" s="10" t="s">
        <v>1263</v>
      </c>
      <c r="C20" s="107">
        <v>336</v>
      </c>
      <c r="D20" s="104">
        <v>148.80000000000001</v>
      </c>
      <c r="E20" s="106">
        <v>45</v>
      </c>
      <c r="F20" s="104">
        <v>126.6</v>
      </c>
      <c r="G20" s="17">
        <v>38</v>
      </c>
      <c r="H20" s="107">
        <v>96</v>
      </c>
      <c r="I20" s="108"/>
      <c r="J20" s="108"/>
      <c r="K20" s="108"/>
      <c r="L20" s="108"/>
      <c r="M20" s="109">
        <f>I20-K20</f>
        <v>0</v>
      </c>
      <c r="N20" s="4" t="str">
        <f>IF(ISERROR(K20/I20),"",K20/I20)</f>
        <v/>
      </c>
      <c r="O20" s="105">
        <f>I20/E20</f>
        <v>0</v>
      </c>
      <c r="P20" s="105">
        <f>K20/E20</f>
        <v>0</v>
      </c>
      <c r="Q20" s="77">
        <v>4</v>
      </c>
      <c r="R20" s="77">
        <v>2</v>
      </c>
      <c r="S20" s="77" t="s">
        <v>1244</v>
      </c>
      <c r="T20" s="5">
        <v>148</v>
      </c>
      <c r="U20" s="9"/>
      <c r="W20" s="104">
        <f t="shared" si="22"/>
        <v>148.80000000000001</v>
      </c>
      <c r="X20" s="106">
        <f t="shared" si="22"/>
        <v>45</v>
      </c>
      <c r="Y20" s="102">
        <f t="shared" si="23"/>
        <v>96</v>
      </c>
      <c r="Z20" s="109">
        <f t="shared" si="23"/>
        <v>0</v>
      </c>
      <c r="AA20" s="109">
        <f>K20</f>
        <v>0</v>
      </c>
      <c r="AB20" s="109">
        <f t="shared" si="24"/>
        <v>0</v>
      </c>
      <c r="AC20" s="4" t="str">
        <f t="shared" si="24"/>
        <v/>
      </c>
      <c r="AD20" s="105">
        <f t="shared" si="24"/>
        <v>0</v>
      </c>
      <c r="AE20" s="77" t="str">
        <f>S20</f>
        <v>계</v>
      </c>
      <c r="AF20" s="77" t="str">
        <f>Q20&amp;"/"&amp;R20</f>
        <v>4/2</v>
      </c>
      <c r="AH20" s="20" t="str">
        <f t="shared" si="1"/>
        <v>금호타운2차</v>
      </c>
      <c r="AI20" s="106">
        <f t="shared" si="0"/>
        <v>45</v>
      </c>
      <c r="AJ20" s="77" t="str">
        <f>IF(AI20="","",$AJ$2)</f>
        <v>A-</v>
      </c>
      <c r="AK20" s="77" t="s">
        <v>13</v>
      </c>
      <c r="AL20" s="77" t="s">
        <v>1242</v>
      </c>
      <c r="AM20" s="77" t="s">
        <v>1243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X</v>
      </c>
      <c r="AU20" s="77" t="str">
        <f>IF(C20="","",IF(C20&gt;=$AU$1,"O","X"))</f>
        <v>O</v>
      </c>
      <c r="AV20" s="77" t="str">
        <f>IF(AO20="","",IF(AND(AO20="O",AP20="O",AR20="O",AT20="O",AU20="O"),"후보","X"))</f>
        <v/>
      </c>
    </row>
    <row r="21" spans="1:48" x14ac:dyDescent="0.3">
      <c r="A21" s="9"/>
      <c r="B21" s="77"/>
      <c r="C21" s="6"/>
      <c r="D21" s="9"/>
      <c r="E21" s="14"/>
      <c r="F21" s="104"/>
      <c r="G21" s="9"/>
      <c r="H21" s="9"/>
      <c r="I21" s="9"/>
      <c r="J21" s="9"/>
      <c r="K21" s="9"/>
      <c r="L21" s="9"/>
      <c r="M21" s="9"/>
      <c r="N21" s="9"/>
      <c r="O21" s="105"/>
      <c r="P21" s="105"/>
      <c r="Q21" s="106"/>
      <c r="R21" s="106"/>
      <c r="S21" s="9"/>
      <c r="T21" s="47"/>
      <c r="U21" s="9"/>
      <c r="W21" s="67" t="str">
        <f>$A$4&amp;" "&amp;A22&amp;"("&amp;B22&amp;","&amp;C22&amp;"^)"</f>
        <v>나운동 나운현대2차('93.10.,899^)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3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252</v>
      </c>
      <c r="B22" s="10" t="s">
        <v>1264</v>
      </c>
      <c r="C22" s="107">
        <v>899</v>
      </c>
      <c r="D22" s="104">
        <v>74.2</v>
      </c>
      <c r="E22" s="106">
        <v>22</v>
      </c>
      <c r="F22" s="104">
        <v>59.4</v>
      </c>
      <c r="G22" s="17">
        <v>18</v>
      </c>
      <c r="H22" s="107">
        <v>344</v>
      </c>
      <c r="I22" s="108">
        <v>8700</v>
      </c>
      <c r="J22" s="108" t="s">
        <v>1253</v>
      </c>
      <c r="K22" s="108">
        <v>7900</v>
      </c>
      <c r="L22" s="108" t="s">
        <v>1251</v>
      </c>
      <c r="M22" s="109">
        <f>I22-K22</f>
        <v>800</v>
      </c>
      <c r="N22" s="4">
        <f>IF(ISERROR(K22/I22),"",K22/I22)</f>
        <v>0.90804597701149425</v>
      </c>
      <c r="O22" s="105">
        <f>I22/E22</f>
        <v>395.45454545454544</v>
      </c>
      <c r="P22" s="105">
        <f>K22/E22</f>
        <v>359.09090909090907</v>
      </c>
      <c r="Q22" s="77">
        <v>3</v>
      </c>
      <c r="R22" s="77">
        <v>1</v>
      </c>
      <c r="S22" s="77" t="s">
        <v>1244</v>
      </c>
      <c r="T22" s="5">
        <v>74</v>
      </c>
      <c r="U22" s="9"/>
      <c r="W22" s="104">
        <f t="shared" ref="W22:X25" si="25">D22</f>
        <v>74.2</v>
      </c>
      <c r="X22" s="106">
        <f t="shared" si="25"/>
        <v>22</v>
      </c>
      <c r="Y22" s="102">
        <f t="shared" ref="Y22:Z25" si="26">H22</f>
        <v>344</v>
      </c>
      <c r="Z22" s="109">
        <f t="shared" si="26"/>
        <v>8700</v>
      </c>
      <c r="AA22" s="109">
        <f>K22</f>
        <v>7900</v>
      </c>
      <c r="AB22" s="109">
        <f t="shared" ref="AB22:AD25" si="27">M22</f>
        <v>800</v>
      </c>
      <c r="AC22" s="4">
        <f t="shared" si="27"/>
        <v>0.90804597701149425</v>
      </c>
      <c r="AD22" s="105">
        <f t="shared" si="27"/>
        <v>395.45454545454544</v>
      </c>
      <c r="AE22" s="77" t="str">
        <f>S22</f>
        <v>계</v>
      </c>
      <c r="AF22" s="77" t="str">
        <f>Q22&amp;"/"&amp;R22</f>
        <v>3/1</v>
      </c>
      <c r="AH22" s="20" t="str">
        <f t="shared" si="1"/>
        <v>나운현대2차</v>
      </c>
      <c r="AI22" s="106">
        <f t="shared" si="0"/>
        <v>22</v>
      </c>
      <c r="AJ22" s="77" t="str">
        <f>IF(AI22="","",$AJ$2)</f>
        <v>A-</v>
      </c>
      <c r="AK22" s="77" t="s">
        <v>13</v>
      </c>
      <c r="AL22" s="77" t="s">
        <v>1242</v>
      </c>
      <c r="AM22" s="77" t="s">
        <v>1243</v>
      </c>
      <c r="AN22" s="77" t="str">
        <f>IF(AI22="","",$AN$2)</f>
        <v>C</v>
      </c>
      <c r="AO22" s="77" t="str">
        <f>IF(N22="","",IF(N22&gt;=$AO$1/100,"O","X"))</f>
        <v>O</v>
      </c>
      <c r="AP22" s="77" t="str">
        <f>IF(I22="","",IF(I22&lt;=$AP$1,"O","X"))</f>
        <v>O</v>
      </c>
      <c r="AQ22" s="77" t="str">
        <f>IF(O22="","",IF(O22&lt;=$AQ$1,"O","X"))</f>
        <v>O</v>
      </c>
      <c r="AR22" s="77" t="str">
        <f>IF(M22="","",IF(M22&lt;=$AR$1,"O","X"))</f>
        <v>O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>후보</v>
      </c>
    </row>
    <row r="23" spans="1:48" x14ac:dyDescent="0.3">
      <c r="A23" s="9" t="s">
        <v>252</v>
      </c>
      <c r="B23" s="10" t="s">
        <v>1264</v>
      </c>
      <c r="C23" s="107">
        <v>899</v>
      </c>
      <c r="D23" s="104">
        <v>94.1</v>
      </c>
      <c r="E23" s="106">
        <v>28</v>
      </c>
      <c r="F23" s="104">
        <v>75.3</v>
      </c>
      <c r="G23" s="17">
        <v>23</v>
      </c>
      <c r="H23" s="107">
        <v>119</v>
      </c>
      <c r="I23" s="108"/>
      <c r="J23" s="108"/>
      <c r="K23" s="108"/>
      <c r="L23" s="108"/>
      <c r="M23" s="109">
        <f>I23-K23</f>
        <v>0</v>
      </c>
      <c r="N23" s="4" t="str">
        <f>IF(ISERROR(K23/I23),"",K23/I23)</f>
        <v/>
      </c>
      <c r="O23" s="105">
        <f>I23/E23</f>
        <v>0</v>
      </c>
      <c r="P23" s="105">
        <f>K23/E23</f>
        <v>0</v>
      </c>
      <c r="Q23" s="77">
        <v>3</v>
      </c>
      <c r="R23" s="77">
        <v>1</v>
      </c>
      <c r="S23" s="77" t="s">
        <v>1244</v>
      </c>
      <c r="T23" s="5">
        <v>94</v>
      </c>
      <c r="U23" s="9"/>
      <c r="W23" s="104">
        <f t="shared" si="25"/>
        <v>94.1</v>
      </c>
      <c r="X23" s="106">
        <f t="shared" si="25"/>
        <v>28</v>
      </c>
      <c r="Y23" s="102">
        <f t="shared" si="26"/>
        <v>119</v>
      </c>
      <c r="Z23" s="109">
        <f t="shared" si="26"/>
        <v>0</v>
      </c>
      <c r="AA23" s="109">
        <f>K23</f>
        <v>0</v>
      </c>
      <c r="AB23" s="109">
        <f t="shared" si="27"/>
        <v>0</v>
      </c>
      <c r="AC23" s="4" t="str">
        <f t="shared" si="27"/>
        <v/>
      </c>
      <c r="AD23" s="105">
        <f t="shared" si="27"/>
        <v>0</v>
      </c>
      <c r="AE23" s="77" t="str">
        <f>S23</f>
        <v>계</v>
      </c>
      <c r="AF23" s="77" t="str">
        <f>Q23&amp;"/"&amp;R23</f>
        <v>3/1</v>
      </c>
      <c r="AH23" s="20" t="str">
        <f t="shared" si="1"/>
        <v>나운현대2차</v>
      </c>
      <c r="AI23" s="106">
        <f t="shared" si="0"/>
        <v>28</v>
      </c>
      <c r="AJ23" s="77" t="str">
        <f>IF(AI23="","",$AJ$2)</f>
        <v>A-</v>
      </c>
      <c r="AK23" s="77" t="s">
        <v>13</v>
      </c>
      <c r="AL23" s="77" t="s">
        <v>1242</v>
      </c>
      <c r="AM23" s="77" t="s">
        <v>1243</v>
      </c>
      <c r="AN23" s="77" t="str">
        <f>IF(AI23="","",$AN$2)</f>
        <v>C</v>
      </c>
      <c r="AO23" s="77" t="str">
        <f>IF(N23="","",IF(N23&gt;=$AO$1/100,"O","X"))</f>
        <v/>
      </c>
      <c r="AP23" s="77" t="str">
        <f>IF(I23="","",IF(I23&lt;=$AP$1,"O","X"))</f>
        <v/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/>
      </c>
    </row>
    <row r="24" spans="1:48" x14ac:dyDescent="0.3">
      <c r="A24" s="9" t="s">
        <v>252</v>
      </c>
      <c r="B24" s="10" t="s">
        <v>1264</v>
      </c>
      <c r="C24" s="107">
        <v>899</v>
      </c>
      <c r="D24" s="104">
        <v>105.9</v>
      </c>
      <c r="E24" s="106">
        <v>32</v>
      </c>
      <c r="F24" s="104">
        <v>84.7</v>
      </c>
      <c r="G24" s="17">
        <v>26</v>
      </c>
      <c r="H24" s="107">
        <v>377</v>
      </c>
      <c r="I24" s="108">
        <v>14000</v>
      </c>
      <c r="J24" s="108" t="s">
        <v>1251</v>
      </c>
      <c r="K24" s="108">
        <v>12000</v>
      </c>
      <c r="L24" s="108" t="s">
        <v>1265</v>
      </c>
      <c r="M24" s="109">
        <f>I24-K24</f>
        <v>2000</v>
      </c>
      <c r="N24" s="4">
        <f>IF(ISERROR(K24/I24),"",K24/I24)</f>
        <v>0.8571428571428571</v>
      </c>
      <c r="O24" s="105">
        <f>I24/E24</f>
        <v>437.5</v>
      </c>
      <c r="P24" s="105">
        <f>K24/E24</f>
        <v>375</v>
      </c>
      <c r="Q24" s="77">
        <v>3</v>
      </c>
      <c r="R24" s="77">
        <v>2</v>
      </c>
      <c r="S24" s="77" t="s">
        <v>1244</v>
      </c>
      <c r="T24" s="5">
        <v>105</v>
      </c>
      <c r="U24" s="9"/>
      <c r="W24" s="104">
        <f t="shared" si="25"/>
        <v>105.9</v>
      </c>
      <c r="X24" s="106">
        <f t="shared" si="25"/>
        <v>32</v>
      </c>
      <c r="Y24" s="102">
        <f t="shared" si="26"/>
        <v>377</v>
      </c>
      <c r="Z24" s="109">
        <f t="shared" si="26"/>
        <v>14000</v>
      </c>
      <c r="AA24" s="109">
        <f>K24</f>
        <v>12000</v>
      </c>
      <c r="AB24" s="109">
        <f t="shared" si="27"/>
        <v>2000</v>
      </c>
      <c r="AC24" s="4">
        <f t="shared" si="27"/>
        <v>0.8571428571428571</v>
      </c>
      <c r="AD24" s="105">
        <f t="shared" si="27"/>
        <v>437.5</v>
      </c>
      <c r="AE24" s="77" t="str">
        <f>S24</f>
        <v>계</v>
      </c>
      <c r="AF24" s="77" t="str">
        <f>Q24&amp;"/"&amp;R24</f>
        <v>3/2</v>
      </c>
      <c r="AH24" s="20" t="str">
        <f t="shared" si="1"/>
        <v>나운현대2차</v>
      </c>
      <c r="AI24" s="106">
        <f t="shared" si="0"/>
        <v>32</v>
      </c>
      <c r="AJ24" s="77" t="str">
        <f>IF(AI24="","",$AJ$2)</f>
        <v>A-</v>
      </c>
      <c r="AK24" s="77" t="s">
        <v>13</v>
      </c>
      <c r="AL24" s="77" t="s">
        <v>1242</v>
      </c>
      <c r="AM24" s="77" t="s">
        <v>1243</v>
      </c>
      <c r="AN24" s="77" t="str">
        <f>IF(AI24="","",$AN$2)</f>
        <v>C</v>
      </c>
      <c r="AO24" s="77" t="str">
        <f>IF(N24="","",IF(N24&gt;=$AO$1/100,"O","X"))</f>
        <v>O</v>
      </c>
      <c r="AP24" s="77" t="str">
        <f>IF(I24="","",IF(I24&lt;=$AP$1,"O","X"))</f>
        <v>O</v>
      </c>
      <c r="AQ24" s="77" t="str">
        <f>IF(O24="","",IF(O24&lt;=$AQ$1,"O","X"))</f>
        <v>O</v>
      </c>
      <c r="AR24" s="77" t="str">
        <f>IF(M24="","",IF(M24&lt;=$AR$1,"O","X"))</f>
        <v>O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>후보</v>
      </c>
    </row>
    <row r="25" spans="1:48" x14ac:dyDescent="0.3">
      <c r="A25" s="9" t="s">
        <v>252</v>
      </c>
      <c r="B25" s="10" t="s">
        <v>1264</v>
      </c>
      <c r="C25" s="107">
        <v>899</v>
      </c>
      <c r="D25" s="104">
        <v>168.1</v>
      </c>
      <c r="E25" s="106">
        <v>51</v>
      </c>
      <c r="F25" s="104">
        <v>134.6</v>
      </c>
      <c r="G25" s="17">
        <v>41</v>
      </c>
      <c r="H25" s="107">
        <v>59</v>
      </c>
      <c r="I25" s="108"/>
      <c r="J25" s="108"/>
      <c r="K25" s="108"/>
      <c r="L25" s="108"/>
      <c r="M25" s="109">
        <f>I25-K25</f>
        <v>0</v>
      </c>
      <c r="N25" s="4" t="str">
        <f>IF(ISERROR(K25/I25),"",K25/I25)</f>
        <v/>
      </c>
      <c r="O25" s="105">
        <f>I25/E25</f>
        <v>0</v>
      </c>
      <c r="P25" s="105">
        <f>K25/E25</f>
        <v>0</v>
      </c>
      <c r="Q25" s="77">
        <v>4</v>
      </c>
      <c r="R25" s="77">
        <v>2</v>
      </c>
      <c r="S25" s="77" t="s">
        <v>1244</v>
      </c>
      <c r="T25" s="5">
        <v>168</v>
      </c>
      <c r="U25" s="9"/>
      <c r="W25" s="104">
        <f t="shared" si="25"/>
        <v>168.1</v>
      </c>
      <c r="X25" s="106">
        <f t="shared" si="25"/>
        <v>51</v>
      </c>
      <c r="Y25" s="102">
        <f t="shared" si="26"/>
        <v>59</v>
      </c>
      <c r="Z25" s="109">
        <f t="shared" si="26"/>
        <v>0</v>
      </c>
      <c r="AA25" s="109">
        <f>K25</f>
        <v>0</v>
      </c>
      <c r="AB25" s="109">
        <f t="shared" si="27"/>
        <v>0</v>
      </c>
      <c r="AC25" s="4" t="str">
        <f t="shared" si="27"/>
        <v/>
      </c>
      <c r="AD25" s="105">
        <f t="shared" si="27"/>
        <v>0</v>
      </c>
      <c r="AE25" s="77" t="str">
        <f>S25</f>
        <v>계</v>
      </c>
      <c r="AF25" s="77" t="str">
        <f>Q25&amp;"/"&amp;R25</f>
        <v>4/2</v>
      </c>
      <c r="AH25" s="20" t="str">
        <f t="shared" si="1"/>
        <v>나운현대2차</v>
      </c>
      <c r="AI25" s="106">
        <f t="shared" si="0"/>
        <v>51</v>
      </c>
      <c r="AJ25" s="77" t="str">
        <f>IF(AI25="","",$AJ$2)</f>
        <v>A-</v>
      </c>
      <c r="AK25" s="77" t="s">
        <v>13</v>
      </c>
      <c r="AL25" s="77" t="s">
        <v>1242</v>
      </c>
      <c r="AM25" s="77" t="s">
        <v>1243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X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x14ac:dyDescent="0.3">
      <c r="A26" s="9"/>
      <c r="B26" s="77"/>
      <c r="C26" s="6"/>
      <c r="D26" s="9"/>
      <c r="E26" s="14"/>
      <c r="F26" s="104"/>
      <c r="G26" s="9"/>
      <c r="H26" s="9"/>
      <c r="I26" s="9"/>
      <c r="J26" s="9"/>
      <c r="K26" s="9"/>
      <c r="L26" s="9"/>
      <c r="M26" s="9"/>
      <c r="N26" s="9"/>
      <c r="O26" s="105"/>
      <c r="P26" s="105"/>
      <c r="Q26" s="106"/>
      <c r="R26" s="106"/>
      <c r="S26" s="9"/>
      <c r="T26" s="47"/>
      <c r="U26" s="9"/>
      <c r="W26" s="67" t="str">
        <f>$A$4&amp;" "&amp;A27&amp;"("&amp;B27&amp;","&amp;C27&amp;"^)"</f>
        <v>나운동 현대1차('90.04.,498^)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3" t="str">
        <f t="shared" si="0"/>
        <v/>
      </c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</row>
    <row r="27" spans="1:48" x14ac:dyDescent="0.3">
      <c r="A27" s="9" t="s">
        <v>257</v>
      </c>
      <c r="B27" s="10" t="s">
        <v>1266</v>
      </c>
      <c r="C27" s="107">
        <v>498</v>
      </c>
      <c r="D27" s="104">
        <v>89.5</v>
      </c>
      <c r="E27" s="106">
        <v>27</v>
      </c>
      <c r="F27" s="104">
        <v>72.2</v>
      </c>
      <c r="G27" s="17">
        <v>22</v>
      </c>
      <c r="H27" s="107">
        <v>112</v>
      </c>
      <c r="I27" s="108"/>
      <c r="J27" s="108"/>
      <c r="K27" s="108"/>
      <c r="L27" s="108"/>
      <c r="M27" s="109">
        <f>I27-K27</f>
        <v>0</v>
      </c>
      <c r="N27" s="4" t="str">
        <f>IF(ISERROR(K27/I27),"",K27/I27)</f>
        <v/>
      </c>
      <c r="O27" s="105">
        <f>I27/E27</f>
        <v>0</v>
      </c>
      <c r="P27" s="105">
        <f>K27/E27</f>
        <v>0</v>
      </c>
      <c r="Q27" s="77">
        <v>3</v>
      </c>
      <c r="R27" s="77">
        <v>1</v>
      </c>
      <c r="S27" s="77" t="s">
        <v>1244</v>
      </c>
      <c r="T27" s="5">
        <v>89</v>
      </c>
      <c r="U27" s="9"/>
      <c r="W27" s="104">
        <f t="shared" ref="W27:X29" si="28">D27</f>
        <v>89.5</v>
      </c>
      <c r="X27" s="106">
        <f t="shared" si="28"/>
        <v>27</v>
      </c>
      <c r="Y27" s="102">
        <f t="shared" ref="Y27:Z29" si="29">H27</f>
        <v>112</v>
      </c>
      <c r="Z27" s="109">
        <f t="shared" si="29"/>
        <v>0</v>
      </c>
      <c r="AA27" s="109">
        <f>K27</f>
        <v>0</v>
      </c>
      <c r="AB27" s="109">
        <f t="shared" ref="AB27:AD29" si="30">M27</f>
        <v>0</v>
      </c>
      <c r="AC27" s="4" t="str">
        <f t="shared" si="30"/>
        <v/>
      </c>
      <c r="AD27" s="105">
        <f t="shared" si="30"/>
        <v>0</v>
      </c>
      <c r="AE27" s="77" t="str">
        <f>S27</f>
        <v>계</v>
      </c>
      <c r="AF27" s="77" t="str">
        <f>Q27&amp;"/"&amp;R27</f>
        <v>3/1</v>
      </c>
      <c r="AH27" s="20" t="str">
        <f t="shared" si="1"/>
        <v>현대1차</v>
      </c>
      <c r="AI27" s="106">
        <f t="shared" si="0"/>
        <v>27</v>
      </c>
      <c r="AJ27" s="77" t="str">
        <f>IF(AI27="","",$AJ$2)</f>
        <v>A-</v>
      </c>
      <c r="AK27" s="77" t="s">
        <v>13</v>
      </c>
      <c r="AL27" s="77" t="s">
        <v>1242</v>
      </c>
      <c r="AM27" s="77" t="s">
        <v>1243</v>
      </c>
      <c r="AN27" s="77" t="str">
        <f>IF(AI27="","",$AN$2)</f>
        <v>C</v>
      </c>
      <c r="AO27" s="77" t="str">
        <f>IF(N27="","",IF(N27&gt;=$AO$1/100,"O","X"))</f>
        <v/>
      </c>
      <c r="AP27" s="77" t="str">
        <f>IF(I27="","",IF(I27&lt;=$AP$1,"O","X"))</f>
        <v/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O</v>
      </c>
      <c r="AV27" s="77" t="str">
        <f>IF(AO27="","",IF(AND(AO27="O",AP27="O",AR27="O",AT27="O",AU27="O"),"후보","X"))</f>
        <v/>
      </c>
    </row>
    <row r="28" spans="1:48" x14ac:dyDescent="0.3">
      <c r="A28" s="9" t="s">
        <v>257</v>
      </c>
      <c r="B28" s="10" t="s">
        <v>1266</v>
      </c>
      <c r="C28" s="107">
        <v>498</v>
      </c>
      <c r="D28" s="104">
        <v>104.1</v>
      </c>
      <c r="E28" s="106">
        <v>31</v>
      </c>
      <c r="F28" s="104">
        <v>84.7</v>
      </c>
      <c r="G28" s="17">
        <v>26</v>
      </c>
      <c r="H28" s="107">
        <v>330</v>
      </c>
      <c r="I28" s="108"/>
      <c r="J28" s="108"/>
      <c r="K28" s="108"/>
      <c r="L28" s="108"/>
      <c r="M28" s="109">
        <f>I28-K28</f>
        <v>0</v>
      </c>
      <c r="N28" s="4" t="str">
        <f>IF(ISERROR(K28/I28),"",K28/I28)</f>
        <v/>
      </c>
      <c r="O28" s="105">
        <f>I28/E28</f>
        <v>0</v>
      </c>
      <c r="P28" s="105">
        <f>K28/E28</f>
        <v>0</v>
      </c>
      <c r="Q28" s="77">
        <v>3</v>
      </c>
      <c r="R28" s="77">
        <v>1</v>
      </c>
      <c r="S28" s="77" t="s">
        <v>1244</v>
      </c>
      <c r="T28" s="5">
        <v>104</v>
      </c>
      <c r="U28" s="9"/>
      <c r="W28" s="104">
        <f t="shared" si="28"/>
        <v>104.1</v>
      </c>
      <c r="X28" s="106">
        <f t="shared" si="28"/>
        <v>31</v>
      </c>
      <c r="Y28" s="102">
        <f t="shared" si="29"/>
        <v>330</v>
      </c>
      <c r="Z28" s="109">
        <f t="shared" si="29"/>
        <v>0</v>
      </c>
      <c r="AA28" s="109">
        <f>K28</f>
        <v>0</v>
      </c>
      <c r="AB28" s="109">
        <f t="shared" si="30"/>
        <v>0</v>
      </c>
      <c r="AC28" s="4" t="str">
        <f t="shared" si="30"/>
        <v/>
      </c>
      <c r="AD28" s="105">
        <f t="shared" si="30"/>
        <v>0</v>
      </c>
      <c r="AE28" s="77" t="str">
        <f>S28</f>
        <v>계</v>
      </c>
      <c r="AF28" s="77" t="str">
        <f>Q28&amp;"/"&amp;R28</f>
        <v>3/1</v>
      </c>
      <c r="AH28" s="20" t="str">
        <f t="shared" si="1"/>
        <v>현대1차</v>
      </c>
      <c r="AI28" s="106">
        <f t="shared" si="0"/>
        <v>31</v>
      </c>
      <c r="AJ28" s="77" t="str">
        <f>IF(AI28="","",$AJ$2)</f>
        <v>A-</v>
      </c>
      <c r="AK28" s="77" t="s">
        <v>13</v>
      </c>
      <c r="AL28" s="77" t="s">
        <v>1242</v>
      </c>
      <c r="AM28" s="77" t="s">
        <v>1243</v>
      </c>
      <c r="AN28" s="77" t="str">
        <f>IF(AI28="","",$AN$2)</f>
        <v>C</v>
      </c>
      <c r="AO28" s="77" t="str">
        <f>IF(N28="","",IF(N28&gt;=$AO$1/100,"O","X"))</f>
        <v/>
      </c>
      <c r="AP28" s="77" t="str">
        <f>IF(I28="","",IF(I28&lt;=$AP$1,"O","X"))</f>
        <v/>
      </c>
      <c r="AQ28" s="77" t="str">
        <f>IF(O28="","",IF(O28&lt;=$AQ$1,"O","X"))</f>
        <v>O</v>
      </c>
      <c r="AR28" s="77" t="str">
        <f>IF(M28="","",IF(M28&lt;=$AR$1,"O","X"))</f>
        <v>O</v>
      </c>
      <c r="AS28" s="77" t="s">
        <v>2</v>
      </c>
      <c r="AT28" s="77" t="str">
        <f>IF(OR(F28="",AI28=""),"",IF(AND((F28&lt;=85),(AI28&gt;=15)),"O","X"))</f>
        <v>O</v>
      </c>
      <c r="AU28" s="77" t="str">
        <f>IF(C28="","",IF(C28&gt;=$AU$1,"O","X"))</f>
        <v>O</v>
      </c>
      <c r="AV28" s="77" t="str">
        <f>IF(AO28="","",IF(AND(AO28="O",AP28="O",AR28="O",AT28="O",AU28="O"),"후보","X"))</f>
        <v/>
      </c>
    </row>
    <row r="29" spans="1:48" x14ac:dyDescent="0.3">
      <c r="A29" s="9" t="s">
        <v>257</v>
      </c>
      <c r="B29" s="10" t="s">
        <v>1266</v>
      </c>
      <c r="C29" s="107">
        <v>498</v>
      </c>
      <c r="D29" s="104">
        <v>149.30000000000001</v>
      </c>
      <c r="E29" s="106">
        <v>45</v>
      </c>
      <c r="F29" s="104">
        <v>126.2</v>
      </c>
      <c r="G29" s="17">
        <v>38</v>
      </c>
      <c r="H29" s="107">
        <v>56</v>
      </c>
      <c r="I29" s="108"/>
      <c r="J29" s="108"/>
      <c r="K29" s="108"/>
      <c r="L29" s="108"/>
      <c r="M29" s="109">
        <f>I29-K29</f>
        <v>0</v>
      </c>
      <c r="N29" s="4" t="str">
        <f>IF(ISERROR(K29/I29),"",K29/I29)</f>
        <v/>
      </c>
      <c r="O29" s="105">
        <f>I29/E29</f>
        <v>0</v>
      </c>
      <c r="P29" s="105">
        <f>K29/E29</f>
        <v>0</v>
      </c>
      <c r="Q29" s="77">
        <v>4</v>
      </c>
      <c r="R29" s="77">
        <v>2</v>
      </c>
      <c r="S29" s="77" t="s">
        <v>1244</v>
      </c>
      <c r="T29" s="5">
        <v>149</v>
      </c>
      <c r="U29" s="9"/>
      <c r="W29" s="104">
        <f t="shared" si="28"/>
        <v>149.30000000000001</v>
      </c>
      <c r="X29" s="106">
        <f t="shared" si="28"/>
        <v>45</v>
      </c>
      <c r="Y29" s="102">
        <f t="shared" si="29"/>
        <v>56</v>
      </c>
      <c r="Z29" s="109">
        <f t="shared" si="29"/>
        <v>0</v>
      </c>
      <c r="AA29" s="109">
        <f>K29</f>
        <v>0</v>
      </c>
      <c r="AB29" s="109">
        <f t="shared" si="30"/>
        <v>0</v>
      </c>
      <c r="AC29" s="4" t="str">
        <f t="shared" si="30"/>
        <v/>
      </c>
      <c r="AD29" s="105">
        <f t="shared" si="30"/>
        <v>0</v>
      </c>
      <c r="AE29" s="77" t="str">
        <f>S29</f>
        <v>계</v>
      </c>
      <c r="AF29" s="77" t="str">
        <f>Q29&amp;"/"&amp;R29</f>
        <v>4/2</v>
      </c>
      <c r="AH29" s="20" t="str">
        <f t="shared" si="1"/>
        <v>현대1차</v>
      </c>
      <c r="AI29" s="106">
        <f t="shared" si="0"/>
        <v>45</v>
      </c>
      <c r="AJ29" s="77" t="str">
        <f>IF(AI29="","",$AJ$2)</f>
        <v>A-</v>
      </c>
      <c r="AK29" s="77" t="s">
        <v>13</v>
      </c>
      <c r="AL29" s="77" t="s">
        <v>1242</v>
      </c>
      <c r="AM29" s="77" t="s">
        <v>1243</v>
      </c>
      <c r="AN29" s="77" t="str">
        <f>IF(AI29="","",$AN$2)</f>
        <v>C</v>
      </c>
      <c r="AO29" s="77" t="str">
        <f>IF(N29="","",IF(N29&gt;=$AO$1/100,"O","X"))</f>
        <v/>
      </c>
      <c r="AP29" s="77" t="str">
        <f>IF(I29="","",IF(I29&lt;=$AP$1,"O","X"))</f>
        <v/>
      </c>
      <c r="AQ29" s="77" t="str">
        <f>IF(O29="","",IF(O29&lt;=$AQ$1,"O","X"))</f>
        <v>O</v>
      </c>
      <c r="AR29" s="77" t="str">
        <f>IF(M29="","",IF(M29&lt;=$AR$1,"O","X"))</f>
        <v>O</v>
      </c>
      <c r="AS29" s="77" t="s">
        <v>2</v>
      </c>
      <c r="AT29" s="77" t="str">
        <f>IF(OR(F29="",AI29=""),"",IF(AND((F29&lt;=85),(AI29&gt;=15)),"O","X"))</f>
        <v>X</v>
      </c>
      <c r="AU29" s="77" t="str">
        <f>IF(C29="","",IF(C29&gt;=$AU$1,"O","X"))</f>
        <v>O</v>
      </c>
      <c r="AV29" s="77" t="str">
        <f>IF(AO29="","",IF(AND(AO29="O",AP29="O",AR29="O",AT29="O",AU29="O"),"후보","X"))</f>
        <v/>
      </c>
    </row>
    <row r="30" spans="1:48" x14ac:dyDescent="0.3">
      <c r="A30" s="9"/>
      <c r="B30" s="77"/>
      <c r="C30" s="6"/>
      <c r="D30" s="9"/>
      <c r="E30" s="14"/>
      <c r="F30" s="104"/>
      <c r="G30" s="9"/>
      <c r="H30" s="9"/>
      <c r="I30" s="9"/>
      <c r="J30" s="9"/>
      <c r="K30" s="9"/>
      <c r="L30" s="9"/>
      <c r="M30" s="9"/>
      <c r="N30" s="9"/>
      <c r="O30" s="105"/>
      <c r="P30" s="105"/>
      <c r="Q30" s="106"/>
      <c r="R30" s="106"/>
      <c r="S30" s="9"/>
      <c r="T30" s="47"/>
      <c r="U30" s="9"/>
      <c r="W30" s="67" t="str">
        <f>$A$4&amp;" "&amp;A31&amp;"("&amp;B31&amp;","&amp;C31&amp;"^)"</f>
        <v>나운동 나운청솔('02.12.,495^)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3" t="str">
        <f t="shared" si="0"/>
        <v/>
      </c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</row>
    <row r="31" spans="1:48" x14ac:dyDescent="0.3">
      <c r="A31" s="9" t="s">
        <v>266</v>
      </c>
      <c r="B31" s="10" t="s">
        <v>1260</v>
      </c>
      <c r="C31" s="107">
        <v>495</v>
      </c>
      <c r="D31" s="104">
        <v>63.7</v>
      </c>
      <c r="E31" s="106">
        <v>19</v>
      </c>
      <c r="F31" s="104">
        <v>49.7</v>
      </c>
      <c r="G31" s="17">
        <v>15</v>
      </c>
      <c r="H31" s="107">
        <v>495</v>
      </c>
      <c r="I31" s="108"/>
      <c r="J31" s="108"/>
      <c r="K31" s="108"/>
      <c r="L31" s="108"/>
      <c r="M31" s="109">
        <f>I31-K31</f>
        <v>0</v>
      </c>
      <c r="N31" s="4" t="str">
        <f>IF(ISERROR(K31/I31),"",K31/I31)</f>
        <v/>
      </c>
      <c r="O31" s="105">
        <f>I31/E31</f>
        <v>0</v>
      </c>
      <c r="P31" s="105">
        <f>K31/E31</f>
        <v>0</v>
      </c>
      <c r="Q31" s="77">
        <v>2</v>
      </c>
      <c r="R31" s="77">
        <v>1</v>
      </c>
      <c r="S31" s="77" t="s">
        <v>1244</v>
      </c>
      <c r="T31" s="5">
        <v>63</v>
      </c>
      <c r="U31" s="9"/>
      <c r="W31" s="104">
        <f>D31</f>
        <v>63.7</v>
      </c>
      <c r="X31" s="106">
        <f>E31</f>
        <v>19</v>
      </c>
      <c r="Y31" s="102">
        <f>H31</f>
        <v>495</v>
      </c>
      <c r="Z31" s="109">
        <f>I31</f>
        <v>0</v>
      </c>
      <c r="AA31" s="109">
        <f>K31</f>
        <v>0</v>
      </c>
      <c r="AB31" s="109">
        <f>M31</f>
        <v>0</v>
      </c>
      <c r="AC31" s="4" t="str">
        <f>N31</f>
        <v/>
      </c>
      <c r="AD31" s="105">
        <f>O31</f>
        <v>0</v>
      </c>
      <c r="AE31" s="77" t="str">
        <f>S31</f>
        <v>계</v>
      </c>
      <c r="AF31" s="77" t="str">
        <f>Q31&amp;"/"&amp;R31</f>
        <v>2/1</v>
      </c>
      <c r="AH31" s="20" t="str">
        <f t="shared" si="1"/>
        <v>나운청솔</v>
      </c>
      <c r="AI31" s="106">
        <f t="shared" si="0"/>
        <v>19</v>
      </c>
      <c r="AJ31" s="77" t="str">
        <f>IF(AI31="","",$AJ$2)</f>
        <v>A-</v>
      </c>
      <c r="AK31" s="77" t="s">
        <v>13</v>
      </c>
      <c r="AL31" s="77" t="s">
        <v>1242</v>
      </c>
      <c r="AM31" s="77" t="s">
        <v>1243</v>
      </c>
      <c r="AN31" s="77" t="str">
        <f>IF(AI31="","",$AN$2)</f>
        <v>C</v>
      </c>
      <c r="AO31" s="77" t="str">
        <f>IF(N31="","",IF(N31&gt;=$AO$1/100,"O","X"))</f>
        <v/>
      </c>
      <c r="AP31" s="77" t="str">
        <f>IF(I31="","",IF(I31&lt;=$AP$1,"O","X"))</f>
        <v/>
      </c>
      <c r="AQ31" s="77" t="str">
        <f>IF(O31="","",IF(O31&lt;=$AQ$1,"O","X"))</f>
        <v>O</v>
      </c>
      <c r="AR31" s="77" t="str">
        <f>IF(M31="","",IF(M31&lt;=$AR$1,"O","X"))</f>
        <v>O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/>
      </c>
    </row>
    <row r="32" spans="1:48" x14ac:dyDescent="0.3">
      <c r="A32" s="9"/>
      <c r="B32" s="77"/>
      <c r="C32" s="6"/>
      <c r="D32" s="9"/>
      <c r="E32" s="14"/>
      <c r="F32" s="104"/>
      <c r="G32" s="9"/>
      <c r="H32" s="9"/>
      <c r="I32" s="9"/>
      <c r="J32" s="9"/>
      <c r="K32" s="9"/>
      <c r="L32" s="9"/>
      <c r="M32" s="9"/>
      <c r="N32" s="9"/>
      <c r="O32" s="105"/>
      <c r="P32" s="105"/>
      <c r="Q32" s="106"/>
      <c r="R32" s="106"/>
      <c r="S32" s="9"/>
      <c r="T32" s="47"/>
      <c r="U32" s="9"/>
      <c r="W32" s="67" t="str">
        <f>$A$4&amp;" "&amp;A33&amp;"("&amp;B33&amp;","&amp;C33&amp;"^)"</f>
        <v>나운동 신일('95.12.,600^)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3" t="str">
        <f t="shared" si="0"/>
        <v/>
      </c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</row>
    <row r="33" spans="1:48" x14ac:dyDescent="0.3">
      <c r="A33" s="9" t="s">
        <v>270</v>
      </c>
      <c r="B33" s="10" t="s">
        <v>1267</v>
      </c>
      <c r="C33" s="107">
        <v>600</v>
      </c>
      <c r="D33" s="104">
        <v>75.099999999999994</v>
      </c>
      <c r="E33" s="106">
        <v>23</v>
      </c>
      <c r="F33" s="104">
        <v>59.9</v>
      </c>
      <c r="G33" s="17">
        <v>18</v>
      </c>
      <c r="H33" s="107">
        <v>600</v>
      </c>
      <c r="I33" s="108">
        <v>12000</v>
      </c>
      <c r="J33" s="108" t="s">
        <v>1255</v>
      </c>
      <c r="K33" s="108">
        <v>10500</v>
      </c>
      <c r="L33" s="108" t="s">
        <v>1268</v>
      </c>
      <c r="M33" s="109">
        <f>I33-K33</f>
        <v>1500</v>
      </c>
      <c r="N33" s="4">
        <f>IF(ISERROR(K33/I33),"",K33/I33)</f>
        <v>0.875</v>
      </c>
      <c r="O33" s="105">
        <f>I33/E33</f>
        <v>521.73913043478262</v>
      </c>
      <c r="P33" s="105">
        <f>K33/E33</f>
        <v>456.52173913043481</v>
      </c>
      <c r="Q33" s="77">
        <v>3</v>
      </c>
      <c r="R33" s="77">
        <v>1</v>
      </c>
      <c r="S33" s="77" t="s">
        <v>1244</v>
      </c>
      <c r="T33" s="5">
        <v>75</v>
      </c>
      <c r="U33" s="9"/>
      <c r="W33" s="104">
        <f>D33</f>
        <v>75.099999999999994</v>
      </c>
      <c r="X33" s="106">
        <f>E33</f>
        <v>23</v>
      </c>
      <c r="Y33" s="102">
        <f>H33</f>
        <v>600</v>
      </c>
      <c r="Z33" s="109">
        <f>I33</f>
        <v>12000</v>
      </c>
      <c r="AA33" s="109">
        <f>K33</f>
        <v>10500</v>
      </c>
      <c r="AB33" s="109">
        <f>M33</f>
        <v>1500</v>
      </c>
      <c r="AC33" s="4">
        <f>N33</f>
        <v>0.875</v>
      </c>
      <c r="AD33" s="105">
        <f>O33</f>
        <v>521.73913043478262</v>
      </c>
      <c r="AE33" s="77" t="str">
        <f>S33</f>
        <v>계</v>
      </c>
      <c r="AF33" s="77" t="str">
        <f>Q33&amp;"/"&amp;R33</f>
        <v>3/1</v>
      </c>
      <c r="AH33" s="20" t="str">
        <f t="shared" si="1"/>
        <v>신일</v>
      </c>
      <c r="AI33" s="106">
        <f t="shared" si="0"/>
        <v>23</v>
      </c>
      <c r="AJ33" s="77" t="str">
        <f>IF(AI33="","",$AJ$2)</f>
        <v>A-</v>
      </c>
      <c r="AK33" s="77" t="s">
        <v>13</v>
      </c>
      <c r="AL33" s="77" t="s">
        <v>1242</v>
      </c>
      <c r="AM33" s="77" t="s">
        <v>1243</v>
      </c>
      <c r="AN33" s="77" t="str">
        <f>IF(AI33="","",$AN$2)</f>
        <v>C</v>
      </c>
      <c r="AO33" s="77" t="str">
        <f>IF(N33="","",IF(N33&gt;=$AO$1/100,"O","X"))</f>
        <v>O</v>
      </c>
      <c r="AP33" s="77" t="str">
        <f>IF(I33="","",IF(I33&lt;=$AP$1,"O","X"))</f>
        <v>O</v>
      </c>
      <c r="AQ33" s="77" t="str">
        <f>IF(O33="","",IF(O33&lt;=$AQ$1,"O","X"))</f>
        <v>O</v>
      </c>
      <c r="AR33" s="77" t="str">
        <f>IF(M33="","",IF(M33&lt;=$AR$1,"O","X"))</f>
        <v>O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>후보</v>
      </c>
    </row>
    <row r="34" spans="1:48" x14ac:dyDescent="0.3">
      <c r="A34" s="9"/>
      <c r="B34" s="77"/>
      <c r="C34" s="6"/>
      <c r="D34" s="9"/>
      <c r="E34" s="14"/>
      <c r="F34" s="104"/>
      <c r="G34" s="9"/>
      <c r="H34" s="9"/>
      <c r="I34" s="9"/>
      <c r="J34" s="9"/>
      <c r="K34" s="9"/>
      <c r="L34" s="9"/>
      <c r="M34" s="9"/>
      <c r="N34" s="9"/>
      <c r="O34" s="105"/>
      <c r="P34" s="105"/>
      <c r="Q34" s="106"/>
      <c r="R34" s="106"/>
      <c r="S34" s="9"/>
      <c r="T34" s="47"/>
      <c r="U34" s="9"/>
      <c r="W34" s="67" t="str">
        <f>$A$4&amp;" "&amp;A35&amp;"("&amp;B35&amp;","&amp;C35&amp;"^)"</f>
        <v>나운동 롯데4차('96.04.,210^)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3" t="str">
        <f t="shared" si="0"/>
        <v/>
      </c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</row>
    <row r="35" spans="1:48" x14ac:dyDescent="0.3">
      <c r="A35" s="9" t="s">
        <v>287</v>
      </c>
      <c r="B35" s="10" t="s">
        <v>1269</v>
      </c>
      <c r="C35" s="107">
        <v>210</v>
      </c>
      <c r="D35" s="104">
        <v>122.5</v>
      </c>
      <c r="E35" s="106">
        <v>37</v>
      </c>
      <c r="F35" s="104">
        <v>99.9</v>
      </c>
      <c r="G35" s="17">
        <v>30</v>
      </c>
      <c r="H35" s="107">
        <v>90</v>
      </c>
      <c r="I35" s="108"/>
      <c r="J35" s="108"/>
      <c r="K35" s="108"/>
      <c r="L35" s="108"/>
      <c r="M35" s="109">
        <f>I35-K35</f>
        <v>0</v>
      </c>
      <c r="N35" s="4" t="str">
        <f>IF(ISERROR(K35/I35),"",K35/I35)</f>
        <v/>
      </c>
      <c r="O35" s="105">
        <f>I35/E35</f>
        <v>0</v>
      </c>
      <c r="P35" s="105">
        <f>K35/E35</f>
        <v>0</v>
      </c>
      <c r="Q35" s="77">
        <v>4</v>
      </c>
      <c r="R35" s="77">
        <v>2</v>
      </c>
      <c r="S35" s="77" t="s">
        <v>1244</v>
      </c>
      <c r="T35" s="5">
        <v>122</v>
      </c>
      <c r="U35" s="9"/>
      <c r="W35" s="104">
        <f t="shared" ref="W35:X37" si="31">D35</f>
        <v>122.5</v>
      </c>
      <c r="X35" s="106">
        <f t="shared" si="31"/>
        <v>37</v>
      </c>
      <c r="Y35" s="102">
        <f t="shared" ref="Y35:Z37" si="32">H35</f>
        <v>90</v>
      </c>
      <c r="Z35" s="109">
        <f t="shared" si="32"/>
        <v>0</v>
      </c>
      <c r="AA35" s="109">
        <f>K35</f>
        <v>0</v>
      </c>
      <c r="AB35" s="109">
        <f t="shared" ref="AB35:AD37" si="33">M35</f>
        <v>0</v>
      </c>
      <c r="AC35" s="4" t="str">
        <f t="shared" si="33"/>
        <v/>
      </c>
      <c r="AD35" s="105">
        <f t="shared" si="33"/>
        <v>0</v>
      </c>
      <c r="AE35" s="77" t="str">
        <f>S35</f>
        <v>계</v>
      </c>
      <c r="AF35" s="77" t="str">
        <f>Q35&amp;"/"&amp;R35</f>
        <v>4/2</v>
      </c>
      <c r="AH35" s="20" t="str">
        <f t="shared" si="1"/>
        <v>롯데4차</v>
      </c>
      <c r="AI35" s="106">
        <f t="shared" ref="AI35:AI66" si="34">IF(E35="","",E35)</f>
        <v>37</v>
      </c>
      <c r="AJ35" s="77" t="str">
        <f>IF(AI35="","",$AJ$2)</f>
        <v>A-</v>
      </c>
      <c r="AK35" s="77" t="s">
        <v>13</v>
      </c>
      <c r="AL35" s="77" t="s">
        <v>1242</v>
      </c>
      <c r="AM35" s="77" t="s">
        <v>1243</v>
      </c>
      <c r="AN35" s="77" t="str">
        <f>IF(AI35="","",$AN$2)</f>
        <v>C</v>
      </c>
      <c r="AO35" s="77" t="str">
        <f>IF(N35="","",IF(N35&gt;=$AO$1/100,"O","X"))</f>
        <v/>
      </c>
      <c r="AP35" s="77" t="str">
        <f>IF(I35="","",IF(I35&lt;=$AP$1,"O","X"))</f>
        <v/>
      </c>
      <c r="AQ35" s="77" t="str">
        <f>IF(O35="","",IF(O35&lt;=$AQ$1,"O","X"))</f>
        <v>O</v>
      </c>
      <c r="AR35" s="77" t="str">
        <f>IF(M35="","",IF(M35&lt;=$AR$1,"O","X"))</f>
        <v>O</v>
      </c>
      <c r="AS35" s="77" t="s">
        <v>2</v>
      </c>
      <c r="AT35" s="77" t="str">
        <f>IF(OR(F35="",AI35=""),"",IF(AND((F35&lt;=85),(AI35&gt;=15)),"O","X"))</f>
        <v>X</v>
      </c>
      <c r="AU35" s="77" t="str">
        <f>IF(C35="","",IF(C35&gt;=$AU$1,"O","X"))</f>
        <v>X</v>
      </c>
      <c r="AV35" s="77" t="str">
        <f>IF(AO35="","",IF(AND(AO35="O",AP35="O",AR35="O",AT35="O",AU35="O"),"후보","X"))</f>
        <v/>
      </c>
    </row>
    <row r="36" spans="1:48" x14ac:dyDescent="0.3">
      <c r="A36" s="9" t="s">
        <v>287</v>
      </c>
      <c r="B36" s="10" t="s">
        <v>1269</v>
      </c>
      <c r="C36" s="107">
        <v>210</v>
      </c>
      <c r="D36" s="104">
        <v>160</v>
      </c>
      <c r="E36" s="106">
        <v>48</v>
      </c>
      <c r="F36" s="104">
        <v>134.9</v>
      </c>
      <c r="G36" s="17">
        <v>41</v>
      </c>
      <c r="H36" s="107">
        <v>90</v>
      </c>
      <c r="I36" s="108"/>
      <c r="J36" s="108"/>
      <c r="K36" s="108"/>
      <c r="L36" s="108"/>
      <c r="M36" s="109">
        <f>I36-K36</f>
        <v>0</v>
      </c>
      <c r="N36" s="4" t="str">
        <f>IF(ISERROR(K36/I36),"",K36/I36)</f>
        <v/>
      </c>
      <c r="O36" s="105">
        <f>I36/E36</f>
        <v>0</v>
      </c>
      <c r="P36" s="105">
        <f>K36/E36</f>
        <v>0</v>
      </c>
      <c r="Q36" s="77">
        <v>4</v>
      </c>
      <c r="R36" s="77">
        <v>2</v>
      </c>
      <c r="S36" s="77" t="s">
        <v>1244</v>
      </c>
      <c r="T36" s="5">
        <v>160</v>
      </c>
      <c r="U36" s="9"/>
      <c r="W36" s="104">
        <f t="shared" si="31"/>
        <v>160</v>
      </c>
      <c r="X36" s="106">
        <f t="shared" si="31"/>
        <v>48</v>
      </c>
      <c r="Y36" s="102">
        <f t="shared" si="32"/>
        <v>90</v>
      </c>
      <c r="Z36" s="109">
        <f t="shared" si="32"/>
        <v>0</v>
      </c>
      <c r="AA36" s="109">
        <f>K36</f>
        <v>0</v>
      </c>
      <c r="AB36" s="109">
        <f t="shared" si="33"/>
        <v>0</v>
      </c>
      <c r="AC36" s="4" t="str">
        <f t="shared" si="33"/>
        <v/>
      </c>
      <c r="AD36" s="105">
        <f t="shared" si="33"/>
        <v>0</v>
      </c>
      <c r="AE36" s="77" t="str">
        <f>S36</f>
        <v>계</v>
      </c>
      <c r="AF36" s="77" t="str">
        <f>Q36&amp;"/"&amp;R36</f>
        <v>4/2</v>
      </c>
      <c r="AH36" s="20" t="str">
        <f t="shared" si="1"/>
        <v>롯데4차</v>
      </c>
      <c r="AI36" s="106">
        <f t="shared" si="34"/>
        <v>48</v>
      </c>
      <c r="AJ36" s="77" t="str">
        <f>IF(AI36="","",$AJ$2)</f>
        <v>A-</v>
      </c>
      <c r="AK36" s="77" t="s">
        <v>13</v>
      </c>
      <c r="AL36" s="77" t="s">
        <v>1242</v>
      </c>
      <c r="AM36" s="77" t="s">
        <v>1243</v>
      </c>
      <c r="AN36" s="77" t="str">
        <f>IF(AI36="","",$AN$2)</f>
        <v>C</v>
      </c>
      <c r="AO36" s="77" t="str">
        <f>IF(N36="","",IF(N36&gt;=$AO$1/100,"O","X"))</f>
        <v/>
      </c>
      <c r="AP36" s="77" t="str">
        <f>IF(I36="","",IF(I36&lt;=$AP$1,"O","X"))</f>
        <v/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X</v>
      </c>
      <c r="AU36" s="77" t="str">
        <f>IF(C36="","",IF(C36&gt;=$AU$1,"O","X"))</f>
        <v>X</v>
      </c>
      <c r="AV36" s="77" t="str">
        <f>IF(AO36="","",IF(AND(AO36="O",AP36="O",AR36="O",AT36="O",AU36="O"),"후보","X"))</f>
        <v/>
      </c>
    </row>
    <row r="37" spans="1:48" x14ac:dyDescent="0.3">
      <c r="A37" s="9" t="s">
        <v>287</v>
      </c>
      <c r="B37" s="10" t="s">
        <v>1269</v>
      </c>
      <c r="C37" s="107">
        <v>210</v>
      </c>
      <c r="D37" s="104">
        <v>197.4</v>
      </c>
      <c r="E37" s="106">
        <v>60</v>
      </c>
      <c r="F37" s="104">
        <v>164.9</v>
      </c>
      <c r="G37" s="17">
        <v>50</v>
      </c>
      <c r="H37" s="107">
        <v>30</v>
      </c>
      <c r="I37" s="108"/>
      <c r="J37" s="108"/>
      <c r="K37" s="108"/>
      <c r="L37" s="108"/>
      <c r="M37" s="109">
        <f>I37-K37</f>
        <v>0</v>
      </c>
      <c r="N37" s="4" t="str">
        <f>IF(ISERROR(K37/I37),"",K37/I37)</f>
        <v/>
      </c>
      <c r="O37" s="105">
        <f>I37/E37</f>
        <v>0</v>
      </c>
      <c r="P37" s="105">
        <f>K37/E37</f>
        <v>0</v>
      </c>
      <c r="Q37" s="77">
        <v>4</v>
      </c>
      <c r="R37" s="77">
        <v>2</v>
      </c>
      <c r="S37" s="77" t="s">
        <v>1244</v>
      </c>
      <c r="T37" s="5">
        <v>197</v>
      </c>
      <c r="U37" s="9"/>
      <c r="W37" s="104">
        <f t="shared" si="31"/>
        <v>197.4</v>
      </c>
      <c r="X37" s="106">
        <f t="shared" si="31"/>
        <v>60</v>
      </c>
      <c r="Y37" s="102">
        <f t="shared" si="32"/>
        <v>30</v>
      </c>
      <c r="Z37" s="109">
        <f t="shared" si="32"/>
        <v>0</v>
      </c>
      <c r="AA37" s="109">
        <f>K37</f>
        <v>0</v>
      </c>
      <c r="AB37" s="109">
        <f t="shared" si="33"/>
        <v>0</v>
      </c>
      <c r="AC37" s="4" t="str">
        <f t="shared" si="33"/>
        <v/>
      </c>
      <c r="AD37" s="105">
        <f t="shared" si="33"/>
        <v>0</v>
      </c>
      <c r="AE37" s="77" t="str">
        <f>S37</f>
        <v>계</v>
      </c>
      <c r="AF37" s="77" t="str">
        <f>Q37&amp;"/"&amp;R37</f>
        <v>4/2</v>
      </c>
      <c r="AH37" s="20" t="str">
        <f t="shared" ref="AH37:AH68" si="35">IF(A37="","",A37)</f>
        <v>롯데4차</v>
      </c>
      <c r="AI37" s="106">
        <f t="shared" si="34"/>
        <v>60</v>
      </c>
      <c r="AJ37" s="77" t="str">
        <f>IF(AI37="","",$AJ$2)</f>
        <v>A-</v>
      </c>
      <c r="AK37" s="77" t="s">
        <v>13</v>
      </c>
      <c r="AL37" s="77" t="s">
        <v>1242</v>
      </c>
      <c r="AM37" s="77" t="s">
        <v>1243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X</v>
      </c>
      <c r="AU37" s="77" t="str">
        <f>IF(C37="","",IF(C37&gt;=$AU$1,"O","X"))</f>
        <v>X</v>
      </c>
      <c r="AV37" s="77" t="str">
        <f>IF(AO37="","",IF(AND(AO37="O",AP37="O",AR37="O",AT37="O",AU37="O"),"후보","X"))</f>
        <v/>
      </c>
    </row>
    <row r="38" spans="1:48" x14ac:dyDescent="0.3">
      <c r="A38" s="9"/>
      <c r="B38" s="77"/>
      <c r="C38" s="6"/>
      <c r="D38" s="9"/>
      <c r="E38" s="14"/>
      <c r="F38" s="104"/>
      <c r="G38" s="9"/>
      <c r="H38" s="9"/>
      <c r="I38" s="9"/>
      <c r="J38" s="9"/>
      <c r="K38" s="9"/>
      <c r="L38" s="9"/>
      <c r="M38" s="9"/>
      <c r="N38" s="9"/>
      <c r="O38" s="105"/>
      <c r="P38" s="105"/>
      <c r="Q38" s="106"/>
      <c r="R38" s="106"/>
      <c r="S38" s="9"/>
      <c r="T38" s="47"/>
      <c r="U38" s="9"/>
      <c r="W38" s="67" t="str">
        <f>$A$4&amp;" "&amp;A39&amp;"("&amp;B39&amp;","&amp;C39&amp;"^)"</f>
        <v>나운동 롯데2차('92.08.,460^)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5"/>
        <v/>
      </c>
      <c r="AI38" s="103" t="str">
        <f t="shared" si="34"/>
        <v/>
      </c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</row>
    <row r="39" spans="1:48" x14ac:dyDescent="0.3">
      <c r="A39" s="9" t="s">
        <v>297</v>
      </c>
      <c r="B39" s="10" t="s">
        <v>1270</v>
      </c>
      <c r="C39" s="107">
        <v>460</v>
      </c>
      <c r="D39" s="104">
        <v>92</v>
      </c>
      <c r="E39" s="106">
        <v>28</v>
      </c>
      <c r="F39" s="104">
        <v>74</v>
      </c>
      <c r="G39" s="17">
        <v>22</v>
      </c>
      <c r="H39" s="107">
        <v>104</v>
      </c>
      <c r="I39" s="108">
        <v>10500</v>
      </c>
      <c r="J39" s="108" t="s">
        <v>1253</v>
      </c>
      <c r="K39" s="108"/>
      <c r="L39" s="108"/>
      <c r="M39" s="109">
        <f>I39-K39</f>
        <v>10500</v>
      </c>
      <c r="N39" s="4">
        <f>IF(ISERROR(K39/I39),"",K39/I39)</f>
        <v>0</v>
      </c>
      <c r="O39" s="105">
        <f>I39/E39</f>
        <v>375</v>
      </c>
      <c r="P39" s="105">
        <f>K39/E39</f>
        <v>0</v>
      </c>
      <c r="Q39" s="77">
        <v>3</v>
      </c>
      <c r="R39" s="77">
        <v>1</v>
      </c>
      <c r="S39" s="77" t="s">
        <v>1244</v>
      </c>
      <c r="T39" s="5">
        <v>91</v>
      </c>
      <c r="U39" s="9"/>
      <c r="W39" s="104">
        <f t="shared" ref="W39:X41" si="36">D39</f>
        <v>92</v>
      </c>
      <c r="X39" s="106">
        <f t="shared" si="36"/>
        <v>28</v>
      </c>
      <c r="Y39" s="102">
        <f t="shared" ref="Y39:Z41" si="37">H39</f>
        <v>104</v>
      </c>
      <c r="Z39" s="109">
        <f t="shared" si="37"/>
        <v>10500</v>
      </c>
      <c r="AA39" s="109">
        <f>K39</f>
        <v>0</v>
      </c>
      <c r="AB39" s="109">
        <f t="shared" ref="AB39:AD41" si="38">M39</f>
        <v>10500</v>
      </c>
      <c r="AC39" s="4">
        <f t="shared" si="38"/>
        <v>0</v>
      </c>
      <c r="AD39" s="105">
        <f t="shared" si="38"/>
        <v>375</v>
      </c>
      <c r="AE39" s="77" t="str">
        <f>S39</f>
        <v>계</v>
      </c>
      <c r="AF39" s="77" t="str">
        <f>Q39&amp;"/"&amp;R39</f>
        <v>3/1</v>
      </c>
      <c r="AH39" s="20" t="str">
        <f t="shared" si="35"/>
        <v>롯데2차</v>
      </c>
      <c r="AI39" s="106">
        <f t="shared" si="34"/>
        <v>28</v>
      </c>
      <c r="AJ39" s="77" t="str">
        <f>IF(AI39="","",$AJ$2)</f>
        <v>A-</v>
      </c>
      <c r="AK39" s="77" t="s">
        <v>13</v>
      </c>
      <c r="AL39" s="77" t="s">
        <v>1242</v>
      </c>
      <c r="AM39" s="77" t="s">
        <v>1243</v>
      </c>
      <c r="AN39" s="77" t="str">
        <f>IF(AI39="","",$AN$2)</f>
        <v>C</v>
      </c>
      <c r="AO39" s="77" t="str">
        <f>IF(N39="","",IF(N39&gt;=$AO$1/100,"O","X"))</f>
        <v>X</v>
      </c>
      <c r="AP39" s="77" t="str">
        <f>IF(I39="","",IF(I39&lt;=$AP$1,"O","X"))</f>
        <v>O</v>
      </c>
      <c r="AQ39" s="77" t="str">
        <f>IF(O39="","",IF(O39&lt;=$AQ$1,"O","X"))</f>
        <v>O</v>
      </c>
      <c r="AR39" s="77" t="str">
        <f>IF(M39="","",IF(M39&lt;=$AR$1,"O","X"))</f>
        <v>X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O</v>
      </c>
      <c r="AV39" s="77" t="str">
        <f>IF(AO39="","",IF(AND(AO39="O",AP39="O",AR39="O",AT39="O",AU39="O"),"후보","X"))</f>
        <v>X</v>
      </c>
    </row>
    <row r="40" spans="1:48" x14ac:dyDescent="0.3">
      <c r="A40" s="9" t="s">
        <v>297</v>
      </c>
      <c r="B40" s="10" t="s">
        <v>1270</v>
      </c>
      <c r="C40" s="107">
        <v>460</v>
      </c>
      <c r="D40" s="104">
        <v>106</v>
      </c>
      <c r="E40" s="106">
        <v>32</v>
      </c>
      <c r="F40" s="104">
        <v>84.8</v>
      </c>
      <c r="G40" s="17">
        <v>26</v>
      </c>
      <c r="H40" s="107">
        <v>278</v>
      </c>
      <c r="I40" s="108">
        <v>13800</v>
      </c>
      <c r="J40" s="108" t="s">
        <v>1271</v>
      </c>
      <c r="K40" s="108"/>
      <c r="L40" s="108"/>
      <c r="M40" s="109">
        <f>I40-K40</f>
        <v>13800</v>
      </c>
      <c r="N40" s="4">
        <f>IF(ISERROR(K40/I40),"",K40/I40)</f>
        <v>0</v>
      </c>
      <c r="O40" s="105">
        <f>I40/E40</f>
        <v>431.25</v>
      </c>
      <c r="P40" s="105">
        <f>K40/E40</f>
        <v>0</v>
      </c>
      <c r="Q40" s="77">
        <v>3</v>
      </c>
      <c r="R40" s="77">
        <v>2</v>
      </c>
      <c r="S40" s="77" t="s">
        <v>1244</v>
      </c>
      <c r="T40" s="5">
        <v>105</v>
      </c>
      <c r="U40" s="9"/>
      <c r="W40" s="104">
        <f t="shared" si="36"/>
        <v>106</v>
      </c>
      <c r="X40" s="106">
        <f t="shared" si="36"/>
        <v>32</v>
      </c>
      <c r="Y40" s="102">
        <f t="shared" si="37"/>
        <v>278</v>
      </c>
      <c r="Z40" s="109">
        <f t="shared" si="37"/>
        <v>13800</v>
      </c>
      <c r="AA40" s="109">
        <f>K40</f>
        <v>0</v>
      </c>
      <c r="AB40" s="109">
        <f t="shared" si="38"/>
        <v>13800</v>
      </c>
      <c r="AC40" s="4">
        <f t="shared" si="38"/>
        <v>0</v>
      </c>
      <c r="AD40" s="105">
        <f t="shared" si="38"/>
        <v>431.25</v>
      </c>
      <c r="AE40" s="77" t="str">
        <f>S40</f>
        <v>계</v>
      </c>
      <c r="AF40" s="77" t="str">
        <f>Q40&amp;"/"&amp;R40</f>
        <v>3/2</v>
      </c>
      <c r="AH40" s="20" t="str">
        <f t="shared" si="35"/>
        <v>롯데2차</v>
      </c>
      <c r="AI40" s="106">
        <f t="shared" si="34"/>
        <v>32</v>
      </c>
      <c r="AJ40" s="77" t="str">
        <f>IF(AI40="","",$AJ$2)</f>
        <v>A-</v>
      </c>
      <c r="AK40" s="77" t="s">
        <v>13</v>
      </c>
      <c r="AL40" s="77" t="s">
        <v>1242</v>
      </c>
      <c r="AM40" s="77" t="s">
        <v>1243</v>
      </c>
      <c r="AN40" s="77" t="str">
        <f>IF(AI40="","",$AN$2)</f>
        <v>C</v>
      </c>
      <c r="AO40" s="77" t="str">
        <f>IF(N40="","",IF(N40&gt;=$AO$1/100,"O","X"))</f>
        <v>X</v>
      </c>
      <c r="AP40" s="77" t="str">
        <f>IF(I40="","",IF(I40&lt;=$AP$1,"O","X"))</f>
        <v>O</v>
      </c>
      <c r="AQ40" s="77" t="str">
        <f>IF(O40="","",IF(O40&lt;=$AQ$1,"O","X"))</f>
        <v>O</v>
      </c>
      <c r="AR40" s="77" t="str">
        <f>IF(M40="","",IF(M40&lt;=$AR$1,"O","X"))</f>
        <v>X</v>
      </c>
      <c r="AS40" s="77" t="s">
        <v>2</v>
      </c>
      <c r="AT40" s="77" t="str">
        <f>IF(OR(F40="",AI40=""),"",IF(AND((F40&lt;=85),(AI40&gt;=15)),"O","X"))</f>
        <v>O</v>
      </c>
      <c r="AU40" s="77" t="str">
        <f>IF(C40="","",IF(C40&gt;=$AU$1,"O","X"))</f>
        <v>O</v>
      </c>
      <c r="AV40" s="77" t="str">
        <f>IF(AO40="","",IF(AND(AO40="O",AP40="O",AR40="O",AT40="O",AU40="O"),"후보","X"))</f>
        <v>X</v>
      </c>
    </row>
    <row r="41" spans="1:48" x14ac:dyDescent="0.3">
      <c r="A41" s="9" t="s">
        <v>297</v>
      </c>
      <c r="B41" s="10" t="s">
        <v>1270</v>
      </c>
      <c r="C41" s="107">
        <v>460</v>
      </c>
      <c r="D41" s="104">
        <v>155.6</v>
      </c>
      <c r="E41" s="106">
        <v>47</v>
      </c>
      <c r="F41" s="104">
        <v>131.80000000000001</v>
      </c>
      <c r="G41" s="17">
        <v>40</v>
      </c>
      <c r="H41" s="107">
        <v>78</v>
      </c>
      <c r="I41" s="108"/>
      <c r="J41" s="108"/>
      <c r="K41" s="108"/>
      <c r="L41" s="108"/>
      <c r="M41" s="109">
        <f>I41-K41</f>
        <v>0</v>
      </c>
      <c r="N41" s="4" t="str">
        <f>IF(ISERROR(K41/I41),"",K41/I41)</f>
        <v/>
      </c>
      <c r="O41" s="105">
        <f>I41/E41</f>
        <v>0</v>
      </c>
      <c r="P41" s="105">
        <f>K41/E41</f>
        <v>0</v>
      </c>
      <c r="Q41" s="77">
        <v>4</v>
      </c>
      <c r="R41" s="77">
        <v>2</v>
      </c>
      <c r="S41" s="77" t="s">
        <v>1244</v>
      </c>
      <c r="T41" s="5">
        <v>155</v>
      </c>
      <c r="U41" s="9"/>
      <c r="W41" s="104">
        <f t="shared" si="36"/>
        <v>155.6</v>
      </c>
      <c r="X41" s="106">
        <f t="shared" si="36"/>
        <v>47</v>
      </c>
      <c r="Y41" s="102">
        <f t="shared" si="37"/>
        <v>78</v>
      </c>
      <c r="Z41" s="109">
        <f t="shared" si="37"/>
        <v>0</v>
      </c>
      <c r="AA41" s="109">
        <f>K41</f>
        <v>0</v>
      </c>
      <c r="AB41" s="109">
        <f t="shared" si="38"/>
        <v>0</v>
      </c>
      <c r="AC41" s="4" t="str">
        <f t="shared" si="38"/>
        <v/>
      </c>
      <c r="AD41" s="105">
        <f t="shared" si="38"/>
        <v>0</v>
      </c>
      <c r="AE41" s="77" t="str">
        <f>S41</f>
        <v>계</v>
      </c>
      <c r="AF41" s="77" t="str">
        <f>Q41&amp;"/"&amp;R41</f>
        <v>4/2</v>
      </c>
      <c r="AH41" s="20" t="str">
        <f t="shared" si="35"/>
        <v>롯데2차</v>
      </c>
      <c r="AI41" s="106">
        <f t="shared" si="34"/>
        <v>47</v>
      </c>
      <c r="AJ41" s="77" t="str">
        <f>IF(AI41="","",$AJ$2)</f>
        <v>A-</v>
      </c>
      <c r="AK41" s="77" t="s">
        <v>13</v>
      </c>
      <c r="AL41" s="77" t="s">
        <v>1242</v>
      </c>
      <c r="AM41" s="77" t="s">
        <v>1243</v>
      </c>
      <c r="AN41" s="77" t="str">
        <f>IF(AI41="","",$AN$2)</f>
        <v>C</v>
      </c>
      <c r="AO41" s="77" t="str">
        <f>IF(N41="","",IF(N41&gt;=$AO$1/100,"O","X"))</f>
        <v/>
      </c>
      <c r="AP41" s="77" t="str">
        <f>IF(I41="","",IF(I41&lt;=$AP$1,"O","X"))</f>
        <v/>
      </c>
      <c r="AQ41" s="77" t="str">
        <f>IF(O41="","",IF(O41&lt;=$AQ$1,"O","X"))</f>
        <v>O</v>
      </c>
      <c r="AR41" s="77" t="str">
        <f>IF(M41="","",IF(M41&lt;=$AR$1,"O","X"))</f>
        <v>O</v>
      </c>
      <c r="AS41" s="77" t="s">
        <v>2</v>
      </c>
      <c r="AT41" s="77" t="str">
        <f>IF(OR(F41="",AI41=""),"",IF(AND((F41&lt;=85),(AI41&gt;=15)),"O","X"))</f>
        <v>X</v>
      </c>
      <c r="AU41" s="77" t="str">
        <f>IF(C41="","",IF(C41&gt;=$AU$1,"O","X"))</f>
        <v>O</v>
      </c>
      <c r="AV41" s="77" t="str">
        <f>IF(AO41="","",IF(AND(AO41="O",AP41="O",AR41="O",AT41="O",AU41="O"),"후보","X"))</f>
        <v/>
      </c>
    </row>
    <row r="42" spans="1:48" x14ac:dyDescent="0.3">
      <c r="A42" s="9"/>
      <c r="B42" s="77"/>
      <c r="C42" s="6"/>
      <c r="D42" s="9"/>
      <c r="E42" s="14"/>
      <c r="F42" s="104"/>
      <c r="G42" s="9"/>
      <c r="H42" s="9"/>
      <c r="I42" s="9"/>
      <c r="J42" s="9"/>
      <c r="K42" s="9"/>
      <c r="L42" s="9"/>
      <c r="M42" s="9"/>
      <c r="N42" s="9"/>
      <c r="O42" s="105"/>
      <c r="P42" s="105"/>
      <c r="Q42" s="106"/>
      <c r="R42" s="106"/>
      <c r="S42" s="9"/>
      <c r="T42" s="47"/>
      <c r="U42" s="9"/>
      <c r="W42" s="67" t="str">
        <f>$A$4&amp;" "&amp;A43&amp;"("&amp;B43&amp;","&amp;C43&amp;"^)"</f>
        <v>나운동 우성('95.06.,345^)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35"/>
        <v/>
      </c>
      <c r="AI42" s="103" t="str">
        <f t="shared" si="34"/>
        <v/>
      </c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</row>
    <row r="43" spans="1:48" x14ac:dyDescent="0.3">
      <c r="A43" s="9" t="s">
        <v>311</v>
      </c>
      <c r="B43" s="10" t="s">
        <v>1240</v>
      </c>
      <c r="C43" s="107">
        <v>345</v>
      </c>
      <c r="D43" s="104">
        <v>115.7</v>
      </c>
      <c r="E43" s="106">
        <v>35</v>
      </c>
      <c r="F43" s="104">
        <v>93.6</v>
      </c>
      <c r="G43" s="17">
        <v>28</v>
      </c>
      <c r="H43" s="107">
        <v>75</v>
      </c>
      <c r="I43" s="108"/>
      <c r="J43" s="108"/>
      <c r="K43" s="108"/>
      <c r="L43" s="108"/>
      <c r="M43" s="109">
        <f>I43-K43</f>
        <v>0</v>
      </c>
      <c r="N43" s="4" t="str">
        <f>IF(ISERROR(K43/I43),"",K43/I43)</f>
        <v/>
      </c>
      <c r="O43" s="105">
        <f>I43/E43</f>
        <v>0</v>
      </c>
      <c r="P43" s="105">
        <f>K43/E43</f>
        <v>0</v>
      </c>
      <c r="Q43" s="77">
        <v>3</v>
      </c>
      <c r="R43" s="77">
        <v>2</v>
      </c>
      <c r="S43" s="77" t="s">
        <v>1244</v>
      </c>
      <c r="T43" s="5">
        <v>115</v>
      </c>
      <c r="U43" s="9"/>
      <c r="W43" s="104">
        <f>D43</f>
        <v>115.7</v>
      </c>
      <c r="X43" s="106">
        <f>E43</f>
        <v>35</v>
      </c>
      <c r="Y43" s="102">
        <f>H43</f>
        <v>75</v>
      </c>
      <c r="Z43" s="109">
        <f>I43</f>
        <v>0</v>
      </c>
      <c r="AA43" s="109">
        <f>K43</f>
        <v>0</v>
      </c>
      <c r="AB43" s="109">
        <f t="shared" ref="AB43:AD44" si="39">M43</f>
        <v>0</v>
      </c>
      <c r="AC43" s="4" t="str">
        <f t="shared" si="39"/>
        <v/>
      </c>
      <c r="AD43" s="105">
        <f t="shared" si="39"/>
        <v>0</v>
      </c>
      <c r="AE43" s="77" t="str">
        <f>S43</f>
        <v>계</v>
      </c>
      <c r="AF43" s="77" t="str">
        <f>Q43&amp;"/"&amp;R43</f>
        <v>3/2</v>
      </c>
      <c r="AH43" s="20" t="str">
        <f t="shared" si="35"/>
        <v>우성</v>
      </c>
      <c r="AI43" s="106">
        <f t="shared" si="34"/>
        <v>35</v>
      </c>
      <c r="AJ43" s="77" t="str">
        <f>IF(AI43="","",$AJ$2)</f>
        <v>A-</v>
      </c>
      <c r="AK43" s="77" t="s">
        <v>13</v>
      </c>
      <c r="AL43" s="77" t="s">
        <v>1242</v>
      </c>
      <c r="AM43" s="77" t="s">
        <v>1243</v>
      </c>
      <c r="AN43" s="77" t="str">
        <f>IF(AI43="","",$AN$2)</f>
        <v>C</v>
      </c>
      <c r="AO43" s="77" t="str">
        <f>IF(N43="","",IF(N43&gt;=$AO$1/100,"O","X"))</f>
        <v/>
      </c>
      <c r="AP43" s="77" t="str">
        <f>IF(I43="","",IF(I43&lt;=$AP$1,"O","X"))</f>
        <v/>
      </c>
      <c r="AQ43" s="77" t="str">
        <f>IF(O43="","",IF(O43&lt;=$AQ$1,"O","X"))</f>
        <v>O</v>
      </c>
      <c r="AR43" s="77" t="str">
        <f>IF(M43="","",IF(M43&lt;=$AR$1,"O","X"))</f>
        <v>O</v>
      </c>
      <c r="AS43" s="77" t="s">
        <v>2</v>
      </c>
      <c r="AT43" s="77" t="str">
        <f>IF(OR(F43="",AI43=""),"",IF(AND((F43&lt;=85),(AI43&gt;=15)),"O","X"))</f>
        <v>X</v>
      </c>
      <c r="AU43" s="77" t="str">
        <f>IF(C43="","",IF(C43&gt;=$AU$1,"O","X"))</f>
        <v>O</v>
      </c>
      <c r="AV43" s="77" t="str">
        <f>IF(AO43="","",IF(AND(AO43="O",AP43="O",AR43="O",AT43="O",AU43="O"),"후보","X"))</f>
        <v/>
      </c>
    </row>
    <row r="44" spans="1:48" x14ac:dyDescent="0.3">
      <c r="A44" s="9" t="s">
        <v>311</v>
      </c>
      <c r="B44" s="10" t="s">
        <v>1240</v>
      </c>
      <c r="C44" s="107">
        <v>345</v>
      </c>
      <c r="D44" s="104">
        <v>120.2</v>
      </c>
      <c r="E44" s="106">
        <v>36</v>
      </c>
      <c r="F44" s="104">
        <v>100</v>
      </c>
      <c r="G44" s="17">
        <v>30</v>
      </c>
      <c r="H44" s="107">
        <v>270</v>
      </c>
      <c r="I44" s="108">
        <v>17000</v>
      </c>
      <c r="J44" s="108" t="s">
        <v>1272</v>
      </c>
      <c r="K44" s="108"/>
      <c r="L44" s="108"/>
      <c r="M44" s="109">
        <f>I44-K44</f>
        <v>17000</v>
      </c>
      <c r="N44" s="4">
        <f>IF(ISERROR(K44/I44),"",K44/I44)</f>
        <v>0</v>
      </c>
      <c r="O44" s="105">
        <f>I44/E44</f>
        <v>472.22222222222223</v>
      </c>
      <c r="P44" s="105">
        <f>K44/E44</f>
        <v>0</v>
      </c>
      <c r="Q44" s="77">
        <v>3</v>
      </c>
      <c r="R44" s="77">
        <v>2</v>
      </c>
      <c r="S44" s="77" t="s">
        <v>1244</v>
      </c>
      <c r="T44" s="5">
        <v>120</v>
      </c>
      <c r="U44" s="9"/>
      <c r="W44" s="104">
        <f>D44</f>
        <v>120.2</v>
      </c>
      <c r="X44" s="106">
        <f>E44</f>
        <v>36</v>
      </c>
      <c r="Y44" s="102">
        <f>H44</f>
        <v>270</v>
      </c>
      <c r="Z44" s="109">
        <f>I44</f>
        <v>17000</v>
      </c>
      <c r="AA44" s="109">
        <f>K44</f>
        <v>0</v>
      </c>
      <c r="AB44" s="109">
        <f t="shared" si="39"/>
        <v>17000</v>
      </c>
      <c r="AC44" s="4">
        <f t="shared" si="39"/>
        <v>0</v>
      </c>
      <c r="AD44" s="105">
        <f t="shared" si="39"/>
        <v>472.22222222222223</v>
      </c>
      <c r="AE44" s="77" t="str">
        <f>S44</f>
        <v>계</v>
      </c>
      <c r="AF44" s="77" t="str">
        <f>Q44&amp;"/"&amp;R44</f>
        <v>3/2</v>
      </c>
      <c r="AH44" s="20" t="str">
        <f t="shared" si="35"/>
        <v>우성</v>
      </c>
      <c r="AI44" s="106">
        <f t="shared" si="34"/>
        <v>36</v>
      </c>
      <c r="AJ44" s="77" t="str">
        <f>IF(AI44="","",$AJ$2)</f>
        <v>A-</v>
      </c>
      <c r="AK44" s="77" t="s">
        <v>13</v>
      </c>
      <c r="AL44" s="77" t="s">
        <v>1242</v>
      </c>
      <c r="AM44" s="77" t="s">
        <v>1243</v>
      </c>
      <c r="AN44" s="77" t="str">
        <f>IF(AI44="","",$AN$2)</f>
        <v>C</v>
      </c>
      <c r="AO44" s="77" t="str">
        <f>IF(N44="","",IF(N44&gt;=$AO$1/100,"O","X"))</f>
        <v>X</v>
      </c>
      <c r="AP44" s="77" t="str">
        <f>IF(I44="","",IF(I44&lt;=$AP$1,"O","X"))</f>
        <v>O</v>
      </c>
      <c r="AQ44" s="77" t="str">
        <f>IF(O44="","",IF(O44&lt;=$AQ$1,"O","X"))</f>
        <v>O</v>
      </c>
      <c r="AR44" s="77" t="str">
        <f>IF(M44="","",IF(M44&lt;=$AR$1,"O","X"))</f>
        <v>X</v>
      </c>
      <c r="AS44" s="77" t="s">
        <v>2</v>
      </c>
      <c r="AT44" s="77" t="str">
        <f>IF(OR(F44="",AI44=""),"",IF(AND((F44&lt;=85),(AI44&gt;=15)),"O","X"))</f>
        <v>X</v>
      </c>
      <c r="AU44" s="77" t="str">
        <f>IF(C44="","",IF(C44&gt;=$AU$1,"O","X"))</f>
        <v>O</v>
      </c>
      <c r="AV44" s="77" t="str">
        <f>IF(AO44="","",IF(AND(AO44="O",AP44="O",AR44="O",AT44="O",AU44="O"),"후보","X"))</f>
        <v>X</v>
      </c>
    </row>
    <row r="45" spans="1:48" x14ac:dyDescent="0.3">
      <c r="A45" s="9"/>
      <c r="B45" s="77"/>
      <c r="C45" s="6"/>
      <c r="D45" s="9"/>
      <c r="E45" s="14"/>
      <c r="F45" s="104"/>
      <c r="G45" s="9"/>
      <c r="H45" s="9"/>
      <c r="I45" s="9"/>
      <c r="J45" s="9"/>
      <c r="K45" s="9"/>
      <c r="L45" s="9"/>
      <c r="M45" s="9"/>
      <c r="N45" s="9"/>
      <c r="O45" s="105"/>
      <c r="P45" s="105"/>
      <c r="Q45" s="106"/>
      <c r="R45" s="106"/>
      <c r="S45" s="9"/>
      <c r="T45" s="47"/>
      <c r="U45" s="9"/>
      <c r="W45" s="67" t="str">
        <f>$A$4&amp;" "&amp;A46&amp;"("&amp;B46&amp;","&amp;C46&amp;"^)"</f>
        <v>나운동 금호타운1차('91.09.,930^)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35"/>
        <v/>
      </c>
      <c r="AI45" s="103" t="str">
        <f t="shared" si="34"/>
        <v/>
      </c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</row>
    <row r="46" spans="1:48" x14ac:dyDescent="0.3">
      <c r="A46" s="9" t="s">
        <v>315</v>
      </c>
      <c r="B46" s="10" t="s">
        <v>1273</v>
      </c>
      <c r="C46" s="107">
        <v>930</v>
      </c>
      <c r="D46" s="104">
        <v>89.1</v>
      </c>
      <c r="E46" s="106">
        <v>27</v>
      </c>
      <c r="F46" s="104">
        <v>73.099999999999994</v>
      </c>
      <c r="G46" s="17">
        <v>22</v>
      </c>
      <c r="H46" s="107">
        <v>330</v>
      </c>
      <c r="I46" s="108">
        <v>12500</v>
      </c>
      <c r="J46" s="108" t="s">
        <v>1255</v>
      </c>
      <c r="K46" s="108"/>
      <c r="L46" s="108"/>
      <c r="M46" s="109">
        <f>I46-K46</f>
        <v>12500</v>
      </c>
      <c r="N46" s="4">
        <f>IF(ISERROR(K46/I46),"",K46/I46)</f>
        <v>0</v>
      </c>
      <c r="O46" s="105">
        <f>I46/E46</f>
        <v>462.96296296296299</v>
      </c>
      <c r="P46" s="105">
        <f>K46/E46</f>
        <v>0</v>
      </c>
      <c r="Q46" s="77">
        <v>3</v>
      </c>
      <c r="R46" s="77">
        <v>2</v>
      </c>
      <c r="S46" s="77" t="s">
        <v>1244</v>
      </c>
      <c r="T46" s="5">
        <v>89</v>
      </c>
      <c r="U46" s="9"/>
      <c r="W46" s="104">
        <f>D46</f>
        <v>89.1</v>
      </c>
      <c r="X46" s="106">
        <f>E46</f>
        <v>27</v>
      </c>
      <c r="Y46" s="102">
        <f>H46</f>
        <v>330</v>
      </c>
      <c r="Z46" s="109">
        <f>I46</f>
        <v>12500</v>
      </c>
      <c r="AA46" s="109">
        <f>K46</f>
        <v>0</v>
      </c>
      <c r="AB46" s="109">
        <f t="shared" ref="AB46:AD47" si="40">M46</f>
        <v>12500</v>
      </c>
      <c r="AC46" s="4">
        <f t="shared" si="40"/>
        <v>0</v>
      </c>
      <c r="AD46" s="105">
        <f t="shared" si="40"/>
        <v>462.96296296296299</v>
      </c>
      <c r="AE46" s="77" t="str">
        <f>S46</f>
        <v>계</v>
      </c>
      <c r="AF46" s="77" t="str">
        <f>Q46&amp;"/"&amp;R46</f>
        <v>3/2</v>
      </c>
      <c r="AH46" s="20" t="str">
        <f t="shared" si="35"/>
        <v>금호타운1차</v>
      </c>
      <c r="AI46" s="106">
        <f t="shared" si="34"/>
        <v>27</v>
      </c>
      <c r="AJ46" s="77" t="str">
        <f>IF(AI46="","",$AJ$2)</f>
        <v>A-</v>
      </c>
      <c r="AK46" s="77" t="s">
        <v>13</v>
      </c>
      <c r="AL46" s="77" t="s">
        <v>1242</v>
      </c>
      <c r="AM46" s="77" t="s">
        <v>1243</v>
      </c>
      <c r="AN46" s="77" t="str">
        <f>IF(AI46="","",$AN$2)</f>
        <v>C</v>
      </c>
      <c r="AO46" s="77" t="str">
        <f>IF(N46="","",IF(N46&gt;=$AO$1/100,"O","X"))</f>
        <v>X</v>
      </c>
      <c r="AP46" s="77" t="str">
        <f>IF(I46="","",IF(I46&lt;=$AP$1,"O","X"))</f>
        <v>O</v>
      </c>
      <c r="AQ46" s="77" t="str">
        <f>IF(O46="","",IF(O46&lt;=$AQ$1,"O","X"))</f>
        <v>O</v>
      </c>
      <c r="AR46" s="77" t="str">
        <f>IF(M46="","",IF(M46&lt;=$AR$1,"O","X"))</f>
        <v>X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>X</v>
      </c>
    </row>
    <row r="47" spans="1:48" x14ac:dyDescent="0.3">
      <c r="A47" s="9" t="s">
        <v>315</v>
      </c>
      <c r="B47" s="10" t="s">
        <v>1273</v>
      </c>
      <c r="C47" s="107">
        <v>930</v>
      </c>
      <c r="D47" s="104">
        <v>101.7</v>
      </c>
      <c r="E47" s="106">
        <v>31</v>
      </c>
      <c r="F47" s="104">
        <v>84.8</v>
      </c>
      <c r="G47" s="17">
        <v>26</v>
      </c>
      <c r="H47" s="107">
        <v>600</v>
      </c>
      <c r="I47" s="108">
        <v>14000</v>
      </c>
      <c r="J47" s="108" t="s">
        <v>1248</v>
      </c>
      <c r="K47" s="108">
        <v>12000</v>
      </c>
      <c r="L47" s="108" t="s">
        <v>1248</v>
      </c>
      <c r="M47" s="109">
        <f>I47-K47</f>
        <v>2000</v>
      </c>
      <c r="N47" s="4">
        <f>IF(ISERROR(K47/I47),"",K47/I47)</f>
        <v>0.8571428571428571</v>
      </c>
      <c r="O47" s="105">
        <f>I47/E47</f>
        <v>451.61290322580646</v>
      </c>
      <c r="P47" s="105">
        <f>K47/E47</f>
        <v>387.09677419354841</v>
      </c>
      <c r="Q47" s="77">
        <v>3</v>
      </c>
      <c r="R47" s="77">
        <v>2</v>
      </c>
      <c r="S47" s="77" t="s">
        <v>1244</v>
      </c>
      <c r="T47" s="5">
        <v>101</v>
      </c>
      <c r="U47" s="9"/>
      <c r="W47" s="104">
        <f>D47</f>
        <v>101.7</v>
      </c>
      <c r="X47" s="106">
        <f>E47</f>
        <v>31</v>
      </c>
      <c r="Y47" s="102">
        <f>H47</f>
        <v>600</v>
      </c>
      <c r="Z47" s="109">
        <f>I47</f>
        <v>14000</v>
      </c>
      <c r="AA47" s="109">
        <f>K47</f>
        <v>12000</v>
      </c>
      <c r="AB47" s="109">
        <f t="shared" si="40"/>
        <v>2000</v>
      </c>
      <c r="AC47" s="4">
        <f t="shared" si="40"/>
        <v>0.8571428571428571</v>
      </c>
      <c r="AD47" s="105">
        <f t="shared" si="40"/>
        <v>451.61290322580646</v>
      </c>
      <c r="AE47" s="77" t="str">
        <f>S47</f>
        <v>계</v>
      </c>
      <c r="AF47" s="77" t="str">
        <f>Q47&amp;"/"&amp;R47</f>
        <v>3/2</v>
      </c>
      <c r="AH47" s="20" t="str">
        <f t="shared" si="35"/>
        <v>금호타운1차</v>
      </c>
      <c r="AI47" s="106">
        <f t="shared" si="34"/>
        <v>31</v>
      </c>
      <c r="AJ47" s="77" t="str">
        <f>IF(AI47="","",$AJ$2)</f>
        <v>A-</v>
      </c>
      <c r="AK47" s="77" t="s">
        <v>13</v>
      </c>
      <c r="AL47" s="77" t="s">
        <v>1242</v>
      </c>
      <c r="AM47" s="77" t="s">
        <v>1243</v>
      </c>
      <c r="AN47" s="77" t="str">
        <f>IF(AI47="","",$AN$2)</f>
        <v>C</v>
      </c>
      <c r="AO47" s="77" t="str">
        <f>IF(N47="","",IF(N47&gt;=$AO$1/100,"O","X"))</f>
        <v>O</v>
      </c>
      <c r="AP47" s="77" t="str">
        <f>IF(I47="","",IF(I47&lt;=$AP$1,"O","X"))</f>
        <v>O</v>
      </c>
      <c r="AQ47" s="77" t="str">
        <f>IF(O47="","",IF(O47&lt;=$AQ$1,"O","X"))</f>
        <v>O</v>
      </c>
      <c r="AR47" s="77" t="str">
        <f>IF(M47="","",IF(M47&lt;=$AR$1,"O","X"))</f>
        <v>O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O</v>
      </c>
      <c r="AV47" s="77" t="str">
        <f>IF(AO47="","",IF(AND(AO47="O",AP47="O",AR47="O",AT47="O",AU47="O"),"후보","X"))</f>
        <v>후보</v>
      </c>
    </row>
    <row r="48" spans="1:48" x14ac:dyDescent="0.3">
      <c r="A48" s="9"/>
      <c r="B48" s="77"/>
      <c r="C48" s="6"/>
      <c r="D48" s="9"/>
      <c r="E48" s="14"/>
      <c r="F48" s="104"/>
      <c r="G48" s="9"/>
      <c r="H48" s="9"/>
      <c r="I48" s="9"/>
      <c r="J48" s="9"/>
      <c r="K48" s="9"/>
      <c r="L48" s="9"/>
      <c r="M48" s="9"/>
      <c r="N48" s="9"/>
      <c r="O48" s="105"/>
      <c r="P48" s="105"/>
      <c r="Q48" s="106"/>
      <c r="R48" s="106"/>
      <c r="S48" s="9"/>
      <c r="T48" s="47"/>
      <c r="U48" s="9"/>
      <c r="W48" s="67" t="str">
        <f>$A$4&amp;" "&amp;A49&amp;"("&amp;B49&amp;","&amp;C49&amp;"^)"</f>
        <v>나운동 서호('95.06.,490^)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5"/>
        <v/>
      </c>
      <c r="AI48" s="103" t="str">
        <f t="shared" si="34"/>
        <v/>
      </c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</row>
    <row r="49" spans="1:48" x14ac:dyDescent="0.3">
      <c r="A49" s="9" t="s">
        <v>325</v>
      </c>
      <c r="B49" s="10" t="s">
        <v>1240</v>
      </c>
      <c r="C49" s="107">
        <v>490</v>
      </c>
      <c r="D49" s="104">
        <v>83.8</v>
      </c>
      <c r="E49" s="106">
        <v>25</v>
      </c>
      <c r="F49" s="104">
        <v>67.900000000000006</v>
      </c>
      <c r="G49" s="17">
        <v>21</v>
      </c>
      <c r="H49" s="107">
        <v>262</v>
      </c>
      <c r="I49" s="108">
        <v>11500</v>
      </c>
      <c r="J49" s="108" t="s">
        <v>1268</v>
      </c>
      <c r="K49" s="108"/>
      <c r="L49" s="108"/>
      <c r="M49" s="109">
        <f>I49-K49</f>
        <v>11500</v>
      </c>
      <c r="N49" s="4">
        <f>IF(ISERROR(K49/I49),"",K49/I49)</f>
        <v>0</v>
      </c>
      <c r="O49" s="105">
        <f>I49/E49</f>
        <v>460</v>
      </c>
      <c r="P49" s="105">
        <f>K49/E49</f>
        <v>0</v>
      </c>
      <c r="Q49" s="77">
        <v>3</v>
      </c>
      <c r="R49" s="77">
        <v>1</v>
      </c>
      <c r="S49" s="77" t="s">
        <v>1244</v>
      </c>
      <c r="T49" s="5">
        <v>83</v>
      </c>
      <c r="U49" s="9"/>
      <c r="W49" s="104">
        <f>D49</f>
        <v>83.8</v>
      </c>
      <c r="X49" s="106">
        <f>E49</f>
        <v>25</v>
      </c>
      <c r="Y49" s="102">
        <f>H49</f>
        <v>262</v>
      </c>
      <c r="Z49" s="109">
        <f>I49</f>
        <v>11500</v>
      </c>
      <c r="AA49" s="109">
        <f>K49</f>
        <v>0</v>
      </c>
      <c r="AB49" s="109">
        <f t="shared" ref="AB49:AD50" si="41">M49</f>
        <v>11500</v>
      </c>
      <c r="AC49" s="4">
        <f t="shared" si="41"/>
        <v>0</v>
      </c>
      <c r="AD49" s="105">
        <f t="shared" si="41"/>
        <v>460</v>
      </c>
      <c r="AE49" s="77" t="str">
        <f>S49</f>
        <v>계</v>
      </c>
      <c r="AF49" s="77" t="str">
        <f>Q49&amp;"/"&amp;R49</f>
        <v>3/1</v>
      </c>
      <c r="AH49" s="20" t="str">
        <f t="shared" si="35"/>
        <v>서호</v>
      </c>
      <c r="AI49" s="106">
        <f t="shared" si="34"/>
        <v>25</v>
      </c>
      <c r="AJ49" s="77" t="str">
        <f>IF(AI49="","",$AJ$2)</f>
        <v>A-</v>
      </c>
      <c r="AK49" s="77" t="s">
        <v>13</v>
      </c>
      <c r="AL49" s="77" t="s">
        <v>1242</v>
      </c>
      <c r="AM49" s="77" t="s">
        <v>1243</v>
      </c>
      <c r="AN49" s="77" t="str">
        <f>IF(AI49="","",$AN$2)</f>
        <v>C</v>
      </c>
      <c r="AO49" s="77" t="str">
        <f>IF(N49="","",IF(N49&gt;=$AO$1/100,"O","X"))</f>
        <v>X</v>
      </c>
      <c r="AP49" s="77" t="str">
        <f>IF(I49="","",IF(I49&lt;=$AP$1,"O","X"))</f>
        <v>O</v>
      </c>
      <c r="AQ49" s="77" t="str">
        <f>IF(O49="","",IF(O49&lt;=$AQ$1,"O","X"))</f>
        <v>O</v>
      </c>
      <c r="AR49" s="77" t="str">
        <f>IF(M49="","",IF(M49&lt;=$AR$1,"O","X"))</f>
        <v>X</v>
      </c>
      <c r="AS49" s="77" t="s">
        <v>2</v>
      </c>
      <c r="AT49" s="77" t="str">
        <f>IF(OR(F49="",AI49=""),"",IF(AND((F49&lt;=85),(AI49&gt;=15)),"O","X"))</f>
        <v>O</v>
      </c>
      <c r="AU49" s="77" t="str">
        <f>IF(C49="","",IF(C49&gt;=$AU$1,"O","X"))</f>
        <v>O</v>
      </c>
      <c r="AV49" s="77" t="str">
        <f>IF(AO49="","",IF(AND(AO49="O",AP49="O",AR49="O",AT49="O",AU49="O"),"후보","X"))</f>
        <v>X</v>
      </c>
    </row>
    <row r="50" spans="1:48" x14ac:dyDescent="0.3">
      <c r="A50" s="9" t="s">
        <v>325</v>
      </c>
      <c r="B50" s="10" t="s">
        <v>1240</v>
      </c>
      <c r="C50" s="107">
        <v>490</v>
      </c>
      <c r="D50" s="104">
        <v>103.8</v>
      </c>
      <c r="E50" s="106">
        <v>31</v>
      </c>
      <c r="F50" s="104">
        <v>85</v>
      </c>
      <c r="G50" s="17">
        <v>26</v>
      </c>
      <c r="H50" s="107">
        <v>228</v>
      </c>
      <c r="I50" s="108">
        <v>15700</v>
      </c>
      <c r="J50" s="108" t="s">
        <v>1245</v>
      </c>
      <c r="K50" s="108">
        <v>14500</v>
      </c>
      <c r="L50" s="108" t="s">
        <v>1272</v>
      </c>
      <c r="M50" s="109">
        <f>I50-K50</f>
        <v>1200</v>
      </c>
      <c r="N50" s="4">
        <f>IF(ISERROR(K50/I50),"",K50/I50)</f>
        <v>0.92356687898089174</v>
      </c>
      <c r="O50" s="105">
        <f>I50/E50</f>
        <v>506.45161290322579</v>
      </c>
      <c r="P50" s="105">
        <f>K50/E50</f>
        <v>467.74193548387098</v>
      </c>
      <c r="Q50" s="77">
        <v>3</v>
      </c>
      <c r="R50" s="77">
        <v>2</v>
      </c>
      <c r="S50" s="77" t="s">
        <v>1244</v>
      </c>
      <c r="T50" s="5">
        <v>103</v>
      </c>
      <c r="U50" s="9"/>
      <c r="W50" s="104">
        <f>D50</f>
        <v>103.8</v>
      </c>
      <c r="X50" s="106">
        <f>E50</f>
        <v>31</v>
      </c>
      <c r="Y50" s="102">
        <f>H50</f>
        <v>228</v>
      </c>
      <c r="Z50" s="109">
        <f>I50</f>
        <v>15700</v>
      </c>
      <c r="AA50" s="109">
        <f>K50</f>
        <v>14500</v>
      </c>
      <c r="AB50" s="109">
        <f t="shared" si="41"/>
        <v>1200</v>
      </c>
      <c r="AC50" s="4">
        <f t="shared" si="41"/>
        <v>0.92356687898089174</v>
      </c>
      <c r="AD50" s="105">
        <f t="shared" si="41"/>
        <v>506.45161290322579</v>
      </c>
      <c r="AE50" s="77" t="str">
        <f>S50</f>
        <v>계</v>
      </c>
      <c r="AF50" s="77" t="str">
        <f>Q50&amp;"/"&amp;R50</f>
        <v>3/2</v>
      </c>
      <c r="AH50" s="20" t="str">
        <f t="shared" si="35"/>
        <v>서호</v>
      </c>
      <c r="AI50" s="106">
        <f t="shared" si="34"/>
        <v>31</v>
      </c>
      <c r="AJ50" s="77" t="str">
        <f>IF(AI50="","",$AJ$2)</f>
        <v>A-</v>
      </c>
      <c r="AK50" s="77" t="s">
        <v>13</v>
      </c>
      <c r="AL50" s="77" t="s">
        <v>1242</v>
      </c>
      <c r="AM50" s="77" t="s">
        <v>1243</v>
      </c>
      <c r="AN50" s="77" t="str">
        <f>IF(AI50="","",$AN$2)</f>
        <v>C</v>
      </c>
      <c r="AO50" s="77" t="str">
        <f>IF(N50="","",IF(N50&gt;=$AO$1/100,"O","X"))</f>
        <v>O</v>
      </c>
      <c r="AP50" s="77" t="str">
        <f>IF(I50="","",IF(I50&lt;=$AP$1,"O","X"))</f>
        <v>O</v>
      </c>
      <c r="AQ50" s="77" t="str">
        <f>IF(O50="","",IF(O50&lt;=$AQ$1,"O","X"))</f>
        <v>O</v>
      </c>
      <c r="AR50" s="77" t="str">
        <f>IF(M50="","",IF(M50&lt;=$AR$1,"O","X"))</f>
        <v>O</v>
      </c>
      <c r="AS50" s="77" t="s">
        <v>2</v>
      </c>
      <c r="AT50" s="77" t="str">
        <f>IF(OR(F50="",AI50=""),"",IF(AND((F50&lt;=85),(AI50&gt;=15)),"O","X"))</f>
        <v>O</v>
      </c>
      <c r="AU50" s="77" t="str">
        <f>IF(C50="","",IF(C50&gt;=$AU$1,"O","X"))</f>
        <v>O</v>
      </c>
      <c r="AV50" s="77" t="str">
        <f>IF(AO50="","",IF(AND(AO50="O",AP50="O",AR50="O",AT50="O",AU50="O"),"후보","X"))</f>
        <v>후보</v>
      </c>
    </row>
    <row r="51" spans="1:48" x14ac:dyDescent="0.3">
      <c r="A51" s="9"/>
      <c r="B51" s="77"/>
      <c r="C51" s="6"/>
      <c r="D51" s="9"/>
      <c r="E51" s="14"/>
      <c r="F51" s="104"/>
      <c r="G51" s="9"/>
      <c r="H51" s="9"/>
      <c r="I51" s="9"/>
      <c r="J51" s="9"/>
      <c r="K51" s="9"/>
      <c r="L51" s="9"/>
      <c r="M51" s="9"/>
      <c r="N51" s="9"/>
      <c r="O51" s="105"/>
      <c r="P51" s="105"/>
      <c r="Q51" s="106"/>
      <c r="R51" s="106"/>
      <c r="S51" s="9"/>
      <c r="T51" s="47"/>
      <c r="U51" s="9"/>
      <c r="W51" s="67" t="str">
        <f>$A$4&amp;" "&amp;A52&amp;"("&amp;B52&amp;","&amp;C52&amp;"^)"</f>
        <v>나운동 주공3단지('83.12.,800^)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35"/>
        <v/>
      </c>
      <c r="AI51" s="103" t="str">
        <f t="shared" si="34"/>
        <v/>
      </c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</row>
    <row r="52" spans="1:48" x14ac:dyDescent="0.3">
      <c r="A52" s="9" t="s">
        <v>329</v>
      </c>
      <c r="B52" s="10" t="s">
        <v>1274</v>
      </c>
      <c r="C52" s="107">
        <v>800</v>
      </c>
      <c r="D52" s="104">
        <v>47.6</v>
      </c>
      <c r="E52" s="106">
        <v>14</v>
      </c>
      <c r="F52" s="104">
        <v>47.6</v>
      </c>
      <c r="G52" s="17">
        <v>14</v>
      </c>
      <c r="H52" s="107">
        <v>25</v>
      </c>
      <c r="I52" s="108"/>
      <c r="J52" s="108"/>
      <c r="K52" s="108"/>
      <c r="L52" s="108"/>
      <c r="M52" s="109">
        <f t="shared" ref="M52:M61" si="42">I52-K52</f>
        <v>0</v>
      </c>
      <c r="N52" s="4" t="str">
        <f t="shared" ref="N52:N61" si="43">IF(ISERROR(K52/I52),"",K52/I52)</f>
        <v/>
      </c>
      <c r="O52" s="105">
        <f t="shared" ref="O52:O61" si="44">I52/E52</f>
        <v>0</v>
      </c>
      <c r="P52" s="105">
        <f t="shared" ref="P52:P61" si="45">K52/E52</f>
        <v>0</v>
      </c>
      <c r="Q52" s="77">
        <v>1</v>
      </c>
      <c r="R52" s="77">
        <v>1</v>
      </c>
      <c r="S52" s="77" t="s">
        <v>1244</v>
      </c>
      <c r="T52" s="5">
        <v>47</v>
      </c>
      <c r="U52" s="9"/>
      <c r="W52" s="104">
        <f t="shared" ref="W52:W61" si="46">D52</f>
        <v>47.6</v>
      </c>
      <c r="X52" s="106">
        <f t="shared" ref="X52:X61" si="47">E52</f>
        <v>14</v>
      </c>
      <c r="Y52" s="102">
        <f t="shared" ref="Y52:Y61" si="48">H52</f>
        <v>25</v>
      </c>
      <c r="Z52" s="109">
        <f t="shared" ref="Z52:Z61" si="49">I52</f>
        <v>0</v>
      </c>
      <c r="AA52" s="109">
        <f t="shared" ref="AA52:AA61" si="50">K52</f>
        <v>0</v>
      </c>
      <c r="AB52" s="109">
        <f t="shared" ref="AB52:AB61" si="51">M52</f>
        <v>0</v>
      </c>
      <c r="AC52" s="4" t="str">
        <f t="shared" ref="AC52:AC61" si="52">N52</f>
        <v/>
      </c>
      <c r="AD52" s="105">
        <f t="shared" ref="AD52:AD61" si="53">O52</f>
        <v>0</v>
      </c>
      <c r="AE52" s="77" t="str">
        <f t="shared" ref="AE52:AE61" si="54">S52</f>
        <v>계</v>
      </c>
      <c r="AF52" s="77" t="str">
        <f t="shared" ref="AF52:AF61" si="55">Q52&amp;"/"&amp;R52</f>
        <v>1/1</v>
      </c>
      <c r="AH52" s="20" t="str">
        <f t="shared" si="35"/>
        <v>주공3단지</v>
      </c>
      <c r="AI52" s="106">
        <f t="shared" si="34"/>
        <v>14</v>
      </c>
      <c r="AJ52" s="77" t="str">
        <f t="shared" ref="AJ52:AJ61" si="56">IF(AI52="","",$AJ$2)</f>
        <v>A-</v>
      </c>
      <c r="AK52" s="77" t="s">
        <v>13</v>
      </c>
      <c r="AL52" s="77" t="s">
        <v>1242</v>
      </c>
      <c r="AM52" s="77" t="s">
        <v>1243</v>
      </c>
      <c r="AN52" s="77" t="str">
        <f t="shared" ref="AN52:AN61" si="57">IF(AI52="","",$AN$2)</f>
        <v>C</v>
      </c>
      <c r="AO52" s="77" t="str">
        <f t="shared" ref="AO52:AO61" si="58">IF(N52="","",IF(N52&gt;=$AO$1/100,"O","X"))</f>
        <v/>
      </c>
      <c r="AP52" s="77" t="str">
        <f t="shared" ref="AP52:AP61" si="59">IF(I52="","",IF(I52&lt;=$AP$1,"O","X"))</f>
        <v/>
      </c>
      <c r="AQ52" s="77" t="str">
        <f t="shared" ref="AQ52:AQ61" si="60">IF(O52="","",IF(O52&lt;=$AQ$1,"O","X"))</f>
        <v>O</v>
      </c>
      <c r="AR52" s="77" t="str">
        <f t="shared" ref="AR52:AR61" si="61">IF(M52="","",IF(M52&lt;=$AR$1,"O","X"))</f>
        <v>O</v>
      </c>
      <c r="AS52" s="77" t="s">
        <v>2</v>
      </c>
      <c r="AT52" s="77" t="str">
        <f t="shared" ref="AT52:AT61" si="62">IF(OR(F52="",AI52=""),"",IF(AND((F52&lt;=85),(AI52&gt;=15)),"O","X"))</f>
        <v>X</v>
      </c>
      <c r="AU52" s="77" t="str">
        <f t="shared" ref="AU52:AU61" si="63">IF(C52="","",IF(C52&gt;=$AU$1,"O","X"))</f>
        <v>O</v>
      </c>
      <c r="AV52" s="77" t="str">
        <f t="shared" ref="AV52:AV61" si="64">IF(AO52="","",IF(AND(AO52="O",AP52="O",AR52="O",AT52="O",AU52="O"),"후보","X"))</f>
        <v/>
      </c>
    </row>
    <row r="53" spans="1:48" x14ac:dyDescent="0.3">
      <c r="A53" s="9" t="s">
        <v>329</v>
      </c>
      <c r="B53" s="10" t="s">
        <v>1274</v>
      </c>
      <c r="C53" s="107">
        <v>800</v>
      </c>
      <c r="D53" s="104">
        <v>53.6</v>
      </c>
      <c r="E53" s="106">
        <v>16</v>
      </c>
      <c r="F53" s="104">
        <v>48.6</v>
      </c>
      <c r="G53" s="17">
        <v>15</v>
      </c>
      <c r="H53" s="107">
        <v>136</v>
      </c>
      <c r="I53" s="108">
        <v>17500</v>
      </c>
      <c r="J53" s="108" t="s">
        <v>1268</v>
      </c>
      <c r="K53" s="108"/>
      <c r="L53" s="108"/>
      <c r="M53" s="109">
        <f t="shared" si="42"/>
        <v>17500</v>
      </c>
      <c r="N53" s="4">
        <f t="shared" si="43"/>
        <v>0</v>
      </c>
      <c r="O53" s="105">
        <f t="shared" si="44"/>
        <v>1093.75</v>
      </c>
      <c r="P53" s="105">
        <f t="shared" si="45"/>
        <v>0</v>
      </c>
      <c r="Q53" s="77">
        <v>2</v>
      </c>
      <c r="R53" s="77">
        <v>1</v>
      </c>
      <c r="S53" s="77" t="s">
        <v>1244</v>
      </c>
      <c r="T53" s="5" t="s">
        <v>334</v>
      </c>
      <c r="U53" s="9"/>
      <c r="W53" s="104">
        <f t="shared" si="46"/>
        <v>53.6</v>
      </c>
      <c r="X53" s="106">
        <f t="shared" si="47"/>
        <v>16</v>
      </c>
      <c r="Y53" s="102">
        <f t="shared" si="48"/>
        <v>136</v>
      </c>
      <c r="Z53" s="109">
        <f t="shared" si="49"/>
        <v>17500</v>
      </c>
      <c r="AA53" s="109">
        <f t="shared" si="50"/>
        <v>0</v>
      </c>
      <c r="AB53" s="109">
        <f t="shared" si="51"/>
        <v>17500</v>
      </c>
      <c r="AC53" s="4">
        <f t="shared" si="52"/>
        <v>0</v>
      </c>
      <c r="AD53" s="105">
        <f t="shared" si="53"/>
        <v>1093.75</v>
      </c>
      <c r="AE53" s="77" t="str">
        <f t="shared" si="54"/>
        <v>계</v>
      </c>
      <c r="AF53" s="77" t="str">
        <f t="shared" si="55"/>
        <v>2/1</v>
      </c>
      <c r="AH53" s="20" t="str">
        <f t="shared" si="35"/>
        <v>주공3단지</v>
      </c>
      <c r="AI53" s="106">
        <f t="shared" si="34"/>
        <v>16</v>
      </c>
      <c r="AJ53" s="77" t="str">
        <f t="shared" si="56"/>
        <v>A-</v>
      </c>
      <c r="AK53" s="77" t="s">
        <v>13</v>
      </c>
      <c r="AL53" s="77" t="s">
        <v>1242</v>
      </c>
      <c r="AM53" s="77" t="s">
        <v>1243</v>
      </c>
      <c r="AN53" s="77" t="str">
        <f t="shared" si="57"/>
        <v>C</v>
      </c>
      <c r="AO53" s="77" t="str">
        <f t="shared" si="58"/>
        <v>X</v>
      </c>
      <c r="AP53" s="77" t="str">
        <f t="shared" si="59"/>
        <v>O</v>
      </c>
      <c r="AQ53" s="77" t="str">
        <f t="shared" si="60"/>
        <v>O</v>
      </c>
      <c r="AR53" s="77" t="str">
        <f t="shared" si="61"/>
        <v>X</v>
      </c>
      <c r="AS53" s="77" t="s">
        <v>2</v>
      </c>
      <c r="AT53" s="77" t="str">
        <f t="shared" si="62"/>
        <v>O</v>
      </c>
      <c r="AU53" s="77" t="str">
        <f t="shared" si="63"/>
        <v>O</v>
      </c>
      <c r="AV53" s="77" t="str">
        <f t="shared" si="64"/>
        <v>X</v>
      </c>
    </row>
    <row r="54" spans="1:48" x14ac:dyDescent="0.3">
      <c r="A54" s="9" t="s">
        <v>329</v>
      </c>
      <c r="B54" s="10" t="s">
        <v>1274</v>
      </c>
      <c r="C54" s="107">
        <v>800</v>
      </c>
      <c r="D54" s="104">
        <v>54.1</v>
      </c>
      <c r="E54" s="106">
        <v>16</v>
      </c>
      <c r="F54" s="104">
        <v>54.1</v>
      </c>
      <c r="G54" s="17">
        <v>16</v>
      </c>
      <c r="H54" s="107">
        <v>115</v>
      </c>
      <c r="I54" s="108">
        <v>18000</v>
      </c>
      <c r="J54" s="108" t="s">
        <v>1268</v>
      </c>
      <c r="K54" s="108"/>
      <c r="L54" s="108"/>
      <c r="M54" s="109">
        <f t="shared" si="42"/>
        <v>18000</v>
      </c>
      <c r="N54" s="4">
        <f t="shared" si="43"/>
        <v>0</v>
      </c>
      <c r="O54" s="105">
        <f t="shared" si="44"/>
        <v>1125</v>
      </c>
      <c r="P54" s="105">
        <f t="shared" si="45"/>
        <v>0</v>
      </c>
      <c r="Q54" s="77">
        <v>2</v>
      </c>
      <c r="R54" s="77">
        <v>1</v>
      </c>
      <c r="S54" s="77" t="s">
        <v>1244</v>
      </c>
      <c r="T54" s="5" t="s">
        <v>335</v>
      </c>
      <c r="U54" s="9"/>
      <c r="W54" s="104">
        <f t="shared" si="46"/>
        <v>54.1</v>
      </c>
      <c r="X54" s="106">
        <f t="shared" si="47"/>
        <v>16</v>
      </c>
      <c r="Y54" s="102">
        <f t="shared" si="48"/>
        <v>115</v>
      </c>
      <c r="Z54" s="109">
        <f t="shared" si="49"/>
        <v>18000</v>
      </c>
      <c r="AA54" s="109">
        <f t="shared" si="50"/>
        <v>0</v>
      </c>
      <c r="AB54" s="109">
        <f t="shared" si="51"/>
        <v>18000</v>
      </c>
      <c r="AC54" s="4">
        <f t="shared" si="52"/>
        <v>0</v>
      </c>
      <c r="AD54" s="105">
        <f t="shared" si="53"/>
        <v>1125</v>
      </c>
      <c r="AE54" s="77" t="str">
        <f t="shared" si="54"/>
        <v>계</v>
      </c>
      <c r="AF54" s="77" t="str">
        <f t="shared" si="55"/>
        <v>2/1</v>
      </c>
      <c r="AH54" s="20" t="str">
        <f t="shared" si="35"/>
        <v>주공3단지</v>
      </c>
      <c r="AI54" s="106">
        <f t="shared" si="34"/>
        <v>16</v>
      </c>
      <c r="AJ54" s="77" t="str">
        <f t="shared" si="56"/>
        <v>A-</v>
      </c>
      <c r="AK54" s="77" t="s">
        <v>13</v>
      </c>
      <c r="AL54" s="77" t="s">
        <v>1242</v>
      </c>
      <c r="AM54" s="77" t="s">
        <v>1243</v>
      </c>
      <c r="AN54" s="77" t="str">
        <f t="shared" si="57"/>
        <v>C</v>
      </c>
      <c r="AO54" s="77" t="str">
        <f t="shared" si="58"/>
        <v>X</v>
      </c>
      <c r="AP54" s="77" t="str">
        <f t="shared" si="59"/>
        <v>O</v>
      </c>
      <c r="AQ54" s="77" t="str">
        <f t="shared" si="60"/>
        <v>O</v>
      </c>
      <c r="AR54" s="77" t="str">
        <f t="shared" si="61"/>
        <v>X</v>
      </c>
      <c r="AS54" s="77" t="s">
        <v>2</v>
      </c>
      <c r="AT54" s="77" t="str">
        <f t="shared" si="62"/>
        <v>O</v>
      </c>
      <c r="AU54" s="77" t="str">
        <f t="shared" si="63"/>
        <v>O</v>
      </c>
      <c r="AV54" s="77" t="str">
        <f t="shared" si="64"/>
        <v>X</v>
      </c>
    </row>
    <row r="55" spans="1:48" x14ac:dyDescent="0.3">
      <c r="A55" s="9" t="s">
        <v>329</v>
      </c>
      <c r="B55" s="10" t="s">
        <v>1274</v>
      </c>
      <c r="C55" s="107">
        <v>800</v>
      </c>
      <c r="D55" s="104">
        <v>54.8</v>
      </c>
      <c r="E55" s="106">
        <v>17</v>
      </c>
      <c r="F55" s="104">
        <v>54.8</v>
      </c>
      <c r="G55" s="17">
        <v>17</v>
      </c>
      <c r="H55" s="107">
        <v>100</v>
      </c>
      <c r="I55" s="108"/>
      <c r="J55" s="108"/>
      <c r="K55" s="108"/>
      <c r="L55" s="108"/>
      <c r="M55" s="109">
        <f t="shared" si="42"/>
        <v>0</v>
      </c>
      <c r="N55" s="4" t="str">
        <f t="shared" si="43"/>
        <v/>
      </c>
      <c r="O55" s="105">
        <f t="shared" si="44"/>
        <v>0</v>
      </c>
      <c r="P55" s="105">
        <f t="shared" si="45"/>
        <v>0</v>
      </c>
      <c r="Q55" s="77">
        <v>2</v>
      </c>
      <c r="R55" s="77">
        <v>1</v>
      </c>
      <c r="S55" s="77" t="s">
        <v>1244</v>
      </c>
      <c r="T55" s="5">
        <v>54</v>
      </c>
      <c r="U55" s="9"/>
      <c r="W55" s="104">
        <f t="shared" si="46"/>
        <v>54.8</v>
      </c>
      <c r="X55" s="106">
        <f t="shared" si="47"/>
        <v>17</v>
      </c>
      <c r="Y55" s="102">
        <f t="shared" si="48"/>
        <v>100</v>
      </c>
      <c r="Z55" s="109">
        <f t="shared" si="49"/>
        <v>0</v>
      </c>
      <c r="AA55" s="109">
        <f t="shared" si="50"/>
        <v>0</v>
      </c>
      <c r="AB55" s="109">
        <f t="shared" si="51"/>
        <v>0</v>
      </c>
      <c r="AC55" s="4" t="str">
        <f t="shared" si="52"/>
        <v/>
      </c>
      <c r="AD55" s="105">
        <f t="shared" si="53"/>
        <v>0</v>
      </c>
      <c r="AE55" s="77" t="str">
        <f t="shared" si="54"/>
        <v>계</v>
      </c>
      <c r="AF55" s="77" t="str">
        <f t="shared" si="55"/>
        <v>2/1</v>
      </c>
      <c r="AH55" s="20" t="str">
        <f t="shared" si="35"/>
        <v>주공3단지</v>
      </c>
      <c r="AI55" s="106">
        <f t="shared" si="34"/>
        <v>17</v>
      </c>
      <c r="AJ55" s="77" t="str">
        <f t="shared" si="56"/>
        <v>A-</v>
      </c>
      <c r="AK55" s="77" t="s">
        <v>13</v>
      </c>
      <c r="AL55" s="77" t="s">
        <v>1242</v>
      </c>
      <c r="AM55" s="77" t="s">
        <v>1243</v>
      </c>
      <c r="AN55" s="77" t="str">
        <f t="shared" si="57"/>
        <v>C</v>
      </c>
      <c r="AO55" s="77" t="str">
        <f t="shared" si="58"/>
        <v/>
      </c>
      <c r="AP55" s="77" t="str">
        <f t="shared" si="59"/>
        <v/>
      </c>
      <c r="AQ55" s="77" t="str">
        <f t="shared" si="60"/>
        <v>O</v>
      </c>
      <c r="AR55" s="77" t="str">
        <f t="shared" si="61"/>
        <v>O</v>
      </c>
      <c r="AS55" s="77" t="s">
        <v>2</v>
      </c>
      <c r="AT55" s="77" t="str">
        <f t="shared" si="62"/>
        <v>O</v>
      </c>
      <c r="AU55" s="77" t="str">
        <f t="shared" si="63"/>
        <v>O</v>
      </c>
      <c r="AV55" s="77" t="str">
        <f t="shared" si="64"/>
        <v/>
      </c>
    </row>
    <row r="56" spans="1:48" x14ac:dyDescent="0.3">
      <c r="A56" s="9" t="s">
        <v>329</v>
      </c>
      <c r="B56" s="10" t="s">
        <v>1274</v>
      </c>
      <c r="C56" s="107">
        <v>800</v>
      </c>
      <c r="D56" s="104">
        <v>54.4</v>
      </c>
      <c r="E56" s="106">
        <v>16</v>
      </c>
      <c r="F56" s="104">
        <v>54.4</v>
      </c>
      <c r="G56" s="17">
        <v>16</v>
      </c>
      <c r="H56" s="107">
        <v>43</v>
      </c>
      <c r="I56" s="108"/>
      <c r="J56" s="108"/>
      <c r="K56" s="108"/>
      <c r="L56" s="108"/>
      <c r="M56" s="109">
        <f t="shared" si="42"/>
        <v>0</v>
      </c>
      <c r="N56" s="4" t="str">
        <f t="shared" si="43"/>
        <v/>
      </c>
      <c r="O56" s="105">
        <f t="shared" si="44"/>
        <v>0</v>
      </c>
      <c r="P56" s="105">
        <f t="shared" si="45"/>
        <v>0</v>
      </c>
      <c r="Q56" s="77">
        <v>3</v>
      </c>
      <c r="R56" s="77">
        <v>1</v>
      </c>
      <c r="S56" s="77" t="s">
        <v>1244</v>
      </c>
      <c r="T56" s="5" t="s">
        <v>336</v>
      </c>
      <c r="U56" s="9"/>
      <c r="W56" s="104">
        <f t="shared" si="46"/>
        <v>54.4</v>
      </c>
      <c r="X56" s="106">
        <f t="shared" si="47"/>
        <v>16</v>
      </c>
      <c r="Y56" s="102">
        <f t="shared" si="48"/>
        <v>43</v>
      </c>
      <c r="Z56" s="109">
        <f t="shared" si="49"/>
        <v>0</v>
      </c>
      <c r="AA56" s="109">
        <f t="shared" si="50"/>
        <v>0</v>
      </c>
      <c r="AB56" s="109">
        <f t="shared" si="51"/>
        <v>0</v>
      </c>
      <c r="AC56" s="4" t="str">
        <f t="shared" si="52"/>
        <v/>
      </c>
      <c r="AD56" s="105">
        <f t="shared" si="53"/>
        <v>0</v>
      </c>
      <c r="AE56" s="77" t="str">
        <f t="shared" si="54"/>
        <v>계</v>
      </c>
      <c r="AF56" s="77" t="str">
        <f t="shared" si="55"/>
        <v>3/1</v>
      </c>
      <c r="AH56" s="20" t="str">
        <f t="shared" si="35"/>
        <v>주공3단지</v>
      </c>
      <c r="AI56" s="106">
        <f t="shared" si="34"/>
        <v>16</v>
      </c>
      <c r="AJ56" s="77" t="str">
        <f t="shared" si="56"/>
        <v>A-</v>
      </c>
      <c r="AK56" s="77" t="s">
        <v>13</v>
      </c>
      <c r="AL56" s="77" t="s">
        <v>1242</v>
      </c>
      <c r="AM56" s="77" t="s">
        <v>1243</v>
      </c>
      <c r="AN56" s="77" t="str">
        <f t="shared" si="57"/>
        <v>C</v>
      </c>
      <c r="AO56" s="77" t="str">
        <f t="shared" si="58"/>
        <v/>
      </c>
      <c r="AP56" s="77" t="str">
        <f t="shared" si="59"/>
        <v/>
      </c>
      <c r="AQ56" s="77" t="str">
        <f t="shared" si="60"/>
        <v>O</v>
      </c>
      <c r="AR56" s="77" t="str">
        <f t="shared" si="61"/>
        <v>O</v>
      </c>
      <c r="AS56" s="77" t="s">
        <v>2</v>
      </c>
      <c r="AT56" s="77" t="str">
        <f t="shared" si="62"/>
        <v>O</v>
      </c>
      <c r="AU56" s="77" t="str">
        <f t="shared" si="63"/>
        <v>O</v>
      </c>
      <c r="AV56" s="77" t="str">
        <f t="shared" si="64"/>
        <v/>
      </c>
    </row>
    <row r="57" spans="1:48" x14ac:dyDescent="0.3">
      <c r="A57" s="9" t="s">
        <v>329</v>
      </c>
      <c r="B57" s="10" t="s">
        <v>1274</v>
      </c>
      <c r="C57" s="107">
        <v>800</v>
      </c>
      <c r="D57" s="104">
        <v>61.6</v>
      </c>
      <c r="E57" s="106">
        <v>19</v>
      </c>
      <c r="F57" s="104">
        <v>55.8</v>
      </c>
      <c r="G57" s="17">
        <v>17</v>
      </c>
      <c r="H57" s="107">
        <v>112</v>
      </c>
      <c r="I57" s="108"/>
      <c r="J57" s="108"/>
      <c r="K57" s="108"/>
      <c r="L57" s="108"/>
      <c r="M57" s="109">
        <f t="shared" si="42"/>
        <v>0</v>
      </c>
      <c r="N57" s="4" t="str">
        <f t="shared" si="43"/>
        <v/>
      </c>
      <c r="O57" s="105">
        <f t="shared" si="44"/>
        <v>0</v>
      </c>
      <c r="P57" s="105">
        <f t="shared" si="45"/>
        <v>0</v>
      </c>
      <c r="Q57" s="77">
        <v>3</v>
      </c>
      <c r="R57" s="77">
        <v>1</v>
      </c>
      <c r="S57" s="77" t="s">
        <v>1244</v>
      </c>
      <c r="T57" s="5" t="s">
        <v>337</v>
      </c>
      <c r="U57" s="9"/>
      <c r="W57" s="104">
        <f t="shared" si="46"/>
        <v>61.6</v>
      </c>
      <c r="X57" s="106">
        <f t="shared" si="47"/>
        <v>19</v>
      </c>
      <c r="Y57" s="102">
        <f t="shared" si="48"/>
        <v>112</v>
      </c>
      <c r="Z57" s="109">
        <f t="shared" si="49"/>
        <v>0</v>
      </c>
      <c r="AA57" s="109">
        <f t="shared" si="50"/>
        <v>0</v>
      </c>
      <c r="AB57" s="109">
        <f t="shared" si="51"/>
        <v>0</v>
      </c>
      <c r="AC57" s="4" t="str">
        <f t="shared" si="52"/>
        <v/>
      </c>
      <c r="AD57" s="105">
        <f t="shared" si="53"/>
        <v>0</v>
      </c>
      <c r="AE57" s="77" t="str">
        <f t="shared" si="54"/>
        <v>계</v>
      </c>
      <c r="AF57" s="77" t="str">
        <f t="shared" si="55"/>
        <v>3/1</v>
      </c>
      <c r="AH57" s="20" t="str">
        <f t="shared" si="35"/>
        <v>주공3단지</v>
      </c>
      <c r="AI57" s="106">
        <f t="shared" si="34"/>
        <v>19</v>
      </c>
      <c r="AJ57" s="77" t="str">
        <f t="shared" si="56"/>
        <v>A-</v>
      </c>
      <c r="AK57" s="77" t="s">
        <v>13</v>
      </c>
      <c r="AL57" s="77" t="s">
        <v>1242</v>
      </c>
      <c r="AM57" s="77" t="s">
        <v>1243</v>
      </c>
      <c r="AN57" s="77" t="str">
        <f t="shared" si="57"/>
        <v>C</v>
      </c>
      <c r="AO57" s="77" t="str">
        <f t="shared" si="58"/>
        <v/>
      </c>
      <c r="AP57" s="77" t="str">
        <f t="shared" si="59"/>
        <v/>
      </c>
      <c r="AQ57" s="77" t="str">
        <f t="shared" si="60"/>
        <v>O</v>
      </c>
      <c r="AR57" s="77" t="str">
        <f t="shared" si="61"/>
        <v>O</v>
      </c>
      <c r="AS57" s="77" t="s">
        <v>2</v>
      </c>
      <c r="AT57" s="77" t="str">
        <f t="shared" si="62"/>
        <v>O</v>
      </c>
      <c r="AU57" s="77" t="str">
        <f t="shared" si="63"/>
        <v>O</v>
      </c>
      <c r="AV57" s="77" t="str">
        <f t="shared" si="64"/>
        <v/>
      </c>
    </row>
    <row r="58" spans="1:48" x14ac:dyDescent="0.3">
      <c r="A58" s="9" t="s">
        <v>329</v>
      </c>
      <c r="B58" s="10" t="s">
        <v>1274</v>
      </c>
      <c r="C58" s="107">
        <v>800</v>
      </c>
      <c r="D58" s="104">
        <v>61.6</v>
      </c>
      <c r="E58" s="106">
        <v>19</v>
      </c>
      <c r="F58" s="104">
        <v>61.6</v>
      </c>
      <c r="G58" s="17">
        <v>19</v>
      </c>
      <c r="H58" s="107">
        <v>1</v>
      </c>
      <c r="I58" s="108"/>
      <c r="J58" s="108"/>
      <c r="K58" s="108"/>
      <c r="L58" s="108"/>
      <c r="M58" s="109">
        <f t="shared" si="42"/>
        <v>0</v>
      </c>
      <c r="N58" s="4" t="str">
        <f t="shared" si="43"/>
        <v/>
      </c>
      <c r="O58" s="105">
        <f t="shared" si="44"/>
        <v>0</v>
      </c>
      <c r="P58" s="105">
        <f t="shared" si="45"/>
        <v>0</v>
      </c>
      <c r="Q58" s="77">
        <v>3</v>
      </c>
      <c r="R58" s="77">
        <v>1</v>
      </c>
      <c r="S58" s="77" t="s">
        <v>1244</v>
      </c>
      <c r="T58" s="5" t="s">
        <v>338</v>
      </c>
      <c r="U58" s="9"/>
      <c r="W58" s="104">
        <f t="shared" si="46"/>
        <v>61.6</v>
      </c>
      <c r="X58" s="106">
        <f t="shared" si="47"/>
        <v>19</v>
      </c>
      <c r="Y58" s="102">
        <f t="shared" si="48"/>
        <v>1</v>
      </c>
      <c r="Z58" s="109">
        <f t="shared" si="49"/>
        <v>0</v>
      </c>
      <c r="AA58" s="109">
        <f t="shared" si="50"/>
        <v>0</v>
      </c>
      <c r="AB58" s="109">
        <f t="shared" si="51"/>
        <v>0</v>
      </c>
      <c r="AC58" s="4" t="str">
        <f t="shared" si="52"/>
        <v/>
      </c>
      <c r="AD58" s="105">
        <f t="shared" si="53"/>
        <v>0</v>
      </c>
      <c r="AE58" s="77" t="str">
        <f t="shared" si="54"/>
        <v>계</v>
      </c>
      <c r="AF58" s="77" t="str">
        <f t="shared" si="55"/>
        <v>3/1</v>
      </c>
      <c r="AH58" s="20" t="str">
        <f t="shared" si="35"/>
        <v>주공3단지</v>
      </c>
      <c r="AI58" s="106">
        <f t="shared" si="34"/>
        <v>19</v>
      </c>
      <c r="AJ58" s="77" t="str">
        <f t="shared" si="56"/>
        <v>A-</v>
      </c>
      <c r="AK58" s="77" t="s">
        <v>13</v>
      </c>
      <c r="AL58" s="77" t="s">
        <v>1242</v>
      </c>
      <c r="AM58" s="77" t="s">
        <v>1243</v>
      </c>
      <c r="AN58" s="77" t="str">
        <f t="shared" si="57"/>
        <v>C</v>
      </c>
      <c r="AO58" s="77" t="str">
        <f t="shared" si="58"/>
        <v/>
      </c>
      <c r="AP58" s="77" t="str">
        <f t="shared" si="59"/>
        <v/>
      </c>
      <c r="AQ58" s="77" t="str">
        <f t="shared" si="60"/>
        <v>O</v>
      </c>
      <c r="AR58" s="77" t="str">
        <f t="shared" si="61"/>
        <v>O</v>
      </c>
      <c r="AS58" s="77" t="s">
        <v>2</v>
      </c>
      <c r="AT58" s="77" t="str">
        <f t="shared" si="62"/>
        <v>O</v>
      </c>
      <c r="AU58" s="77" t="str">
        <f t="shared" si="63"/>
        <v>O</v>
      </c>
      <c r="AV58" s="77" t="str">
        <f t="shared" si="64"/>
        <v/>
      </c>
    </row>
    <row r="59" spans="1:48" x14ac:dyDescent="0.3">
      <c r="A59" s="9" t="s">
        <v>329</v>
      </c>
      <c r="B59" s="10" t="s">
        <v>1274</v>
      </c>
      <c r="C59" s="107">
        <v>800</v>
      </c>
      <c r="D59" s="104">
        <v>62.4</v>
      </c>
      <c r="E59" s="106">
        <v>19</v>
      </c>
      <c r="F59" s="104">
        <v>62.4</v>
      </c>
      <c r="G59" s="17">
        <v>19</v>
      </c>
      <c r="H59" s="107">
        <v>28</v>
      </c>
      <c r="I59" s="108"/>
      <c r="J59" s="108"/>
      <c r="K59" s="108"/>
      <c r="L59" s="108"/>
      <c r="M59" s="109">
        <f t="shared" si="42"/>
        <v>0</v>
      </c>
      <c r="N59" s="4" t="str">
        <f t="shared" si="43"/>
        <v/>
      </c>
      <c r="O59" s="105">
        <f t="shared" si="44"/>
        <v>0</v>
      </c>
      <c r="P59" s="105">
        <f t="shared" si="45"/>
        <v>0</v>
      </c>
      <c r="Q59" s="77">
        <v>3</v>
      </c>
      <c r="R59" s="77">
        <v>1</v>
      </c>
      <c r="S59" s="77" t="s">
        <v>1244</v>
      </c>
      <c r="T59" s="5" t="s">
        <v>339</v>
      </c>
      <c r="U59" s="9"/>
      <c r="W59" s="104">
        <f t="shared" si="46"/>
        <v>62.4</v>
      </c>
      <c r="X59" s="106">
        <f t="shared" si="47"/>
        <v>19</v>
      </c>
      <c r="Y59" s="102">
        <f t="shared" si="48"/>
        <v>28</v>
      </c>
      <c r="Z59" s="109">
        <f t="shared" si="49"/>
        <v>0</v>
      </c>
      <c r="AA59" s="109">
        <f t="shared" si="50"/>
        <v>0</v>
      </c>
      <c r="AB59" s="109">
        <f t="shared" si="51"/>
        <v>0</v>
      </c>
      <c r="AC59" s="4" t="str">
        <f t="shared" si="52"/>
        <v/>
      </c>
      <c r="AD59" s="105">
        <f t="shared" si="53"/>
        <v>0</v>
      </c>
      <c r="AE59" s="77" t="str">
        <f t="shared" si="54"/>
        <v>계</v>
      </c>
      <c r="AF59" s="77" t="str">
        <f t="shared" si="55"/>
        <v>3/1</v>
      </c>
      <c r="AH59" s="20" t="str">
        <f t="shared" si="35"/>
        <v>주공3단지</v>
      </c>
      <c r="AI59" s="106">
        <f t="shared" si="34"/>
        <v>19</v>
      </c>
      <c r="AJ59" s="77" t="str">
        <f t="shared" si="56"/>
        <v>A-</v>
      </c>
      <c r="AK59" s="77" t="s">
        <v>13</v>
      </c>
      <c r="AL59" s="77" t="s">
        <v>1242</v>
      </c>
      <c r="AM59" s="77" t="s">
        <v>1243</v>
      </c>
      <c r="AN59" s="77" t="str">
        <f t="shared" si="57"/>
        <v>C</v>
      </c>
      <c r="AO59" s="77" t="str">
        <f t="shared" si="58"/>
        <v/>
      </c>
      <c r="AP59" s="77" t="str">
        <f t="shared" si="59"/>
        <v/>
      </c>
      <c r="AQ59" s="77" t="str">
        <f t="shared" si="60"/>
        <v>O</v>
      </c>
      <c r="AR59" s="77" t="str">
        <f t="shared" si="61"/>
        <v>O</v>
      </c>
      <c r="AS59" s="77" t="s">
        <v>2</v>
      </c>
      <c r="AT59" s="77" t="str">
        <f t="shared" si="62"/>
        <v>O</v>
      </c>
      <c r="AU59" s="77" t="str">
        <f t="shared" si="63"/>
        <v>O</v>
      </c>
      <c r="AV59" s="77" t="str">
        <f t="shared" si="64"/>
        <v/>
      </c>
    </row>
    <row r="60" spans="1:48" x14ac:dyDescent="0.3">
      <c r="A60" s="9" t="s">
        <v>329</v>
      </c>
      <c r="B60" s="10" t="s">
        <v>1274</v>
      </c>
      <c r="C60" s="107">
        <v>800</v>
      </c>
      <c r="D60" s="104">
        <v>66</v>
      </c>
      <c r="E60" s="106">
        <v>20</v>
      </c>
      <c r="F60" s="104">
        <v>66</v>
      </c>
      <c r="G60" s="17">
        <v>20</v>
      </c>
      <c r="H60" s="107">
        <v>125</v>
      </c>
      <c r="I60" s="108">
        <v>22000</v>
      </c>
      <c r="J60" s="108" t="s">
        <v>1265</v>
      </c>
      <c r="K60" s="108"/>
      <c r="L60" s="108"/>
      <c r="M60" s="109">
        <f t="shared" si="42"/>
        <v>22000</v>
      </c>
      <c r="N60" s="4">
        <f t="shared" si="43"/>
        <v>0</v>
      </c>
      <c r="O60" s="105">
        <f t="shared" si="44"/>
        <v>1100</v>
      </c>
      <c r="P60" s="105">
        <f t="shared" si="45"/>
        <v>0</v>
      </c>
      <c r="Q60" s="77">
        <v>3</v>
      </c>
      <c r="R60" s="77">
        <v>1</v>
      </c>
      <c r="S60" s="77" t="s">
        <v>1244</v>
      </c>
      <c r="T60" s="5" t="s">
        <v>228</v>
      </c>
      <c r="U60" s="9"/>
      <c r="W60" s="104">
        <f t="shared" si="46"/>
        <v>66</v>
      </c>
      <c r="X60" s="106">
        <f t="shared" si="47"/>
        <v>20</v>
      </c>
      <c r="Y60" s="102">
        <f t="shared" si="48"/>
        <v>125</v>
      </c>
      <c r="Z60" s="109">
        <f t="shared" si="49"/>
        <v>22000</v>
      </c>
      <c r="AA60" s="109">
        <f t="shared" si="50"/>
        <v>0</v>
      </c>
      <c r="AB60" s="109">
        <f t="shared" si="51"/>
        <v>22000</v>
      </c>
      <c r="AC60" s="4">
        <f t="shared" si="52"/>
        <v>0</v>
      </c>
      <c r="AD60" s="105">
        <f t="shared" si="53"/>
        <v>1100</v>
      </c>
      <c r="AE60" s="77" t="str">
        <f t="shared" si="54"/>
        <v>계</v>
      </c>
      <c r="AF60" s="77" t="str">
        <f t="shared" si="55"/>
        <v>3/1</v>
      </c>
      <c r="AH60" s="20" t="str">
        <f t="shared" si="35"/>
        <v>주공3단지</v>
      </c>
      <c r="AI60" s="106">
        <f t="shared" si="34"/>
        <v>20</v>
      </c>
      <c r="AJ60" s="77" t="str">
        <f t="shared" si="56"/>
        <v>A-</v>
      </c>
      <c r="AK60" s="77" t="s">
        <v>13</v>
      </c>
      <c r="AL60" s="77" t="s">
        <v>1242</v>
      </c>
      <c r="AM60" s="77" t="s">
        <v>1243</v>
      </c>
      <c r="AN60" s="77" t="str">
        <f t="shared" si="57"/>
        <v>C</v>
      </c>
      <c r="AO60" s="77" t="str">
        <f t="shared" si="58"/>
        <v>X</v>
      </c>
      <c r="AP60" s="77" t="str">
        <f t="shared" si="59"/>
        <v>O</v>
      </c>
      <c r="AQ60" s="77" t="str">
        <f t="shared" si="60"/>
        <v>O</v>
      </c>
      <c r="AR60" s="77" t="str">
        <f t="shared" si="61"/>
        <v>X</v>
      </c>
      <c r="AS60" s="77" t="s">
        <v>2</v>
      </c>
      <c r="AT60" s="77" t="str">
        <f t="shared" si="62"/>
        <v>O</v>
      </c>
      <c r="AU60" s="77" t="str">
        <f t="shared" si="63"/>
        <v>O</v>
      </c>
      <c r="AV60" s="77" t="str">
        <f t="shared" si="64"/>
        <v>X</v>
      </c>
    </row>
    <row r="61" spans="1:48" x14ac:dyDescent="0.3">
      <c r="A61" s="9" t="s">
        <v>329</v>
      </c>
      <c r="B61" s="10" t="s">
        <v>1274</v>
      </c>
      <c r="C61" s="107">
        <v>800</v>
      </c>
      <c r="D61" s="104">
        <v>65.2</v>
      </c>
      <c r="E61" s="106">
        <v>20</v>
      </c>
      <c r="F61" s="104">
        <v>65.2</v>
      </c>
      <c r="G61" s="17">
        <v>20</v>
      </c>
      <c r="H61" s="107">
        <v>115</v>
      </c>
      <c r="I61" s="108">
        <v>22000</v>
      </c>
      <c r="J61" s="108" t="s">
        <v>1268</v>
      </c>
      <c r="K61" s="108"/>
      <c r="L61" s="108"/>
      <c r="M61" s="109">
        <f t="shared" si="42"/>
        <v>22000</v>
      </c>
      <c r="N61" s="4">
        <f t="shared" si="43"/>
        <v>0</v>
      </c>
      <c r="O61" s="105">
        <f t="shared" si="44"/>
        <v>1100</v>
      </c>
      <c r="P61" s="105">
        <f t="shared" si="45"/>
        <v>0</v>
      </c>
      <c r="Q61" s="77">
        <v>3</v>
      </c>
      <c r="R61" s="77">
        <v>1</v>
      </c>
      <c r="S61" s="77" t="s">
        <v>1244</v>
      </c>
      <c r="T61" s="5" t="s">
        <v>340</v>
      </c>
      <c r="U61" s="9"/>
      <c r="W61" s="104">
        <f t="shared" si="46"/>
        <v>65.2</v>
      </c>
      <c r="X61" s="106">
        <f t="shared" si="47"/>
        <v>20</v>
      </c>
      <c r="Y61" s="102">
        <f t="shared" si="48"/>
        <v>115</v>
      </c>
      <c r="Z61" s="109">
        <f t="shared" si="49"/>
        <v>22000</v>
      </c>
      <c r="AA61" s="109">
        <f t="shared" si="50"/>
        <v>0</v>
      </c>
      <c r="AB61" s="109">
        <f t="shared" si="51"/>
        <v>22000</v>
      </c>
      <c r="AC61" s="4">
        <f t="shared" si="52"/>
        <v>0</v>
      </c>
      <c r="AD61" s="105">
        <f t="shared" si="53"/>
        <v>1100</v>
      </c>
      <c r="AE61" s="77" t="str">
        <f t="shared" si="54"/>
        <v>계</v>
      </c>
      <c r="AF61" s="77" t="str">
        <f t="shared" si="55"/>
        <v>3/1</v>
      </c>
      <c r="AH61" s="20" t="str">
        <f t="shared" si="35"/>
        <v>주공3단지</v>
      </c>
      <c r="AI61" s="106">
        <f t="shared" si="34"/>
        <v>20</v>
      </c>
      <c r="AJ61" s="77" t="str">
        <f t="shared" si="56"/>
        <v>A-</v>
      </c>
      <c r="AK61" s="77" t="s">
        <v>13</v>
      </c>
      <c r="AL61" s="77" t="s">
        <v>1242</v>
      </c>
      <c r="AM61" s="77" t="s">
        <v>1243</v>
      </c>
      <c r="AN61" s="77" t="str">
        <f t="shared" si="57"/>
        <v>C</v>
      </c>
      <c r="AO61" s="77" t="str">
        <f t="shared" si="58"/>
        <v>X</v>
      </c>
      <c r="AP61" s="77" t="str">
        <f t="shared" si="59"/>
        <v>O</v>
      </c>
      <c r="AQ61" s="77" t="str">
        <f t="shared" si="60"/>
        <v>O</v>
      </c>
      <c r="AR61" s="77" t="str">
        <f t="shared" si="61"/>
        <v>X</v>
      </c>
      <c r="AS61" s="77" t="s">
        <v>2</v>
      </c>
      <c r="AT61" s="77" t="str">
        <f t="shared" si="62"/>
        <v>O</v>
      </c>
      <c r="AU61" s="77" t="str">
        <f t="shared" si="63"/>
        <v>O</v>
      </c>
      <c r="AV61" s="77" t="str">
        <f t="shared" si="64"/>
        <v>X</v>
      </c>
    </row>
    <row r="62" spans="1:48" x14ac:dyDescent="0.3">
      <c r="A62" s="9"/>
      <c r="B62" s="77"/>
      <c r="C62" s="6"/>
      <c r="D62" s="9"/>
      <c r="E62" s="14"/>
      <c r="F62" s="104"/>
      <c r="G62" s="9"/>
      <c r="H62" s="9"/>
      <c r="I62" s="9"/>
      <c r="J62" s="9"/>
      <c r="K62" s="9"/>
      <c r="L62" s="9"/>
      <c r="M62" s="9"/>
      <c r="N62" s="9"/>
      <c r="O62" s="105"/>
      <c r="P62" s="105"/>
      <c r="Q62" s="106"/>
      <c r="R62" s="106"/>
      <c r="S62" s="9"/>
      <c r="T62" s="47"/>
      <c r="U62" s="9"/>
      <c r="W62" s="67" t="str">
        <f>$A$4&amp;" "&amp;A63&amp;"("&amp;B63&amp;","&amp;C63&amp;"^)"</f>
        <v>나운동 나운보람더하임('10.03.,437^)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35"/>
        <v/>
      </c>
      <c r="AI62" s="103" t="str">
        <f t="shared" si="34"/>
        <v/>
      </c>
      <c r="AJ62" s="77"/>
      <c r="AK62" s="77"/>
      <c r="AL62" s="77"/>
      <c r="AM62" s="77"/>
      <c r="AN62" s="77"/>
      <c r="AO62" s="77"/>
      <c r="AP62" s="77"/>
      <c r="AQ62" s="77"/>
      <c r="AR62" s="77"/>
      <c r="AS62" s="77"/>
      <c r="AT62" s="77"/>
      <c r="AU62" s="77"/>
      <c r="AV62" s="77"/>
    </row>
    <row r="63" spans="1:48" x14ac:dyDescent="0.3">
      <c r="A63" s="9" t="s">
        <v>349</v>
      </c>
      <c r="B63" s="10" t="s">
        <v>1275</v>
      </c>
      <c r="C63" s="107">
        <v>437</v>
      </c>
      <c r="D63" s="104">
        <v>78</v>
      </c>
      <c r="E63" s="106">
        <v>24</v>
      </c>
      <c r="F63" s="104">
        <v>59.9</v>
      </c>
      <c r="G63" s="17">
        <v>18</v>
      </c>
      <c r="H63" s="107">
        <v>155</v>
      </c>
      <c r="I63" s="108">
        <v>14200</v>
      </c>
      <c r="J63" s="108" t="s">
        <v>1268</v>
      </c>
      <c r="K63" s="108">
        <v>13000</v>
      </c>
      <c r="L63" s="108" t="s">
        <v>1256</v>
      </c>
      <c r="M63" s="109">
        <f>I63-K63</f>
        <v>1200</v>
      </c>
      <c r="N63" s="4">
        <f>IF(ISERROR(K63/I63),"",K63/I63)</f>
        <v>0.91549295774647887</v>
      </c>
      <c r="O63" s="105">
        <f>I63/E63</f>
        <v>591.66666666666663</v>
      </c>
      <c r="P63" s="105">
        <f>K63/E63</f>
        <v>541.66666666666663</v>
      </c>
      <c r="Q63" s="77">
        <v>3</v>
      </c>
      <c r="R63" s="77">
        <v>2</v>
      </c>
      <c r="S63" s="77" t="s">
        <v>1244</v>
      </c>
      <c r="T63" s="5">
        <v>77</v>
      </c>
      <c r="U63" s="9"/>
      <c r="W63" s="104">
        <f t="shared" ref="W63:X67" si="65">D63</f>
        <v>78</v>
      </c>
      <c r="X63" s="106">
        <f t="shared" si="65"/>
        <v>24</v>
      </c>
      <c r="Y63" s="102">
        <f t="shared" ref="Y63:Z67" si="66">H63</f>
        <v>155</v>
      </c>
      <c r="Z63" s="109">
        <f t="shared" si="66"/>
        <v>14200</v>
      </c>
      <c r="AA63" s="109">
        <f>K63</f>
        <v>13000</v>
      </c>
      <c r="AB63" s="109">
        <f t="shared" ref="AB63:AD67" si="67">M63</f>
        <v>1200</v>
      </c>
      <c r="AC63" s="4">
        <f t="shared" si="67"/>
        <v>0.91549295774647887</v>
      </c>
      <c r="AD63" s="105">
        <f t="shared" si="67"/>
        <v>591.66666666666663</v>
      </c>
      <c r="AE63" s="77" t="str">
        <f>S63</f>
        <v>계</v>
      </c>
      <c r="AF63" s="77" t="str">
        <f>Q63&amp;"/"&amp;R63</f>
        <v>3/2</v>
      </c>
      <c r="AH63" s="20" t="str">
        <f t="shared" si="35"/>
        <v>나운보람더하임</v>
      </c>
      <c r="AI63" s="106">
        <f t="shared" si="34"/>
        <v>24</v>
      </c>
      <c r="AJ63" s="77" t="str">
        <f>IF(AI63="","",$AJ$2)</f>
        <v>A-</v>
      </c>
      <c r="AK63" s="77" t="s">
        <v>13</v>
      </c>
      <c r="AL63" s="77" t="s">
        <v>1242</v>
      </c>
      <c r="AM63" s="77" t="s">
        <v>1243</v>
      </c>
      <c r="AN63" s="77" t="str">
        <f>IF(AI63="","",$AN$2)</f>
        <v>C</v>
      </c>
      <c r="AO63" s="77" t="str">
        <f>IF(N63="","",IF(N63&gt;=$AO$1/100,"O","X"))</f>
        <v>O</v>
      </c>
      <c r="AP63" s="77" t="str">
        <f>IF(I63="","",IF(I63&lt;=$AP$1,"O","X"))</f>
        <v>O</v>
      </c>
      <c r="AQ63" s="77" t="str">
        <f>IF(O63="","",IF(O63&lt;=$AQ$1,"O","X"))</f>
        <v>O</v>
      </c>
      <c r="AR63" s="77" t="str">
        <f>IF(M63="","",IF(M63&lt;=$AR$1,"O","X"))</f>
        <v>O</v>
      </c>
      <c r="AS63" s="77" t="s">
        <v>2</v>
      </c>
      <c r="AT63" s="77" t="str">
        <f>IF(OR(F63="",AI63=""),"",IF(AND((F63&lt;=85),(AI63&gt;=15)),"O","X"))</f>
        <v>O</v>
      </c>
      <c r="AU63" s="77" t="str">
        <f>IF(C63="","",IF(C63&gt;=$AU$1,"O","X"))</f>
        <v>O</v>
      </c>
      <c r="AV63" s="77" t="str">
        <f>IF(AO63="","",IF(AND(AO63="O",AP63="O",AR63="O",AT63="O",AU63="O"),"후보","X"))</f>
        <v>후보</v>
      </c>
    </row>
    <row r="64" spans="1:48" x14ac:dyDescent="0.3">
      <c r="A64" s="9" t="s">
        <v>349</v>
      </c>
      <c r="B64" s="10" t="s">
        <v>1275</v>
      </c>
      <c r="C64" s="107">
        <v>437</v>
      </c>
      <c r="D64" s="104">
        <v>110.6</v>
      </c>
      <c r="E64" s="106">
        <v>33</v>
      </c>
      <c r="F64" s="104">
        <v>85</v>
      </c>
      <c r="G64" s="17">
        <v>26</v>
      </c>
      <c r="H64" s="107">
        <v>202</v>
      </c>
      <c r="I64" s="108"/>
      <c r="J64" s="108"/>
      <c r="K64" s="108"/>
      <c r="L64" s="108"/>
      <c r="M64" s="109">
        <f>I64-K64</f>
        <v>0</v>
      </c>
      <c r="N64" s="4" t="str">
        <f>IF(ISERROR(K64/I64),"",K64/I64)</f>
        <v/>
      </c>
      <c r="O64" s="105">
        <f>I64/E64</f>
        <v>0</v>
      </c>
      <c r="P64" s="105">
        <f>K64/E64</f>
        <v>0</v>
      </c>
      <c r="Q64" s="77">
        <v>3</v>
      </c>
      <c r="R64" s="77">
        <v>2</v>
      </c>
      <c r="S64" s="77" t="s">
        <v>1244</v>
      </c>
      <c r="T64" s="5" t="s">
        <v>102</v>
      </c>
      <c r="U64" s="9"/>
      <c r="W64" s="104">
        <f t="shared" si="65"/>
        <v>110.6</v>
      </c>
      <c r="X64" s="106">
        <f t="shared" si="65"/>
        <v>33</v>
      </c>
      <c r="Y64" s="102">
        <f t="shared" si="66"/>
        <v>202</v>
      </c>
      <c r="Z64" s="109">
        <f t="shared" si="66"/>
        <v>0</v>
      </c>
      <c r="AA64" s="109">
        <f>K64</f>
        <v>0</v>
      </c>
      <c r="AB64" s="109">
        <f t="shared" si="67"/>
        <v>0</v>
      </c>
      <c r="AC64" s="4" t="str">
        <f t="shared" si="67"/>
        <v/>
      </c>
      <c r="AD64" s="105">
        <f t="shared" si="67"/>
        <v>0</v>
      </c>
      <c r="AE64" s="77" t="str">
        <f>S64</f>
        <v>계</v>
      </c>
      <c r="AF64" s="77" t="str">
        <f>Q64&amp;"/"&amp;R64</f>
        <v>3/2</v>
      </c>
      <c r="AH64" s="20" t="str">
        <f t="shared" si="35"/>
        <v>나운보람더하임</v>
      </c>
      <c r="AI64" s="106">
        <f t="shared" si="34"/>
        <v>33</v>
      </c>
      <c r="AJ64" s="77" t="str">
        <f>IF(AI64="","",$AJ$2)</f>
        <v>A-</v>
      </c>
      <c r="AK64" s="77" t="s">
        <v>13</v>
      </c>
      <c r="AL64" s="77" t="s">
        <v>1242</v>
      </c>
      <c r="AM64" s="77" t="s">
        <v>1243</v>
      </c>
      <c r="AN64" s="77" t="str">
        <f>IF(AI64="","",$AN$2)</f>
        <v>C</v>
      </c>
      <c r="AO64" s="77" t="str">
        <f>IF(N64="","",IF(N64&gt;=$AO$1/100,"O","X"))</f>
        <v/>
      </c>
      <c r="AP64" s="77" t="str">
        <f>IF(I64="","",IF(I64&lt;=$AP$1,"O","X"))</f>
        <v/>
      </c>
      <c r="AQ64" s="77" t="str">
        <f>IF(O64="","",IF(O64&lt;=$AQ$1,"O","X"))</f>
        <v>O</v>
      </c>
      <c r="AR64" s="77" t="str">
        <f>IF(M64="","",IF(M64&lt;=$AR$1,"O","X"))</f>
        <v>O</v>
      </c>
      <c r="AS64" s="77" t="s">
        <v>2</v>
      </c>
      <c r="AT64" s="77" t="str">
        <f>IF(OR(F64="",AI64=""),"",IF(AND((F64&lt;=85),(AI64&gt;=15)),"O","X"))</f>
        <v>O</v>
      </c>
      <c r="AU64" s="77" t="str">
        <f>IF(C64="","",IF(C64&gt;=$AU$1,"O","X"))</f>
        <v>O</v>
      </c>
      <c r="AV64" s="77" t="str">
        <f>IF(AO64="","",IF(AND(AO64="O",AP64="O",AR64="O",AT64="O",AU64="O"),"후보","X"))</f>
        <v/>
      </c>
    </row>
    <row r="65" spans="1:48" x14ac:dyDescent="0.3">
      <c r="A65" s="9" t="s">
        <v>349</v>
      </c>
      <c r="B65" s="10" t="s">
        <v>1275</v>
      </c>
      <c r="C65" s="107">
        <v>437</v>
      </c>
      <c r="D65" s="104">
        <v>110.7</v>
      </c>
      <c r="E65" s="106">
        <v>33</v>
      </c>
      <c r="F65" s="104">
        <v>84.9</v>
      </c>
      <c r="G65" s="17">
        <v>26</v>
      </c>
      <c r="H65" s="107">
        <v>14</v>
      </c>
      <c r="I65" s="108"/>
      <c r="J65" s="108"/>
      <c r="K65" s="108"/>
      <c r="L65" s="108"/>
      <c r="M65" s="109">
        <f>I65-K65</f>
        <v>0</v>
      </c>
      <c r="N65" s="4" t="str">
        <f>IF(ISERROR(K65/I65),"",K65/I65)</f>
        <v/>
      </c>
      <c r="O65" s="105">
        <f>I65/E65</f>
        <v>0</v>
      </c>
      <c r="P65" s="105">
        <f>K65/E65</f>
        <v>0</v>
      </c>
      <c r="Q65" s="77">
        <v>3</v>
      </c>
      <c r="R65" s="77">
        <v>2</v>
      </c>
      <c r="S65" s="77" t="s">
        <v>1244</v>
      </c>
      <c r="T65" s="5" t="s">
        <v>101</v>
      </c>
      <c r="U65" s="9"/>
      <c r="W65" s="104">
        <f t="shared" si="65"/>
        <v>110.7</v>
      </c>
      <c r="X65" s="106">
        <f t="shared" si="65"/>
        <v>33</v>
      </c>
      <c r="Y65" s="102">
        <f t="shared" si="66"/>
        <v>14</v>
      </c>
      <c r="Z65" s="109">
        <f t="shared" si="66"/>
        <v>0</v>
      </c>
      <c r="AA65" s="109">
        <f>K65</f>
        <v>0</v>
      </c>
      <c r="AB65" s="109">
        <f t="shared" si="67"/>
        <v>0</v>
      </c>
      <c r="AC65" s="4" t="str">
        <f t="shared" si="67"/>
        <v/>
      </c>
      <c r="AD65" s="105">
        <f t="shared" si="67"/>
        <v>0</v>
      </c>
      <c r="AE65" s="77" t="str">
        <f>S65</f>
        <v>계</v>
      </c>
      <c r="AF65" s="77" t="str">
        <f>Q65&amp;"/"&amp;R65</f>
        <v>3/2</v>
      </c>
      <c r="AH65" s="20" t="str">
        <f t="shared" si="35"/>
        <v>나운보람더하임</v>
      </c>
      <c r="AI65" s="106">
        <f t="shared" si="34"/>
        <v>33</v>
      </c>
      <c r="AJ65" s="77" t="str">
        <f>IF(AI65="","",$AJ$2)</f>
        <v>A-</v>
      </c>
      <c r="AK65" s="77" t="s">
        <v>13</v>
      </c>
      <c r="AL65" s="77" t="s">
        <v>1242</v>
      </c>
      <c r="AM65" s="77" t="s">
        <v>1243</v>
      </c>
      <c r="AN65" s="77" t="str">
        <f>IF(AI65="","",$AN$2)</f>
        <v>C</v>
      </c>
      <c r="AO65" s="77" t="str">
        <f>IF(N65="","",IF(N65&gt;=$AO$1/100,"O","X"))</f>
        <v/>
      </c>
      <c r="AP65" s="77" t="str">
        <f>IF(I65="","",IF(I65&lt;=$AP$1,"O","X"))</f>
        <v/>
      </c>
      <c r="AQ65" s="77" t="str">
        <f>IF(O65="","",IF(O65&lt;=$AQ$1,"O","X"))</f>
        <v>O</v>
      </c>
      <c r="AR65" s="77" t="str">
        <f>IF(M65="","",IF(M65&lt;=$AR$1,"O","X"))</f>
        <v>O</v>
      </c>
      <c r="AS65" s="77" t="s">
        <v>2</v>
      </c>
      <c r="AT65" s="77" t="str">
        <f>IF(OR(F65="",AI65=""),"",IF(AND((F65&lt;=85),(AI65&gt;=15)),"O","X"))</f>
        <v>O</v>
      </c>
      <c r="AU65" s="77" t="str">
        <f>IF(C65="","",IF(C65&gt;=$AU$1,"O","X"))</f>
        <v>O</v>
      </c>
      <c r="AV65" s="77" t="str">
        <f>IF(AO65="","",IF(AND(AO65="O",AP65="O",AR65="O",AT65="O",AU65="O"),"후보","X"))</f>
        <v/>
      </c>
    </row>
    <row r="66" spans="1:48" x14ac:dyDescent="0.3">
      <c r="A66" s="9" t="s">
        <v>349</v>
      </c>
      <c r="B66" s="10" t="s">
        <v>1275</v>
      </c>
      <c r="C66" s="107">
        <v>437</v>
      </c>
      <c r="D66" s="104">
        <v>110.5</v>
      </c>
      <c r="E66" s="106">
        <v>33</v>
      </c>
      <c r="F66" s="104">
        <v>84.5</v>
      </c>
      <c r="G66" s="17">
        <v>26</v>
      </c>
      <c r="H66" s="107">
        <v>12</v>
      </c>
      <c r="I66" s="108"/>
      <c r="J66" s="108"/>
      <c r="K66" s="108"/>
      <c r="L66" s="108"/>
      <c r="M66" s="109">
        <f>I66-K66</f>
        <v>0</v>
      </c>
      <c r="N66" s="4" t="str">
        <f>IF(ISERROR(K66/I66),"",K66/I66)</f>
        <v/>
      </c>
      <c r="O66" s="105">
        <f>I66/E66</f>
        <v>0</v>
      </c>
      <c r="P66" s="105">
        <f>K66/E66</f>
        <v>0</v>
      </c>
      <c r="Q66" s="77">
        <v>3</v>
      </c>
      <c r="R66" s="77">
        <v>2</v>
      </c>
      <c r="S66" s="77" t="s">
        <v>1244</v>
      </c>
      <c r="T66" s="5" t="s">
        <v>354</v>
      </c>
      <c r="U66" s="9"/>
      <c r="W66" s="104">
        <f t="shared" si="65"/>
        <v>110.5</v>
      </c>
      <c r="X66" s="106">
        <f t="shared" si="65"/>
        <v>33</v>
      </c>
      <c r="Y66" s="102">
        <f t="shared" si="66"/>
        <v>12</v>
      </c>
      <c r="Z66" s="109">
        <f t="shared" si="66"/>
        <v>0</v>
      </c>
      <c r="AA66" s="109">
        <f>K66</f>
        <v>0</v>
      </c>
      <c r="AB66" s="109">
        <f t="shared" si="67"/>
        <v>0</v>
      </c>
      <c r="AC66" s="4" t="str">
        <f t="shared" si="67"/>
        <v/>
      </c>
      <c r="AD66" s="105">
        <f t="shared" si="67"/>
        <v>0</v>
      </c>
      <c r="AE66" s="77" t="str">
        <f>S66</f>
        <v>계</v>
      </c>
      <c r="AF66" s="77" t="str">
        <f>Q66&amp;"/"&amp;R66</f>
        <v>3/2</v>
      </c>
      <c r="AH66" s="20" t="str">
        <f t="shared" si="35"/>
        <v>나운보람더하임</v>
      </c>
      <c r="AI66" s="106">
        <f t="shared" si="34"/>
        <v>33</v>
      </c>
      <c r="AJ66" s="77" t="str">
        <f>IF(AI66="","",$AJ$2)</f>
        <v>A-</v>
      </c>
      <c r="AK66" s="77" t="s">
        <v>13</v>
      </c>
      <c r="AL66" s="77" t="s">
        <v>1242</v>
      </c>
      <c r="AM66" s="77" t="s">
        <v>1243</v>
      </c>
      <c r="AN66" s="77" t="str">
        <f>IF(AI66="","",$AN$2)</f>
        <v>C</v>
      </c>
      <c r="AO66" s="77" t="str">
        <f>IF(N66="","",IF(N66&gt;=$AO$1/100,"O","X"))</f>
        <v/>
      </c>
      <c r="AP66" s="77" t="str">
        <f>IF(I66="","",IF(I66&lt;=$AP$1,"O","X"))</f>
        <v/>
      </c>
      <c r="AQ66" s="77" t="str">
        <f>IF(O66="","",IF(O66&lt;=$AQ$1,"O","X"))</f>
        <v>O</v>
      </c>
      <c r="AR66" s="77" t="str">
        <f>IF(M66="","",IF(M66&lt;=$AR$1,"O","X"))</f>
        <v>O</v>
      </c>
      <c r="AS66" s="77" t="s">
        <v>2</v>
      </c>
      <c r="AT66" s="77" t="str">
        <f>IF(OR(F66="",AI66=""),"",IF(AND((F66&lt;=85),(AI66&gt;=15)),"O","X"))</f>
        <v>O</v>
      </c>
      <c r="AU66" s="77" t="str">
        <f>IF(C66="","",IF(C66&gt;=$AU$1,"O","X"))</f>
        <v>O</v>
      </c>
      <c r="AV66" s="77" t="str">
        <f>IF(AO66="","",IF(AND(AO66="O",AP66="O",AR66="O",AT66="O",AU66="O"),"후보","X"))</f>
        <v/>
      </c>
    </row>
    <row r="67" spans="1:48" x14ac:dyDescent="0.3">
      <c r="A67" s="9" t="s">
        <v>349</v>
      </c>
      <c r="B67" s="10" t="s">
        <v>1275</v>
      </c>
      <c r="C67" s="107">
        <v>437</v>
      </c>
      <c r="D67" s="104">
        <v>152.69999999999999</v>
      </c>
      <c r="E67" s="106">
        <v>46</v>
      </c>
      <c r="F67" s="104">
        <v>118.6</v>
      </c>
      <c r="G67" s="17">
        <v>36</v>
      </c>
      <c r="H67" s="107">
        <v>54</v>
      </c>
      <c r="I67" s="108">
        <v>29500</v>
      </c>
      <c r="J67" s="108" t="s">
        <v>1268</v>
      </c>
      <c r="K67" s="108"/>
      <c r="L67" s="108"/>
      <c r="M67" s="109">
        <f>I67-K67</f>
        <v>29500</v>
      </c>
      <c r="N67" s="4">
        <f>IF(ISERROR(K67/I67),"",K67/I67)</f>
        <v>0</v>
      </c>
      <c r="O67" s="105">
        <f>I67/E67</f>
        <v>641.304347826087</v>
      </c>
      <c r="P67" s="105">
        <f>K67/E67</f>
        <v>0</v>
      </c>
      <c r="Q67" s="77">
        <v>4</v>
      </c>
      <c r="R67" s="77">
        <v>2</v>
      </c>
      <c r="S67" s="77" t="s">
        <v>1244</v>
      </c>
      <c r="T67" s="5">
        <v>152</v>
      </c>
      <c r="U67" s="9"/>
      <c r="W67" s="104">
        <f t="shared" si="65"/>
        <v>152.69999999999999</v>
      </c>
      <c r="X67" s="106">
        <f t="shared" si="65"/>
        <v>46</v>
      </c>
      <c r="Y67" s="102">
        <f t="shared" si="66"/>
        <v>54</v>
      </c>
      <c r="Z67" s="109">
        <f t="shared" si="66"/>
        <v>29500</v>
      </c>
      <c r="AA67" s="109">
        <f>K67</f>
        <v>0</v>
      </c>
      <c r="AB67" s="109">
        <f t="shared" si="67"/>
        <v>29500</v>
      </c>
      <c r="AC67" s="4">
        <f t="shared" si="67"/>
        <v>0</v>
      </c>
      <c r="AD67" s="105">
        <f t="shared" si="67"/>
        <v>641.304347826087</v>
      </c>
      <c r="AE67" s="77" t="str">
        <f>S67</f>
        <v>계</v>
      </c>
      <c r="AF67" s="77" t="str">
        <f>Q67&amp;"/"&amp;R67</f>
        <v>4/2</v>
      </c>
      <c r="AH67" s="20" t="str">
        <f t="shared" si="35"/>
        <v>나운보람더하임</v>
      </c>
      <c r="AI67" s="106">
        <f t="shared" ref="AI67:AI98" si="68">IF(E67="","",E67)</f>
        <v>46</v>
      </c>
      <c r="AJ67" s="77" t="str">
        <f>IF(AI67="","",$AJ$2)</f>
        <v>A-</v>
      </c>
      <c r="AK67" s="77" t="s">
        <v>13</v>
      </c>
      <c r="AL67" s="77" t="s">
        <v>1242</v>
      </c>
      <c r="AM67" s="77" t="s">
        <v>1243</v>
      </c>
      <c r="AN67" s="77" t="str">
        <f>IF(AI67="","",$AN$2)</f>
        <v>C</v>
      </c>
      <c r="AO67" s="77" t="str">
        <f>IF(N67="","",IF(N67&gt;=$AO$1/100,"O","X"))</f>
        <v>X</v>
      </c>
      <c r="AP67" s="77" t="str">
        <f>IF(I67="","",IF(I67&lt;=$AP$1,"O","X"))</f>
        <v>O</v>
      </c>
      <c r="AQ67" s="77" t="str">
        <f>IF(O67="","",IF(O67&lt;=$AQ$1,"O","X"))</f>
        <v>O</v>
      </c>
      <c r="AR67" s="77" t="str">
        <f>IF(M67="","",IF(M67&lt;=$AR$1,"O","X"))</f>
        <v>X</v>
      </c>
      <c r="AS67" s="77" t="s">
        <v>2</v>
      </c>
      <c r="AT67" s="77" t="str">
        <f>IF(OR(F67="",AI67=""),"",IF(AND((F67&lt;=85),(AI67&gt;=15)),"O","X"))</f>
        <v>X</v>
      </c>
      <c r="AU67" s="77" t="str">
        <f>IF(C67="","",IF(C67&gt;=$AU$1,"O","X"))</f>
        <v>O</v>
      </c>
      <c r="AV67" s="77" t="str">
        <f>IF(AO67="","",IF(AND(AO67="O",AP67="O",AR67="O",AT67="O",AU67="O"),"후보","X"))</f>
        <v>X</v>
      </c>
    </row>
    <row r="68" spans="1:48" x14ac:dyDescent="0.3">
      <c r="A68" s="9"/>
      <c r="B68" s="77"/>
      <c r="C68" s="6"/>
      <c r="D68" s="9"/>
      <c r="E68" s="14"/>
      <c r="F68" s="104"/>
      <c r="G68" s="9"/>
      <c r="H68" s="9"/>
      <c r="I68" s="9"/>
      <c r="J68" s="9"/>
      <c r="K68" s="9"/>
      <c r="L68" s="9"/>
      <c r="M68" s="9"/>
      <c r="N68" s="9"/>
      <c r="O68" s="105"/>
      <c r="P68" s="105"/>
      <c r="Q68" s="106"/>
      <c r="R68" s="106"/>
      <c r="S68" s="9"/>
      <c r="T68" s="47"/>
      <c r="U68" s="9"/>
      <c r="W68" s="67" t="str">
        <f>$A$4&amp;" "&amp;A69&amp;"("&amp;B69&amp;","&amp;C69&amp;"^)"</f>
        <v>나운동 동신('97.12.,420^)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35"/>
        <v/>
      </c>
      <c r="AI68" s="103" t="str">
        <f t="shared" si="68"/>
        <v/>
      </c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</row>
    <row r="69" spans="1:48" x14ac:dyDescent="0.3">
      <c r="A69" s="9" t="s">
        <v>155</v>
      </c>
      <c r="B69" s="10" t="s">
        <v>1276</v>
      </c>
      <c r="C69" s="107">
        <v>420</v>
      </c>
      <c r="D69" s="104">
        <v>112.4</v>
      </c>
      <c r="E69" s="106">
        <v>34</v>
      </c>
      <c r="F69" s="104">
        <v>92.3</v>
      </c>
      <c r="G69" s="17">
        <v>28</v>
      </c>
      <c r="H69" s="107">
        <v>270</v>
      </c>
      <c r="I69" s="108">
        <v>18000</v>
      </c>
      <c r="J69" s="108" t="s">
        <v>1255</v>
      </c>
      <c r="K69" s="108"/>
      <c r="L69" s="108"/>
      <c r="M69" s="109">
        <f>I69-K69</f>
        <v>18000</v>
      </c>
      <c r="N69" s="4">
        <f>IF(ISERROR(K69/I69),"",K69/I69)</f>
        <v>0</v>
      </c>
      <c r="O69" s="105">
        <f>I69/E69</f>
        <v>529.41176470588232</v>
      </c>
      <c r="P69" s="105">
        <f>K69/E69</f>
        <v>0</v>
      </c>
      <c r="Q69" s="77">
        <v>3</v>
      </c>
      <c r="R69" s="77">
        <v>2</v>
      </c>
      <c r="S69" s="77" t="s">
        <v>1244</v>
      </c>
      <c r="T69" s="5">
        <v>112</v>
      </c>
      <c r="U69" s="9"/>
      <c r="W69" s="104">
        <f>D69</f>
        <v>112.4</v>
      </c>
      <c r="X69" s="106">
        <f>E69</f>
        <v>34</v>
      </c>
      <c r="Y69" s="102">
        <f>H69</f>
        <v>270</v>
      </c>
      <c r="Z69" s="109">
        <f>I69</f>
        <v>18000</v>
      </c>
      <c r="AA69" s="109">
        <f>K69</f>
        <v>0</v>
      </c>
      <c r="AB69" s="109">
        <f t="shared" ref="AB69:AD70" si="69">M69</f>
        <v>18000</v>
      </c>
      <c r="AC69" s="4">
        <f t="shared" si="69"/>
        <v>0</v>
      </c>
      <c r="AD69" s="105">
        <f t="shared" si="69"/>
        <v>529.41176470588232</v>
      </c>
      <c r="AE69" s="77" t="str">
        <f>S69</f>
        <v>계</v>
      </c>
      <c r="AF69" s="77" t="str">
        <f>Q69&amp;"/"&amp;R69</f>
        <v>3/2</v>
      </c>
      <c r="AH69" s="20" t="str">
        <f t="shared" ref="AH69:AH100" si="70">IF(A69="","",A69)</f>
        <v>동신</v>
      </c>
      <c r="AI69" s="106">
        <f t="shared" si="68"/>
        <v>34</v>
      </c>
      <c r="AJ69" s="77" t="str">
        <f>IF(AI69="","",$AJ$2)</f>
        <v>A-</v>
      </c>
      <c r="AK69" s="77" t="s">
        <v>13</v>
      </c>
      <c r="AL69" s="77" t="s">
        <v>1242</v>
      </c>
      <c r="AM69" s="77" t="s">
        <v>1243</v>
      </c>
      <c r="AN69" s="77" t="str">
        <f>IF(AI69="","",$AN$2)</f>
        <v>C</v>
      </c>
      <c r="AO69" s="77" t="str">
        <f>IF(N69="","",IF(N69&gt;=$AO$1/100,"O","X"))</f>
        <v>X</v>
      </c>
      <c r="AP69" s="77" t="str">
        <f>IF(I69="","",IF(I69&lt;=$AP$1,"O","X"))</f>
        <v>O</v>
      </c>
      <c r="AQ69" s="77" t="str">
        <f>IF(O69="","",IF(O69&lt;=$AQ$1,"O","X"))</f>
        <v>O</v>
      </c>
      <c r="AR69" s="77" t="str">
        <f>IF(M69="","",IF(M69&lt;=$AR$1,"O","X"))</f>
        <v>X</v>
      </c>
      <c r="AS69" s="77" t="s">
        <v>2</v>
      </c>
      <c r="AT69" s="77" t="str">
        <f>IF(OR(F69="",AI69=""),"",IF(AND((F69&lt;=85),(AI69&gt;=15)),"O","X"))</f>
        <v>X</v>
      </c>
      <c r="AU69" s="77" t="str">
        <f>IF(C69="","",IF(C69&gt;=$AU$1,"O","X"))</f>
        <v>O</v>
      </c>
      <c r="AV69" s="77" t="str">
        <f>IF(AO69="","",IF(AND(AO69="O",AP69="O",AR69="O",AT69="O",AU69="O"),"후보","X"))</f>
        <v>X</v>
      </c>
    </row>
    <row r="70" spans="1:48" x14ac:dyDescent="0.3">
      <c r="A70" s="9" t="s">
        <v>155</v>
      </c>
      <c r="B70" s="10" t="s">
        <v>1276</v>
      </c>
      <c r="C70" s="107">
        <v>420</v>
      </c>
      <c r="D70" s="104">
        <v>136.5</v>
      </c>
      <c r="E70" s="106">
        <v>41</v>
      </c>
      <c r="F70" s="104">
        <v>114.6</v>
      </c>
      <c r="G70" s="17">
        <v>35</v>
      </c>
      <c r="H70" s="107">
        <v>150</v>
      </c>
      <c r="I70" s="108"/>
      <c r="J70" s="108"/>
      <c r="K70" s="108"/>
      <c r="L70" s="108"/>
      <c r="M70" s="109">
        <f>I70-K70</f>
        <v>0</v>
      </c>
      <c r="N70" s="4" t="str">
        <f>IF(ISERROR(K70/I70),"",K70/I70)</f>
        <v/>
      </c>
      <c r="O70" s="105">
        <f>I70/E70</f>
        <v>0</v>
      </c>
      <c r="P70" s="105">
        <f>K70/E70</f>
        <v>0</v>
      </c>
      <c r="Q70" s="77">
        <v>4</v>
      </c>
      <c r="R70" s="77">
        <v>2</v>
      </c>
      <c r="S70" s="77" t="s">
        <v>1244</v>
      </c>
      <c r="T70" s="5">
        <v>136</v>
      </c>
      <c r="U70" s="9"/>
      <c r="W70" s="104">
        <f>D70</f>
        <v>136.5</v>
      </c>
      <c r="X70" s="106">
        <f>E70</f>
        <v>41</v>
      </c>
      <c r="Y70" s="102">
        <f>H70</f>
        <v>150</v>
      </c>
      <c r="Z70" s="109">
        <f>I70</f>
        <v>0</v>
      </c>
      <c r="AA70" s="109">
        <f>K70</f>
        <v>0</v>
      </c>
      <c r="AB70" s="109">
        <f t="shared" si="69"/>
        <v>0</v>
      </c>
      <c r="AC70" s="4" t="str">
        <f t="shared" si="69"/>
        <v/>
      </c>
      <c r="AD70" s="105">
        <f t="shared" si="69"/>
        <v>0</v>
      </c>
      <c r="AE70" s="77" t="str">
        <f>S70</f>
        <v>계</v>
      </c>
      <c r="AF70" s="77" t="str">
        <f>Q70&amp;"/"&amp;R70</f>
        <v>4/2</v>
      </c>
      <c r="AH70" s="20" t="str">
        <f t="shared" si="70"/>
        <v>동신</v>
      </c>
      <c r="AI70" s="106">
        <f t="shared" si="68"/>
        <v>41</v>
      </c>
      <c r="AJ70" s="77" t="str">
        <f>IF(AI70="","",$AJ$2)</f>
        <v>A-</v>
      </c>
      <c r="AK70" s="77" t="s">
        <v>13</v>
      </c>
      <c r="AL70" s="77" t="s">
        <v>1242</v>
      </c>
      <c r="AM70" s="77" t="s">
        <v>1243</v>
      </c>
      <c r="AN70" s="77" t="str">
        <f>IF(AI70="","",$AN$2)</f>
        <v>C</v>
      </c>
      <c r="AO70" s="77" t="str">
        <f>IF(N70="","",IF(N70&gt;=$AO$1/100,"O","X"))</f>
        <v/>
      </c>
      <c r="AP70" s="77" t="str">
        <f>IF(I70="","",IF(I70&lt;=$AP$1,"O","X"))</f>
        <v/>
      </c>
      <c r="AQ70" s="77" t="str">
        <f>IF(O70="","",IF(O70&lt;=$AQ$1,"O","X"))</f>
        <v>O</v>
      </c>
      <c r="AR70" s="77" t="str">
        <f>IF(M70="","",IF(M70&lt;=$AR$1,"O","X"))</f>
        <v>O</v>
      </c>
      <c r="AS70" s="77" t="s">
        <v>2</v>
      </c>
      <c r="AT70" s="77" t="str">
        <f>IF(OR(F70="",AI70=""),"",IF(AND((F70&lt;=85),(AI70&gt;=15)),"O","X"))</f>
        <v>X</v>
      </c>
      <c r="AU70" s="77" t="str">
        <f>IF(C70="","",IF(C70&gt;=$AU$1,"O","X"))</f>
        <v>O</v>
      </c>
      <c r="AV70" s="77" t="str">
        <f>IF(AO70="","",IF(AND(AO70="O",AP70="O",AR70="O",AT70="O",AU70="O"),"후보","X"))</f>
        <v/>
      </c>
    </row>
    <row r="71" spans="1:48" x14ac:dyDescent="0.3">
      <c r="A71" s="9"/>
      <c r="B71" s="77"/>
      <c r="C71" s="6"/>
      <c r="D71" s="9"/>
      <c r="E71" s="14"/>
      <c r="F71" s="104"/>
      <c r="G71" s="9"/>
      <c r="H71" s="9"/>
      <c r="I71" s="9"/>
      <c r="J71" s="9"/>
      <c r="K71" s="9"/>
      <c r="L71" s="9"/>
      <c r="M71" s="9"/>
      <c r="N71" s="9"/>
      <c r="O71" s="105"/>
      <c r="P71" s="105"/>
      <c r="Q71" s="106"/>
      <c r="R71" s="106"/>
      <c r="S71" s="9"/>
      <c r="T71" s="47"/>
      <c r="U71" s="9"/>
      <c r="W71" s="67" t="str">
        <f>$A$4&amp;" "&amp;A72&amp;"("&amp;B72&amp;","&amp;C72&amp;"^)"</f>
        <v>나운동 대우('97.02.,260^)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70"/>
        <v/>
      </c>
      <c r="AI71" s="103" t="str">
        <f t="shared" si="68"/>
        <v/>
      </c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</row>
    <row r="72" spans="1:48" x14ac:dyDescent="0.3">
      <c r="A72" s="9" t="s">
        <v>359</v>
      </c>
      <c r="B72" s="10" t="s">
        <v>1277</v>
      </c>
      <c r="C72" s="107">
        <v>260</v>
      </c>
      <c r="D72" s="104">
        <v>105.3</v>
      </c>
      <c r="E72" s="106">
        <v>32</v>
      </c>
      <c r="F72" s="104">
        <v>85</v>
      </c>
      <c r="G72" s="17">
        <v>26</v>
      </c>
      <c r="H72" s="107">
        <v>230</v>
      </c>
      <c r="I72" s="108"/>
      <c r="J72" s="108"/>
      <c r="K72" s="108"/>
      <c r="L72" s="108"/>
      <c r="M72" s="109">
        <f>I72-K72</f>
        <v>0</v>
      </c>
      <c r="N72" s="4" t="str">
        <f>IF(ISERROR(K72/I72),"",K72/I72)</f>
        <v/>
      </c>
      <c r="O72" s="105">
        <f>I72/E72</f>
        <v>0</v>
      </c>
      <c r="P72" s="105">
        <f>K72/E72</f>
        <v>0</v>
      </c>
      <c r="Q72" s="77">
        <v>3</v>
      </c>
      <c r="R72" s="77">
        <v>2</v>
      </c>
      <c r="S72" s="77" t="s">
        <v>1244</v>
      </c>
      <c r="T72" s="5">
        <v>105</v>
      </c>
      <c r="U72" s="9"/>
      <c r="W72" s="104">
        <f>D72</f>
        <v>105.3</v>
      </c>
      <c r="X72" s="106">
        <f>E72</f>
        <v>32</v>
      </c>
      <c r="Y72" s="102">
        <f>H72</f>
        <v>230</v>
      </c>
      <c r="Z72" s="109">
        <f>I72</f>
        <v>0</v>
      </c>
      <c r="AA72" s="109">
        <f>K72</f>
        <v>0</v>
      </c>
      <c r="AB72" s="109">
        <f t="shared" ref="AB72:AD73" si="71">M72</f>
        <v>0</v>
      </c>
      <c r="AC72" s="4" t="str">
        <f t="shared" si="71"/>
        <v/>
      </c>
      <c r="AD72" s="105">
        <f t="shared" si="71"/>
        <v>0</v>
      </c>
      <c r="AE72" s="77" t="str">
        <f>S72</f>
        <v>계</v>
      </c>
      <c r="AF72" s="77" t="str">
        <f>Q72&amp;"/"&amp;R72</f>
        <v>3/2</v>
      </c>
      <c r="AH72" s="20" t="str">
        <f t="shared" si="70"/>
        <v>대우</v>
      </c>
      <c r="AI72" s="106">
        <f t="shared" si="68"/>
        <v>32</v>
      </c>
      <c r="AJ72" s="77" t="str">
        <f>IF(AI72="","",$AJ$2)</f>
        <v>A-</v>
      </c>
      <c r="AK72" s="77" t="s">
        <v>13</v>
      </c>
      <c r="AL72" s="77" t="s">
        <v>1242</v>
      </c>
      <c r="AM72" s="77" t="s">
        <v>1243</v>
      </c>
      <c r="AN72" s="77" t="str">
        <f>IF(AI72="","",$AN$2)</f>
        <v>C</v>
      </c>
      <c r="AO72" s="77" t="str">
        <f>IF(N72="","",IF(N72&gt;=$AO$1/100,"O","X"))</f>
        <v/>
      </c>
      <c r="AP72" s="77" t="str">
        <f>IF(I72="","",IF(I72&lt;=$AP$1,"O","X"))</f>
        <v/>
      </c>
      <c r="AQ72" s="77" t="str">
        <f>IF(O72="","",IF(O72&lt;=$AQ$1,"O","X"))</f>
        <v>O</v>
      </c>
      <c r="AR72" s="77" t="str">
        <f>IF(M72="","",IF(M72&lt;=$AR$1,"O","X"))</f>
        <v>O</v>
      </c>
      <c r="AS72" s="77" t="s">
        <v>2</v>
      </c>
      <c r="AT72" s="77" t="str">
        <f>IF(OR(F72="",AI72=""),"",IF(AND((F72&lt;=85),(AI72&gt;=15)),"O","X"))</f>
        <v>O</v>
      </c>
      <c r="AU72" s="77" t="str">
        <f>IF(C72="","",IF(C72&gt;=$AU$1,"O","X"))</f>
        <v>X</v>
      </c>
      <c r="AV72" s="77" t="str">
        <f>IF(AO72="","",IF(AND(AO72="O",AP72="O",AR72="O",AT72="O",AU72="O"),"후보","X"))</f>
        <v/>
      </c>
    </row>
    <row r="73" spans="1:48" x14ac:dyDescent="0.3">
      <c r="A73" s="9" t="s">
        <v>359</v>
      </c>
      <c r="B73" s="10" t="s">
        <v>1277</v>
      </c>
      <c r="C73" s="107">
        <v>260</v>
      </c>
      <c r="D73" s="104">
        <v>225.8</v>
      </c>
      <c r="E73" s="106">
        <v>68</v>
      </c>
      <c r="F73" s="104">
        <v>187.1</v>
      </c>
      <c r="G73" s="17">
        <v>57</v>
      </c>
      <c r="H73" s="107">
        <v>30</v>
      </c>
      <c r="I73" s="108"/>
      <c r="J73" s="108"/>
      <c r="K73" s="108"/>
      <c r="L73" s="108"/>
      <c r="M73" s="109">
        <f>I73-K73</f>
        <v>0</v>
      </c>
      <c r="N73" s="4" t="str">
        <f>IF(ISERROR(K73/I73),"",K73/I73)</f>
        <v/>
      </c>
      <c r="O73" s="105">
        <f>I73/E73</f>
        <v>0</v>
      </c>
      <c r="P73" s="105">
        <f>K73/E73</f>
        <v>0</v>
      </c>
      <c r="Q73" s="77">
        <v>5</v>
      </c>
      <c r="R73" s="77">
        <v>2</v>
      </c>
      <c r="S73" s="77" t="s">
        <v>1244</v>
      </c>
      <c r="T73" s="5">
        <v>225</v>
      </c>
      <c r="U73" s="9"/>
      <c r="W73" s="104">
        <f>D73</f>
        <v>225.8</v>
      </c>
      <c r="X73" s="106">
        <f>E73</f>
        <v>68</v>
      </c>
      <c r="Y73" s="102">
        <f>H73</f>
        <v>30</v>
      </c>
      <c r="Z73" s="109">
        <f>I73</f>
        <v>0</v>
      </c>
      <c r="AA73" s="109">
        <f>K73</f>
        <v>0</v>
      </c>
      <c r="AB73" s="109">
        <f t="shared" si="71"/>
        <v>0</v>
      </c>
      <c r="AC73" s="4" t="str">
        <f t="shared" si="71"/>
        <v/>
      </c>
      <c r="AD73" s="105">
        <f t="shared" si="71"/>
        <v>0</v>
      </c>
      <c r="AE73" s="77" t="str">
        <f>S73</f>
        <v>계</v>
      </c>
      <c r="AF73" s="77" t="str">
        <f>Q73&amp;"/"&amp;R73</f>
        <v>5/2</v>
      </c>
      <c r="AH73" s="20" t="str">
        <f t="shared" si="70"/>
        <v>대우</v>
      </c>
      <c r="AI73" s="106">
        <f t="shared" si="68"/>
        <v>68</v>
      </c>
      <c r="AJ73" s="77" t="str">
        <f>IF(AI73="","",$AJ$2)</f>
        <v>A-</v>
      </c>
      <c r="AK73" s="77" t="s">
        <v>13</v>
      </c>
      <c r="AL73" s="77" t="s">
        <v>1242</v>
      </c>
      <c r="AM73" s="77" t="s">
        <v>1243</v>
      </c>
      <c r="AN73" s="77" t="str">
        <f>IF(AI73="","",$AN$2)</f>
        <v>C</v>
      </c>
      <c r="AO73" s="77" t="str">
        <f>IF(N73="","",IF(N73&gt;=$AO$1/100,"O","X"))</f>
        <v/>
      </c>
      <c r="AP73" s="77" t="str">
        <f>IF(I73="","",IF(I73&lt;=$AP$1,"O","X"))</f>
        <v/>
      </c>
      <c r="AQ73" s="77" t="str">
        <f>IF(O73="","",IF(O73&lt;=$AQ$1,"O","X"))</f>
        <v>O</v>
      </c>
      <c r="AR73" s="77" t="str">
        <f>IF(M73="","",IF(M73&lt;=$AR$1,"O","X"))</f>
        <v>O</v>
      </c>
      <c r="AS73" s="77" t="s">
        <v>2</v>
      </c>
      <c r="AT73" s="77" t="str">
        <f>IF(OR(F73="",AI73=""),"",IF(AND((F73&lt;=85),(AI73&gt;=15)),"O","X"))</f>
        <v>X</v>
      </c>
      <c r="AU73" s="77" t="str">
        <f>IF(C73="","",IF(C73&gt;=$AU$1,"O","X"))</f>
        <v>X</v>
      </c>
      <c r="AV73" s="77" t="str">
        <f>IF(AO73="","",IF(AND(AO73="O",AP73="O",AR73="O",AT73="O",AU73="O"),"후보","X"))</f>
        <v/>
      </c>
    </row>
    <row r="74" spans="1:48" x14ac:dyDescent="0.3">
      <c r="A74" s="9"/>
      <c r="B74" s="77"/>
      <c r="C74" s="6"/>
      <c r="D74" s="9"/>
      <c r="E74" s="14"/>
      <c r="F74" s="104"/>
      <c r="G74" s="9"/>
      <c r="H74" s="9"/>
      <c r="I74" s="9"/>
      <c r="J74" s="9"/>
      <c r="K74" s="9"/>
      <c r="L74" s="9"/>
      <c r="M74" s="9"/>
      <c r="N74" s="9"/>
      <c r="O74" s="105"/>
      <c r="P74" s="105"/>
      <c r="Q74" s="106"/>
      <c r="R74" s="106"/>
      <c r="S74" s="9"/>
      <c r="T74" s="47"/>
      <c r="U74" s="9"/>
      <c r="W74" s="67" t="str">
        <f>$A$4&amp;" "&amp;A75&amp;"("&amp;B75&amp;","&amp;C75&amp;"^)"</f>
        <v>나운동 롯데1차('91.03.,420^)</v>
      </c>
      <c r="X74" s="68"/>
      <c r="Y74" s="68"/>
      <c r="Z74" s="68"/>
      <c r="AA74" s="68"/>
      <c r="AB74" s="68"/>
      <c r="AC74" s="68"/>
      <c r="AD74" s="68"/>
      <c r="AE74" s="68"/>
      <c r="AF74" s="69"/>
      <c r="AH74" s="20" t="str">
        <f t="shared" si="70"/>
        <v/>
      </c>
      <c r="AI74" s="103" t="str">
        <f t="shared" si="68"/>
        <v/>
      </c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</row>
    <row r="75" spans="1:48" x14ac:dyDescent="0.3">
      <c r="A75" s="9" t="s">
        <v>369</v>
      </c>
      <c r="B75" s="10" t="s">
        <v>1278</v>
      </c>
      <c r="C75" s="107">
        <v>420</v>
      </c>
      <c r="D75" s="104">
        <v>91.9</v>
      </c>
      <c r="E75" s="106">
        <v>28</v>
      </c>
      <c r="F75" s="104">
        <v>74</v>
      </c>
      <c r="G75" s="17">
        <v>22</v>
      </c>
      <c r="H75" s="107">
        <v>104</v>
      </c>
      <c r="I75" s="108">
        <v>12200</v>
      </c>
      <c r="J75" s="108" t="s">
        <v>1250</v>
      </c>
      <c r="K75" s="108"/>
      <c r="L75" s="108"/>
      <c r="M75" s="109">
        <f>I75-K75</f>
        <v>12200</v>
      </c>
      <c r="N75" s="4">
        <f>IF(ISERROR(K75/I75),"",K75/I75)</f>
        <v>0</v>
      </c>
      <c r="O75" s="105">
        <f>I75/E75</f>
        <v>435.71428571428572</v>
      </c>
      <c r="P75" s="105">
        <f>K75/E75</f>
        <v>0</v>
      </c>
      <c r="Q75" s="77">
        <v>3</v>
      </c>
      <c r="R75" s="77">
        <v>1</v>
      </c>
      <c r="S75" s="77" t="s">
        <v>1244</v>
      </c>
      <c r="T75" s="5">
        <v>91</v>
      </c>
      <c r="U75" s="9"/>
      <c r="W75" s="104">
        <f t="shared" ref="W75:X78" si="72">D75</f>
        <v>91.9</v>
      </c>
      <c r="X75" s="106">
        <f t="shared" si="72"/>
        <v>28</v>
      </c>
      <c r="Y75" s="102">
        <f t="shared" ref="Y75:Z78" si="73">H75</f>
        <v>104</v>
      </c>
      <c r="Z75" s="109">
        <f t="shared" si="73"/>
        <v>12200</v>
      </c>
      <c r="AA75" s="109">
        <f>K75</f>
        <v>0</v>
      </c>
      <c r="AB75" s="109">
        <f t="shared" ref="AB75:AD78" si="74">M75</f>
        <v>12200</v>
      </c>
      <c r="AC75" s="4">
        <f t="shared" si="74"/>
        <v>0</v>
      </c>
      <c r="AD75" s="105">
        <f t="shared" si="74"/>
        <v>435.71428571428572</v>
      </c>
      <c r="AE75" s="77" t="str">
        <f>S75</f>
        <v>계</v>
      </c>
      <c r="AF75" s="77" t="str">
        <f>Q75&amp;"/"&amp;R75</f>
        <v>3/1</v>
      </c>
      <c r="AH75" s="20" t="str">
        <f t="shared" si="70"/>
        <v>롯데1차</v>
      </c>
      <c r="AI75" s="106">
        <f t="shared" si="68"/>
        <v>28</v>
      </c>
      <c r="AJ75" s="77" t="str">
        <f>IF(AI75="","",$AJ$2)</f>
        <v>A-</v>
      </c>
      <c r="AK75" s="77" t="s">
        <v>13</v>
      </c>
      <c r="AL75" s="77" t="s">
        <v>1242</v>
      </c>
      <c r="AM75" s="77" t="s">
        <v>1243</v>
      </c>
      <c r="AN75" s="77" t="str">
        <f>IF(AI75="","",$AN$2)</f>
        <v>C</v>
      </c>
      <c r="AO75" s="77" t="str">
        <f>IF(N75="","",IF(N75&gt;=$AO$1/100,"O","X"))</f>
        <v>X</v>
      </c>
      <c r="AP75" s="77" t="str">
        <f>IF(I75="","",IF(I75&lt;=$AP$1,"O","X"))</f>
        <v>O</v>
      </c>
      <c r="AQ75" s="77" t="str">
        <f>IF(O75="","",IF(O75&lt;=$AQ$1,"O","X"))</f>
        <v>O</v>
      </c>
      <c r="AR75" s="77" t="str">
        <f>IF(M75="","",IF(M75&lt;=$AR$1,"O","X"))</f>
        <v>X</v>
      </c>
      <c r="AS75" s="77" t="s">
        <v>2</v>
      </c>
      <c r="AT75" s="77" t="str">
        <f>IF(OR(F75="",AI75=""),"",IF(AND((F75&lt;=85),(AI75&gt;=15)),"O","X"))</f>
        <v>O</v>
      </c>
      <c r="AU75" s="77" t="str">
        <f>IF(C75="","",IF(C75&gt;=$AU$1,"O","X"))</f>
        <v>O</v>
      </c>
      <c r="AV75" s="77" t="str">
        <f>IF(AO75="","",IF(AND(AO75="O",AP75="O",AR75="O",AT75="O",AU75="O"),"후보","X"))</f>
        <v>X</v>
      </c>
    </row>
    <row r="76" spans="1:48" x14ac:dyDescent="0.3">
      <c r="A76" s="9" t="s">
        <v>369</v>
      </c>
      <c r="B76" s="10" t="s">
        <v>1278</v>
      </c>
      <c r="C76" s="107">
        <v>420</v>
      </c>
      <c r="D76" s="104">
        <v>105.9</v>
      </c>
      <c r="E76" s="106">
        <v>32</v>
      </c>
      <c r="F76" s="104">
        <v>84.8</v>
      </c>
      <c r="G76" s="17">
        <v>26</v>
      </c>
      <c r="H76" s="107">
        <v>182</v>
      </c>
      <c r="I76" s="108">
        <v>13500</v>
      </c>
      <c r="J76" s="108" t="s">
        <v>1251</v>
      </c>
      <c r="K76" s="108"/>
      <c r="L76" s="108"/>
      <c r="M76" s="109">
        <f>I76-K76</f>
        <v>13500</v>
      </c>
      <c r="N76" s="4">
        <f>IF(ISERROR(K76/I76),"",K76/I76)</f>
        <v>0</v>
      </c>
      <c r="O76" s="105">
        <f>I76/E76</f>
        <v>421.875</v>
      </c>
      <c r="P76" s="105">
        <f>K76/E76</f>
        <v>0</v>
      </c>
      <c r="Q76" s="77">
        <v>3</v>
      </c>
      <c r="R76" s="77">
        <v>2</v>
      </c>
      <c r="S76" s="77" t="s">
        <v>1244</v>
      </c>
      <c r="T76" s="5">
        <v>105</v>
      </c>
      <c r="U76" s="9"/>
      <c r="W76" s="104">
        <f t="shared" si="72"/>
        <v>105.9</v>
      </c>
      <c r="X76" s="106">
        <f t="shared" si="72"/>
        <v>32</v>
      </c>
      <c r="Y76" s="102">
        <f t="shared" si="73"/>
        <v>182</v>
      </c>
      <c r="Z76" s="109">
        <f t="shared" si="73"/>
        <v>13500</v>
      </c>
      <c r="AA76" s="109">
        <f>K76</f>
        <v>0</v>
      </c>
      <c r="AB76" s="109">
        <f t="shared" si="74"/>
        <v>13500</v>
      </c>
      <c r="AC76" s="4">
        <f t="shared" si="74"/>
        <v>0</v>
      </c>
      <c r="AD76" s="105">
        <f t="shared" si="74"/>
        <v>421.875</v>
      </c>
      <c r="AE76" s="77" t="str">
        <f>S76</f>
        <v>계</v>
      </c>
      <c r="AF76" s="77" t="str">
        <f>Q76&amp;"/"&amp;R76</f>
        <v>3/2</v>
      </c>
      <c r="AH76" s="20" t="str">
        <f t="shared" si="70"/>
        <v>롯데1차</v>
      </c>
      <c r="AI76" s="106">
        <f t="shared" si="68"/>
        <v>32</v>
      </c>
      <c r="AJ76" s="77" t="str">
        <f>IF(AI76="","",$AJ$2)</f>
        <v>A-</v>
      </c>
      <c r="AK76" s="77" t="s">
        <v>13</v>
      </c>
      <c r="AL76" s="77" t="s">
        <v>1242</v>
      </c>
      <c r="AM76" s="77" t="s">
        <v>1243</v>
      </c>
      <c r="AN76" s="77" t="str">
        <f>IF(AI76="","",$AN$2)</f>
        <v>C</v>
      </c>
      <c r="AO76" s="77" t="str">
        <f>IF(N76="","",IF(N76&gt;=$AO$1/100,"O","X"))</f>
        <v>X</v>
      </c>
      <c r="AP76" s="77" t="str">
        <f>IF(I76="","",IF(I76&lt;=$AP$1,"O","X"))</f>
        <v>O</v>
      </c>
      <c r="AQ76" s="77" t="str">
        <f>IF(O76="","",IF(O76&lt;=$AQ$1,"O","X"))</f>
        <v>O</v>
      </c>
      <c r="AR76" s="77" t="str">
        <f>IF(M76="","",IF(M76&lt;=$AR$1,"O","X"))</f>
        <v>X</v>
      </c>
      <c r="AS76" s="77" t="s">
        <v>2</v>
      </c>
      <c r="AT76" s="77" t="str">
        <f>IF(OR(F76="",AI76=""),"",IF(AND((F76&lt;=85),(AI76&gt;=15)),"O","X"))</f>
        <v>O</v>
      </c>
      <c r="AU76" s="77" t="str">
        <f>IF(C76="","",IF(C76&gt;=$AU$1,"O","X"))</f>
        <v>O</v>
      </c>
      <c r="AV76" s="77" t="str">
        <f>IF(AO76="","",IF(AND(AO76="O",AP76="O",AR76="O",AT76="O",AU76="O"),"후보","X"))</f>
        <v>X</v>
      </c>
    </row>
    <row r="77" spans="1:48" x14ac:dyDescent="0.3">
      <c r="A77" s="9" t="s">
        <v>369</v>
      </c>
      <c r="B77" s="10" t="s">
        <v>1278</v>
      </c>
      <c r="C77" s="107">
        <v>420</v>
      </c>
      <c r="D77" s="104">
        <v>155.4</v>
      </c>
      <c r="E77" s="106">
        <v>47</v>
      </c>
      <c r="F77" s="104">
        <v>131.80000000000001</v>
      </c>
      <c r="G77" s="17">
        <v>40</v>
      </c>
      <c r="H77" s="107">
        <v>78</v>
      </c>
      <c r="I77" s="108"/>
      <c r="J77" s="108"/>
      <c r="K77" s="108"/>
      <c r="L77" s="108"/>
      <c r="M77" s="109">
        <f>I77-K77</f>
        <v>0</v>
      </c>
      <c r="N77" s="4" t="str">
        <f>IF(ISERROR(K77/I77),"",K77/I77)</f>
        <v/>
      </c>
      <c r="O77" s="105">
        <f>I77/E77</f>
        <v>0</v>
      </c>
      <c r="P77" s="105">
        <f>K77/E77</f>
        <v>0</v>
      </c>
      <c r="Q77" s="77">
        <v>4</v>
      </c>
      <c r="R77" s="77">
        <v>2</v>
      </c>
      <c r="S77" s="77" t="s">
        <v>1244</v>
      </c>
      <c r="T77" s="5">
        <v>155</v>
      </c>
      <c r="U77" s="9"/>
      <c r="W77" s="104">
        <f t="shared" si="72"/>
        <v>155.4</v>
      </c>
      <c r="X77" s="106">
        <f t="shared" si="72"/>
        <v>47</v>
      </c>
      <c r="Y77" s="102">
        <f t="shared" si="73"/>
        <v>78</v>
      </c>
      <c r="Z77" s="109">
        <f t="shared" si="73"/>
        <v>0</v>
      </c>
      <c r="AA77" s="109">
        <f>K77</f>
        <v>0</v>
      </c>
      <c r="AB77" s="109">
        <f t="shared" si="74"/>
        <v>0</v>
      </c>
      <c r="AC77" s="4" t="str">
        <f t="shared" si="74"/>
        <v/>
      </c>
      <c r="AD77" s="105">
        <f t="shared" si="74"/>
        <v>0</v>
      </c>
      <c r="AE77" s="77" t="str">
        <f>S77</f>
        <v>계</v>
      </c>
      <c r="AF77" s="77" t="str">
        <f>Q77&amp;"/"&amp;R77</f>
        <v>4/2</v>
      </c>
      <c r="AH77" s="20" t="str">
        <f t="shared" si="70"/>
        <v>롯데1차</v>
      </c>
      <c r="AI77" s="106">
        <f t="shared" si="68"/>
        <v>47</v>
      </c>
      <c r="AJ77" s="77" t="str">
        <f>IF(AI77="","",$AJ$2)</f>
        <v>A-</v>
      </c>
      <c r="AK77" s="77" t="s">
        <v>13</v>
      </c>
      <c r="AL77" s="77" t="s">
        <v>1242</v>
      </c>
      <c r="AM77" s="77" t="s">
        <v>1243</v>
      </c>
      <c r="AN77" s="77" t="str">
        <f>IF(AI77="","",$AN$2)</f>
        <v>C</v>
      </c>
      <c r="AO77" s="77" t="str">
        <f>IF(N77="","",IF(N77&gt;=$AO$1/100,"O","X"))</f>
        <v/>
      </c>
      <c r="AP77" s="77" t="str">
        <f>IF(I77="","",IF(I77&lt;=$AP$1,"O","X"))</f>
        <v/>
      </c>
      <c r="AQ77" s="77" t="str">
        <f>IF(O77="","",IF(O77&lt;=$AQ$1,"O","X"))</f>
        <v>O</v>
      </c>
      <c r="AR77" s="77" t="str">
        <f>IF(M77="","",IF(M77&lt;=$AR$1,"O","X"))</f>
        <v>O</v>
      </c>
      <c r="AS77" s="77" t="s">
        <v>2</v>
      </c>
      <c r="AT77" s="77" t="str">
        <f>IF(OR(F77="",AI77=""),"",IF(AND((F77&lt;=85),(AI77&gt;=15)),"O","X"))</f>
        <v>X</v>
      </c>
      <c r="AU77" s="77" t="str">
        <f>IF(C77="","",IF(C77&gt;=$AU$1,"O","X"))</f>
        <v>O</v>
      </c>
      <c r="AV77" s="77" t="str">
        <f>IF(AO77="","",IF(AND(AO77="O",AP77="O",AR77="O",AT77="O",AU77="O"),"후보","X"))</f>
        <v/>
      </c>
    </row>
    <row r="78" spans="1:48" x14ac:dyDescent="0.3">
      <c r="A78" s="9" t="s">
        <v>369</v>
      </c>
      <c r="B78" s="10" t="s">
        <v>1278</v>
      </c>
      <c r="C78" s="107">
        <v>420</v>
      </c>
      <c r="D78" s="104">
        <v>191.8</v>
      </c>
      <c r="E78" s="106">
        <v>58</v>
      </c>
      <c r="F78" s="104">
        <v>162.9</v>
      </c>
      <c r="G78" s="17">
        <v>49</v>
      </c>
      <c r="H78" s="107">
        <v>56</v>
      </c>
      <c r="I78" s="108"/>
      <c r="J78" s="108"/>
      <c r="K78" s="108"/>
      <c r="L78" s="108"/>
      <c r="M78" s="109">
        <f>I78-K78</f>
        <v>0</v>
      </c>
      <c r="N78" s="4" t="str">
        <f>IF(ISERROR(K78/I78),"",K78/I78)</f>
        <v/>
      </c>
      <c r="O78" s="105">
        <f>I78/E78</f>
        <v>0</v>
      </c>
      <c r="P78" s="105">
        <f>K78/E78</f>
        <v>0</v>
      </c>
      <c r="Q78" s="77">
        <v>5</v>
      </c>
      <c r="R78" s="77">
        <v>2</v>
      </c>
      <c r="S78" s="77" t="s">
        <v>1244</v>
      </c>
      <c r="T78" s="5">
        <v>191</v>
      </c>
      <c r="U78" s="9"/>
      <c r="W78" s="104">
        <f t="shared" si="72"/>
        <v>191.8</v>
      </c>
      <c r="X78" s="106">
        <f t="shared" si="72"/>
        <v>58</v>
      </c>
      <c r="Y78" s="102">
        <f t="shared" si="73"/>
        <v>56</v>
      </c>
      <c r="Z78" s="109">
        <f t="shared" si="73"/>
        <v>0</v>
      </c>
      <c r="AA78" s="109">
        <f>K78</f>
        <v>0</v>
      </c>
      <c r="AB78" s="109">
        <f t="shared" si="74"/>
        <v>0</v>
      </c>
      <c r="AC78" s="4" t="str">
        <f t="shared" si="74"/>
        <v/>
      </c>
      <c r="AD78" s="105">
        <f t="shared" si="74"/>
        <v>0</v>
      </c>
      <c r="AE78" s="77" t="str">
        <f>S78</f>
        <v>계</v>
      </c>
      <c r="AF78" s="77" t="str">
        <f>Q78&amp;"/"&amp;R78</f>
        <v>5/2</v>
      </c>
      <c r="AH78" s="20" t="str">
        <f t="shared" si="70"/>
        <v>롯데1차</v>
      </c>
      <c r="AI78" s="106">
        <f t="shared" si="68"/>
        <v>58</v>
      </c>
      <c r="AJ78" s="77" t="str">
        <f>IF(AI78="","",$AJ$2)</f>
        <v>A-</v>
      </c>
      <c r="AK78" s="77" t="s">
        <v>13</v>
      </c>
      <c r="AL78" s="77" t="s">
        <v>1242</v>
      </c>
      <c r="AM78" s="77" t="s">
        <v>1243</v>
      </c>
      <c r="AN78" s="77" t="str">
        <f>IF(AI78="","",$AN$2)</f>
        <v>C</v>
      </c>
      <c r="AO78" s="77" t="str">
        <f>IF(N78="","",IF(N78&gt;=$AO$1/100,"O","X"))</f>
        <v/>
      </c>
      <c r="AP78" s="77" t="str">
        <f>IF(I78="","",IF(I78&lt;=$AP$1,"O","X"))</f>
        <v/>
      </c>
      <c r="AQ78" s="77" t="str">
        <f>IF(O78="","",IF(O78&lt;=$AQ$1,"O","X"))</f>
        <v>O</v>
      </c>
      <c r="AR78" s="77" t="str">
        <f>IF(M78="","",IF(M78&lt;=$AR$1,"O","X"))</f>
        <v>O</v>
      </c>
      <c r="AS78" s="77" t="s">
        <v>2</v>
      </c>
      <c r="AT78" s="77" t="str">
        <f>IF(OR(F78="",AI78=""),"",IF(AND((F78&lt;=85),(AI78&gt;=15)),"O","X"))</f>
        <v>X</v>
      </c>
      <c r="AU78" s="77" t="str">
        <f>IF(C78="","",IF(C78&gt;=$AU$1,"O","X"))</f>
        <v>O</v>
      </c>
      <c r="AV78" s="77" t="str">
        <f>IF(AO78="","",IF(AND(AO78="O",AP78="O",AR78="O",AT78="O",AU78="O"),"후보","X"))</f>
        <v/>
      </c>
    </row>
    <row r="79" spans="1:48" x14ac:dyDescent="0.3">
      <c r="A79" s="9"/>
      <c r="B79" s="77"/>
      <c r="C79" s="6"/>
      <c r="D79" s="9"/>
      <c r="E79" s="14"/>
      <c r="F79" s="104"/>
      <c r="G79" s="9"/>
      <c r="H79" s="9"/>
      <c r="I79" s="9"/>
      <c r="J79" s="9"/>
      <c r="K79" s="9"/>
      <c r="L79" s="9"/>
      <c r="M79" s="9"/>
      <c r="N79" s="9"/>
      <c r="O79" s="105"/>
      <c r="P79" s="105"/>
      <c r="Q79" s="106"/>
      <c r="R79" s="106"/>
      <c r="S79" s="9"/>
      <c r="T79" s="47"/>
      <c r="U79" s="9"/>
      <c r="W79" s="67" t="str">
        <f>$A$4&amp;" "&amp;A80&amp;"("&amp;B80&amp;","&amp;C80&amp;"^)"</f>
        <v>나운동 한울('96.07.,840^)</v>
      </c>
      <c r="X79" s="68"/>
      <c r="Y79" s="68"/>
      <c r="Z79" s="68"/>
      <c r="AA79" s="68"/>
      <c r="AB79" s="68"/>
      <c r="AC79" s="68"/>
      <c r="AD79" s="68"/>
      <c r="AE79" s="68"/>
      <c r="AF79" s="69"/>
      <c r="AH79" s="20" t="str">
        <f t="shared" si="70"/>
        <v/>
      </c>
      <c r="AI79" s="103" t="str">
        <f t="shared" si="68"/>
        <v/>
      </c>
      <c r="AJ79" s="77"/>
      <c r="AK79" s="77"/>
      <c r="AL79" s="77"/>
      <c r="AM79" s="77"/>
      <c r="AN79" s="77"/>
      <c r="AO79" s="77"/>
      <c r="AP79" s="77"/>
      <c r="AQ79" s="77"/>
      <c r="AR79" s="77"/>
      <c r="AS79" s="77"/>
      <c r="AT79" s="77"/>
      <c r="AU79" s="77"/>
      <c r="AV79" s="77"/>
    </row>
    <row r="80" spans="1:48" x14ac:dyDescent="0.3">
      <c r="A80" s="9" t="s">
        <v>382</v>
      </c>
      <c r="B80" s="10" t="s">
        <v>1279</v>
      </c>
      <c r="C80" s="107">
        <v>840</v>
      </c>
      <c r="D80" s="104">
        <v>76.099999999999994</v>
      </c>
      <c r="E80" s="106">
        <v>23</v>
      </c>
      <c r="F80" s="104">
        <v>59.7</v>
      </c>
      <c r="G80" s="17">
        <v>18</v>
      </c>
      <c r="H80" s="107">
        <v>477</v>
      </c>
      <c r="I80" s="108">
        <v>10100</v>
      </c>
      <c r="J80" s="108" t="s">
        <v>1272</v>
      </c>
      <c r="K80" s="108">
        <v>10000</v>
      </c>
      <c r="L80" s="108" t="s">
        <v>1248</v>
      </c>
      <c r="M80" s="109">
        <f>I80-K80</f>
        <v>100</v>
      </c>
      <c r="N80" s="4">
        <f>IF(ISERROR(K80/I80),"",K80/I80)</f>
        <v>0.99009900990099009</v>
      </c>
      <c r="O80" s="105">
        <f>I80/E80</f>
        <v>439.13043478260869</v>
      </c>
      <c r="P80" s="105">
        <f>K80/E80</f>
        <v>434.78260869565219</v>
      </c>
      <c r="Q80" s="77">
        <v>3</v>
      </c>
      <c r="R80" s="77">
        <v>1</v>
      </c>
      <c r="S80" s="77" t="s">
        <v>1244</v>
      </c>
      <c r="T80" s="5" t="s">
        <v>384</v>
      </c>
      <c r="U80" s="9"/>
      <c r="W80" s="104">
        <f>D80</f>
        <v>76.099999999999994</v>
      </c>
      <c r="X80" s="106">
        <f>E80</f>
        <v>23</v>
      </c>
      <c r="Y80" s="102">
        <f>H80</f>
        <v>477</v>
      </c>
      <c r="Z80" s="109">
        <f>I80</f>
        <v>10100</v>
      </c>
      <c r="AA80" s="109">
        <f>K80</f>
        <v>10000</v>
      </c>
      <c r="AB80" s="109">
        <f t="shared" ref="AB80:AD81" si="75">M80</f>
        <v>100</v>
      </c>
      <c r="AC80" s="4">
        <f t="shared" si="75"/>
        <v>0.99009900990099009</v>
      </c>
      <c r="AD80" s="105">
        <f t="shared" si="75"/>
        <v>439.13043478260869</v>
      </c>
      <c r="AE80" s="77" t="str">
        <f>S80</f>
        <v>계</v>
      </c>
      <c r="AF80" s="77" t="str">
        <f>Q80&amp;"/"&amp;R80</f>
        <v>3/1</v>
      </c>
      <c r="AH80" s="20" t="str">
        <f t="shared" si="70"/>
        <v>한울</v>
      </c>
      <c r="AI80" s="106">
        <f t="shared" si="68"/>
        <v>23</v>
      </c>
      <c r="AJ80" s="77" t="str">
        <f>IF(AI80="","",$AJ$2)</f>
        <v>A-</v>
      </c>
      <c r="AK80" s="77" t="s">
        <v>13</v>
      </c>
      <c r="AL80" s="77" t="s">
        <v>1242</v>
      </c>
      <c r="AM80" s="77" t="s">
        <v>1243</v>
      </c>
      <c r="AN80" s="77" t="str">
        <f>IF(AI80="","",$AN$2)</f>
        <v>C</v>
      </c>
      <c r="AO80" s="77" t="str">
        <f>IF(N80="","",IF(N80&gt;=$AO$1/100,"O","X"))</f>
        <v>O</v>
      </c>
      <c r="AP80" s="77" t="str">
        <f>IF(I80="","",IF(I80&lt;=$AP$1,"O","X"))</f>
        <v>O</v>
      </c>
      <c r="AQ80" s="77" t="str">
        <f>IF(O80="","",IF(O80&lt;=$AQ$1,"O","X"))</f>
        <v>O</v>
      </c>
      <c r="AR80" s="77" t="str">
        <f>IF(M80="","",IF(M80&lt;=$AR$1,"O","X"))</f>
        <v>O</v>
      </c>
      <c r="AS80" s="77" t="s">
        <v>2</v>
      </c>
      <c r="AT80" s="77" t="str">
        <f>IF(OR(F80="",AI80=""),"",IF(AND((F80&lt;=85),(AI80&gt;=15)),"O","X"))</f>
        <v>O</v>
      </c>
      <c r="AU80" s="77" t="str">
        <f>IF(C80="","",IF(C80&gt;=$AU$1,"O","X"))</f>
        <v>O</v>
      </c>
      <c r="AV80" s="77" t="str">
        <f>IF(AO80="","",IF(AND(AO80="O",AP80="O",AR80="O",AT80="O",AU80="O"),"후보","X"))</f>
        <v>후보</v>
      </c>
    </row>
    <row r="81" spans="1:48" x14ac:dyDescent="0.3">
      <c r="A81" s="9" t="s">
        <v>382</v>
      </c>
      <c r="B81" s="10" t="s">
        <v>1279</v>
      </c>
      <c r="C81" s="107">
        <v>840</v>
      </c>
      <c r="D81" s="104">
        <v>76.900000000000006</v>
      </c>
      <c r="E81" s="106">
        <v>23</v>
      </c>
      <c r="F81" s="104">
        <v>60</v>
      </c>
      <c r="G81" s="17">
        <v>18</v>
      </c>
      <c r="H81" s="107">
        <v>360</v>
      </c>
      <c r="I81" s="108"/>
      <c r="J81" s="108"/>
      <c r="K81" s="108"/>
      <c r="L81" s="108"/>
      <c r="M81" s="109">
        <f>I81-K81</f>
        <v>0</v>
      </c>
      <c r="N81" s="4" t="str">
        <f>IF(ISERROR(K81/I81),"",K81/I81)</f>
        <v/>
      </c>
      <c r="O81" s="105">
        <f>I81/E81</f>
        <v>0</v>
      </c>
      <c r="P81" s="105">
        <f>K81/E81</f>
        <v>0</v>
      </c>
      <c r="Q81" s="77">
        <v>3</v>
      </c>
      <c r="R81" s="77">
        <v>1</v>
      </c>
      <c r="S81" s="77" t="s">
        <v>1244</v>
      </c>
      <c r="T81" s="5" t="s">
        <v>388</v>
      </c>
      <c r="U81" s="9"/>
      <c r="W81" s="104">
        <f>D81</f>
        <v>76.900000000000006</v>
      </c>
      <c r="X81" s="106">
        <f>E81</f>
        <v>23</v>
      </c>
      <c r="Y81" s="102">
        <f>H81</f>
        <v>360</v>
      </c>
      <c r="Z81" s="109">
        <f>I81</f>
        <v>0</v>
      </c>
      <c r="AA81" s="109">
        <f>K81</f>
        <v>0</v>
      </c>
      <c r="AB81" s="109">
        <f t="shared" si="75"/>
        <v>0</v>
      </c>
      <c r="AC81" s="4" t="str">
        <f t="shared" si="75"/>
        <v/>
      </c>
      <c r="AD81" s="105">
        <f t="shared" si="75"/>
        <v>0</v>
      </c>
      <c r="AE81" s="77" t="str">
        <f>S81</f>
        <v>계</v>
      </c>
      <c r="AF81" s="77" t="str">
        <f>Q81&amp;"/"&amp;R81</f>
        <v>3/1</v>
      </c>
      <c r="AH81" s="20" t="str">
        <f t="shared" si="70"/>
        <v>한울</v>
      </c>
      <c r="AI81" s="106">
        <f t="shared" si="68"/>
        <v>23</v>
      </c>
      <c r="AJ81" s="77" t="str">
        <f>IF(AI81="","",$AJ$2)</f>
        <v>A-</v>
      </c>
      <c r="AK81" s="77" t="s">
        <v>13</v>
      </c>
      <c r="AL81" s="77" t="s">
        <v>1242</v>
      </c>
      <c r="AM81" s="77" t="s">
        <v>1243</v>
      </c>
      <c r="AN81" s="77" t="str">
        <f>IF(AI81="","",$AN$2)</f>
        <v>C</v>
      </c>
      <c r="AO81" s="77" t="str">
        <f>IF(N81="","",IF(N81&gt;=$AO$1/100,"O","X"))</f>
        <v/>
      </c>
      <c r="AP81" s="77" t="str">
        <f>IF(I81="","",IF(I81&lt;=$AP$1,"O","X"))</f>
        <v/>
      </c>
      <c r="AQ81" s="77" t="str">
        <f>IF(O81="","",IF(O81&lt;=$AQ$1,"O","X"))</f>
        <v>O</v>
      </c>
      <c r="AR81" s="77" t="str">
        <f>IF(M81="","",IF(M81&lt;=$AR$1,"O","X"))</f>
        <v>O</v>
      </c>
      <c r="AS81" s="77" t="s">
        <v>2</v>
      </c>
      <c r="AT81" s="77" t="str">
        <f>IF(OR(F81="",AI81=""),"",IF(AND((F81&lt;=85),(AI81&gt;=15)),"O","X"))</f>
        <v>O</v>
      </c>
      <c r="AU81" s="77" t="str">
        <f>IF(C81="","",IF(C81&gt;=$AU$1,"O","X"))</f>
        <v>O</v>
      </c>
      <c r="AV81" s="77" t="str">
        <f>IF(AO81="","",IF(AND(AO81="O",AP81="O",AR81="O",AT81="O",AU81="O"),"후보","X"))</f>
        <v/>
      </c>
    </row>
    <row r="82" spans="1:48" x14ac:dyDescent="0.3">
      <c r="A82" s="9"/>
      <c r="B82" s="77"/>
      <c r="C82" s="6"/>
      <c r="D82" s="9"/>
      <c r="E82" s="14"/>
      <c r="F82" s="104"/>
      <c r="G82" s="9"/>
      <c r="H82" s="9"/>
      <c r="I82" s="9"/>
      <c r="J82" s="9"/>
      <c r="K82" s="9"/>
      <c r="L82" s="9"/>
      <c r="M82" s="9"/>
      <c r="N82" s="9"/>
      <c r="O82" s="105"/>
      <c r="P82" s="105"/>
      <c r="Q82" s="106"/>
      <c r="R82" s="106"/>
      <c r="S82" s="9"/>
      <c r="T82" s="47"/>
      <c r="U82" s="9"/>
      <c r="W82" s="67" t="str">
        <f>$A$4&amp;" "&amp;A83&amp;"("&amp;B83&amp;","&amp;C83&amp;"^)"</f>
        <v>나운동 현대3차('95.06.,479^)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70"/>
        <v/>
      </c>
      <c r="AI82" s="103" t="str">
        <f t="shared" si="68"/>
        <v/>
      </c>
      <c r="AJ82" s="77"/>
      <c r="AK82" s="77"/>
      <c r="AL82" s="77"/>
      <c r="AM82" s="77"/>
      <c r="AN82" s="77"/>
      <c r="AO82" s="77"/>
      <c r="AP82" s="77"/>
      <c r="AQ82" s="77"/>
      <c r="AR82" s="77"/>
      <c r="AS82" s="77"/>
      <c r="AT82" s="77"/>
      <c r="AU82" s="77"/>
      <c r="AV82" s="77"/>
    </row>
    <row r="83" spans="1:48" x14ac:dyDescent="0.3">
      <c r="A83" s="9" t="s">
        <v>395</v>
      </c>
      <c r="B83" s="10" t="s">
        <v>1240</v>
      </c>
      <c r="C83" s="107">
        <v>479</v>
      </c>
      <c r="D83" s="104">
        <v>70</v>
      </c>
      <c r="E83" s="106">
        <v>21</v>
      </c>
      <c r="F83" s="104">
        <v>56.4</v>
      </c>
      <c r="G83" s="17">
        <v>17</v>
      </c>
      <c r="H83" s="107">
        <v>20</v>
      </c>
      <c r="I83" s="108"/>
      <c r="J83" s="108"/>
      <c r="K83" s="108"/>
      <c r="L83" s="108"/>
      <c r="M83" s="109">
        <f>I83-K83</f>
        <v>0</v>
      </c>
      <c r="N83" s="4" t="str">
        <f>IF(ISERROR(K83/I83),"",K83/I83)</f>
        <v/>
      </c>
      <c r="O83" s="105">
        <f>I83/E83</f>
        <v>0</v>
      </c>
      <c r="P83" s="105">
        <f>K83/E83</f>
        <v>0</v>
      </c>
      <c r="Q83" s="77">
        <v>2</v>
      </c>
      <c r="R83" s="77">
        <v>1</v>
      </c>
      <c r="S83" s="77" t="s">
        <v>1241</v>
      </c>
      <c r="T83" s="5">
        <v>69</v>
      </c>
      <c r="U83" s="9"/>
      <c r="W83" s="104">
        <f t="shared" ref="W83:X86" si="76">D83</f>
        <v>70</v>
      </c>
      <c r="X83" s="106">
        <f t="shared" si="76"/>
        <v>21</v>
      </c>
      <c r="Y83" s="102">
        <f t="shared" ref="Y83:Z86" si="77">H83</f>
        <v>20</v>
      </c>
      <c r="Z83" s="109">
        <f t="shared" si="77"/>
        <v>0</v>
      </c>
      <c r="AA83" s="109">
        <f>K83</f>
        <v>0</v>
      </c>
      <c r="AB83" s="109">
        <f t="shared" ref="AB83:AD86" si="78">M83</f>
        <v>0</v>
      </c>
      <c r="AC83" s="4" t="str">
        <f t="shared" si="78"/>
        <v/>
      </c>
      <c r="AD83" s="105">
        <f t="shared" si="78"/>
        <v>0</v>
      </c>
      <c r="AE83" s="77" t="str">
        <f>S83</f>
        <v>복</v>
      </c>
      <c r="AF83" s="77" t="str">
        <f>Q83&amp;"/"&amp;R83</f>
        <v>2/1</v>
      </c>
      <c r="AH83" s="20" t="str">
        <f t="shared" si="70"/>
        <v>현대3차</v>
      </c>
      <c r="AI83" s="106">
        <f t="shared" si="68"/>
        <v>21</v>
      </c>
      <c r="AJ83" s="77" t="str">
        <f>IF(AI83="","",$AJ$2)</f>
        <v>A-</v>
      </c>
      <c r="AK83" s="77" t="s">
        <v>13</v>
      </c>
      <c r="AL83" s="77" t="s">
        <v>1242</v>
      </c>
      <c r="AM83" s="77" t="s">
        <v>1243</v>
      </c>
      <c r="AN83" s="77" t="str">
        <f>IF(AI83="","",$AN$2)</f>
        <v>C</v>
      </c>
      <c r="AO83" s="77" t="str">
        <f>IF(N83="","",IF(N83&gt;=$AO$1/100,"O","X"))</f>
        <v/>
      </c>
      <c r="AP83" s="77" t="str">
        <f>IF(I83="","",IF(I83&lt;=$AP$1,"O","X"))</f>
        <v/>
      </c>
      <c r="AQ83" s="77" t="str">
        <f>IF(O83="","",IF(O83&lt;=$AQ$1,"O","X"))</f>
        <v>O</v>
      </c>
      <c r="AR83" s="77" t="str">
        <f>IF(M83="","",IF(M83&lt;=$AR$1,"O","X"))</f>
        <v>O</v>
      </c>
      <c r="AS83" s="77" t="s">
        <v>2</v>
      </c>
      <c r="AT83" s="77" t="str">
        <f>IF(OR(F83="",AI83=""),"",IF(AND((F83&lt;=85),(AI83&gt;=15)),"O","X"))</f>
        <v>O</v>
      </c>
      <c r="AU83" s="77" t="str">
        <f>IF(C83="","",IF(C83&gt;=$AU$1,"O","X"))</f>
        <v>O</v>
      </c>
      <c r="AV83" s="77" t="str">
        <f>IF(AO83="","",IF(AND(AO83="O",AP83="O",AR83="O",AT83="O",AU83="O"),"후보","X"))</f>
        <v/>
      </c>
    </row>
    <row r="84" spans="1:48" x14ac:dyDescent="0.3">
      <c r="A84" s="9" t="s">
        <v>395</v>
      </c>
      <c r="B84" s="10" t="s">
        <v>1240</v>
      </c>
      <c r="C84" s="107">
        <v>479</v>
      </c>
      <c r="D84" s="104">
        <v>74.3</v>
      </c>
      <c r="E84" s="106">
        <v>22</v>
      </c>
      <c r="F84" s="104">
        <v>60</v>
      </c>
      <c r="G84" s="17">
        <v>18</v>
      </c>
      <c r="H84" s="107">
        <v>180</v>
      </c>
      <c r="I84" s="108">
        <v>9300</v>
      </c>
      <c r="J84" s="108" t="s">
        <v>1280</v>
      </c>
      <c r="K84" s="108">
        <v>9300</v>
      </c>
      <c r="L84" s="108" t="s">
        <v>1281</v>
      </c>
      <c r="M84" s="109">
        <f>I84-K84</f>
        <v>0</v>
      </c>
      <c r="N84" s="4">
        <f>IF(ISERROR(K84/I84),"",K84/I84)</f>
        <v>1</v>
      </c>
      <c r="O84" s="105">
        <f>I84/E84</f>
        <v>422.72727272727275</v>
      </c>
      <c r="P84" s="105">
        <f>K84/E84</f>
        <v>422.72727272727275</v>
      </c>
      <c r="Q84" s="77">
        <v>3</v>
      </c>
      <c r="R84" s="77">
        <v>1</v>
      </c>
      <c r="S84" s="77" t="s">
        <v>1241</v>
      </c>
      <c r="T84" s="5">
        <v>74</v>
      </c>
      <c r="U84" s="9"/>
      <c r="W84" s="104">
        <f t="shared" si="76"/>
        <v>74.3</v>
      </c>
      <c r="X84" s="106">
        <f t="shared" si="76"/>
        <v>22</v>
      </c>
      <c r="Y84" s="102">
        <f t="shared" si="77"/>
        <v>180</v>
      </c>
      <c r="Z84" s="109">
        <f t="shared" si="77"/>
        <v>9300</v>
      </c>
      <c r="AA84" s="109">
        <f>K84</f>
        <v>9300</v>
      </c>
      <c r="AB84" s="109">
        <f t="shared" si="78"/>
        <v>0</v>
      </c>
      <c r="AC84" s="4">
        <f t="shared" si="78"/>
        <v>1</v>
      </c>
      <c r="AD84" s="105">
        <f t="shared" si="78"/>
        <v>422.72727272727275</v>
      </c>
      <c r="AE84" s="77" t="str">
        <f>S84</f>
        <v>복</v>
      </c>
      <c r="AF84" s="77" t="str">
        <f>Q84&amp;"/"&amp;R84</f>
        <v>3/1</v>
      </c>
      <c r="AH84" s="20" t="str">
        <f t="shared" si="70"/>
        <v>현대3차</v>
      </c>
      <c r="AI84" s="106">
        <f t="shared" si="68"/>
        <v>22</v>
      </c>
      <c r="AJ84" s="77" t="str">
        <f>IF(AI84="","",$AJ$2)</f>
        <v>A-</v>
      </c>
      <c r="AK84" s="77" t="s">
        <v>13</v>
      </c>
      <c r="AL84" s="77" t="s">
        <v>1242</v>
      </c>
      <c r="AM84" s="77" t="s">
        <v>1243</v>
      </c>
      <c r="AN84" s="77" t="str">
        <f>IF(AI84="","",$AN$2)</f>
        <v>C</v>
      </c>
      <c r="AO84" s="77" t="str">
        <f>IF(N84="","",IF(N84&gt;=$AO$1/100,"O","X"))</f>
        <v>O</v>
      </c>
      <c r="AP84" s="77" t="str">
        <f>IF(I84="","",IF(I84&lt;=$AP$1,"O","X"))</f>
        <v>O</v>
      </c>
      <c r="AQ84" s="77" t="str">
        <f>IF(O84="","",IF(O84&lt;=$AQ$1,"O","X"))</f>
        <v>O</v>
      </c>
      <c r="AR84" s="77" t="str">
        <f>IF(M84="","",IF(M84&lt;=$AR$1,"O","X"))</f>
        <v>O</v>
      </c>
      <c r="AS84" s="77" t="s">
        <v>2</v>
      </c>
      <c r="AT84" s="77" t="str">
        <f>IF(OR(F84="",AI84=""),"",IF(AND((F84&lt;=85),(AI84&gt;=15)),"O","X"))</f>
        <v>O</v>
      </c>
      <c r="AU84" s="77" t="str">
        <f>IF(C84="","",IF(C84&gt;=$AU$1,"O","X"))</f>
        <v>O</v>
      </c>
      <c r="AV84" s="77" t="str">
        <f>IF(AO84="","",IF(AND(AO84="O",AP84="O",AR84="O",AT84="O",AU84="O"),"후보","X"))</f>
        <v>후보</v>
      </c>
    </row>
    <row r="85" spans="1:48" x14ac:dyDescent="0.3">
      <c r="A85" s="9" t="s">
        <v>395</v>
      </c>
      <c r="B85" s="10" t="s">
        <v>1240</v>
      </c>
      <c r="C85" s="107">
        <v>479</v>
      </c>
      <c r="D85" s="104">
        <v>105.3</v>
      </c>
      <c r="E85" s="106">
        <v>32</v>
      </c>
      <c r="F85" s="104">
        <v>85</v>
      </c>
      <c r="G85" s="17">
        <v>26</v>
      </c>
      <c r="H85" s="107">
        <v>199</v>
      </c>
      <c r="I85" s="108">
        <v>14500</v>
      </c>
      <c r="J85" s="108" t="s">
        <v>1272</v>
      </c>
      <c r="K85" s="108"/>
      <c r="L85" s="108"/>
      <c r="M85" s="109">
        <f>I85-K85</f>
        <v>14500</v>
      </c>
      <c r="N85" s="4">
        <f>IF(ISERROR(K85/I85),"",K85/I85)</f>
        <v>0</v>
      </c>
      <c r="O85" s="105">
        <f>I85/E85</f>
        <v>453.125</v>
      </c>
      <c r="P85" s="105">
        <f>K85/E85</f>
        <v>0</v>
      </c>
      <c r="Q85" s="77">
        <v>3</v>
      </c>
      <c r="R85" s="77">
        <v>2</v>
      </c>
      <c r="S85" s="77" t="s">
        <v>1244</v>
      </c>
      <c r="T85" s="5">
        <v>105</v>
      </c>
      <c r="U85" s="9"/>
      <c r="W85" s="104">
        <f t="shared" si="76"/>
        <v>105.3</v>
      </c>
      <c r="X85" s="106">
        <f t="shared" si="76"/>
        <v>32</v>
      </c>
      <c r="Y85" s="102">
        <f t="shared" si="77"/>
        <v>199</v>
      </c>
      <c r="Z85" s="109">
        <f t="shared" si="77"/>
        <v>14500</v>
      </c>
      <c r="AA85" s="109">
        <f>K85</f>
        <v>0</v>
      </c>
      <c r="AB85" s="109">
        <f t="shared" si="78"/>
        <v>14500</v>
      </c>
      <c r="AC85" s="4">
        <f t="shared" si="78"/>
        <v>0</v>
      </c>
      <c r="AD85" s="105">
        <f t="shared" si="78"/>
        <v>453.125</v>
      </c>
      <c r="AE85" s="77" t="str">
        <f>S85</f>
        <v>계</v>
      </c>
      <c r="AF85" s="77" t="str">
        <f>Q85&amp;"/"&amp;R85</f>
        <v>3/2</v>
      </c>
      <c r="AH85" s="20" t="str">
        <f t="shared" si="70"/>
        <v>현대3차</v>
      </c>
      <c r="AI85" s="106">
        <f t="shared" si="68"/>
        <v>32</v>
      </c>
      <c r="AJ85" s="77" t="str">
        <f>IF(AI85="","",$AJ$2)</f>
        <v>A-</v>
      </c>
      <c r="AK85" s="77" t="s">
        <v>13</v>
      </c>
      <c r="AL85" s="77" t="s">
        <v>1242</v>
      </c>
      <c r="AM85" s="77" t="s">
        <v>1243</v>
      </c>
      <c r="AN85" s="77" t="str">
        <f>IF(AI85="","",$AN$2)</f>
        <v>C</v>
      </c>
      <c r="AO85" s="77" t="str">
        <f>IF(N85="","",IF(N85&gt;=$AO$1/100,"O","X"))</f>
        <v>X</v>
      </c>
      <c r="AP85" s="77" t="str">
        <f>IF(I85="","",IF(I85&lt;=$AP$1,"O","X"))</f>
        <v>O</v>
      </c>
      <c r="AQ85" s="77" t="str">
        <f>IF(O85="","",IF(O85&lt;=$AQ$1,"O","X"))</f>
        <v>O</v>
      </c>
      <c r="AR85" s="77" t="str">
        <f>IF(M85="","",IF(M85&lt;=$AR$1,"O","X"))</f>
        <v>X</v>
      </c>
      <c r="AS85" s="77" t="s">
        <v>2</v>
      </c>
      <c r="AT85" s="77" t="str">
        <f>IF(OR(F85="",AI85=""),"",IF(AND((F85&lt;=85),(AI85&gt;=15)),"O","X"))</f>
        <v>O</v>
      </c>
      <c r="AU85" s="77" t="str">
        <f>IF(C85="","",IF(C85&gt;=$AU$1,"O","X"))</f>
        <v>O</v>
      </c>
      <c r="AV85" s="77" t="str">
        <f>IF(AO85="","",IF(AND(AO85="O",AP85="O",AR85="O",AT85="O",AU85="O"),"후보","X"))</f>
        <v>X</v>
      </c>
    </row>
    <row r="86" spans="1:48" x14ac:dyDescent="0.3">
      <c r="A86" s="9" t="s">
        <v>395</v>
      </c>
      <c r="B86" s="10" t="s">
        <v>1240</v>
      </c>
      <c r="C86" s="107">
        <v>479</v>
      </c>
      <c r="D86" s="104">
        <v>167.1</v>
      </c>
      <c r="E86" s="106">
        <v>51</v>
      </c>
      <c r="F86" s="104">
        <v>134.80000000000001</v>
      </c>
      <c r="G86" s="17">
        <v>41</v>
      </c>
      <c r="H86" s="107">
        <v>80</v>
      </c>
      <c r="I86" s="108"/>
      <c r="J86" s="108"/>
      <c r="K86" s="108"/>
      <c r="L86" s="108"/>
      <c r="M86" s="109">
        <f>I86-K86</f>
        <v>0</v>
      </c>
      <c r="N86" s="4" t="str">
        <f>IF(ISERROR(K86/I86),"",K86/I86)</f>
        <v/>
      </c>
      <c r="O86" s="105">
        <f>I86/E86</f>
        <v>0</v>
      </c>
      <c r="P86" s="105">
        <f>K86/E86</f>
        <v>0</v>
      </c>
      <c r="Q86" s="77">
        <v>4</v>
      </c>
      <c r="R86" s="77">
        <v>2</v>
      </c>
      <c r="S86" s="77" t="s">
        <v>1244</v>
      </c>
      <c r="T86" s="5">
        <v>167</v>
      </c>
      <c r="U86" s="9"/>
      <c r="W86" s="104">
        <f t="shared" si="76"/>
        <v>167.1</v>
      </c>
      <c r="X86" s="106">
        <f t="shared" si="76"/>
        <v>51</v>
      </c>
      <c r="Y86" s="102">
        <f t="shared" si="77"/>
        <v>80</v>
      </c>
      <c r="Z86" s="109">
        <f t="shared" si="77"/>
        <v>0</v>
      </c>
      <c r="AA86" s="109">
        <f>K86</f>
        <v>0</v>
      </c>
      <c r="AB86" s="109">
        <f t="shared" si="78"/>
        <v>0</v>
      </c>
      <c r="AC86" s="4" t="str">
        <f t="shared" si="78"/>
        <v/>
      </c>
      <c r="AD86" s="105">
        <f t="shared" si="78"/>
        <v>0</v>
      </c>
      <c r="AE86" s="77" t="str">
        <f>S86</f>
        <v>계</v>
      </c>
      <c r="AF86" s="77" t="str">
        <f>Q86&amp;"/"&amp;R86</f>
        <v>4/2</v>
      </c>
      <c r="AH86" s="20" t="str">
        <f t="shared" si="70"/>
        <v>현대3차</v>
      </c>
      <c r="AI86" s="106">
        <f t="shared" si="68"/>
        <v>51</v>
      </c>
      <c r="AJ86" s="77" t="str">
        <f>IF(AI86="","",$AJ$2)</f>
        <v>A-</v>
      </c>
      <c r="AK86" s="77" t="s">
        <v>13</v>
      </c>
      <c r="AL86" s="77" t="s">
        <v>1242</v>
      </c>
      <c r="AM86" s="77" t="s">
        <v>1243</v>
      </c>
      <c r="AN86" s="77" t="str">
        <f>IF(AI86="","",$AN$2)</f>
        <v>C</v>
      </c>
      <c r="AO86" s="77" t="str">
        <f>IF(N86="","",IF(N86&gt;=$AO$1/100,"O","X"))</f>
        <v/>
      </c>
      <c r="AP86" s="77" t="str">
        <f>IF(I86="","",IF(I86&lt;=$AP$1,"O","X"))</f>
        <v/>
      </c>
      <c r="AQ86" s="77" t="str">
        <f>IF(O86="","",IF(O86&lt;=$AQ$1,"O","X"))</f>
        <v>O</v>
      </c>
      <c r="AR86" s="77" t="str">
        <f>IF(M86="","",IF(M86&lt;=$AR$1,"O","X"))</f>
        <v>O</v>
      </c>
      <c r="AS86" s="77" t="s">
        <v>2</v>
      </c>
      <c r="AT86" s="77" t="str">
        <f>IF(OR(F86="",AI86=""),"",IF(AND((F86&lt;=85),(AI86&gt;=15)),"O","X"))</f>
        <v>X</v>
      </c>
      <c r="AU86" s="77" t="str">
        <f>IF(C86="","",IF(C86&gt;=$AU$1,"O","X"))</f>
        <v>O</v>
      </c>
      <c r="AV86" s="77" t="str">
        <f>IF(AO86="","",IF(AND(AO86="O",AP86="O",AR86="O",AT86="O",AU86="O"),"후보","X"))</f>
        <v/>
      </c>
    </row>
    <row r="87" spans="1:48" x14ac:dyDescent="0.3">
      <c r="A87" s="9"/>
      <c r="B87" s="77"/>
      <c r="C87" s="6"/>
      <c r="D87" s="9"/>
      <c r="E87" s="14"/>
      <c r="F87" s="104"/>
      <c r="G87" s="9"/>
      <c r="H87" s="9"/>
      <c r="I87" s="9"/>
      <c r="J87" s="9"/>
      <c r="K87" s="9"/>
      <c r="L87" s="9"/>
      <c r="M87" s="9"/>
      <c r="N87" s="9"/>
      <c r="O87" s="105"/>
      <c r="P87" s="105"/>
      <c r="Q87" s="106"/>
      <c r="R87" s="106"/>
      <c r="S87" s="9"/>
      <c r="T87" s="47"/>
      <c r="U87" s="9"/>
      <c r="W87" s="67" t="str">
        <f>$A$4&amp;" "&amp;A88&amp;"("&amp;B88&amp;","&amp;C88&amp;"^)"</f>
        <v>나운동 현대백조('92.11.,498^)</v>
      </c>
      <c r="X87" s="68"/>
      <c r="Y87" s="68"/>
      <c r="Z87" s="68"/>
      <c r="AA87" s="68"/>
      <c r="AB87" s="68"/>
      <c r="AC87" s="68"/>
      <c r="AD87" s="68"/>
      <c r="AE87" s="68"/>
      <c r="AF87" s="69"/>
      <c r="AH87" s="20" t="str">
        <f t="shared" si="70"/>
        <v/>
      </c>
      <c r="AI87" s="103" t="str">
        <f t="shared" si="68"/>
        <v/>
      </c>
      <c r="AJ87" s="77"/>
      <c r="AK87" s="77"/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</row>
    <row r="88" spans="1:48" x14ac:dyDescent="0.3">
      <c r="A88" s="9" t="s">
        <v>399</v>
      </c>
      <c r="B88" s="10" t="s">
        <v>1282</v>
      </c>
      <c r="C88" s="107">
        <v>498</v>
      </c>
      <c r="D88" s="104">
        <v>84.4</v>
      </c>
      <c r="E88" s="106">
        <v>26</v>
      </c>
      <c r="F88" s="104">
        <v>73.2</v>
      </c>
      <c r="G88" s="17">
        <v>22</v>
      </c>
      <c r="H88" s="107">
        <v>84</v>
      </c>
      <c r="I88" s="108"/>
      <c r="J88" s="108"/>
      <c r="K88" s="108"/>
      <c r="L88" s="108"/>
      <c r="M88" s="109">
        <f>I88-K88</f>
        <v>0</v>
      </c>
      <c r="N88" s="4" t="str">
        <f>IF(ISERROR(K88/I88),"",K88/I88)</f>
        <v/>
      </c>
      <c r="O88" s="105">
        <f>I88/E88</f>
        <v>0</v>
      </c>
      <c r="P88" s="105">
        <f>K88/E88</f>
        <v>0</v>
      </c>
      <c r="Q88" s="77">
        <v>3</v>
      </c>
      <c r="R88" s="77">
        <v>1</v>
      </c>
      <c r="S88" s="77" t="s">
        <v>1244</v>
      </c>
      <c r="T88" s="5">
        <v>84</v>
      </c>
      <c r="U88" s="9"/>
      <c r="W88" s="104">
        <f t="shared" ref="W88:X90" si="79">D88</f>
        <v>84.4</v>
      </c>
      <c r="X88" s="106">
        <f t="shared" si="79"/>
        <v>26</v>
      </c>
      <c r="Y88" s="102">
        <f t="shared" ref="Y88:Z90" si="80">H88</f>
        <v>84</v>
      </c>
      <c r="Z88" s="109">
        <f t="shared" si="80"/>
        <v>0</v>
      </c>
      <c r="AA88" s="109">
        <f>K88</f>
        <v>0</v>
      </c>
      <c r="AB88" s="109">
        <f t="shared" ref="AB88:AD90" si="81">M88</f>
        <v>0</v>
      </c>
      <c r="AC88" s="4" t="str">
        <f t="shared" si="81"/>
        <v/>
      </c>
      <c r="AD88" s="105">
        <f t="shared" si="81"/>
        <v>0</v>
      </c>
      <c r="AE88" s="77" t="str">
        <f>S88</f>
        <v>계</v>
      </c>
      <c r="AF88" s="77" t="str">
        <f>Q88&amp;"/"&amp;R88</f>
        <v>3/1</v>
      </c>
      <c r="AH88" s="20" t="str">
        <f t="shared" si="70"/>
        <v>현대백조</v>
      </c>
      <c r="AI88" s="106">
        <f t="shared" si="68"/>
        <v>26</v>
      </c>
      <c r="AJ88" s="77" t="str">
        <f>IF(AI88="","",$AJ$2)</f>
        <v>A-</v>
      </c>
      <c r="AK88" s="77" t="s">
        <v>13</v>
      </c>
      <c r="AL88" s="77" t="s">
        <v>1242</v>
      </c>
      <c r="AM88" s="77" t="s">
        <v>1243</v>
      </c>
      <c r="AN88" s="77" t="str">
        <f>IF(AI88="","",$AN$2)</f>
        <v>C</v>
      </c>
      <c r="AO88" s="77" t="str">
        <f>IF(N88="","",IF(N88&gt;=$AO$1/100,"O","X"))</f>
        <v/>
      </c>
      <c r="AP88" s="77" t="str">
        <f>IF(I88="","",IF(I88&lt;=$AP$1,"O","X"))</f>
        <v/>
      </c>
      <c r="AQ88" s="77" t="str">
        <f>IF(O88="","",IF(O88&lt;=$AQ$1,"O","X"))</f>
        <v>O</v>
      </c>
      <c r="AR88" s="77" t="str">
        <f>IF(M88="","",IF(M88&lt;=$AR$1,"O","X"))</f>
        <v>O</v>
      </c>
      <c r="AS88" s="77" t="s">
        <v>2</v>
      </c>
      <c r="AT88" s="77" t="str">
        <f>IF(OR(F88="",AI88=""),"",IF(AND((F88&lt;=85),(AI88&gt;=15)),"O","X"))</f>
        <v>O</v>
      </c>
      <c r="AU88" s="77" t="str">
        <f>IF(C88="","",IF(C88&gt;=$AU$1,"O","X"))</f>
        <v>O</v>
      </c>
      <c r="AV88" s="77" t="str">
        <f>IF(AO88="","",IF(AND(AO88="O",AP88="O",AR88="O",AT88="O",AU88="O"),"후보","X"))</f>
        <v/>
      </c>
    </row>
    <row r="89" spans="1:48" x14ac:dyDescent="0.3">
      <c r="A89" s="9" t="s">
        <v>399</v>
      </c>
      <c r="B89" s="10" t="s">
        <v>1282</v>
      </c>
      <c r="C89" s="107">
        <v>498</v>
      </c>
      <c r="D89" s="104">
        <v>95.8</v>
      </c>
      <c r="E89" s="106">
        <v>29</v>
      </c>
      <c r="F89" s="104">
        <v>84.6</v>
      </c>
      <c r="G89" s="17">
        <v>26</v>
      </c>
      <c r="H89" s="107">
        <v>384</v>
      </c>
      <c r="I89" s="108">
        <v>10000</v>
      </c>
      <c r="J89" s="108" t="s">
        <v>1253</v>
      </c>
      <c r="K89" s="108"/>
      <c r="L89" s="108"/>
      <c r="M89" s="109">
        <f>I89-K89</f>
        <v>10000</v>
      </c>
      <c r="N89" s="4">
        <f>IF(ISERROR(K89/I89),"",K89/I89)</f>
        <v>0</v>
      </c>
      <c r="O89" s="105">
        <f>I89/E89</f>
        <v>344.82758620689657</v>
      </c>
      <c r="P89" s="105">
        <f>K89/E89</f>
        <v>0</v>
      </c>
      <c r="Q89" s="77">
        <v>3</v>
      </c>
      <c r="R89" s="77">
        <v>2</v>
      </c>
      <c r="S89" s="77" t="s">
        <v>1244</v>
      </c>
      <c r="T89" s="5" t="s">
        <v>404</v>
      </c>
      <c r="U89" s="9"/>
      <c r="W89" s="104">
        <f t="shared" si="79"/>
        <v>95.8</v>
      </c>
      <c r="X89" s="106">
        <f t="shared" si="79"/>
        <v>29</v>
      </c>
      <c r="Y89" s="102">
        <f t="shared" si="80"/>
        <v>384</v>
      </c>
      <c r="Z89" s="109">
        <f t="shared" si="80"/>
        <v>10000</v>
      </c>
      <c r="AA89" s="109">
        <f>K89</f>
        <v>0</v>
      </c>
      <c r="AB89" s="109">
        <f t="shared" si="81"/>
        <v>10000</v>
      </c>
      <c r="AC89" s="4">
        <f t="shared" si="81"/>
        <v>0</v>
      </c>
      <c r="AD89" s="105">
        <f t="shared" si="81"/>
        <v>344.82758620689657</v>
      </c>
      <c r="AE89" s="77" t="str">
        <f>S89</f>
        <v>계</v>
      </c>
      <c r="AF89" s="77" t="str">
        <f>Q89&amp;"/"&amp;R89</f>
        <v>3/2</v>
      </c>
      <c r="AH89" s="20" t="str">
        <f t="shared" si="70"/>
        <v>현대백조</v>
      </c>
      <c r="AI89" s="106">
        <f t="shared" si="68"/>
        <v>29</v>
      </c>
      <c r="AJ89" s="77" t="str">
        <f>IF(AI89="","",$AJ$2)</f>
        <v>A-</v>
      </c>
      <c r="AK89" s="77" t="s">
        <v>13</v>
      </c>
      <c r="AL89" s="77" t="s">
        <v>1242</v>
      </c>
      <c r="AM89" s="77" t="s">
        <v>1243</v>
      </c>
      <c r="AN89" s="77" t="str">
        <f>IF(AI89="","",$AN$2)</f>
        <v>C</v>
      </c>
      <c r="AO89" s="77" t="str">
        <f>IF(N89="","",IF(N89&gt;=$AO$1/100,"O","X"))</f>
        <v>X</v>
      </c>
      <c r="AP89" s="77" t="str">
        <f>IF(I89="","",IF(I89&lt;=$AP$1,"O","X"))</f>
        <v>O</v>
      </c>
      <c r="AQ89" s="77" t="str">
        <f>IF(O89="","",IF(O89&lt;=$AQ$1,"O","X"))</f>
        <v>O</v>
      </c>
      <c r="AR89" s="77" t="str">
        <f>IF(M89="","",IF(M89&lt;=$AR$1,"O","X"))</f>
        <v>X</v>
      </c>
      <c r="AS89" s="77" t="s">
        <v>2</v>
      </c>
      <c r="AT89" s="77" t="str">
        <f>IF(OR(F89="",AI89=""),"",IF(AND((F89&lt;=85),(AI89&gt;=15)),"O","X"))</f>
        <v>O</v>
      </c>
      <c r="AU89" s="77" t="str">
        <f>IF(C89="","",IF(C89&gt;=$AU$1,"O","X"))</f>
        <v>O</v>
      </c>
      <c r="AV89" s="77" t="str">
        <f>IF(AO89="","",IF(AND(AO89="O",AP89="O",AR89="O",AT89="O",AU89="O"),"후보","X"))</f>
        <v>X</v>
      </c>
    </row>
    <row r="90" spans="1:48" x14ac:dyDescent="0.3">
      <c r="A90" s="9" t="s">
        <v>399</v>
      </c>
      <c r="B90" s="10" t="s">
        <v>1282</v>
      </c>
      <c r="C90" s="107">
        <v>498</v>
      </c>
      <c r="D90" s="104">
        <v>95.7</v>
      </c>
      <c r="E90" s="106">
        <v>29</v>
      </c>
      <c r="F90" s="104">
        <v>84.5</v>
      </c>
      <c r="G90" s="17">
        <v>26</v>
      </c>
      <c r="H90" s="107">
        <v>30</v>
      </c>
      <c r="I90" s="108"/>
      <c r="J90" s="108"/>
      <c r="K90" s="108"/>
      <c r="L90" s="108"/>
      <c r="M90" s="109">
        <f>I90-K90</f>
        <v>0</v>
      </c>
      <c r="N90" s="4" t="str">
        <f>IF(ISERROR(K90/I90),"",K90/I90)</f>
        <v/>
      </c>
      <c r="O90" s="105">
        <f>I90/E90</f>
        <v>0</v>
      </c>
      <c r="P90" s="105">
        <f>K90/E90</f>
        <v>0</v>
      </c>
      <c r="Q90" s="77">
        <v>3</v>
      </c>
      <c r="R90" s="77">
        <v>2</v>
      </c>
      <c r="S90" s="77" t="s">
        <v>1244</v>
      </c>
      <c r="T90" s="5" t="s">
        <v>405</v>
      </c>
      <c r="U90" s="9"/>
      <c r="W90" s="104">
        <f t="shared" si="79"/>
        <v>95.7</v>
      </c>
      <c r="X90" s="106">
        <f t="shared" si="79"/>
        <v>29</v>
      </c>
      <c r="Y90" s="102">
        <f t="shared" si="80"/>
        <v>30</v>
      </c>
      <c r="Z90" s="109">
        <f t="shared" si="80"/>
        <v>0</v>
      </c>
      <c r="AA90" s="109">
        <f>K90</f>
        <v>0</v>
      </c>
      <c r="AB90" s="109">
        <f t="shared" si="81"/>
        <v>0</v>
      </c>
      <c r="AC90" s="4" t="str">
        <f t="shared" si="81"/>
        <v/>
      </c>
      <c r="AD90" s="105">
        <f t="shared" si="81"/>
        <v>0</v>
      </c>
      <c r="AE90" s="77" t="str">
        <f>S90</f>
        <v>계</v>
      </c>
      <c r="AF90" s="77" t="str">
        <f>Q90&amp;"/"&amp;R90</f>
        <v>3/2</v>
      </c>
      <c r="AH90" s="20" t="str">
        <f t="shared" si="70"/>
        <v>현대백조</v>
      </c>
      <c r="AI90" s="106">
        <f t="shared" si="68"/>
        <v>29</v>
      </c>
      <c r="AJ90" s="77" t="str">
        <f>IF(AI90="","",$AJ$2)</f>
        <v>A-</v>
      </c>
      <c r="AK90" s="77" t="s">
        <v>13</v>
      </c>
      <c r="AL90" s="77" t="s">
        <v>1242</v>
      </c>
      <c r="AM90" s="77" t="s">
        <v>1243</v>
      </c>
      <c r="AN90" s="77" t="str">
        <f>IF(AI90="","",$AN$2)</f>
        <v>C</v>
      </c>
      <c r="AO90" s="77" t="str">
        <f>IF(N90="","",IF(N90&gt;=$AO$1/100,"O","X"))</f>
        <v/>
      </c>
      <c r="AP90" s="77" t="str">
        <f>IF(I90="","",IF(I90&lt;=$AP$1,"O","X"))</f>
        <v/>
      </c>
      <c r="AQ90" s="77" t="str">
        <f>IF(O90="","",IF(O90&lt;=$AQ$1,"O","X"))</f>
        <v>O</v>
      </c>
      <c r="AR90" s="77" t="str">
        <f>IF(M90="","",IF(M90&lt;=$AR$1,"O","X"))</f>
        <v>O</v>
      </c>
      <c r="AS90" s="77" t="s">
        <v>2</v>
      </c>
      <c r="AT90" s="77" t="str">
        <f>IF(OR(F90="",AI90=""),"",IF(AND((F90&lt;=85),(AI90&gt;=15)),"O","X"))</f>
        <v>O</v>
      </c>
      <c r="AU90" s="77" t="str">
        <f>IF(C90="","",IF(C90&gt;=$AU$1,"O","X"))</f>
        <v>O</v>
      </c>
      <c r="AV90" s="77" t="str">
        <f>IF(AO90="","",IF(AND(AO90="O",AP90="O",AR90="O",AT90="O",AU90="O"),"후보","X"))</f>
        <v/>
      </c>
    </row>
    <row r="91" spans="1:48" x14ac:dyDescent="0.3">
      <c r="A91" s="9"/>
      <c r="B91" s="77"/>
      <c r="C91" s="6"/>
      <c r="D91" s="9"/>
      <c r="E91" s="14"/>
      <c r="F91" s="104"/>
      <c r="G91" s="9"/>
      <c r="H91" s="9"/>
      <c r="I91" s="9"/>
      <c r="J91" s="9"/>
      <c r="K91" s="9"/>
      <c r="L91" s="9"/>
      <c r="M91" s="9"/>
      <c r="N91" s="9"/>
      <c r="O91" s="105"/>
      <c r="P91" s="105"/>
      <c r="Q91" s="106"/>
      <c r="R91" s="106"/>
      <c r="S91" s="9"/>
      <c r="T91" s="47"/>
      <c r="U91" s="9"/>
      <c r="W91" s="67" t="str">
        <f>$A$4&amp;" "&amp;A92&amp;"("&amp;B92&amp;","&amp;C92&amp;"^)"</f>
        <v>나운동 동신진주('93.12.,246^)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70"/>
        <v/>
      </c>
      <c r="AI91" s="103" t="str">
        <f t="shared" si="68"/>
        <v/>
      </c>
      <c r="AJ91" s="77"/>
      <c r="AK91" s="77"/>
      <c r="AL91" s="77"/>
      <c r="AM91" s="77"/>
      <c r="AN91" s="77"/>
      <c r="AO91" s="77"/>
      <c r="AP91" s="77"/>
      <c r="AQ91" s="77"/>
      <c r="AR91" s="77"/>
      <c r="AS91" s="77"/>
      <c r="AT91" s="77"/>
      <c r="AU91" s="77"/>
      <c r="AV91" s="77"/>
    </row>
    <row r="92" spans="1:48" x14ac:dyDescent="0.3">
      <c r="A92" s="9" t="s">
        <v>406</v>
      </c>
      <c r="B92" s="10" t="s">
        <v>1283</v>
      </c>
      <c r="C92" s="107">
        <v>246</v>
      </c>
      <c r="D92" s="104">
        <v>74.400000000000006</v>
      </c>
      <c r="E92" s="106">
        <v>23</v>
      </c>
      <c r="F92" s="104">
        <v>59.1</v>
      </c>
      <c r="G92" s="17">
        <v>18</v>
      </c>
      <c r="H92" s="107">
        <v>168</v>
      </c>
      <c r="I92" s="108"/>
      <c r="J92" s="108"/>
      <c r="K92" s="108"/>
      <c r="L92" s="108"/>
      <c r="M92" s="109">
        <f>I92-K92</f>
        <v>0</v>
      </c>
      <c r="N92" s="4" t="str">
        <f>IF(ISERROR(K92/I92),"",K92/I92)</f>
        <v/>
      </c>
      <c r="O92" s="105">
        <f>I92/E92</f>
        <v>0</v>
      </c>
      <c r="P92" s="105">
        <f>K92/E92</f>
        <v>0</v>
      </c>
      <c r="Q92" s="77">
        <v>3</v>
      </c>
      <c r="R92" s="77">
        <v>1</v>
      </c>
      <c r="S92" s="77" t="s">
        <v>1244</v>
      </c>
      <c r="T92" s="5">
        <v>74</v>
      </c>
      <c r="U92" s="9"/>
      <c r="W92" s="104">
        <f t="shared" ref="W92:X95" si="82">D92</f>
        <v>74.400000000000006</v>
      </c>
      <c r="X92" s="106">
        <f t="shared" si="82"/>
        <v>23</v>
      </c>
      <c r="Y92" s="102">
        <f t="shared" ref="Y92:Z95" si="83">H92</f>
        <v>168</v>
      </c>
      <c r="Z92" s="109">
        <f t="shared" si="83"/>
        <v>0</v>
      </c>
      <c r="AA92" s="109">
        <f>K92</f>
        <v>0</v>
      </c>
      <c r="AB92" s="109">
        <f t="shared" ref="AB92:AD95" si="84">M92</f>
        <v>0</v>
      </c>
      <c r="AC92" s="4" t="str">
        <f t="shared" si="84"/>
        <v/>
      </c>
      <c r="AD92" s="105">
        <f t="shared" si="84"/>
        <v>0</v>
      </c>
      <c r="AE92" s="77" t="str">
        <f>S92</f>
        <v>계</v>
      </c>
      <c r="AF92" s="77" t="str">
        <f>Q92&amp;"/"&amp;R92</f>
        <v>3/1</v>
      </c>
      <c r="AH92" s="20" t="str">
        <f t="shared" si="70"/>
        <v>동신진주</v>
      </c>
      <c r="AI92" s="106">
        <f t="shared" si="68"/>
        <v>23</v>
      </c>
      <c r="AJ92" s="77" t="str">
        <f>IF(AI92="","",$AJ$2)</f>
        <v>A-</v>
      </c>
      <c r="AK92" s="77" t="s">
        <v>13</v>
      </c>
      <c r="AL92" s="77" t="s">
        <v>1242</v>
      </c>
      <c r="AM92" s="77" t="s">
        <v>1243</v>
      </c>
      <c r="AN92" s="77" t="str">
        <f>IF(AI92="","",$AN$2)</f>
        <v>C</v>
      </c>
      <c r="AO92" s="77" t="str">
        <f>IF(N92="","",IF(N92&gt;=$AO$1/100,"O","X"))</f>
        <v/>
      </c>
      <c r="AP92" s="77" t="str">
        <f>IF(I92="","",IF(I92&lt;=$AP$1,"O","X"))</f>
        <v/>
      </c>
      <c r="AQ92" s="77" t="str">
        <f>IF(O92="","",IF(O92&lt;=$AQ$1,"O","X"))</f>
        <v>O</v>
      </c>
      <c r="AR92" s="77" t="str">
        <f>IF(M92="","",IF(M92&lt;=$AR$1,"O","X"))</f>
        <v>O</v>
      </c>
      <c r="AS92" s="77" t="s">
        <v>2</v>
      </c>
      <c r="AT92" s="77" t="str">
        <f>IF(OR(F92="",AI92=""),"",IF(AND((F92&lt;=85),(AI92&gt;=15)),"O","X"))</f>
        <v>O</v>
      </c>
      <c r="AU92" s="77" t="str">
        <f>IF(C92="","",IF(C92&gt;=$AU$1,"O","X"))</f>
        <v>X</v>
      </c>
      <c r="AV92" s="77" t="str">
        <f>IF(AO92="","",IF(AND(AO92="O",AP92="O",AR92="O",AT92="O",AU92="O"),"후보","X"))</f>
        <v/>
      </c>
    </row>
    <row r="93" spans="1:48" x14ac:dyDescent="0.3">
      <c r="A93" s="9" t="s">
        <v>406</v>
      </c>
      <c r="B93" s="10" t="s">
        <v>1283</v>
      </c>
      <c r="C93" s="107">
        <v>246</v>
      </c>
      <c r="D93" s="104">
        <v>81.599999999999994</v>
      </c>
      <c r="E93" s="106">
        <v>25</v>
      </c>
      <c r="F93" s="104">
        <v>59.6</v>
      </c>
      <c r="G93" s="17">
        <v>18</v>
      </c>
      <c r="H93" s="107">
        <v>20</v>
      </c>
      <c r="I93" s="108"/>
      <c r="J93" s="108"/>
      <c r="K93" s="108"/>
      <c r="L93" s="108"/>
      <c r="M93" s="109">
        <f>I93-K93</f>
        <v>0</v>
      </c>
      <c r="N93" s="4" t="str">
        <f>IF(ISERROR(K93/I93),"",K93/I93)</f>
        <v/>
      </c>
      <c r="O93" s="105">
        <f>I93/E93</f>
        <v>0</v>
      </c>
      <c r="P93" s="105">
        <f>K93/E93</f>
        <v>0</v>
      </c>
      <c r="Q93" s="77">
        <v>3</v>
      </c>
      <c r="R93" s="77">
        <v>1</v>
      </c>
      <c r="S93" s="77" t="s">
        <v>1244</v>
      </c>
      <c r="T93" s="5" t="s">
        <v>162</v>
      </c>
      <c r="U93" s="9"/>
      <c r="W93" s="104">
        <f t="shared" si="82"/>
        <v>81.599999999999994</v>
      </c>
      <c r="X93" s="106">
        <f t="shared" si="82"/>
        <v>25</v>
      </c>
      <c r="Y93" s="102">
        <f t="shared" si="83"/>
        <v>20</v>
      </c>
      <c r="Z93" s="109">
        <f t="shared" si="83"/>
        <v>0</v>
      </c>
      <c r="AA93" s="109">
        <f>K93</f>
        <v>0</v>
      </c>
      <c r="AB93" s="109">
        <f t="shared" si="84"/>
        <v>0</v>
      </c>
      <c r="AC93" s="4" t="str">
        <f t="shared" si="84"/>
        <v/>
      </c>
      <c r="AD93" s="105">
        <f t="shared" si="84"/>
        <v>0</v>
      </c>
      <c r="AE93" s="77" t="str">
        <f>S93</f>
        <v>계</v>
      </c>
      <c r="AF93" s="77" t="str">
        <f>Q93&amp;"/"&amp;R93</f>
        <v>3/1</v>
      </c>
      <c r="AH93" s="20" t="str">
        <f t="shared" si="70"/>
        <v>동신진주</v>
      </c>
      <c r="AI93" s="106">
        <f t="shared" si="68"/>
        <v>25</v>
      </c>
      <c r="AJ93" s="77" t="str">
        <f>IF(AI93="","",$AJ$2)</f>
        <v>A-</v>
      </c>
      <c r="AK93" s="77" t="s">
        <v>13</v>
      </c>
      <c r="AL93" s="77" t="s">
        <v>1242</v>
      </c>
      <c r="AM93" s="77" t="s">
        <v>1243</v>
      </c>
      <c r="AN93" s="77" t="str">
        <f>IF(AI93="","",$AN$2)</f>
        <v>C</v>
      </c>
      <c r="AO93" s="77" t="str">
        <f>IF(N93="","",IF(N93&gt;=$AO$1/100,"O","X"))</f>
        <v/>
      </c>
      <c r="AP93" s="77" t="str">
        <f>IF(I93="","",IF(I93&lt;=$AP$1,"O","X"))</f>
        <v/>
      </c>
      <c r="AQ93" s="77" t="str">
        <f>IF(O93="","",IF(O93&lt;=$AQ$1,"O","X"))</f>
        <v>O</v>
      </c>
      <c r="AR93" s="77" t="str">
        <f>IF(M93="","",IF(M93&lt;=$AR$1,"O","X"))</f>
        <v>O</v>
      </c>
      <c r="AS93" s="77" t="s">
        <v>2</v>
      </c>
      <c r="AT93" s="77" t="str">
        <f>IF(OR(F93="",AI93=""),"",IF(AND((F93&lt;=85),(AI93&gt;=15)),"O","X"))</f>
        <v>O</v>
      </c>
      <c r="AU93" s="77" t="str">
        <f>IF(C93="","",IF(C93&gt;=$AU$1,"O","X"))</f>
        <v>X</v>
      </c>
      <c r="AV93" s="77" t="str">
        <f>IF(AO93="","",IF(AND(AO93="O",AP93="O",AR93="O",AT93="O",AU93="O"),"후보","X"))</f>
        <v/>
      </c>
    </row>
    <row r="94" spans="1:48" x14ac:dyDescent="0.3">
      <c r="A94" s="9" t="s">
        <v>406</v>
      </c>
      <c r="B94" s="10" t="s">
        <v>1283</v>
      </c>
      <c r="C94" s="107">
        <v>246</v>
      </c>
      <c r="D94" s="104">
        <v>82.2</v>
      </c>
      <c r="E94" s="106">
        <v>25</v>
      </c>
      <c r="F94" s="104">
        <v>60</v>
      </c>
      <c r="G94" s="17">
        <v>18</v>
      </c>
      <c r="H94" s="107">
        <v>10</v>
      </c>
      <c r="I94" s="108"/>
      <c r="J94" s="108"/>
      <c r="K94" s="108"/>
      <c r="L94" s="108"/>
      <c r="M94" s="109">
        <f>I94-K94</f>
        <v>0</v>
      </c>
      <c r="N94" s="4" t="str">
        <f>IF(ISERROR(K94/I94),"",K94/I94)</f>
        <v/>
      </c>
      <c r="O94" s="105">
        <f>I94/E94</f>
        <v>0</v>
      </c>
      <c r="P94" s="105">
        <f>K94/E94</f>
        <v>0</v>
      </c>
      <c r="Q94" s="77">
        <v>3</v>
      </c>
      <c r="R94" s="77">
        <v>1</v>
      </c>
      <c r="S94" s="77" t="s">
        <v>1244</v>
      </c>
      <c r="T94" s="5" t="s">
        <v>411</v>
      </c>
      <c r="U94" s="9"/>
      <c r="W94" s="104">
        <f t="shared" si="82"/>
        <v>82.2</v>
      </c>
      <c r="X94" s="106">
        <f t="shared" si="82"/>
        <v>25</v>
      </c>
      <c r="Y94" s="102">
        <f t="shared" si="83"/>
        <v>10</v>
      </c>
      <c r="Z94" s="109">
        <f t="shared" si="83"/>
        <v>0</v>
      </c>
      <c r="AA94" s="109">
        <f>K94</f>
        <v>0</v>
      </c>
      <c r="AB94" s="109">
        <f t="shared" si="84"/>
        <v>0</v>
      </c>
      <c r="AC94" s="4" t="str">
        <f t="shared" si="84"/>
        <v/>
      </c>
      <c r="AD94" s="105">
        <f t="shared" si="84"/>
        <v>0</v>
      </c>
      <c r="AE94" s="77" t="str">
        <f>S94</f>
        <v>계</v>
      </c>
      <c r="AF94" s="77" t="str">
        <f>Q94&amp;"/"&amp;R94</f>
        <v>3/1</v>
      </c>
      <c r="AH94" s="20" t="str">
        <f t="shared" si="70"/>
        <v>동신진주</v>
      </c>
      <c r="AI94" s="106">
        <f t="shared" si="68"/>
        <v>25</v>
      </c>
      <c r="AJ94" s="77" t="str">
        <f>IF(AI94="","",$AJ$2)</f>
        <v>A-</v>
      </c>
      <c r="AK94" s="77" t="s">
        <v>13</v>
      </c>
      <c r="AL94" s="77" t="s">
        <v>1242</v>
      </c>
      <c r="AM94" s="77" t="s">
        <v>1243</v>
      </c>
      <c r="AN94" s="77" t="str">
        <f>IF(AI94="","",$AN$2)</f>
        <v>C</v>
      </c>
      <c r="AO94" s="77" t="str">
        <f>IF(N94="","",IF(N94&gt;=$AO$1/100,"O","X"))</f>
        <v/>
      </c>
      <c r="AP94" s="77" t="str">
        <f>IF(I94="","",IF(I94&lt;=$AP$1,"O","X"))</f>
        <v/>
      </c>
      <c r="AQ94" s="77" t="str">
        <f>IF(O94="","",IF(O94&lt;=$AQ$1,"O","X"))</f>
        <v>O</v>
      </c>
      <c r="AR94" s="77" t="str">
        <f>IF(M94="","",IF(M94&lt;=$AR$1,"O","X"))</f>
        <v>O</v>
      </c>
      <c r="AS94" s="77" t="s">
        <v>2</v>
      </c>
      <c r="AT94" s="77" t="str">
        <f>IF(OR(F94="",AI94=""),"",IF(AND((F94&lt;=85),(AI94&gt;=15)),"O","X"))</f>
        <v>O</v>
      </c>
      <c r="AU94" s="77" t="str">
        <f>IF(C94="","",IF(C94&gt;=$AU$1,"O","X"))</f>
        <v>X</v>
      </c>
      <c r="AV94" s="77" t="str">
        <f>IF(AO94="","",IF(AND(AO94="O",AP94="O",AR94="O",AT94="O",AU94="O"),"후보","X"))</f>
        <v/>
      </c>
    </row>
    <row r="95" spans="1:48" x14ac:dyDescent="0.3">
      <c r="A95" s="9" t="s">
        <v>406</v>
      </c>
      <c r="B95" s="10" t="s">
        <v>1283</v>
      </c>
      <c r="C95" s="107">
        <v>246</v>
      </c>
      <c r="D95" s="104">
        <v>103.7</v>
      </c>
      <c r="E95" s="106">
        <v>31</v>
      </c>
      <c r="F95" s="104">
        <v>84.7</v>
      </c>
      <c r="G95" s="17">
        <v>26</v>
      </c>
      <c r="H95" s="107">
        <v>48</v>
      </c>
      <c r="I95" s="108"/>
      <c r="J95" s="108"/>
      <c r="K95" s="108"/>
      <c r="L95" s="108"/>
      <c r="M95" s="109">
        <f>I95-K95</f>
        <v>0</v>
      </c>
      <c r="N95" s="4" t="str">
        <f>IF(ISERROR(K95/I95),"",K95/I95)</f>
        <v/>
      </c>
      <c r="O95" s="105">
        <f>I95/E95</f>
        <v>0</v>
      </c>
      <c r="P95" s="105">
        <f>K95/E95</f>
        <v>0</v>
      </c>
      <c r="Q95" s="77">
        <v>3</v>
      </c>
      <c r="R95" s="77">
        <v>2</v>
      </c>
      <c r="S95" s="77" t="s">
        <v>1244</v>
      </c>
      <c r="T95" s="5">
        <v>103</v>
      </c>
      <c r="U95" s="9"/>
      <c r="W95" s="104">
        <f t="shared" si="82"/>
        <v>103.7</v>
      </c>
      <c r="X95" s="106">
        <f t="shared" si="82"/>
        <v>31</v>
      </c>
      <c r="Y95" s="102">
        <f t="shared" si="83"/>
        <v>48</v>
      </c>
      <c r="Z95" s="109">
        <f t="shared" si="83"/>
        <v>0</v>
      </c>
      <c r="AA95" s="109">
        <f>K95</f>
        <v>0</v>
      </c>
      <c r="AB95" s="109">
        <f t="shared" si="84"/>
        <v>0</v>
      </c>
      <c r="AC95" s="4" t="str">
        <f t="shared" si="84"/>
        <v/>
      </c>
      <c r="AD95" s="105">
        <f t="shared" si="84"/>
        <v>0</v>
      </c>
      <c r="AE95" s="77" t="str">
        <f>S95</f>
        <v>계</v>
      </c>
      <c r="AF95" s="77" t="str">
        <f>Q95&amp;"/"&amp;R95</f>
        <v>3/2</v>
      </c>
      <c r="AH95" s="20" t="str">
        <f t="shared" si="70"/>
        <v>동신진주</v>
      </c>
      <c r="AI95" s="106">
        <f t="shared" si="68"/>
        <v>31</v>
      </c>
      <c r="AJ95" s="77" t="str">
        <f>IF(AI95="","",$AJ$2)</f>
        <v>A-</v>
      </c>
      <c r="AK95" s="77" t="s">
        <v>13</v>
      </c>
      <c r="AL95" s="77" t="s">
        <v>1242</v>
      </c>
      <c r="AM95" s="77" t="s">
        <v>1243</v>
      </c>
      <c r="AN95" s="77" t="str">
        <f>IF(AI95="","",$AN$2)</f>
        <v>C</v>
      </c>
      <c r="AO95" s="77" t="str">
        <f>IF(N95="","",IF(N95&gt;=$AO$1/100,"O","X"))</f>
        <v/>
      </c>
      <c r="AP95" s="77" t="str">
        <f>IF(I95="","",IF(I95&lt;=$AP$1,"O","X"))</f>
        <v/>
      </c>
      <c r="AQ95" s="77" t="str">
        <f>IF(O95="","",IF(O95&lt;=$AQ$1,"O","X"))</f>
        <v>O</v>
      </c>
      <c r="AR95" s="77" t="str">
        <f>IF(M95="","",IF(M95&lt;=$AR$1,"O","X"))</f>
        <v>O</v>
      </c>
      <c r="AS95" s="77" t="s">
        <v>2</v>
      </c>
      <c r="AT95" s="77" t="str">
        <f>IF(OR(F95="",AI95=""),"",IF(AND((F95&lt;=85),(AI95&gt;=15)),"O","X"))</f>
        <v>O</v>
      </c>
      <c r="AU95" s="77" t="str">
        <f>IF(C95="","",IF(C95&gt;=$AU$1,"O","X"))</f>
        <v>X</v>
      </c>
      <c r="AV95" s="77" t="str">
        <f>IF(AO95="","",IF(AND(AO95="O",AP95="O",AR95="O",AT95="O",AU95="O"),"후보","X"))</f>
        <v/>
      </c>
    </row>
    <row r="96" spans="1:48" x14ac:dyDescent="0.3">
      <c r="A96" s="9"/>
      <c r="B96" s="77"/>
      <c r="C96" s="6"/>
      <c r="D96" s="9"/>
      <c r="E96" s="14"/>
      <c r="F96" s="104"/>
      <c r="G96" s="9"/>
      <c r="H96" s="9"/>
      <c r="I96" s="9"/>
      <c r="J96" s="9"/>
      <c r="K96" s="9"/>
      <c r="L96" s="9"/>
      <c r="M96" s="9"/>
      <c r="N96" s="9"/>
      <c r="O96" s="105"/>
      <c r="P96" s="105"/>
      <c r="Q96" s="106"/>
      <c r="R96" s="106"/>
      <c r="S96" s="9"/>
      <c r="T96" s="47"/>
      <c r="U96" s="9"/>
      <c r="W96" s="67" t="str">
        <f>$A$4&amp;" "&amp;A97&amp;"("&amp;B97&amp;","&amp;C97&amp;"^)"</f>
        <v>나운동 수송금호어울림('08.08.,773^)</v>
      </c>
      <c r="X96" s="68"/>
      <c r="Y96" s="68"/>
      <c r="Z96" s="68"/>
      <c r="AA96" s="68"/>
      <c r="AB96" s="68"/>
      <c r="AC96" s="68"/>
      <c r="AD96" s="68"/>
      <c r="AE96" s="68"/>
      <c r="AF96" s="69"/>
      <c r="AH96" s="20" t="str">
        <f t="shared" si="70"/>
        <v/>
      </c>
      <c r="AI96" s="103" t="str">
        <f t="shared" si="68"/>
        <v/>
      </c>
      <c r="AJ96" s="77"/>
      <c r="AK96" s="77"/>
      <c r="AL96" s="77"/>
      <c r="AM96" s="77"/>
      <c r="AN96" s="77"/>
      <c r="AO96" s="77"/>
      <c r="AP96" s="77"/>
      <c r="AQ96" s="77"/>
      <c r="AR96" s="77"/>
      <c r="AS96" s="77"/>
      <c r="AT96" s="77"/>
      <c r="AU96" s="77"/>
      <c r="AV96" s="77"/>
    </row>
    <row r="97" spans="1:48" x14ac:dyDescent="0.3">
      <c r="A97" s="9" t="s">
        <v>422</v>
      </c>
      <c r="B97" s="10" t="s">
        <v>1284</v>
      </c>
      <c r="C97" s="107">
        <v>773</v>
      </c>
      <c r="D97" s="104">
        <v>110.6</v>
      </c>
      <c r="E97" s="106">
        <v>33</v>
      </c>
      <c r="F97" s="104">
        <v>84.9</v>
      </c>
      <c r="G97" s="17">
        <v>26</v>
      </c>
      <c r="H97" s="107">
        <v>336</v>
      </c>
      <c r="I97" s="108"/>
      <c r="J97" s="108"/>
      <c r="K97" s="108"/>
      <c r="L97" s="108"/>
      <c r="M97" s="109">
        <f>I97-K97</f>
        <v>0</v>
      </c>
      <c r="N97" s="4" t="str">
        <f>IF(ISERROR(K97/I97),"",K97/I97)</f>
        <v/>
      </c>
      <c r="O97" s="105">
        <f>I97/E97</f>
        <v>0</v>
      </c>
      <c r="P97" s="105">
        <f>K97/E97</f>
        <v>0</v>
      </c>
      <c r="Q97" s="77">
        <v>3</v>
      </c>
      <c r="R97" s="77">
        <v>2</v>
      </c>
      <c r="S97" s="77" t="s">
        <v>1244</v>
      </c>
      <c r="T97" s="5" t="s">
        <v>102</v>
      </c>
      <c r="U97" s="9"/>
      <c r="W97" s="104">
        <f t="shared" ref="W97:X100" si="85">D97</f>
        <v>110.6</v>
      </c>
      <c r="X97" s="106">
        <f t="shared" si="85"/>
        <v>33</v>
      </c>
      <c r="Y97" s="102">
        <f t="shared" ref="Y97:Z100" si="86">H97</f>
        <v>336</v>
      </c>
      <c r="Z97" s="109">
        <f t="shared" si="86"/>
        <v>0</v>
      </c>
      <c r="AA97" s="109">
        <f>K97</f>
        <v>0</v>
      </c>
      <c r="AB97" s="109">
        <f t="shared" ref="AB97:AD100" si="87">M97</f>
        <v>0</v>
      </c>
      <c r="AC97" s="4" t="str">
        <f t="shared" si="87"/>
        <v/>
      </c>
      <c r="AD97" s="105">
        <f t="shared" si="87"/>
        <v>0</v>
      </c>
      <c r="AE97" s="77" t="str">
        <f>S97</f>
        <v>계</v>
      </c>
      <c r="AF97" s="77" t="str">
        <f>Q97&amp;"/"&amp;R97</f>
        <v>3/2</v>
      </c>
      <c r="AH97" s="20" t="str">
        <f t="shared" si="70"/>
        <v>수송금호어울림</v>
      </c>
      <c r="AI97" s="106">
        <f t="shared" si="68"/>
        <v>33</v>
      </c>
      <c r="AJ97" s="77" t="str">
        <f>IF(AI97="","",$AJ$2)</f>
        <v>A-</v>
      </c>
      <c r="AK97" s="77" t="s">
        <v>13</v>
      </c>
      <c r="AL97" s="77" t="s">
        <v>1242</v>
      </c>
      <c r="AM97" s="77" t="s">
        <v>1243</v>
      </c>
      <c r="AN97" s="77" t="str">
        <f>IF(AI97="","",$AN$2)</f>
        <v>C</v>
      </c>
      <c r="AO97" s="77" t="str">
        <f>IF(N97="","",IF(N97&gt;=$AO$1/100,"O","X"))</f>
        <v/>
      </c>
      <c r="AP97" s="77" t="str">
        <f>IF(I97="","",IF(I97&lt;=$AP$1,"O","X"))</f>
        <v/>
      </c>
      <c r="AQ97" s="77" t="str">
        <f>IF(O97="","",IF(O97&lt;=$AQ$1,"O","X"))</f>
        <v>O</v>
      </c>
      <c r="AR97" s="77" t="str">
        <f>IF(M97="","",IF(M97&lt;=$AR$1,"O","X"))</f>
        <v>O</v>
      </c>
      <c r="AS97" s="77" t="s">
        <v>2</v>
      </c>
      <c r="AT97" s="77" t="str">
        <f>IF(OR(F97="",AI97=""),"",IF(AND((F97&lt;=85),(AI97&gt;=15)),"O","X"))</f>
        <v>O</v>
      </c>
      <c r="AU97" s="77" t="str">
        <f>IF(C97="","",IF(C97&gt;=$AU$1,"O","X"))</f>
        <v>O</v>
      </c>
      <c r="AV97" s="77" t="str">
        <f>IF(AO97="","",IF(AND(AO97="O",AP97="O",AR97="O",AT97="O",AU97="O"),"후보","X"))</f>
        <v/>
      </c>
    </row>
    <row r="98" spans="1:48" x14ac:dyDescent="0.3">
      <c r="A98" s="9" t="s">
        <v>422</v>
      </c>
      <c r="B98" s="10" t="s">
        <v>1284</v>
      </c>
      <c r="C98" s="107">
        <v>773</v>
      </c>
      <c r="D98" s="104">
        <v>111.2</v>
      </c>
      <c r="E98" s="106">
        <v>34</v>
      </c>
      <c r="F98" s="104">
        <v>85</v>
      </c>
      <c r="G98" s="17">
        <v>26</v>
      </c>
      <c r="H98" s="107">
        <v>324</v>
      </c>
      <c r="I98" s="108">
        <v>27000</v>
      </c>
      <c r="J98" s="108" t="s">
        <v>1262</v>
      </c>
      <c r="K98" s="108">
        <v>24000</v>
      </c>
      <c r="L98" s="108" t="s">
        <v>1268</v>
      </c>
      <c r="M98" s="109">
        <f>I98-K98</f>
        <v>3000</v>
      </c>
      <c r="N98" s="4">
        <f>IF(ISERROR(K98/I98),"",K98/I98)</f>
        <v>0.88888888888888884</v>
      </c>
      <c r="O98" s="105">
        <f>I98/E98</f>
        <v>794.11764705882354</v>
      </c>
      <c r="P98" s="105">
        <f>K98/E98</f>
        <v>705.88235294117646</v>
      </c>
      <c r="Q98" s="77">
        <v>3</v>
      </c>
      <c r="R98" s="77">
        <v>2</v>
      </c>
      <c r="S98" s="77" t="s">
        <v>1244</v>
      </c>
      <c r="T98" s="5" t="s">
        <v>427</v>
      </c>
      <c r="U98" s="9"/>
      <c r="W98" s="104">
        <f t="shared" si="85"/>
        <v>111.2</v>
      </c>
      <c r="X98" s="106">
        <f t="shared" si="85"/>
        <v>34</v>
      </c>
      <c r="Y98" s="102">
        <f t="shared" si="86"/>
        <v>324</v>
      </c>
      <c r="Z98" s="109">
        <f t="shared" si="86"/>
        <v>27000</v>
      </c>
      <c r="AA98" s="109">
        <f>K98</f>
        <v>24000</v>
      </c>
      <c r="AB98" s="109">
        <f t="shared" si="87"/>
        <v>3000</v>
      </c>
      <c r="AC98" s="4">
        <f t="shared" si="87"/>
        <v>0.88888888888888884</v>
      </c>
      <c r="AD98" s="105">
        <f t="shared" si="87"/>
        <v>794.11764705882354</v>
      </c>
      <c r="AE98" s="77" t="str">
        <f>S98</f>
        <v>계</v>
      </c>
      <c r="AF98" s="77" t="str">
        <f>Q98&amp;"/"&amp;R98</f>
        <v>3/2</v>
      </c>
      <c r="AH98" s="20" t="str">
        <f t="shared" si="70"/>
        <v>수송금호어울림</v>
      </c>
      <c r="AI98" s="106">
        <f t="shared" si="68"/>
        <v>34</v>
      </c>
      <c r="AJ98" s="77" t="str">
        <f>IF(AI98="","",$AJ$2)</f>
        <v>A-</v>
      </c>
      <c r="AK98" s="77" t="s">
        <v>13</v>
      </c>
      <c r="AL98" s="77" t="s">
        <v>1242</v>
      </c>
      <c r="AM98" s="77" t="s">
        <v>1243</v>
      </c>
      <c r="AN98" s="77" t="str">
        <f>IF(AI98="","",$AN$2)</f>
        <v>C</v>
      </c>
      <c r="AO98" s="77" t="str">
        <f>IF(N98="","",IF(N98&gt;=$AO$1/100,"O","X"))</f>
        <v>O</v>
      </c>
      <c r="AP98" s="77" t="str">
        <f>IF(I98="","",IF(I98&lt;=$AP$1,"O","X"))</f>
        <v>O</v>
      </c>
      <c r="AQ98" s="77" t="str">
        <f>IF(O98="","",IF(O98&lt;=$AQ$1,"O","X"))</f>
        <v>O</v>
      </c>
      <c r="AR98" s="77" t="str">
        <f>IF(M98="","",IF(M98&lt;=$AR$1,"O","X"))</f>
        <v>O</v>
      </c>
      <c r="AS98" s="77" t="s">
        <v>2</v>
      </c>
      <c r="AT98" s="77" t="str">
        <f>IF(OR(F98="",AI98=""),"",IF(AND((F98&lt;=85),(AI98&gt;=15)),"O","X"))</f>
        <v>O</v>
      </c>
      <c r="AU98" s="77" t="str">
        <f>IF(C98="","",IF(C98&gt;=$AU$1,"O","X"))</f>
        <v>O</v>
      </c>
      <c r="AV98" s="77" t="str">
        <f>IF(AO98="","",IF(AND(AO98="O",AP98="O",AR98="O",AT98="O",AU98="O"),"후보","X"))</f>
        <v>후보</v>
      </c>
    </row>
    <row r="99" spans="1:48" x14ac:dyDescent="0.3">
      <c r="A99" s="9" t="s">
        <v>422</v>
      </c>
      <c r="B99" s="10" t="s">
        <v>1284</v>
      </c>
      <c r="C99" s="107">
        <v>773</v>
      </c>
      <c r="D99" s="104">
        <v>111.3</v>
      </c>
      <c r="E99" s="106">
        <v>34</v>
      </c>
      <c r="F99" s="104">
        <v>85</v>
      </c>
      <c r="G99" s="17">
        <v>26</v>
      </c>
      <c r="H99" s="107">
        <v>37</v>
      </c>
      <c r="I99" s="108">
        <v>27000</v>
      </c>
      <c r="J99" s="108" t="s">
        <v>1265</v>
      </c>
      <c r="K99" s="108">
        <v>23000</v>
      </c>
      <c r="L99" s="108" t="s">
        <v>1255</v>
      </c>
      <c r="M99" s="109">
        <f>I99-K99</f>
        <v>4000</v>
      </c>
      <c r="N99" s="4">
        <f>IF(ISERROR(K99/I99),"",K99/I99)</f>
        <v>0.85185185185185186</v>
      </c>
      <c r="O99" s="105">
        <f>I99/E99</f>
        <v>794.11764705882354</v>
      </c>
      <c r="P99" s="105">
        <f>K99/E99</f>
        <v>676.47058823529414</v>
      </c>
      <c r="Q99" s="77">
        <v>3</v>
      </c>
      <c r="R99" s="77">
        <v>2</v>
      </c>
      <c r="S99" s="77" t="s">
        <v>1244</v>
      </c>
      <c r="T99" s="5" t="s">
        <v>428</v>
      </c>
      <c r="U99" s="9"/>
      <c r="W99" s="104">
        <f t="shared" si="85"/>
        <v>111.3</v>
      </c>
      <c r="X99" s="106">
        <f t="shared" si="85"/>
        <v>34</v>
      </c>
      <c r="Y99" s="102">
        <f t="shared" si="86"/>
        <v>37</v>
      </c>
      <c r="Z99" s="109">
        <f t="shared" si="86"/>
        <v>27000</v>
      </c>
      <c r="AA99" s="109">
        <f>K99</f>
        <v>23000</v>
      </c>
      <c r="AB99" s="109">
        <f t="shared" si="87"/>
        <v>4000</v>
      </c>
      <c r="AC99" s="4">
        <f t="shared" si="87"/>
        <v>0.85185185185185186</v>
      </c>
      <c r="AD99" s="105">
        <f t="shared" si="87"/>
        <v>794.11764705882354</v>
      </c>
      <c r="AE99" s="77" t="str">
        <f>S99</f>
        <v>계</v>
      </c>
      <c r="AF99" s="77" t="str">
        <f>Q99&amp;"/"&amp;R99</f>
        <v>3/2</v>
      </c>
      <c r="AH99" s="20" t="str">
        <f t="shared" si="70"/>
        <v>수송금호어울림</v>
      </c>
      <c r="AI99" s="106">
        <f t="shared" ref="AI99:AI134" si="88">IF(E99="","",E99)</f>
        <v>34</v>
      </c>
      <c r="AJ99" s="77" t="str">
        <f>IF(AI99="","",$AJ$2)</f>
        <v>A-</v>
      </c>
      <c r="AK99" s="77" t="s">
        <v>13</v>
      </c>
      <c r="AL99" s="77" t="s">
        <v>1242</v>
      </c>
      <c r="AM99" s="77" t="s">
        <v>1243</v>
      </c>
      <c r="AN99" s="77" t="str">
        <f>IF(AI99="","",$AN$2)</f>
        <v>C</v>
      </c>
      <c r="AO99" s="77" t="str">
        <f>IF(N99="","",IF(N99&gt;=$AO$1/100,"O","X"))</f>
        <v>O</v>
      </c>
      <c r="AP99" s="77" t="str">
        <f>IF(I99="","",IF(I99&lt;=$AP$1,"O","X"))</f>
        <v>O</v>
      </c>
      <c r="AQ99" s="77" t="str">
        <f>IF(O99="","",IF(O99&lt;=$AQ$1,"O","X"))</f>
        <v>O</v>
      </c>
      <c r="AR99" s="77" t="str">
        <f>IF(M99="","",IF(M99&lt;=$AR$1,"O","X"))</f>
        <v>O</v>
      </c>
      <c r="AS99" s="77" t="s">
        <v>2</v>
      </c>
      <c r="AT99" s="77" t="str">
        <f>IF(OR(F99="",AI99=""),"",IF(AND((F99&lt;=85),(AI99&gt;=15)),"O","X"))</f>
        <v>O</v>
      </c>
      <c r="AU99" s="77" t="str">
        <f>IF(C99="","",IF(C99&gt;=$AU$1,"O","X"))</f>
        <v>O</v>
      </c>
      <c r="AV99" s="77" t="str">
        <f>IF(AO99="","",IF(AND(AO99="O",AP99="O",AR99="O",AT99="O",AU99="O"),"후보","X"))</f>
        <v>후보</v>
      </c>
    </row>
    <row r="100" spans="1:48" x14ac:dyDescent="0.3">
      <c r="A100" s="9" t="s">
        <v>422</v>
      </c>
      <c r="B100" s="10" t="s">
        <v>1284</v>
      </c>
      <c r="C100" s="107">
        <v>773</v>
      </c>
      <c r="D100" s="104">
        <v>112.4</v>
      </c>
      <c r="E100" s="106">
        <v>34</v>
      </c>
      <c r="F100" s="104">
        <v>85</v>
      </c>
      <c r="G100" s="17">
        <v>26</v>
      </c>
      <c r="H100" s="107">
        <v>76</v>
      </c>
      <c r="I100" s="108">
        <v>29500</v>
      </c>
      <c r="J100" s="108" t="s">
        <v>1253</v>
      </c>
      <c r="K100" s="108">
        <v>23000</v>
      </c>
      <c r="L100" s="108" t="s">
        <v>1245</v>
      </c>
      <c r="M100" s="109">
        <f>I100-K100</f>
        <v>6500</v>
      </c>
      <c r="N100" s="4">
        <f>IF(ISERROR(K100/I100),"",K100/I100)</f>
        <v>0.77966101694915257</v>
      </c>
      <c r="O100" s="105">
        <f>I100/E100</f>
        <v>867.64705882352939</v>
      </c>
      <c r="P100" s="105">
        <f>K100/E100</f>
        <v>676.47058823529414</v>
      </c>
      <c r="Q100" s="77">
        <v>3</v>
      </c>
      <c r="R100" s="77">
        <v>2</v>
      </c>
      <c r="S100" s="77" t="s">
        <v>1244</v>
      </c>
      <c r="T100" s="5" t="s">
        <v>429</v>
      </c>
      <c r="U100" s="9"/>
      <c r="W100" s="104">
        <f t="shared" si="85"/>
        <v>112.4</v>
      </c>
      <c r="X100" s="106">
        <f t="shared" si="85"/>
        <v>34</v>
      </c>
      <c r="Y100" s="102">
        <f t="shared" si="86"/>
        <v>76</v>
      </c>
      <c r="Z100" s="109">
        <f t="shared" si="86"/>
        <v>29500</v>
      </c>
      <c r="AA100" s="109">
        <f>K100</f>
        <v>23000</v>
      </c>
      <c r="AB100" s="109">
        <f t="shared" si="87"/>
        <v>6500</v>
      </c>
      <c r="AC100" s="4">
        <f t="shared" si="87"/>
        <v>0.77966101694915257</v>
      </c>
      <c r="AD100" s="105">
        <f t="shared" si="87"/>
        <v>867.64705882352939</v>
      </c>
      <c r="AE100" s="77" t="str">
        <f>S100</f>
        <v>계</v>
      </c>
      <c r="AF100" s="77" t="str">
        <f>Q100&amp;"/"&amp;R100</f>
        <v>3/2</v>
      </c>
      <c r="AH100" s="20" t="str">
        <f t="shared" si="70"/>
        <v>수송금호어울림</v>
      </c>
      <c r="AI100" s="106">
        <f t="shared" si="88"/>
        <v>34</v>
      </c>
      <c r="AJ100" s="77" t="str">
        <f>IF(AI100="","",$AJ$2)</f>
        <v>A-</v>
      </c>
      <c r="AK100" s="77" t="s">
        <v>13</v>
      </c>
      <c r="AL100" s="77" t="s">
        <v>1242</v>
      </c>
      <c r="AM100" s="77" t="s">
        <v>1243</v>
      </c>
      <c r="AN100" s="77" t="str">
        <f>IF(AI100="","",$AN$2)</f>
        <v>C</v>
      </c>
      <c r="AO100" s="77" t="str">
        <f>IF(N100="","",IF(N100&gt;=$AO$1/100,"O","X"))</f>
        <v>X</v>
      </c>
      <c r="AP100" s="77" t="str">
        <f>IF(I100="","",IF(I100&lt;=$AP$1,"O","X"))</f>
        <v>O</v>
      </c>
      <c r="AQ100" s="77" t="str">
        <f>IF(O100="","",IF(O100&lt;=$AQ$1,"O","X"))</f>
        <v>O</v>
      </c>
      <c r="AR100" s="77" t="str">
        <f>IF(M100="","",IF(M100&lt;=$AR$1,"O","X"))</f>
        <v>X</v>
      </c>
      <c r="AS100" s="77" t="s">
        <v>2</v>
      </c>
      <c r="AT100" s="77" t="str">
        <f>IF(OR(F100="",AI100=""),"",IF(AND((F100&lt;=85),(AI100&gt;=15)),"O","X"))</f>
        <v>O</v>
      </c>
      <c r="AU100" s="77" t="str">
        <f>IF(C100="","",IF(C100&gt;=$AU$1,"O","X"))</f>
        <v>O</v>
      </c>
      <c r="AV100" s="77" t="str">
        <f>IF(AO100="","",IF(AND(AO100="O",AP100="O",AR100="O",AT100="O",AU100="O"),"후보","X"))</f>
        <v>X</v>
      </c>
    </row>
    <row r="101" spans="1:48" x14ac:dyDescent="0.3">
      <c r="A101" s="9"/>
      <c r="B101" s="77"/>
      <c r="C101" s="6"/>
      <c r="D101" s="9"/>
      <c r="E101" s="14"/>
      <c r="F101" s="104"/>
      <c r="G101" s="9"/>
      <c r="H101" s="9"/>
      <c r="I101" s="9"/>
      <c r="J101" s="9"/>
      <c r="K101" s="9"/>
      <c r="L101" s="9"/>
      <c r="M101" s="9"/>
      <c r="N101" s="9"/>
      <c r="O101" s="105"/>
      <c r="P101" s="105"/>
      <c r="Q101" s="106"/>
      <c r="R101" s="106"/>
      <c r="S101" s="9"/>
      <c r="T101" s="47"/>
      <c r="U101" s="9"/>
      <c r="W101" s="67" t="str">
        <f>$A$4&amp;" "&amp;A102&amp;"("&amp;B102&amp;","&amp;C102&amp;"^)"</f>
        <v>나운동 영창('95.06.,765^)</v>
      </c>
      <c r="X101" s="68"/>
      <c r="Y101" s="68"/>
      <c r="Z101" s="68"/>
      <c r="AA101" s="68"/>
      <c r="AB101" s="68"/>
      <c r="AC101" s="68"/>
      <c r="AD101" s="68"/>
      <c r="AE101" s="68"/>
      <c r="AF101" s="69"/>
      <c r="AH101" s="20" t="str">
        <f t="shared" ref="AH101:AH134" si="89">IF(A101="","",A101)</f>
        <v/>
      </c>
      <c r="AI101" s="103" t="str">
        <f t="shared" si="88"/>
        <v/>
      </c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</row>
    <row r="102" spans="1:48" x14ac:dyDescent="0.3">
      <c r="A102" s="9" t="s">
        <v>437</v>
      </c>
      <c r="B102" s="10" t="s">
        <v>1240</v>
      </c>
      <c r="C102" s="107">
        <v>765</v>
      </c>
      <c r="D102" s="104">
        <v>56.5</v>
      </c>
      <c r="E102" s="106">
        <v>17</v>
      </c>
      <c r="F102" s="104">
        <v>39.299999999999997</v>
      </c>
      <c r="G102" s="17">
        <v>12</v>
      </c>
      <c r="H102" s="107">
        <v>60</v>
      </c>
      <c r="I102" s="108">
        <v>5000</v>
      </c>
      <c r="J102" s="108" t="s">
        <v>1256</v>
      </c>
      <c r="K102" s="108"/>
      <c r="L102" s="108"/>
      <c r="M102" s="109">
        <f>I102-K102</f>
        <v>5000</v>
      </c>
      <c r="N102" s="4">
        <f>IF(ISERROR(K102/I102),"",K102/I102)</f>
        <v>0</v>
      </c>
      <c r="O102" s="105">
        <f>I102/E102</f>
        <v>294.11764705882354</v>
      </c>
      <c r="P102" s="105">
        <f>K102/E102</f>
        <v>0</v>
      </c>
      <c r="Q102" s="77">
        <v>2</v>
      </c>
      <c r="R102" s="77">
        <v>1</v>
      </c>
      <c r="S102" s="77" t="s">
        <v>1241</v>
      </c>
      <c r="T102" s="5">
        <v>56</v>
      </c>
      <c r="U102" s="9"/>
      <c r="W102" s="104">
        <f t="shared" ref="W102:X105" si="90">D102</f>
        <v>56.5</v>
      </c>
      <c r="X102" s="106">
        <f t="shared" si="90"/>
        <v>17</v>
      </c>
      <c r="Y102" s="102">
        <f t="shared" ref="Y102:Z105" si="91">H102</f>
        <v>60</v>
      </c>
      <c r="Z102" s="109">
        <f t="shared" si="91"/>
        <v>5000</v>
      </c>
      <c r="AA102" s="109">
        <f>K102</f>
        <v>0</v>
      </c>
      <c r="AB102" s="109">
        <f t="shared" ref="AB102:AD105" si="92">M102</f>
        <v>5000</v>
      </c>
      <c r="AC102" s="4">
        <f t="shared" si="92"/>
        <v>0</v>
      </c>
      <c r="AD102" s="105">
        <f t="shared" si="92"/>
        <v>294.11764705882354</v>
      </c>
      <c r="AE102" s="77" t="str">
        <f>S102</f>
        <v>복</v>
      </c>
      <c r="AF102" s="77" t="str">
        <f>Q102&amp;"/"&amp;R102</f>
        <v>2/1</v>
      </c>
      <c r="AH102" s="20" t="str">
        <f t="shared" si="89"/>
        <v>영창</v>
      </c>
      <c r="AI102" s="106">
        <f t="shared" si="88"/>
        <v>17</v>
      </c>
      <c r="AJ102" s="77" t="str">
        <f>IF(AI102="","",$AJ$2)</f>
        <v>A-</v>
      </c>
      <c r="AK102" s="77" t="s">
        <v>13</v>
      </c>
      <c r="AL102" s="77" t="s">
        <v>1242</v>
      </c>
      <c r="AM102" s="77" t="s">
        <v>1243</v>
      </c>
      <c r="AN102" s="77" t="str">
        <f>IF(AI102="","",$AN$2)</f>
        <v>C</v>
      </c>
      <c r="AO102" s="77" t="str">
        <f>IF(N102="","",IF(N102&gt;=$AO$1/100,"O","X"))</f>
        <v>X</v>
      </c>
      <c r="AP102" s="77" t="str">
        <f>IF(I102="","",IF(I102&lt;=$AP$1,"O","X"))</f>
        <v>O</v>
      </c>
      <c r="AQ102" s="77" t="str">
        <f>IF(O102="","",IF(O102&lt;=$AQ$1,"O","X"))</f>
        <v>O</v>
      </c>
      <c r="AR102" s="77" t="str">
        <f>IF(M102="","",IF(M102&lt;=$AR$1,"O","X"))</f>
        <v>O</v>
      </c>
      <c r="AS102" s="77" t="s">
        <v>2</v>
      </c>
      <c r="AT102" s="77" t="str">
        <f>IF(OR(F102="",AI102=""),"",IF(AND((F102&lt;=85),(AI102&gt;=15)),"O","X"))</f>
        <v>O</v>
      </c>
      <c r="AU102" s="77" t="str">
        <f>IF(C102="","",IF(C102&gt;=$AU$1,"O","X"))</f>
        <v>O</v>
      </c>
      <c r="AV102" s="77" t="str">
        <f>IF(AO102="","",IF(AND(AO102="O",AP102="O",AR102="O",AT102="O",AU102="O"),"후보","X"))</f>
        <v>X</v>
      </c>
    </row>
    <row r="103" spans="1:48" x14ac:dyDescent="0.3">
      <c r="A103" s="9" t="s">
        <v>437</v>
      </c>
      <c r="B103" s="10" t="s">
        <v>1240</v>
      </c>
      <c r="C103" s="107">
        <v>765</v>
      </c>
      <c r="D103" s="104">
        <v>71.5</v>
      </c>
      <c r="E103" s="106">
        <v>22</v>
      </c>
      <c r="F103" s="104">
        <v>49.8</v>
      </c>
      <c r="G103" s="17">
        <v>15</v>
      </c>
      <c r="H103" s="107">
        <v>120</v>
      </c>
      <c r="I103" s="108">
        <v>7500</v>
      </c>
      <c r="J103" s="108" t="s">
        <v>1253</v>
      </c>
      <c r="K103" s="108">
        <v>6500</v>
      </c>
      <c r="L103" s="108" t="s">
        <v>1256</v>
      </c>
      <c r="M103" s="109">
        <f>I103-K103</f>
        <v>1000</v>
      </c>
      <c r="N103" s="4">
        <f>IF(ISERROR(K103/I103),"",K103/I103)</f>
        <v>0.8666666666666667</v>
      </c>
      <c r="O103" s="105">
        <f>I103/E103</f>
        <v>340.90909090909093</v>
      </c>
      <c r="P103" s="105">
        <f>K103/E103</f>
        <v>295.45454545454544</v>
      </c>
      <c r="Q103" s="77">
        <v>2</v>
      </c>
      <c r="R103" s="77">
        <v>1</v>
      </c>
      <c r="S103" s="77" t="s">
        <v>1241</v>
      </c>
      <c r="T103" s="5">
        <v>71</v>
      </c>
      <c r="U103" s="9"/>
      <c r="W103" s="104">
        <f t="shared" si="90"/>
        <v>71.5</v>
      </c>
      <c r="X103" s="106">
        <f t="shared" si="90"/>
        <v>22</v>
      </c>
      <c r="Y103" s="102">
        <f t="shared" si="91"/>
        <v>120</v>
      </c>
      <c r="Z103" s="109">
        <f t="shared" si="91"/>
        <v>7500</v>
      </c>
      <c r="AA103" s="109">
        <f>K103</f>
        <v>6500</v>
      </c>
      <c r="AB103" s="109">
        <f t="shared" si="92"/>
        <v>1000</v>
      </c>
      <c r="AC103" s="4">
        <f t="shared" si="92"/>
        <v>0.8666666666666667</v>
      </c>
      <c r="AD103" s="105">
        <f t="shared" si="92"/>
        <v>340.90909090909093</v>
      </c>
      <c r="AE103" s="77" t="str">
        <f>S103</f>
        <v>복</v>
      </c>
      <c r="AF103" s="77" t="str">
        <f>Q103&amp;"/"&amp;R103</f>
        <v>2/1</v>
      </c>
      <c r="AH103" s="20" t="str">
        <f t="shared" si="89"/>
        <v>영창</v>
      </c>
      <c r="AI103" s="106">
        <f t="shared" si="88"/>
        <v>22</v>
      </c>
      <c r="AJ103" s="77" t="str">
        <f>IF(AI103="","",$AJ$2)</f>
        <v>A-</v>
      </c>
      <c r="AK103" s="77" t="s">
        <v>13</v>
      </c>
      <c r="AL103" s="77" t="s">
        <v>1242</v>
      </c>
      <c r="AM103" s="77" t="s">
        <v>1243</v>
      </c>
      <c r="AN103" s="77" t="str">
        <f>IF(AI103="","",$AN$2)</f>
        <v>C</v>
      </c>
      <c r="AO103" s="77" t="str">
        <f>IF(N103="","",IF(N103&gt;=$AO$1/100,"O","X"))</f>
        <v>O</v>
      </c>
      <c r="AP103" s="77" t="str">
        <f>IF(I103="","",IF(I103&lt;=$AP$1,"O","X"))</f>
        <v>O</v>
      </c>
      <c r="AQ103" s="77" t="str">
        <f>IF(O103="","",IF(O103&lt;=$AQ$1,"O","X"))</f>
        <v>O</v>
      </c>
      <c r="AR103" s="77" t="str">
        <f>IF(M103="","",IF(M103&lt;=$AR$1,"O","X"))</f>
        <v>O</v>
      </c>
      <c r="AS103" s="77" t="s">
        <v>2</v>
      </c>
      <c r="AT103" s="77" t="str">
        <f>IF(OR(F103="",AI103=""),"",IF(AND((F103&lt;=85),(AI103&gt;=15)),"O","X"))</f>
        <v>O</v>
      </c>
      <c r="AU103" s="77" t="str">
        <f>IF(C103="","",IF(C103&gt;=$AU$1,"O","X"))</f>
        <v>O</v>
      </c>
      <c r="AV103" s="77" t="str">
        <f>IF(AO103="","",IF(AND(AO103="O",AP103="O",AR103="O",AT103="O",AU103="O"),"후보","X"))</f>
        <v>후보</v>
      </c>
    </row>
    <row r="104" spans="1:48" x14ac:dyDescent="0.3">
      <c r="A104" s="9" t="s">
        <v>437</v>
      </c>
      <c r="B104" s="10" t="s">
        <v>1240</v>
      </c>
      <c r="C104" s="107">
        <v>765</v>
      </c>
      <c r="D104" s="104">
        <v>74.7</v>
      </c>
      <c r="E104" s="106">
        <v>23</v>
      </c>
      <c r="F104" s="104">
        <v>59.9</v>
      </c>
      <c r="G104" s="17">
        <v>18</v>
      </c>
      <c r="H104" s="107">
        <v>300</v>
      </c>
      <c r="I104" s="108">
        <v>11500</v>
      </c>
      <c r="J104" s="108" t="s">
        <v>1272</v>
      </c>
      <c r="K104" s="108"/>
      <c r="L104" s="108"/>
      <c r="M104" s="109">
        <f>I104-K104</f>
        <v>11500</v>
      </c>
      <c r="N104" s="4">
        <f>IF(ISERROR(K104/I104),"",K104/I104)</f>
        <v>0</v>
      </c>
      <c r="O104" s="105">
        <f>I104/E104</f>
        <v>500</v>
      </c>
      <c r="P104" s="105">
        <f>K104/E104</f>
        <v>0</v>
      </c>
      <c r="Q104" s="77">
        <v>3</v>
      </c>
      <c r="R104" s="77">
        <v>1</v>
      </c>
      <c r="S104" s="77" t="s">
        <v>1244</v>
      </c>
      <c r="T104" s="5">
        <v>74</v>
      </c>
      <c r="U104" s="9"/>
      <c r="W104" s="104">
        <f t="shared" si="90"/>
        <v>74.7</v>
      </c>
      <c r="X104" s="106">
        <f t="shared" si="90"/>
        <v>23</v>
      </c>
      <c r="Y104" s="102">
        <f t="shared" si="91"/>
        <v>300</v>
      </c>
      <c r="Z104" s="109">
        <f t="shared" si="91"/>
        <v>11500</v>
      </c>
      <c r="AA104" s="109">
        <f>K104</f>
        <v>0</v>
      </c>
      <c r="AB104" s="109">
        <f t="shared" si="92"/>
        <v>11500</v>
      </c>
      <c r="AC104" s="4">
        <f t="shared" si="92"/>
        <v>0</v>
      </c>
      <c r="AD104" s="105">
        <f t="shared" si="92"/>
        <v>500</v>
      </c>
      <c r="AE104" s="77" t="str">
        <f>S104</f>
        <v>계</v>
      </c>
      <c r="AF104" s="77" t="str">
        <f>Q104&amp;"/"&amp;R104</f>
        <v>3/1</v>
      </c>
      <c r="AH104" s="20" t="str">
        <f t="shared" si="89"/>
        <v>영창</v>
      </c>
      <c r="AI104" s="106">
        <f t="shared" si="88"/>
        <v>23</v>
      </c>
      <c r="AJ104" s="77" t="str">
        <f>IF(AI104="","",$AJ$2)</f>
        <v>A-</v>
      </c>
      <c r="AK104" s="77" t="s">
        <v>13</v>
      </c>
      <c r="AL104" s="77" t="s">
        <v>1242</v>
      </c>
      <c r="AM104" s="77" t="s">
        <v>1243</v>
      </c>
      <c r="AN104" s="77" t="str">
        <f>IF(AI104="","",$AN$2)</f>
        <v>C</v>
      </c>
      <c r="AO104" s="77" t="str">
        <f>IF(N104="","",IF(N104&gt;=$AO$1/100,"O","X"))</f>
        <v>X</v>
      </c>
      <c r="AP104" s="77" t="str">
        <f>IF(I104="","",IF(I104&lt;=$AP$1,"O","X"))</f>
        <v>O</v>
      </c>
      <c r="AQ104" s="77" t="str">
        <f>IF(O104="","",IF(O104&lt;=$AQ$1,"O","X"))</f>
        <v>O</v>
      </c>
      <c r="AR104" s="77" t="str">
        <f>IF(M104="","",IF(M104&lt;=$AR$1,"O","X"))</f>
        <v>X</v>
      </c>
      <c r="AS104" s="77" t="s">
        <v>2</v>
      </c>
      <c r="AT104" s="77" t="str">
        <f>IF(OR(F104="",AI104=""),"",IF(AND((F104&lt;=85),(AI104&gt;=15)),"O","X"))</f>
        <v>O</v>
      </c>
      <c r="AU104" s="77" t="str">
        <f>IF(C104="","",IF(C104&gt;=$AU$1,"O","X"))</f>
        <v>O</v>
      </c>
      <c r="AV104" s="77" t="str">
        <f>IF(AO104="","",IF(AND(AO104="O",AP104="O",AR104="O",AT104="O",AU104="O"),"후보","X"))</f>
        <v>X</v>
      </c>
    </row>
    <row r="105" spans="1:48" x14ac:dyDescent="0.3">
      <c r="A105" s="9" t="s">
        <v>437</v>
      </c>
      <c r="B105" s="10" t="s">
        <v>1240</v>
      </c>
      <c r="C105" s="107">
        <v>765</v>
      </c>
      <c r="D105" s="104">
        <v>82.2</v>
      </c>
      <c r="E105" s="106">
        <v>25</v>
      </c>
      <c r="F105" s="104">
        <v>59.8</v>
      </c>
      <c r="G105" s="17">
        <v>18</v>
      </c>
      <c r="H105" s="107">
        <v>285</v>
      </c>
      <c r="I105" s="108">
        <v>9300</v>
      </c>
      <c r="J105" s="108" t="s">
        <v>1248</v>
      </c>
      <c r="K105" s="108"/>
      <c r="L105" s="108"/>
      <c r="M105" s="109">
        <f>I105-K105</f>
        <v>9300</v>
      </c>
      <c r="N105" s="4">
        <f>IF(ISERROR(K105/I105),"",K105/I105)</f>
        <v>0</v>
      </c>
      <c r="O105" s="105">
        <f>I105/E105</f>
        <v>372</v>
      </c>
      <c r="P105" s="105">
        <f>K105/E105</f>
        <v>0</v>
      </c>
      <c r="Q105" s="77">
        <v>3</v>
      </c>
      <c r="R105" s="77">
        <v>1</v>
      </c>
      <c r="S105" s="77" t="s">
        <v>1241</v>
      </c>
      <c r="T105" s="5">
        <v>82</v>
      </c>
      <c r="U105" s="9"/>
      <c r="W105" s="104">
        <f t="shared" si="90"/>
        <v>82.2</v>
      </c>
      <c r="X105" s="106">
        <f t="shared" si="90"/>
        <v>25</v>
      </c>
      <c r="Y105" s="102">
        <f t="shared" si="91"/>
        <v>285</v>
      </c>
      <c r="Z105" s="109">
        <f t="shared" si="91"/>
        <v>9300</v>
      </c>
      <c r="AA105" s="109">
        <f>K105</f>
        <v>0</v>
      </c>
      <c r="AB105" s="109">
        <f t="shared" si="92"/>
        <v>9300</v>
      </c>
      <c r="AC105" s="4">
        <f t="shared" si="92"/>
        <v>0</v>
      </c>
      <c r="AD105" s="105">
        <f t="shared" si="92"/>
        <v>372</v>
      </c>
      <c r="AE105" s="77" t="str">
        <f>S105</f>
        <v>복</v>
      </c>
      <c r="AF105" s="77" t="str">
        <f>Q105&amp;"/"&amp;R105</f>
        <v>3/1</v>
      </c>
      <c r="AH105" s="20" t="str">
        <f t="shared" si="89"/>
        <v>영창</v>
      </c>
      <c r="AI105" s="106">
        <f t="shared" si="88"/>
        <v>25</v>
      </c>
      <c r="AJ105" s="77" t="str">
        <f>IF(AI105="","",$AJ$2)</f>
        <v>A-</v>
      </c>
      <c r="AK105" s="77" t="s">
        <v>13</v>
      </c>
      <c r="AL105" s="77" t="s">
        <v>1242</v>
      </c>
      <c r="AM105" s="77" t="s">
        <v>1243</v>
      </c>
      <c r="AN105" s="77" t="str">
        <f>IF(AI105="","",$AN$2)</f>
        <v>C</v>
      </c>
      <c r="AO105" s="77" t="str">
        <f>IF(N105="","",IF(N105&gt;=$AO$1/100,"O","X"))</f>
        <v>X</v>
      </c>
      <c r="AP105" s="77" t="str">
        <f>IF(I105="","",IF(I105&lt;=$AP$1,"O","X"))</f>
        <v>O</v>
      </c>
      <c r="AQ105" s="77" t="str">
        <f>IF(O105="","",IF(O105&lt;=$AQ$1,"O","X"))</f>
        <v>O</v>
      </c>
      <c r="AR105" s="77" t="str">
        <f>IF(M105="","",IF(M105&lt;=$AR$1,"O","X"))</f>
        <v>X</v>
      </c>
      <c r="AS105" s="77" t="s">
        <v>2</v>
      </c>
      <c r="AT105" s="77" t="str">
        <f>IF(OR(F105="",AI105=""),"",IF(AND((F105&lt;=85),(AI105&gt;=15)),"O","X"))</f>
        <v>O</v>
      </c>
      <c r="AU105" s="77" t="str">
        <f>IF(C105="","",IF(C105&gt;=$AU$1,"O","X"))</f>
        <v>O</v>
      </c>
      <c r="AV105" s="77" t="str">
        <f>IF(AO105="","",IF(AND(AO105="O",AP105="O",AR105="O",AT105="O",AU105="O"),"후보","X"))</f>
        <v>X</v>
      </c>
    </row>
    <row r="106" spans="1:48" x14ac:dyDescent="0.3">
      <c r="A106" s="9"/>
      <c r="B106" s="77"/>
      <c r="C106" s="6"/>
      <c r="D106" s="9"/>
      <c r="E106" s="14"/>
      <c r="F106" s="104"/>
      <c r="G106" s="9"/>
      <c r="H106" s="9"/>
      <c r="I106" s="9"/>
      <c r="J106" s="9"/>
      <c r="K106" s="9"/>
      <c r="L106" s="9"/>
      <c r="M106" s="9"/>
      <c r="N106" s="9"/>
      <c r="O106" s="105"/>
      <c r="P106" s="105"/>
      <c r="Q106" s="106"/>
      <c r="R106" s="106"/>
      <c r="S106" s="9"/>
      <c r="T106" s="47"/>
      <c r="U106" s="9"/>
      <c r="W106" s="67" t="str">
        <f>$A$4&amp;" "&amp;A107&amp;"("&amp;B107&amp;","&amp;C107&amp;"^)"</f>
        <v>나운동 비사벌('97.02.,268^)</v>
      </c>
      <c r="X106" s="68"/>
      <c r="Y106" s="68"/>
      <c r="Z106" s="68"/>
      <c r="AA106" s="68"/>
      <c r="AB106" s="68"/>
      <c r="AC106" s="68"/>
      <c r="AD106" s="68"/>
      <c r="AE106" s="68"/>
      <c r="AF106" s="69"/>
      <c r="AH106" s="20" t="str">
        <f t="shared" si="89"/>
        <v/>
      </c>
      <c r="AI106" s="103" t="str">
        <f t="shared" si="88"/>
        <v/>
      </c>
      <c r="AJ106" s="77"/>
      <c r="AK106" s="77"/>
      <c r="AL106" s="77"/>
      <c r="AM106" s="77"/>
      <c r="AN106" s="77"/>
      <c r="AO106" s="77"/>
      <c r="AP106" s="77"/>
      <c r="AQ106" s="77"/>
      <c r="AR106" s="77"/>
      <c r="AS106" s="77"/>
      <c r="AT106" s="77"/>
      <c r="AU106" s="77"/>
      <c r="AV106" s="77"/>
    </row>
    <row r="107" spans="1:48" x14ac:dyDescent="0.3">
      <c r="A107" s="9" t="s">
        <v>441</v>
      </c>
      <c r="B107" s="10" t="s">
        <v>1277</v>
      </c>
      <c r="C107" s="107">
        <v>268</v>
      </c>
      <c r="D107" s="104">
        <v>78.2</v>
      </c>
      <c r="E107" s="106">
        <v>24</v>
      </c>
      <c r="F107" s="104">
        <v>59.9</v>
      </c>
      <c r="G107" s="17">
        <v>18</v>
      </c>
      <c r="H107" s="107">
        <v>268</v>
      </c>
      <c r="I107" s="108"/>
      <c r="J107" s="108"/>
      <c r="K107" s="108"/>
      <c r="L107" s="108"/>
      <c r="M107" s="109">
        <f>I107-K107</f>
        <v>0</v>
      </c>
      <c r="N107" s="4" t="str">
        <f>IF(ISERROR(K107/I107),"",K107/I107)</f>
        <v/>
      </c>
      <c r="O107" s="105">
        <f>I107/E107</f>
        <v>0</v>
      </c>
      <c r="P107" s="105">
        <f>K107/E107</f>
        <v>0</v>
      </c>
      <c r="Q107" s="77">
        <v>2</v>
      </c>
      <c r="R107" s="77">
        <v>1</v>
      </c>
      <c r="S107" s="77" t="s">
        <v>1244</v>
      </c>
      <c r="T107" s="5">
        <v>78</v>
      </c>
      <c r="U107" s="9"/>
      <c r="W107" s="104">
        <f>D107</f>
        <v>78.2</v>
      </c>
      <c r="X107" s="106">
        <f>E107</f>
        <v>24</v>
      </c>
      <c r="Y107" s="102">
        <f>H107</f>
        <v>268</v>
      </c>
      <c r="Z107" s="109">
        <f>I107</f>
        <v>0</v>
      </c>
      <c r="AA107" s="109">
        <f>K107</f>
        <v>0</v>
      </c>
      <c r="AB107" s="109">
        <f>M107</f>
        <v>0</v>
      </c>
      <c r="AC107" s="4" t="str">
        <f>N107</f>
        <v/>
      </c>
      <c r="AD107" s="105">
        <f>O107</f>
        <v>0</v>
      </c>
      <c r="AE107" s="77" t="str">
        <f>S107</f>
        <v>계</v>
      </c>
      <c r="AF107" s="77" t="str">
        <f>Q107&amp;"/"&amp;R107</f>
        <v>2/1</v>
      </c>
      <c r="AH107" s="20" t="str">
        <f t="shared" si="89"/>
        <v>비사벌</v>
      </c>
      <c r="AI107" s="106">
        <f t="shared" si="88"/>
        <v>24</v>
      </c>
      <c r="AJ107" s="77" t="str">
        <f>IF(AI107="","",$AJ$2)</f>
        <v>A-</v>
      </c>
      <c r="AK107" s="77" t="s">
        <v>13</v>
      </c>
      <c r="AL107" s="77" t="s">
        <v>1242</v>
      </c>
      <c r="AM107" s="77" t="s">
        <v>1243</v>
      </c>
      <c r="AN107" s="77" t="str">
        <f>IF(AI107="","",$AN$2)</f>
        <v>C</v>
      </c>
      <c r="AO107" s="77" t="str">
        <f>IF(N107="","",IF(N107&gt;=$AO$1/100,"O","X"))</f>
        <v/>
      </c>
      <c r="AP107" s="77" t="str">
        <f>IF(I107="","",IF(I107&lt;=$AP$1,"O","X"))</f>
        <v/>
      </c>
      <c r="AQ107" s="77" t="str">
        <f>IF(O107="","",IF(O107&lt;=$AQ$1,"O","X"))</f>
        <v>O</v>
      </c>
      <c r="AR107" s="77" t="str">
        <f>IF(M107="","",IF(M107&lt;=$AR$1,"O","X"))</f>
        <v>O</v>
      </c>
      <c r="AS107" s="77" t="s">
        <v>2</v>
      </c>
      <c r="AT107" s="77" t="str">
        <f>IF(OR(F107="",AI107=""),"",IF(AND((F107&lt;=85),(AI107&gt;=15)),"O","X"))</f>
        <v>O</v>
      </c>
      <c r="AU107" s="77" t="str">
        <f>IF(C107="","",IF(C107&gt;=$AU$1,"O","X"))</f>
        <v>X</v>
      </c>
      <c r="AV107" s="77" t="str">
        <f>IF(AO107="","",IF(AND(AO107="O",AP107="O",AR107="O",AT107="O",AU107="O"),"후보","X"))</f>
        <v/>
      </c>
    </row>
    <row r="108" spans="1:48" x14ac:dyDescent="0.3">
      <c r="A108" s="9"/>
      <c r="B108" s="77"/>
      <c r="C108" s="6"/>
      <c r="D108" s="9"/>
      <c r="E108" s="14"/>
      <c r="F108" s="104"/>
      <c r="G108" s="9"/>
      <c r="H108" s="9"/>
      <c r="I108" s="9"/>
      <c r="J108" s="9"/>
      <c r="K108" s="9"/>
      <c r="L108" s="9"/>
      <c r="M108" s="9"/>
      <c r="N108" s="9"/>
      <c r="O108" s="105"/>
      <c r="P108" s="105"/>
      <c r="Q108" s="106"/>
      <c r="R108" s="106"/>
      <c r="S108" s="9"/>
      <c r="T108" s="47"/>
      <c r="U108" s="9"/>
      <c r="W108" s="67" t="str">
        <f>$A$4&amp;" "&amp;A109&amp;"("&amp;B109&amp;","&amp;C109&amp;"^)"</f>
        <v>나운동 나운유원('90.11.,458^)</v>
      </c>
      <c r="X108" s="68"/>
      <c r="Y108" s="68"/>
      <c r="Z108" s="68"/>
      <c r="AA108" s="68"/>
      <c r="AB108" s="68"/>
      <c r="AC108" s="68"/>
      <c r="AD108" s="68"/>
      <c r="AE108" s="68"/>
      <c r="AF108" s="69"/>
      <c r="AH108" s="20" t="str">
        <f t="shared" si="89"/>
        <v/>
      </c>
      <c r="AI108" s="103" t="str">
        <f t="shared" si="88"/>
        <v/>
      </c>
      <c r="AJ108" s="77"/>
      <c r="AK108" s="77"/>
      <c r="AL108" s="77"/>
      <c r="AM108" s="77"/>
      <c r="AN108" s="77"/>
      <c r="AO108" s="77"/>
      <c r="AP108" s="77"/>
      <c r="AQ108" s="77"/>
      <c r="AR108" s="77"/>
      <c r="AS108" s="77"/>
      <c r="AT108" s="77"/>
      <c r="AU108" s="77"/>
      <c r="AV108" s="77"/>
    </row>
    <row r="109" spans="1:48" x14ac:dyDescent="0.3">
      <c r="A109" s="9" t="s">
        <v>445</v>
      </c>
      <c r="B109" s="10" t="s">
        <v>1258</v>
      </c>
      <c r="C109" s="107">
        <v>458</v>
      </c>
      <c r="D109" s="104">
        <v>81.3</v>
      </c>
      <c r="E109" s="106">
        <v>25</v>
      </c>
      <c r="F109" s="104">
        <v>65.099999999999994</v>
      </c>
      <c r="G109" s="17">
        <v>20</v>
      </c>
      <c r="H109" s="107">
        <v>144</v>
      </c>
      <c r="I109" s="108">
        <v>8000</v>
      </c>
      <c r="J109" s="108" t="s">
        <v>1280</v>
      </c>
      <c r="K109" s="108">
        <v>7000</v>
      </c>
      <c r="L109" s="108" t="s">
        <v>1265</v>
      </c>
      <c r="M109" s="109">
        <f>I109-K109</f>
        <v>1000</v>
      </c>
      <c r="N109" s="4">
        <f>IF(ISERROR(K109/I109),"",K109/I109)</f>
        <v>0.875</v>
      </c>
      <c r="O109" s="105">
        <f>I109/E109</f>
        <v>320</v>
      </c>
      <c r="P109" s="105">
        <f>K109/E109</f>
        <v>280</v>
      </c>
      <c r="Q109" s="77">
        <v>3</v>
      </c>
      <c r="R109" s="77">
        <v>1</v>
      </c>
      <c r="S109" s="77" t="s">
        <v>1244</v>
      </c>
      <c r="T109" s="5">
        <v>81</v>
      </c>
      <c r="U109" s="9"/>
      <c r="W109" s="104">
        <f t="shared" ref="W109:X111" si="93">D109</f>
        <v>81.3</v>
      </c>
      <c r="X109" s="106">
        <f t="shared" si="93"/>
        <v>25</v>
      </c>
      <c r="Y109" s="102">
        <f t="shared" ref="Y109:Z111" si="94">H109</f>
        <v>144</v>
      </c>
      <c r="Z109" s="109">
        <f t="shared" si="94"/>
        <v>8000</v>
      </c>
      <c r="AA109" s="109">
        <f>K109</f>
        <v>7000</v>
      </c>
      <c r="AB109" s="109">
        <f t="shared" ref="AB109:AD111" si="95">M109</f>
        <v>1000</v>
      </c>
      <c r="AC109" s="4">
        <f t="shared" si="95"/>
        <v>0.875</v>
      </c>
      <c r="AD109" s="105">
        <f t="shared" si="95"/>
        <v>320</v>
      </c>
      <c r="AE109" s="77" t="str">
        <f>S109</f>
        <v>계</v>
      </c>
      <c r="AF109" s="77" t="str">
        <f>Q109&amp;"/"&amp;R109</f>
        <v>3/1</v>
      </c>
      <c r="AH109" s="20" t="str">
        <f t="shared" si="89"/>
        <v>나운유원</v>
      </c>
      <c r="AI109" s="106">
        <f t="shared" si="88"/>
        <v>25</v>
      </c>
      <c r="AJ109" s="77" t="str">
        <f>IF(AI109="","",$AJ$2)</f>
        <v>A-</v>
      </c>
      <c r="AK109" s="77" t="s">
        <v>13</v>
      </c>
      <c r="AL109" s="77" t="s">
        <v>1242</v>
      </c>
      <c r="AM109" s="77" t="s">
        <v>1243</v>
      </c>
      <c r="AN109" s="77" t="str">
        <f>IF(AI109="","",$AN$2)</f>
        <v>C</v>
      </c>
      <c r="AO109" s="77" t="str">
        <f>IF(N109="","",IF(N109&gt;=$AO$1/100,"O","X"))</f>
        <v>O</v>
      </c>
      <c r="AP109" s="77" t="str">
        <f>IF(I109="","",IF(I109&lt;=$AP$1,"O","X"))</f>
        <v>O</v>
      </c>
      <c r="AQ109" s="77" t="str">
        <f>IF(O109="","",IF(O109&lt;=$AQ$1,"O","X"))</f>
        <v>O</v>
      </c>
      <c r="AR109" s="77" t="str">
        <f>IF(M109="","",IF(M109&lt;=$AR$1,"O","X"))</f>
        <v>O</v>
      </c>
      <c r="AS109" s="77" t="s">
        <v>2</v>
      </c>
      <c r="AT109" s="77" t="str">
        <f>IF(OR(F109="",AI109=""),"",IF(AND((F109&lt;=85),(AI109&gt;=15)),"O","X"))</f>
        <v>O</v>
      </c>
      <c r="AU109" s="77" t="str">
        <f>IF(C109="","",IF(C109&gt;=$AU$1,"O","X"))</f>
        <v>O</v>
      </c>
      <c r="AV109" s="77" t="str">
        <f>IF(AO109="","",IF(AND(AO109="O",AP109="O",AR109="O",AT109="O",AU109="O"),"후보","X"))</f>
        <v>후보</v>
      </c>
    </row>
    <row r="110" spans="1:48" x14ac:dyDescent="0.3">
      <c r="A110" s="9" t="s">
        <v>445</v>
      </c>
      <c r="B110" s="10" t="s">
        <v>1258</v>
      </c>
      <c r="C110" s="107">
        <v>458</v>
      </c>
      <c r="D110" s="104">
        <v>96.8</v>
      </c>
      <c r="E110" s="106">
        <v>29</v>
      </c>
      <c r="F110" s="104">
        <v>78.099999999999994</v>
      </c>
      <c r="G110" s="17">
        <v>24</v>
      </c>
      <c r="H110" s="107">
        <v>69</v>
      </c>
      <c r="I110" s="108"/>
      <c r="J110" s="108"/>
      <c r="K110" s="108"/>
      <c r="L110" s="108"/>
      <c r="M110" s="109">
        <f>I110-K110</f>
        <v>0</v>
      </c>
      <c r="N110" s="4" t="str">
        <f>IF(ISERROR(K110/I110),"",K110/I110)</f>
        <v/>
      </c>
      <c r="O110" s="105">
        <f>I110/E110</f>
        <v>0</v>
      </c>
      <c r="P110" s="105">
        <f>K110/E110</f>
        <v>0</v>
      </c>
      <c r="Q110" s="77">
        <v>3</v>
      </c>
      <c r="R110" s="77">
        <v>1</v>
      </c>
      <c r="S110" s="77" t="s">
        <v>1244</v>
      </c>
      <c r="T110" s="5">
        <v>96</v>
      </c>
      <c r="U110" s="9"/>
      <c r="W110" s="104">
        <f t="shared" si="93"/>
        <v>96.8</v>
      </c>
      <c r="X110" s="106">
        <f t="shared" si="93"/>
        <v>29</v>
      </c>
      <c r="Y110" s="102">
        <f t="shared" si="94"/>
        <v>69</v>
      </c>
      <c r="Z110" s="109">
        <f t="shared" si="94"/>
        <v>0</v>
      </c>
      <c r="AA110" s="109">
        <f>K110</f>
        <v>0</v>
      </c>
      <c r="AB110" s="109">
        <f t="shared" si="95"/>
        <v>0</v>
      </c>
      <c r="AC110" s="4" t="str">
        <f t="shared" si="95"/>
        <v/>
      </c>
      <c r="AD110" s="105">
        <f t="shared" si="95"/>
        <v>0</v>
      </c>
      <c r="AE110" s="77" t="str">
        <f>S110</f>
        <v>계</v>
      </c>
      <c r="AF110" s="77" t="str">
        <f>Q110&amp;"/"&amp;R110</f>
        <v>3/1</v>
      </c>
      <c r="AH110" s="20" t="str">
        <f t="shared" si="89"/>
        <v>나운유원</v>
      </c>
      <c r="AI110" s="106">
        <f t="shared" si="88"/>
        <v>29</v>
      </c>
      <c r="AJ110" s="77" t="str">
        <f>IF(AI110="","",$AJ$2)</f>
        <v>A-</v>
      </c>
      <c r="AK110" s="77" t="s">
        <v>13</v>
      </c>
      <c r="AL110" s="77" t="s">
        <v>1242</v>
      </c>
      <c r="AM110" s="77" t="s">
        <v>1243</v>
      </c>
      <c r="AN110" s="77" t="str">
        <f>IF(AI110="","",$AN$2)</f>
        <v>C</v>
      </c>
      <c r="AO110" s="77" t="str">
        <f>IF(N110="","",IF(N110&gt;=$AO$1/100,"O","X"))</f>
        <v/>
      </c>
      <c r="AP110" s="77" t="str">
        <f>IF(I110="","",IF(I110&lt;=$AP$1,"O","X"))</f>
        <v/>
      </c>
      <c r="AQ110" s="77" t="str">
        <f>IF(O110="","",IF(O110&lt;=$AQ$1,"O","X"))</f>
        <v>O</v>
      </c>
      <c r="AR110" s="77" t="str">
        <f>IF(M110="","",IF(M110&lt;=$AR$1,"O","X"))</f>
        <v>O</v>
      </c>
      <c r="AS110" s="77" t="s">
        <v>2</v>
      </c>
      <c r="AT110" s="77" t="str">
        <f>IF(OR(F110="",AI110=""),"",IF(AND((F110&lt;=85),(AI110&gt;=15)),"O","X"))</f>
        <v>O</v>
      </c>
      <c r="AU110" s="77" t="str">
        <f>IF(C110="","",IF(C110&gt;=$AU$1,"O","X"))</f>
        <v>O</v>
      </c>
      <c r="AV110" s="77" t="str">
        <f>IF(AO110="","",IF(AND(AO110="O",AP110="O",AR110="O",AT110="O",AU110="O"),"후보","X"))</f>
        <v/>
      </c>
    </row>
    <row r="111" spans="1:48" x14ac:dyDescent="0.3">
      <c r="A111" s="9" t="s">
        <v>445</v>
      </c>
      <c r="B111" s="10" t="s">
        <v>1258</v>
      </c>
      <c r="C111" s="107">
        <v>458</v>
      </c>
      <c r="D111" s="104">
        <v>104.1</v>
      </c>
      <c r="E111" s="106">
        <v>31</v>
      </c>
      <c r="F111" s="104">
        <v>85</v>
      </c>
      <c r="G111" s="17">
        <v>26</v>
      </c>
      <c r="H111" s="107">
        <v>245</v>
      </c>
      <c r="I111" s="108"/>
      <c r="J111" s="108"/>
      <c r="K111" s="108"/>
      <c r="L111" s="108"/>
      <c r="M111" s="109">
        <f>I111-K111</f>
        <v>0</v>
      </c>
      <c r="N111" s="4" t="str">
        <f>IF(ISERROR(K111/I111),"",K111/I111)</f>
        <v/>
      </c>
      <c r="O111" s="105">
        <f>I111/E111</f>
        <v>0</v>
      </c>
      <c r="P111" s="105">
        <f>K111/E111</f>
        <v>0</v>
      </c>
      <c r="Q111" s="77">
        <v>3</v>
      </c>
      <c r="R111" s="77">
        <v>2</v>
      </c>
      <c r="S111" s="77" t="s">
        <v>1244</v>
      </c>
      <c r="T111" s="5">
        <v>104</v>
      </c>
      <c r="U111" s="9"/>
      <c r="W111" s="104">
        <f t="shared" si="93"/>
        <v>104.1</v>
      </c>
      <c r="X111" s="106">
        <f t="shared" si="93"/>
        <v>31</v>
      </c>
      <c r="Y111" s="102">
        <f t="shared" si="94"/>
        <v>245</v>
      </c>
      <c r="Z111" s="109">
        <f t="shared" si="94"/>
        <v>0</v>
      </c>
      <c r="AA111" s="109">
        <f>K111</f>
        <v>0</v>
      </c>
      <c r="AB111" s="109">
        <f t="shared" si="95"/>
        <v>0</v>
      </c>
      <c r="AC111" s="4" t="str">
        <f t="shared" si="95"/>
        <v/>
      </c>
      <c r="AD111" s="105">
        <f t="shared" si="95"/>
        <v>0</v>
      </c>
      <c r="AE111" s="77" t="str">
        <f>S111</f>
        <v>계</v>
      </c>
      <c r="AF111" s="77" t="str">
        <f>Q111&amp;"/"&amp;R111</f>
        <v>3/2</v>
      </c>
      <c r="AH111" s="20" t="str">
        <f t="shared" si="89"/>
        <v>나운유원</v>
      </c>
      <c r="AI111" s="106">
        <f t="shared" si="88"/>
        <v>31</v>
      </c>
      <c r="AJ111" s="77" t="str">
        <f>IF(AI111="","",$AJ$2)</f>
        <v>A-</v>
      </c>
      <c r="AK111" s="77" t="s">
        <v>13</v>
      </c>
      <c r="AL111" s="77" t="s">
        <v>1242</v>
      </c>
      <c r="AM111" s="77" t="s">
        <v>1243</v>
      </c>
      <c r="AN111" s="77" t="str">
        <f>IF(AI111="","",$AN$2)</f>
        <v>C</v>
      </c>
      <c r="AO111" s="77" t="str">
        <f>IF(N111="","",IF(N111&gt;=$AO$1/100,"O","X"))</f>
        <v/>
      </c>
      <c r="AP111" s="77" t="str">
        <f>IF(I111="","",IF(I111&lt;=$AP$1,"O","X"))</f>
        <v/>
      </c>
      <c r="AQ111" s="77" t="str">
        <f>IF(O111="","",IF(O111&lt;=$AQ$1,"O","X"))</f>
        <v>O</v>
      </c>
      <c r="AR111" s="77" t="str">
        <f>IF(M111="","",IF(M111&lt;=$AR$1,"O","X"))</f>
        <v>O</v>
      </c>
      <c r="AS111" s="77" t="s">
        <v>2</v>
      </c>
      <c r="AT111" s="77" t="str">
        <f>IF(OR(F111="",AI111=""),"",IF(AND((F111&lt;=85),(AI111&gt;=15)),"O","X"))</f>
        <v>O</v>
      </c>
      <c r="AU111" s="77" t="str">
        <f>IF(C111="","",IF(C111&gt;=$AU$1,"O","X"))</f>
        <v>O</v>
      </c>
      <c r="AV111" s="77" t="str">
        <f>IF(AO111="","",IF(AND(AO111="O",AP111="O",AR111="O",AT111="O",AU111="O"),"후보","X"))</f>
        <v/>
      </c>
    </row>
    <row r="112" spans="1:48" x14ac:dyDescent="0.3">
      <c r="A112" s="9"/>
      <c r="B112" s="77"/>
      <c r="C112" s="6"/>
      <c r="D112" s="9"/>
      <c r="E112" s="14"/>
      <c r="F112" s="104"/>
      <c r="G112" s="9"/>
      <c r="H112" s="9"/>
      <c r="I112" s="9"/>
      <c r="J112" s="9"/>
      <c r="K112" s="9"/>
      <c r="L112" s="9"/>
      <c r="M112" s="9"/>
      <c r="N112" s="9"/>
      <c r="O112" s="105"/>
      <c r="P112" s="105"/>
      <c r="Q112" s="106"/>
      <c r="R112" s="106"/>
      <c r="S112" s="9"/>
      <c r="T112" s="47"/>
      <c r="U112" s="9"/>
      <c r="W112" s="67" t="str">
        <f>$A$4&amp;" "&amp;A113&amp;"("&amp;B113&amp;","&amp;C113&amp;"^)"</f>
        <v>나운동 주공5단지('95.07.,1541^)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89"/>
        <v/>
      </c>
      <c r="AI112" s="103" t="str">
        <f t="shared" si="88"/>
        <v/>
      </c>
      <c r="AJ112" s="77"/>
      <c r="AK112" s="77"/>
      <c r="AL112" s="77"/>
      <c r="AM112" s="77"/>
      <c r="AN112" s="77"/>
      <c r="AO112" s="77"/>
      <c r="AP112" s="77"/>
      <c r="AQ112" s="77"/>
      <c r="AR112" s="77"/>
      <c r="AS112" s="77"/>
      <c r="AT112" s="77"/>
      <c r="AU112" s="77"/>
      <c r="AV112" s="77"/>
    </row>
    <row r="113" spans="1:48" x14ac:dyDescent="0.3">
      <c r="A113" s="9" t="s">
        <v>449</v>
      </c>
      <c r="B113" s="10" t="s">
        <v>1285</v>
      </c>
      <c r="C113" s="107">
        <v>1541</v>
      </c>
      <c r="D113" s="104">
        <v>54.8</v>
      </c>
      <c r="E113" s="106">
        <v>17</v>
      </c>
      <c r="F113" s="104">
        <v>37.700000000000003</v>
      </c>
      <c r="G113" s="17">
        <v>11</v>
      </c>
      <c r="H113" s="107">
        <v>149</v>
      </c>
      <c r="I113" s="108"/>
      <c r="J113" s="108"/>
      <c r="K113" s="108"/>
      <c r="L113" s="108"/>
      <c r="M113" s="109">
        <f>I113-K113</f>
        <v>0</v>
      </c>
      <c r="N113" s="4" t="str">
        <f>IF(ISERROR(K113/I113),"",K113/I113)</f>
        <v/>
      </c>
      <c r="O113" s="105">
        <f>I113/E113</f>
        <v>0</v>
      </c>
      <c r="P113" s="105">
        <f>K113/E113</f>
        <v>0</v>
      </c>
      <c r="Q113" s="77">
        <v>2</v>
      </c>
      <c r="R113" s="77">
        <v>1</v>
      </c>
      <c r="S113" s="77" t="s">
        <v>1241</v>
      </c>
      <c r="T113" s="5">
        <v>54</v>
      </c>
      <c r="U113" s="9"/>
      <c r="W113" s="104">
        <f t="shared" ref="W113:X115" si="96">D113</f>
        <v>54.8</v>
      </c>
      <c r="X113" s="106">
        <f t="shared" si="96"/>
        <v>17</v>
      </c>
      <c r="Y113" s="102">
        <f t="shared" ref="Y113:Z115" si="97">H113</f>
        <v>149</v>
      </c>
      <c r="Z113" s="109">
        <f t="shared" si="97"/>
        <v>0</v>
      </c>
      <c r="AA113" s="109">
        <f>K113</f>
        <v>0</v>
      </c>
      <c r="AB113" s="109">
        <f t="shared" ref="AB113:AD115" si="98">M113</f>
        <v>0</v>
      </c>
      <c r="AC113" s="4" t="str">
        <f t="shared" si="98"/>
        <v/>
      </c>
      <c r="AD113" s="105">
        <f t="shared" si="98"/>
        <v>0</v>
      </c>
      <c r="AE113" s="77" t="str">
        <f>S113</f>
        <v>복</v>
      </c>
      <c r="AF113" s="77" t="str">
        <f>Q113&amp;"/"&amp;R113</f>
        <v>2/1</v>
      </c>
      <c r="AH113" s="20" t="str">
        <f t="shared" si="89"/>
        <v>주공5단지</v>
      </c>
      <c r="AI113" s="106">
        <f t="shared" si="88"/>
        <v>17</v>
      </c>
      <c r="AJ113" s="77" t="str">
        <f>IF(AI113="","",$AJ$2)</f>
        <v>A-</v>
      </c>
      <c r="AK113" s="77" t="s">
        <v>13</v>
      </c>
      <c r="AL113" s="77" t="s">
        <v>1242</v>
      </c>
      <c r="AM113" s="77" t="s">
        <v>1243</v>
      </c>
      <c r="AN113" s="77" t="str">
        <f>IF(AI113="","",$AN$2)</f>
        <v>C</v>
      </c>
      <c r="AO113" s="77" t="str">
        <f>IF(N113="","",IF(N113&gt;=$AO$1/100,"O","X"))</f>
        <v/>
      </c>
      <c r="AP113" s="77" t="str">
        <f>IF(I113="","",IF(I113&lt;=$AP$1,"O","X"))</f>
        <v/>
      </c>
      <c r="AQ113" s="77" t="str">
        <f>IF(O113="","",IF(O113&lt;=$AQ$1,"O","X"))</f>
        <v>O</v>
      </c>
      <c r="AR113" s="77" t="str">
        <f>IF(M113="","",IF(M113&lt;=$AR$1,"O","X"))</f>
        <v>O</v>
      </c>
      <c r="AS113" s="77" t="s">
        <v>2</v>
      </c>
      <c r="AT113" s="77" t="str">
        <f>IF(OR(F113="",AI113=""),"",IF(AND((F113&lt;=85),(AI113&gt;=15)),"O","X"))</f>
        <v>O</v>
      </c>
      <c r="AU113" s="77" t="str">
        <f>IF(C113="","",IF(C113&gt;=$AU$1,"O","X"))</f>
        <v>O</v>
      </c>
      <c r="AV113" s="77" t="str">
        <f>IF(AO113="","",IF(AND(AO113="O",AP113="O",AR113="O",AT113="O",AU113="O"),"후보","X"))</f>
        <v/>
      </c>
    </row>
    <row r="114" spans="1:48" x14ac:dyDescent="0.3">
      <c r="A114" s="9" t="s">
        <v>449</v>
      </c>
      <c r="B114" s="10" t="s">
        <v>1285</v>
      </c>
      <c r="C114" s="107">
        <v>1541</v>
      </c>
      <c r="D114" s="104">
        <v>69.8</v>
      </c>
      <c r="E114" s="106">
        <v>21</v>
      </c>
      <c r="F114" s="104">
        <v>49.7</v>
      </c>
      <c r="G114" s="17">
        <v>15</v>
      </c>
      <c r="H114" s="107">
        <v>149</v>
      </c>
      <c r="I114" s="108">
        <v>8000</v>
      </c>
      <c r="J114" s="108" t="s">
        <v>1245</v>
      </c>
      <c r="K114" s="108"/>
      <c r="L114" s="108"/>
      <c r="M114" s="109">
        <f>I114-K114</f>
        <v>8000</v>
      </c>
      <c r="N114" s="4">
        <f>IF(ISERROR(K114/I114),"",K114/I114)</f>
        <v>0</v>
      </c>
      <c r="O114" s="105">
        <f>I114/E114</f>
        <v>380.95238095238096</v>
      </c>
      <c r="P114" s="105">
        <f>K114/E114</f>
        <v>0</v>
      </c>
      <c r="Q114" s="77">
        <v>2</v>
      </c>
      <c r="R114" s="77">
        <v>1</v>
      </c>
      <c r="S114" s="77" t="s">
        <v>1241</v>
      </c>
      <c r="T114" s="5">
        <v>69</v>
      </c>
      <c r="U114" s="9"/>
      <c r="W114" s="104">
        <f t="shared" si="96"/>
        <v>69.8</v>
      </c>
      <c r="X114" s="106">
        <f t="shared" si="96"/>
        <v>21</v>
      </c>
      <c r="Y114" s="102">
        <f t="shared" si="97"/>
        <v>149</v>
      </c>
      <c r="Z114" s="109">
        <f t="shared" si="97"/>
        <v>8000</v>
      </c>
      <c r="AA114" s="109">
        <f>K114</f>
        <v>0</v>
      </c>
      <c r="AB114" s="109">
        <f t="shared" si="98"/>
        <v>8000</v>
      </c>
      <c r="AC114" s="4">
        <f t="shared" si="98"/>
        <v>0</v>
      </c>
      <c r="AD114" s="105">
        <f t="shared" si="98"/>
        <v>380.95238095238096</v>
      </c>
      <c r="AE114" s="77" t="str">
        <f>S114</f>
        <v>복</v>
      </c>
      <c r="AF114" s="77" t="str">
        <f>Q114&amp;"/"&amp;R114</f>
        <v>2/1</v>
      </c>
      <c r="AH114" s="20" t="str">
        <f t="shared" si="89"/>
        <v>주공5단지</v>
      </c>
      <c r="AI114" s="106">
        <f t="shared" si="88"/>
        <v>21</v>
      </c>
      <c r="AJ114" s="77" t="str">
        <f>IF(AI114="","",$AJ$2)</f>
        <v>A-</v>
      </c>
      <c r="AK114" s="77" t="s">
        <v>13</v>
      </c>
      <c r="AL114" s="77" t="s">
        <v>1242</v>
      </c>
      <c r="AM114" s="77" t="s">
        <v>1243</v>
      </c>
      <c r="AN114" s="77" t="str">
        <f>IF(AI114="","",$AN$2)</f>
        <v>C</v>
      </c>
      <c r="AO114" s="77" t="str">
        <f>IF(N114="","",IF(N114&gt;=$AO$1/100,"O","X"))</f>
        <v>X</v>
      </c>
      <c r="AP114" s="77" t="str">
        <f>IF(I114="","",IF(I114&lt;=$AP$1,"O","X"))</f>
        <v>O</v>
      </c>
      <c r="AQ114" s="77" t="str">
        <f>IF(O114="","",IF(O114&lt;=$AQ$1,"O","X"))</f>
        <v>O</v>
      </c>
      <c r="AR114" s="77" t="str">
        <f>IF(M114="","",IF(M114&lt;=$AR$1,"O","X"))</f>
        <v>X</v>
      </c>
      <c r="AS114" s="77" t="s">
        <v>2</v>
      </c>
      <c r="AT114" s="77" t="str">
        <f>IF(OR(F114="",AI114=""),"",IF(AND((F114&lt;=85),(AI114&gt;=15)),"O","X"))</f>
        <v>O</v>
      </c>
      <c r="AU114" s="77" t="str">
        <f>IF(C114="","",IF(C114&gt;=$AU$1,"O","X"))</f>
        <v>O</v>
      </c>
      <c r="AV114" s="77" t="str">
        <f>IF(AO114="","",IF(AND(AO114="O",AP114="O",AR114="O",AT114="O",AU114="O"),"후보","X"))</f>
        <v>X</v>
      </c>
    </row>
    <row r="115" spans="1:48" x14ac:dyDescent="0.3">
      <c r="A115" s="9" t="s">
        <v>449</v>
      </c>
      <c r="B115" s="10" t="s">
        <v>1285</v>
      </c>
      <c r="C115" s="107">
        <v>1541</v>
      </c>
      <c r="D115" s="104">
        <v>79.2</v>
      </c>
      <c r="E115" s="106">
        <v>24</v>
      </c>
      <c r="F115" s="104">
        <v>58.1</v>
      </c>
      <c r="G115" s="17">
        <v>18</v>
      </c>
      <c r="H115" s="107">
        <v>1243</v>
      </c>
      <c r="I115" s="108">
        <v>8300</v>
      </c>
      <c r="J115" s="108" t="s">
        <v>1245</v>
      </c>
      <c r="K115" s="108">
        <v>7500</v>
      </c>
      <c r="L115" s="108" t="s">
        <v>1248</v>
      </c>
      <c r="M115" s="109">
        <f>I115-K115</f>
        <v>800</v>
      </c>
      <c r="N115" s="4">
        <f>IF(ISERROR(K115/I115),"",K115/I115)</f>
        <v>0.90361445783132532</v>
      </c>
      <c r="O115" s="105">
        <f>I115/E115</f>
        <v>345.83333333333331</v>
      </c>
      <c r="P115" s="105">
        <f>K115/E115</f>
        <v>312.5</v>
      </c>
      <c r="Q115" s="77">
        <v>3</v>
      </c>
      <c r="R115" s="77">
        <v>1</v>
      </c>
      <c r="S115" s="77" t="s">
        <v>1241</v>
      </c>
      <c r="T115" s="5">
        <v>79</v>
      </c>
      <c r="U115" s="9"/>
      <c r="W115" s="104">
        <f t="shared" si="96"/>
        <v>79.2</v>
      </c>
      <c r="X115" s="106">
        <f t="shared" si="96"/>
        <v>24</v>
      </c>
      <c r="Y115" s="102">
        <f t="shared" si="97"/>
        <v>1243</v>
      </c>
      <c r="Z115" s="109">
        <f t="shared" si="97"/>
        <v>8300</v>
      </c>
      <c r="AA115" s="109">
        <f>K115</f>
        <v>7500</v>
      </c>
      <c r="AB115" s="109">
        <f t="shared" si="98"/>
        <v>800</v>
      </c>
      <c r="AC115" s="4">
        <f t="shared" si="98"/>
        <v>0.90361445783132532</v>
      </c>
      <c r="AD115" s="105">
        <f t="shared" si="98"/>
        <v>345.83333333333331</v>
      </c>
      <c r="AE115" s="77" t="str">
        <f>S115</f>
        <v>복</v>
      </c>
      <c r="AF115" s="77" t="str">
        <f>Q115&amp;"/"&amp;R115</f>
        <v>3/1</v>
      </c>
      <c r="AH115" s="20" t="str">
        <f t="shared" si="89"/>
        <v>주공5단지</v>
      </c>
      <c r="AI115" s="106">
        <f t="shared" si="88"/>
        <v>24</v>
      </c>
      <c r="AJ115" s="77" t="str">
        <f>IF(AI115="","",$AJ$2)</f>
        <v>A-</v>
      </c>
      <c r="AK115" s="77" t="s">
        <v>13</v>
      </c>
      <c r="AL115" s="77" t="s">
        <v>1242</v>
      </c>
      <c r="AM115" s="77" t="s">
        <v>1243</v>
      </c>
      <c r="AN115" s="77" t="str">
        <f>IF(AI115="","",$AN$2)</f>
        <v>C</v>
      </c>
      <c r="AO115" s="77" t="str">
        <f>IF(N115="","",IF(N115&gt;=$AO$1/100,"O","X"))</f>
        <v>O</v>
      </c>
      <c r="AP115" s="77" t="str">
        <f>IF(I115="","",IF(I115&lt;=$AP$1,"O","X"))</f>
        <v>O</v>
      </c>
      <c r="AQ115" s="77" t="str">
        <f>IF(O115="","",IF(O115&lt;=$AQ$1,"O","X"))</f>
        <v>O</v>
      </c>
      <c r="AR115" s="77" t="str">
        <f>IF(M115="","",IF(M115&lt;=$AR$1,"O","X"))</f>
        <v>O</v>
      </c>
      <c r="AS115" s="77" t="s">
        <v>2</v>
      </c>
      <c r="AT115" s="77" t="str">
        <f>IF(OR(F115="",AI115=""),"",IF(AND((F115&lt;=85),(AI115&gt;=15)),"O","X"))</f>
        <v>O</v>
      </c>
      <c r="AU115" s="77" t="str">
        <f>IF(C115="","",IF(C115&gt;=$AU$1,"O","X"))</f>
        <v>O</v>
      </c>
      <c r="AV115" s="77" t="str">
        <f>IF(AO115="","",IF(AND(AO115="O",AP115="O",AR115="O",AT115="O",AU115="O"),"후보","X"))</f>
        <v>후보</v>
      </c>
    </row>
    <row r="116" spans="1:48" x14ac:dyDescent="0.3">
      <c r="A116" s="9"/>
      <c r="B116" s="77"/>
      <c r="C116" s="6"/>
      <c r="D116" s="9"/>
      <c r="E116" s="14"/>
      <c r="F116" s="104"/>
      <c r="G116" s="9"/>
      <c r="H116" s="9"/>
      <c r="I116" s="9"/>
      <c r="J116" s="9"/>
      <c r="K116" s="9"/>
      <c r="L116" s="9"/>
      <c r="M116" s="9"/>
      <c r="N116" s="9"/>
      <c r="O116" s="105"/>
      <c r="P116" s="105"/>
      <c r="Q116" s="106"/>
      <c r="R116" s="106"/>
      <c r="S116" s="9"/>
      <c r="T116" s="47"/>
      <c r="U116" s="9"/>
      <c r="W116" s="67" t="str">
        <f>$A$4&amp;" "&amp;A117&amp;"("&amp;B117&amp;","&amp;C117&amp;"^)"</f>
        <v>나운동 현대4차('98.09.,636^)</v>
      </c>
      <c r="X116" s="68"/>
      <c r="Y116" s="68"/>
      <c r="Z116" s="68"/>
      <c r="AA116" s="68"/>
      <c r="AB116" s="68"/>
      <c r="AC116" s="68"/>
      <c r="AD116" s="68"/>
      <c r="AE116" s="68"/>
      <c r="AF116" s="69"/>
      <c r="AH116" s="20" t="str">
        <f t="shared" si="89"/>
        <v/>
      </c>
      <c r="AI116" s="103" t="str">
        <f t="shared" si="88"/>
        <v/>
      </c>
      <c r="AJ116" s="77"/>
      <c r="AK116" s="77"/>
      <c r="AL116" s="77"/>
      <c r="AM116" s="77"/>
      <c r="AN116" s="77"/>
      <c r="AO116" s="77"/>
      <c r="AP116" s="77"/>
      <c r="AQ116" s="77"/>
      <c r="AR116" s="77"/>
      <c r="AS116" s="77"/>
      <c r="AT116" s="77"/>
      <c r="AU116" s="77"/>
      <c r="AV116" s="77"/>
    </row>
    <row r="117" spans="1:48" x14ac:dyDescent="0.3">
      <c r="A117" s="9" t="s">
        <v>485</v>
      </c>
      <c r="B117" s="10" t="s">
        <v>1252</v>
      </c>
      <c r="C117" s="107">
        <v>636</v>
      </c>
      <c r="D117" s="104">
        <v>74.8</v>
      </c>
      <c r="E117" s="106">
        <v>23</v>
      </c>
      <c r="F117" s="104">
        <v>60</v>
      </c>
      <c r="G117" s="17">
        <v>18</v>
      </c>
      <c r="H117" s="107">
        <v>64</v>
      </c>
      <c r="I117" s="108">
        <v>14200</v>
      </c>
      <c r="J117" s="108" t="s">
        <v>1245</v>
      </c>
      <c r="K117" s="108"/>
      <c r="L117" s="108"/>
      <c r="M117" s="109">
        <f>I117-K117</f>
        <v>14200</v>
      </c>
      <c r="N117" s="4">
        <f>IF(ISERROR(K117/I117),"",K117/I117)</f>
        <v>0</v>
      </c>
      <c r="O117" s="105">
        <f>I117/E117</f>
        <v>617.39130434782612</v>
      </c>
      <c r="P117" s="105">
        <f>K117/E117</f>
        <v>0</v>
      </c>
      <c r="Q117" s="77">
        <v>3</v>
      </c>
      <c r="R117" s="77">
        <v>1</v>
      </c>
      <c r="S117" s="77" t="s">
        <v>1244</v>
      </c>
      <c r="T117" s="5">
        <v>74</v>
      </c>
      <c r="U117" s="9"/>
      <c r="W117" s="104">
        <f t="shared" ref="W117:X121" si="99">D117</f>
        <v>74.8</v>
      </c>
      <c r="X117" s="106">
        <f t="shared" si="99"/>
        <v>23</v>
      </c>
      <c r="Y117" s="102">
        <f t="shared" ref="Y117:Z121" si="100">H117</f>
        <v>64</v>
      </c>
      <c r="Z117" s="109">
        <f t="shared" si="100"/>
        <v>14200</v>
      </c>
      <c r="AA117" s="109">
        <f>K117</f>
        <v>0</v>
      </c>
      <c r="AB117" s="109">
        <f t="shared" ref="AB117:AD121" si="101">M117</f>
        <v>14200</v>
      </c>
      <c r="AC117" s="4">
        <f t="shared" si="101"/>
        <v>0</v>
      </c>
      <c r="AD117" s="105">
        <f t="shared" si="101"/>
        <v>617.39130434782612</v>
      </c>
      <c r="AE117" s="77" t="str">
        <f>S117</f>
        <v>계</v>
      </c>
      <c r="AF117" s="77" t="str">
        <f>Q117&amp;"/"&amp;R117</f>
        <v>3/1</v>
      </c>
      <c r="AH117" s="20" t="str">
        <f t="shared" si="89"/>
        <v>현대4차</v>
      </c>
      <c r="AI117" s="106">
        <f t="shared" si="88"/>
        <v>23</v>
      </c>
      <c r="AJ117" s="77" t="str">
        <f>IF(AI117="","",$AJ$2)</f>
        <v>A-</v>
      </c>
      <c r="AK117" s="77" t="s">
        <v>13</v>
      </c>
      <c r="AL117" s="77" t="s">
        <v>1242</v>
      </c>
      <c r="AM117" s="77" t="s">
        <v>1243</v>
      </c>
      <c r="AN117" s="77" t="str">
        <f>IF(AI117="","",$AN$2)</f>
        <v>C</v>
      </c>
      <c r="AO117" s="77" t="str">
        <f>IF(N117="","",IF(N117&gt;=$AO$1/100,"O","X"))</f>
        <v>X</v>
      </c>
      <c r="AP117" s="77" t="str">
        <f>IF(I117="","",IF(I117&lt;=$AP$1,"O","X"))</f>
        <v>O</v>
      </c>
      <c r="AQ117" s="77" t="str">
        <f>IF(O117="","",IF(O117&lt;=$AQ$1,"O","X"))</f>
        <v>O</v>
      </c>
      <c r="AR117" s="77" t="str">
        <f>IF(M117="","",IF(M117&lt;=$AR$1,"O","X"))</f>
        <v>X</v>
      </c>
      <c r="AS117" s="77" t="s">
        <v>2</v>
      </c>
      <c r="AT117" s="77" t="str">
        <f>IF(OR(F117="",AI117=""),"",IF(AND((F117&lt;=85),(AI117&gt;=15)),"O","X"))</f>
        <v>O</v>
      </c>
      <c r="AU117" s="77" t="str">
        <f>IF(C117="","",IF(C117&gt;=$AU$1,"O","X"))</f>
        <v>O</v>
      </c>
      <c r="AV117" s="77" t="str">
        <f>IF(AO117="","",IF(AND(AO117="O",AP117="O",AR117="O",AT117="O",AU117="O"),"후보","X"))</f>
        <v>X</v>
      </c>
    </row>
    <row r="118" spans="1:48" x14ac:dyDescent="0.3">
      <c r="A118" s="9" t="s">
        <v>485</v>
      </c>
      <c r="B118" s="10" t="s">
        <v>1252</v>
      </c>
      <c r="C118" s="107">
        <v>636</v>
      </c>
      <c r="D118" s="104">
        <v>93.7</v>
      </c>
      <c r="E118" s="106">
        <v>28</v>
      </c>
      <c r="F118" s="104">
        <v>75.2</v>
      </c>
      <c r="G118" s="17">
        <v>23</v>
      </c>
      <c r="H118" s="107">
        <v>68</v>
      </c>
      <c r="I118" s="108"/>
      <c r="J118" s="108"/>
      <c r="K118" s="108"/>
      <c r="L118" s="108"/>
      <c r="M118" s="109">
        <f>I118-K118</f>
        <v>0</v>
      </c>
      <c r="N118" s="4" t="str">
        <f>IF(ISERROR(K118/I118),"",K118/I118)</f>
        <v/>
      </c>
      <c r="O118" s="105">
        <f>I118/E118</f>
        <v>0</v>
      </c>
      <c r="P118" s="105">
        <f>K118/E118</f>
        <v>0</v>
      </c>
      <c r="Q118" s="77">
        <v>3</v>
      </c>
      <c r="R118" s="77">
        <v>1</v>
      </c>
      <c r="S118" s="77" t="s">
        <v>1244</v>
      </c>
      <c r="T118" s="5">
        <v>93</v>
      </c>
      <c r="U118" s="9"/>
      <c r="W118" s="104">
        <f t="shared" si="99"/>
        <v>93.7</v>
      </c>
      <c r="X118" s="106">
        <f t="shared" si="99"/>
        <v>28</v>
      </c>
      <c r="Y118" s="102">
        <f t="shared" si="100"/>
        <v>68</v>
      </c>
      <c r="Z118" s="109">
        <f t="shared" si="100"/>
        <v>0</v>
      </c>
      <c r="AA118" s="109">
        <f>K118</f>
        <v>0</v>
      </c>
      <c r="AB118" s="109">
        <f t="shared" si="101"/>
        <v>0</v>
      </c>
      <c r="AC118" s="4" t="str">
        <f t="shared" si="101"/>
        <v/>
      </c>
      <c r="AD118" s="105">
        <f t="shared" si="101"/>
        <v>0</v>
      </c>
      <c r="AE118" s="77" t="str">
        <f>S118</f>
        <v>계</v>
      </c>
      <c r="AF118" s="77" t="str">
        <f>Q118&amp;"/"&amp;R118</f>
        <v>3/1</v>
      </c>
      <c r="AH118" s="20" t="str">
        <f t="shared" si="89"/>
        <v>현대4차</v>
      </c>
      <c r="AI118" s="106">
        <f t="shared" si="88"/>
        <v>28</v>
      </c>
      <c r="AJ118" s="77" t="str">
        <f>IF(AI118="","",$AJ$2)</f>
        <v>A-</v>
      </c>
      <c r="AK118" s="77" t="s">
        <v>13</v>
      </c>
      <c r="AL118" s="77" t="s">
        <v>1242</v>
      </c>
      <c r="AM118" s="77" t="s">
        <v>1243</v>
      </c>
      <c r="AN118" s="77" t="str">
        <f>IF(AI118="","",$AN$2)</f>
        <v>C</v>
      </c>
      <c r="AO118" s="77" t="str">
        <f>IF(N118="","",IF(N118&gt;=$AO$1/100,"O","X"))</f>
        <v/>
      </c>
      <c r="AP118" s="77" t="str">
        <f>IF(I118="","",IF(I118&lt;=$AP$1,"O","X"))</f>
        <v/>
      </c>
      <c r="AQ118" s="77" t="str">
        <f>IF(O118="","",IF(O118&lt;=$AQ$1,"O","X"))</f>
        <v>O</v>
      </c>
      <c r="AR118" s="77" t="str">
        <f>IF(M118="","",IF(M118&lt;=$AR$1,"O","X"))</f>
        <v>O</v>
      </c>
      <c r="AS118" s="77" t="s">
        <v>2</v>
      </c>
      <c r="AT118" s="77" t="str">
        <f>IF(OR(F118="",AI118=""),"",IF(AND((F118&lt;=85),(AI118&gt;=15)),"O","X"))</f>
        <v>O</v>
      </c>
      <c r="AU118" s="77" t="str">
        <f>IF(C118="","",IF(C118&gt;=$AU$1,"O","X"))</f>
        <v>O</v>
      </c>
      <c r="AV118" s="77" t="str">
        <f>IF(AO118="","",IF(AND(AO118="O",AP118="O",AR118="O",AT118="O",AU118="O"),"후보","X"))</f>
        <v/>
      </c>
    </row>
    <row r="119" spans="1:48" x14ac:dyDescent="0.3">
      <c r="A119" s="9" t="s">
        <v>485</v>
      </c>
      <c r="B119" s="10" t="s">
        <v>1252</v>
      </c>
      <c r="C119" s="107">
        <v>636</v>
      </c>
      <c r="D119" s="104">
        <v>105.9</v>
      </c>
      <c r="E119" s="106">
        <v>32</v>
      </c>
      <c r="F119" s="104">
        <v>85</v>
      </c>
      <c r="G119" s="17">
        <v>26</v>
      </c>
      <c r="H119" s="107">
        <v>386</v>
      </c>
      <c r="I119" s="108">
        <v>19200</v>
      </c>
      <c r="J119" s="108" t="s">
        <v>1256</v>
      </c>
      <c r="K119" s="108"/>
      <c r="L119" s="108"/>
      <c r="M119" s="109">
        <f>I119-K119</f>
        <v>19200</v>
      </c>
      <c r="N119" s="4">
        <f>IF(ISERROR(K119/I119),"",K119/I119)</f>
        <v>0</v>
      </c>
      <c r="O119" s="105">
        <f>I119/E119</f>
        <v>600</v>
      </c>
      <c r="P119" s="105">
        <f>K119/E119</f>
        <v>0</v>
      </c>
      <c r="Q119" s="77">
        <v>3</v>
      </c>
      <c r="R119" s="77">
        <v>2</v>
      </c>
      <c r="S119" s="77" t="s">
        <v>1244</v>
      </c>
      <c r="T119" s="5">
        <v>105</v>
      </c>
      <c r="U119" s="9"/>
      <c r="W119" s="104">
        <f t="shared" si="99"/>
        <v>105.9</v>
      </c>
      <c r="X119" s="106">
        <f t="shared" si="99"/>
        <v>32</v>
      </c>
      <c r="Y119" s="102">
        <f t="shared" si="100"/>
        <v>386</v>
      </c>
      <c r="Z119" s="109">
        <f t="shared" si="100"/>
        <v>19200</v>
      </c>
      <c r="AA119" s="109">
        <f>K119</f>
        <v>0</v>
      </c>
      <c r="AB119" s="109">
        <f t="shared" si="101"/>
        <v>19200</v>
      </c>
      <c r="AC119" s="4">
        <f t="shared" si="101"/>
        <v>0</v>
      </c>
      <c r="AD119" s="105">
        <f t="shared" si="101"/>
        <v>600</v>
      </c>
      <c r="AE119" s="77" t="str">
        <f>S119</f>
        <v>계</v>
      </c>
      <c r="AF119" s="77" t="str">
        <f>Q119&amp;"/"&amp;R119</f>
        <v>3/2</v>
      </c>
      <c r="AH119" s="20" t="str">
        <f t="shared" si="89"/>
        <v>현대4차</v>
      </c>
      <c r="AI119" s="106">
        <f t="shared" si="88"/>
        <v>32</v>
      </c>
      <c r="AJ119" s="77" t="str">
        <f>IF(AI119="","",$AJ$2)</f>
        <v>A-</v>
      </c>
      <c r="AK119" s="77" t="s">
        <v>13</v>
      </c>
      <c r="AL119" s="77" t="s">
        <v>1242</v>
      </c>
      <c r="AM119" s="77" t="s">
        <v>1243</v>
      </c>
      <c r="AN119" s="77" t="str">
        <f>IF(AI119="","",$AN$2)</f>
        <v>C</v>
      </c>
      <c r="AO119" s="77" t="str">
        <f>IF(N119="","",IF(N119&gt;=$AO$1/100,"O","X"))</f>
        <v>X</v>
      </c>
      <c r="AP119" s="77" t="str">
        <f>IF(I119="","",IF(I119&lt;=$AP$1,"O","X"))</f>
        <v>O</v>
      </c>
      <c r="AQ119" s="77" t="str">
        <f>IF(O119="","",IF(O119&lt;=$AQ$1,"O","X"))</f>
        <v>O</v>
      </c>
      <c r="AR119" s="77" t="str">
        <f>IF(M119="","",IF(M119&lt;=$AR$1,"O","X"))</f>
        <v>X</v>
      </c>
      <c r="AS119" s="77" t="s">
        <v>2</v>
      </c>
      <c r="AT119" s="77" t="str">
        <f>IF(OR(F119="",AI119=""),"",IF(AND((F119&lt;=85),(AI119&gt;=15)),"O","X"))</f>
        <v>O</v>
      </c>
      <c r="AU119" s="77" t="str">
        <f>IF(C119="","",IF(C119&gt;=$AU$1,"O","X"))</f>
        <v>O</v>
      </c>
      <c r="AV119" s="77" t="str">
        <f>IF(AO119="","",IF(AND(AO119="O",AP119="O",AR119="O",AT119="O",AU119="O"),"후보","X"))</f>
        <v>X</v>
      </c>
    </row>
    <row r="120" spans="1:48" x14ac:dyDescent="0.3">
      <c r="A120" s="9" t="s">
        <v>485</v>
      </c>
      <c r="B120" s="10" t="s">
        <v>1252</v>
      </c>
      <c r="C120" s="107">
        <v>636</v>
      </c>
      <c r="D120" s="104">
        <v>124.6</v>
      </c>
      <c r="E120" s="106">
        <v>38</v>
      </c>
      <c r="F120" s="104">
        <v>99.9</v>
      </c>
      <c r="G120" s="17">
        <v>30</v>
      </c>
      <c r="H120" s="107">
        <v>78</v>
      </c>
      <c r="I120" s="108">
        <v>23000</v>
      </c>
      <c r="J120" s="108" t="s">
        <v>1268</v>
      </c>
      <c r="K120" s="108"/>
      <c r="L120" s="108"/>
      <c r="M120" s="109">
        <f>I120-K120</f>
        <v>23000</v>
      </c>
      <c r="N120" s="4">
        <f>IF(ISERROR(K120/I120),"",K120/I120)</f>
        <v>0</v>
      </c>
      <c r="O120" s="105">
        <f>I120/E120</f>
        <v>605.26315789473688</v>
      </c>
      <c r="P120" s="105">
        <f>K120/E120</f>
        <v>0</v>
      </c>
      <c r="Q120" s="77">
        <v>3</v>
      </c>
      <c r="R120" s="77">
        <v>2</v>
      </c>
      <c r="S120" s="77" t="s">
        <v>1244</v>
      </c>
      <c r="T120" s="5">
        <v>124</v>
      </c>
      <c r="U120" s="9"/>
      <c r="W120" s="104">
        <f t="shared" si="99"/>
        <v>124.6</v>
      </c>
      <c r="X120" s="106">
        <f t="shared" si="99"/>
        <v>38</v>
      </c>
      <c r="Y120" s="102">
        <f t="shared" si="100"/>
        <v>78</v>
      </c>
      <c r="Z120" s="109">
        <f t="shared" si="100"/>
        <v>23000</v>
      </c>
      <c r="AA120" s="109">
        <f>K120</f>
        <v>0</v>
      </c>
      <c r="AB120" s="109">
        <f t="shared" si="101"/>
        <v>23000</v>
      </c>
      <c r="AC120" s="4">
        <f t="shared" si="101"/>
        <v>0</v>
      </c>
      <c r="AD120" s="105">
        <f t="shared" si="101"/>
        <v>605.26315789473688</v>
      </c>
      <c r="AE120" s="77" t="str">
        <f>S120</f>
        <v>계</v>
      </c>
      <c r="AF120" s="77" t="str">
        <f>Q120&amp;"/"&amp;R120</f>
        <v>3/2</v>
      </c>
      <c r="AH120" s="20" t="str">
        <f t="shared" si="89"/>
        <v>현대4차</v>
      </c>
      <c r="AI120" s="106">
        <f t="shared" si="88"/>
        <v>38</v>
      </c>
      <c r="AJ120" s="77" t="str">
        <f>IF(AI120="","",$AJ$2)</f>
        <v>A-</v>
      </c>
      <c r="AK120" s="77" t="s">
        <v>13</v>
      </c>
      <c r="AL120" s="77" t="s">
        <v>1242</v>
      </c>
      <c r="AM120" s="77" t="s">
        <v>1243</v>
      </c>
      <c r="AN120" s="77" t="str">
        <f>IF(AI120="","",$AN$2)</f>
        <v>C</v>
      </c>
      <c r="AO120" s="77" t="str">
        <f>IF(N120="","",IF(N120&gt;=$AO$1/100,"O","X"))</f>
        <v>X</v>
      </c>
      <c r="AP120" s="77" t="str">
        <f>IF(I120="","",IF(I120&lt;=$AP$1,"O","X"))</f>
        <v>O</v>
      </c>
      <c r="AQ120" s="77" t="str">
        <f>IF(O120="","",IF(O120&lt;=$AQ$1,"O","X"))</f>
        <v>O</v>
      </c>
      <c r="AR120" s="77" t="str">
        <f>IF(M120="","",IF(M120&lt;=$AR$1,"O","X"))</f>
        <v>X</v>
      </c>
      <c r="AS120" s="77" t="s">
        <v>2</v>
      </c>
      <c r="AT120" s="77" t="str">
        <f>IF(OR(F120="",AI120=""),"",IF(AND((F120&lt;=85),(AI120&gt;=15)),"O","X"))</f>
        <v>X</v>
      </c>
      <c r="AU120" s="77" t="str">
        <f>IF(C120="","",IF(C120&gt;=$AU$1,"O","X"))</f>
        <v>O</v>
      </c>
      <c r="AV120" s="77" t="str">
        <f>IF(AO120="","",IF(AND(AO120="O",AP120="O",AR120="O",AT120="O",AU120="O"),"후보","X"))</f>
        <v>X</v>
      </c>
    </row>
    <row r="121" spans="1:48" x14ac:dyDescent="0.3">
      <c r="A121" s="9" t="s">
        <v>485</v>
      </c>
      <c r="B121" s="10" t="s">
        <v>1252</v>
      </c>
      <c r="C121" s="107">
        <v>636</v>
      </c>
      <c r="D121" s="104">
        <v>147.30000000000001</v>
      </c>
      <c r="E121" s="106">
        <v>45</v>
      </c>
      <c r="F121" s="104">
        <v>118.2</v>
      </c>
      <c r="G121" s="17">
        <v>36</v>
      </c>
      <c r="H121" s="107">
        <v>40</v>
      </c>
      <c r="I121" s="108"/>
      <c r="J121" s="108"/>
      <c r="K121" s="108"/>
      <c r="L121" s="108"/>
      <c r="M121" s="109">
        <f>I121-K121</f>
        <v>0</v>
      </c>
      <c r="N121" s="4" t="str">
        <f>IF(ISERROR(K121/I121),"",K121/I121)</f>
        <v/>
      </c>
      <c r="O121" s="105">
        <f>I121/E121</f>
        <v>0</v>
      </c>
      <c r="P121" s="105">
        <f>K121/E121</f>
        <v>0</v>
      </c>
      <c r="Q121" s="77">
        <v>4</v>
      </c>
      <c r="R121" s="77">
        <v>2</v>
      </c>
      <c r="S121" s="77" t="s">
        <v>1244</v>
      </c>
      <c r="T121" s="5">
        <v>147</v>
      </c>
      <c r="U121" s="9"/>
      <c r="W121" s="104">
        <f t="shared" si="99"/>
        <v>147.30000000000001</v>
      </c>
      <c r="X121" s="106">
        <f t="shared" si="99"/>
        <v>45</v>
      </c>
      <c r="Y121" s="102">
        <f t="shared" si="100"/>
        <v>40</v>
      </c>
      <c r="Z121" s="109">
        <f t="shared" si="100"/>
        <v>0</v>
      </c>
      <c r="AA121" s="109">
        <f>K121</f>
        <v>0</v>
      </c>
      <c r="AB121" s="109">
        <f t="shared" si="101"/>
        <v>0</v>
      </c>
      <c r="AC121" s="4" t="str">
        <f t="shared" si="101"/>
        <v/>
      </c>
      <c r="AD121" s="105">
        <f t="shared" si="101"/>
        <v>0</v>
      </c>
      <c r="AE121" s="77" t="str">
        <f>S121</f>
        <v>계</v>
      </c>
      <c r="AF121" s="77" t="str">
        <f>Q121&amp;"/"&amp;R121</f>
        <v>4/2</v>
      </c>
      <c r="AH121" s="20" t="str">
        <f t="shared" si="89"/>
        <v>현대4차</v>
      </c>
      <c r="AI121" s="106">
        <f t="shared" si="88"/>
        <v>45</v>
      </c>
      <c r="AJ121" s="77" t="str">
        <f>IF(AI121="","",$AJ$2)</f>
        <v>A-</v>
      </c>
      <c r="AK121" s="77" t="s">
        <v>13</v>
      </c>
      <c r="AL121" s="77" t="s">
        <v>1242</v>
      </c>
      <c r="AM121" s="77" t="s">
        <v>1243</v>
      </c>
      <c r="AN121" s="77" t="str">
        <f>IF(AI121="","",$AN$2)</f>
        <v>C</v>
      </c>
      <c r="AO121" s="77" t="str">
        <f>IF(N121="","",IF(N121&gt;=$AO$1/100,"O","X"))</f>
        <v/>
      </c>
      <c r="AP121" s="77" t="str">
        <f>IF(I121="","",IF(I121&lt;=$AP$1,"O","X"))</f>
        <v/>
      </c>
      <c r="AQ121" s="77" t="str">
        <f>IF(O121="","",IF(O121&lt;=$AQ$1,"O","X"))</f>
        <v>O</v>
      </c>
      <c r="AR121" s="77" t="str">
        <f>IF(M121="","",IF(M121&lt;=$AR$1,"O","X"))</f>
        <v>O</v>
      </c>
      <c r="AS121" s="77" t="s">
        <v>2</v>
      </c>
      <c r="AT121" s="77" t="str">
        <f>IF(OR(F121="",AI121=""),"",IF(AND((F121&lt;=85),(AI121&gt;=15)),"O","X"))</f>
        <v>X</v>
      </c>
      <c r="AU121" s="77" t="str">
        <f>IF(C121="","",IF(C121&gt;=$AU$1,"O","X"))</f>
        <v>O</v>
      </c>
      <c r="AV121" s="77" t="str">
        <f>IF(AO121="","",IF(AND(AO121="O",AP121="O",AR121="O",AT121="O",AU121="O"),"후보","X"))</f>
        <v/>
      </c>
    </row>
    <row r="122" spans="1:48" x14ac:dyDescent="0.3">
      <c r="A122" s="9"/>
      <c r="B122" s="77"/>
      <c r="C122" s="6"/>
      <c r="D122" s="9"/>
      <c r="E122" s="14"/>
      <c r="F122" s="104"/>
      <c r="G122" s="9"/>
      <c r="H122" s="9"/>
      <c r="I122" s="9"/>
      <c r="J122" s="9"/>
      <c r="K122" s="9"/>
      <c r="L122" s="9"/>
      <c r="M122" s="9"/>
      <c r="N122" s="9"/>
      <c r="O122" s="105"/>
      <c r="P122" s="105"/>
      <c r="Q122" s="106"/>
      <c r="R122" s="106"/>
      <c r="S122" s="9"/>
      <c r="T122" s="47"/>
      <c r="U122" s="9"/>
      <c r="W122" s="67" t="str">
        <f>$A$4&amp;" "&amp;A123&amp;"("&amp;B123&amp;","&amp;C123&amp;"^)"</f>
        <v>나운동 삼성(401)('98.05.,670^)</v>
      </c>
      <c r="X122" s="68"/>
      <c r="Y122" s="68"/>
      <c r="Z122" s="68"/>
      <c r="AA122" s="68"/>
      <c r="AB122" s="68"/>
      <c r="AC122" s="68"/>
      <c r="AD122" s="68"/>
      <c r="AE122" s="68"/>
      <c r="AF122" s="69"/>
      <c r="AH122" s="20" t="str">
        <f t="shared" si="89"/>
        <v/>
      </c>
      <c r="AI122" s="103" t="str">
        <f t="shared" si="88"/>
        <v/>
      </c>
      <c r="AJ122" s="77"/>
      <c r="AK122" s="77"/>
      <c r="AL122" s="77"/>
      <c r="AM122" s="77"/>
      <c r="AN122" s="77"/>
      <c r="AO122" s="77"/>
      <c r="AP122" s="77"/>
      <c r="AQ122" s="77"/>
      <c r="AR122" s="77"/>
      <c r="AS122" s="77"/>
      <c r="AT122" s="77"/>
      <c r="AU122" s="77"/>
      <c r="AV122" s="77"/>
    </row>
    <row r="123" spans="1:48" x14ac:dyDescent="0.3">
      <c r="A123" s="9" t="s">
        <v>489</v>
      </c>
      <c r="B123" s="10" t="s">
        <v>1286</v>
      </c>
      <c r="C123" s="107">
        <v>670</v>
      </c>
      <c r="D123" s="104">
        <v>95.5</v>
      </c>
      <c r="E123" s="106">
        <v>29</v>
      </c>
      <c r="F123" s="104">
        <v>73.900000000000006</v>
      </c>
      <c r="G123" s="17">
        <v>22</v>
      </c>
      <c r="H123" s="107">
        <v>128</v>
      </c>
      <c r="I123" s="108"/>
      <c r="J123" s="108"/>
      <c r="K123" s="108"/>
      <c r="L123" s="108"/>
      <c r="M123" s="109">
        <f>I123-K123</f>
        <v>0</v>
      </c>
      <c r="N123" s="4" t="str">
        <f>IF(ISERROR(K123/I123),"",K123/I123)</f>
        <v/>
      </c>
      <c r="O123" s="105">
        <f>I123/E123</f>
        <v>0</v>
      </c>
      <c r="P123" s="105">
        <f>K123/E123</f>
        <v>0</v>
      </c>
      <c r="Q123" s="77">
        <v>3</v>
      </c>
      <c r="R123" s="77">
        <v>1</v>
      </c>
      <c r="S123" s="77" t="s">
        <v>1244</v>
      </c>
      <c r="T123" s="5">
        <v>95</v>
      </c>
      <c r="U123" s="9"/>
      <c r="W123" s="104">
        <f t="shared" ref="W123:X126" si="102">D123</f>
        <v>95.5</v>
      </c>
      <c r="X123" s="106">
        <f t="shared" si="102"/>
        <v>29</v>
      </c>
      <c r="Y123" s="102">
        <f t="shared" ref="Y123:Z126" si="103">H123</f>
        <v>128</v>
      </c>
      <c r="Z123" s="109">
        <f t="shared" si="103"/>
        <v>0</v>
      </c>
      <c r="AA123" s="109">
        <f>K123</f>
        <v>0</v>
      </c>
      <c r="AB123" s="109">
        <f t="shared" ref="AB123:AD126" si="104">M123</f>
        <v>0</v>
      </c>
      <c r="AC123" s="4" t="str">
        <f t="shared" si="104"/>
        <v/>
      </c>
      <c r="AD123" s="105">
        <f t="shared" si="104"/>
        <v>0</v>
      </c>
      <c r="AE123" s="77" t="str">
        <f>S123</f>
        <v>계</v>
      </c>
      <c r="AF123" s="77" t="str">
        <f>Q123&amp;"/"&amp;R123</f>
        <v>3/1</v>
      </c>
      <c r="AH123" s="20" t="str">
        <f t="shared" si="89"/>
        <v>삼성(401)</v>
      </c>
      <c r="AI123" s="106">
        <f t="shared" si="88"/>
        <v>29</v>
      </c>
      <c r="AJ123" s="77" t="str">
        <f>IF(AI123="","",$AJ$2)</f>
        <v>A-</v>
      </c>
      <c r="AK123" s="77" t="s">
        <v>13</v>
      </c>
      <c r="AL123" s="77" t="s">
        <v>1242</v>
      </c>
      <c r="AM123" s="77" t="s">
        <v>1243</v>
      </c>
      <c r="AN123" s="77" t="str">
        <f>IF(AI123="","",$AN$2)</f>
        <v>C</v>
      </c>
      <c r="AO123" s="77" t="str">
        <f>IF(N123="","",IF(N123&gt;=$AO$1/100,"O","X"))</f>
        <v/>
      </c>
      <c r="AP123" s="77" t="str">
        <f>IF(I123="","",IF(I123&lt;=$AP$1,"O","X"))</f>
        <v/>
      </c>
      <c r="AQ123" s="77" t="str">
        <f>IF(O123="","",IF(O123&lt;=$AQ$1,"O","X"))</f>
        <v>O</v>
      </c>
      <c r="AR123" s="77" t="str">
        <f>IF(M123="","",IF(M123&lt;=$AR$1,"O","X"))</f>
        <v>O</v>
      </c>
      <c r="AS123" s="77" t="s">
        <v>2</v>
      </c>
      <c r="AT123" s="77" t="str">
        <f>IF(OR(F123="",AI123=""),"",IF(AND((F123&lt;=85),(AI123&gt;=15)),"O","X"))</f>
        <v>O</v>
      </c>
      <c r="AU123" s="77" t="str">
        <f>IF(C123="","",IF(C123&gt;=$AU$1,"O","X"))</f>
        <v>O</v>
      </c>
      <c r="AV123" s="77" t="str">
        <f>IF(AO123="","",IF(AND(AO123="O",AP123="O",AR123="O",AT123="O",AU123="O"),"후보","X"))</f>
        <v/>
      </c>
    </row>
    <row r="124" spans="1:48" x14ac:dyDescent="0.3">
      <c r="A124" s="9" t="s">
        <v>489</v>
      </c>
      <c r="B124" s="10" t="s">
        <v>1286</v>
      </c>
      <c r="C124" s="107">
        <v>670</v>
      </c>
      <c r="D124" s="104">
        <v>107.4</v>
      </c>
      <c r="E124" s="106">
        <v>32</v>
      </c>
      <c r="F124" s="104">
        <v>85</v>
      </c>
      <c r="G124" s="17">
        <v>26</v>
      </c>
      <c r="H124" s="107">
        <v>422</v>
      </c>
      <c r="I124" s="108">
        <v>17200</v>
      </c>
      <c r="J124" s="108" t="s">
        <v>1287</v>
      </c>
      <c r="K124" s="108"/>
      <c r="L124" s="108"/>
      <c r="M124" s="109">
        <f>I124-K124</f>
        <v>17200</v>
      </c>
      <c r="N124" s="4">
        <f>IF(ISERROR(K124/I124),"",K124/I124)</f>
        <v>0</v>
      </c>
      <c r="O124" s="105">
        <f>I124/E124</f>
        <v>537.5</v>
      </c>
      <c r="P124" s="105">
        <f>K124/E124</f>
        <v>0</v>
      </c>
      <c r="Q124" s="77">
        <v>3</v>
      </c>
      <c r="R124" s="77">
        <v>2</v>
      </c>
      <c r="S124" s="77" t="s">
        <v>1244</v>
      </c>
      <c r="T124" s="5">
        <v>107</v>
      </c>
      <c r="U124" s="9"/>
      <c r="W124" s="104">
        <f t="shared" si="102"/>
        <v>107.4</v>
      </c>
      <c r="X124" s="106">
        <f t="shared" si="102"/>
        <v>32</v>
      </c>
      <c r="Y124" s="102">
        <f t="shared" si="103"/>
        <v>422</v>
      </c>
      <c r="Z124" s="109">
        <f t="shared" si="103"/>
        <v>17200</v>
      </c>
      <c r="AA124" s="109">
        <f>K124</f>
        <v>0</v>
      </c>
      <c r="AB124" s="109">
        <f t="shared" si="104"/>
        <v>17200</v>
      </c>
      <c r="AC124" s="4">
        <f t="shared" si="104"/>
        <v>0</v>
      </c>
      <c r="AD124" s="105">
        <f t="shared" si="104"/>
        <v>537.5</v>
      </c>
      <c r="AE124" s="77" t="str">
        <f>S124</f>
        <v>계</v>
      </c>
      <c r="AF124" s="77" t="str">
        <f>Q124&amp;"/"&amp;R124</f>
        <v>3/2</v>
      </c>
      <c r="AH124" s="20" t="str">
        <f t="shared" si="89"/>
        <v>삼성(401)</v>
      </c>
      <c r="AI124" s="106">
        <f t="shared" si="88"/>
        <v>32</v>
      </c>
      <c r="AJ124" s="77" t="str">
        <f>IF(AI124="","",$AJ$2)</f>
        <v>A-</v>
      </c>
      <c r="AK124" s="77" t="s">
        <v>13</v>
      </c>
      <c r="AL124" s="77" t="s">
        <v>1242</v>
      </c>
      <c r="AM124" s="77" t="s">
        <v>1243</v>
      </c>
      <c r="AN124" s="77" t="str">
        <f>IF(AI124="","",$AN$2)</f>
        <v>C</v>
      </c>
      <c r="AO124" s="77" t="str">
        <f>IF(N124="","",IF(N124&gt;=$AO$1/100,"O","X"))</f>
        <v>X</v>
      </c>
      <c r="AP124" s="77" t="str">
        <f>IF(I124="","",IF(I124&lt;=$AP$1,"O","X"))</f>
        <v>O</v>
      </c>
      <c r="AQ124" s="77" t="str">
        <f>IF(O124="","",IF(O124&lt;=$AQ$1,"O","X"))</f>
        <v>O</v>
      </c>
      <c r="AR124" s="77" t="str">
        <f>IF(M124="","",IF(M124&lt;=$AR$1,"O","X"))</f>
        <v>X</v>
      </c>
      <c r="AS124" s="77" t="s">
        <v>2</v>
      </c>
      <c r="AT124" s="77" t="str">
        <f>IF(OR(F124="",AI124=""),"",IF(AND((F124&lt;=85),(AI124&gt;=15)),"O","X"))</f>
        <v>O</v>
      </c>
      <c r="AU124" s="77" t="str">
        <f>IF(C124="","",IF(C124&gt;=$AU$1,"O","X"))</f>
        <v>O</v>
      </c>
      <c r="AV124" s="77" t="str">
        <f>IF(AO124="","",IF(AND(AO124="O",AP124="O",AR124="O",AT124="O",AU124="O"),"후보","X"))</f>
        <v>X</v>
      </c>
    </row>
    <row r="125" spans="1:48" x14ac:dyDescent="0.3">
      <c r="A125" s="9" t="s">
        <v>489</v>
      </c>
      <c r="B125" s="10" t="s">
        <v>1286</v>
      </c>
      <c r="C125" s="107">
        <v>670</v>
      </c>
      <c r="D125" s="104">
        <v>139.69999999999999</v>
      </c>
      <c r="E125" s="106">
        <v>42</v>
      </c>
      <c r="F125" s="104">
        <v>115</v>
      </c>
      <c r="G125" s="17">
        <v>35</v>
      </c>
      <c r="H125" s="107">
        <v>40</v>
      </c>
      <c r="I125" s="108"/>
      <c r="J125" s="108"/>
      <c r="K125" s="108"/>
      <c r="L125" s="108"/>
      <c r="M125" s="109">
        <f>I125-K125</f>
        <v>0</v>
      </c>
      <c r="N125" s="4" t="str">
        <f>IF(ISERROR(K125/I125),"",K125/I125)</f>
        <v/>
      </c>
      <c r="O125" s="105">
        <f>I125/E125</f>
        <v>0</v>
      </c>
      <c r="P125" s="105">
        <f>K125/E125</f>
        <v>0</v>
      </c>
      <c r="Q125" s="77">
        <v>4</v>
      </c>
      <c r="R125" s="77">
        <v>2</v>
      </c>
      <c r="S125" s="77" t="s">
        <v>1244</v>
      </c>
      <c r="T125" s="5">
        <v>139</v>
      </c>
      <c r="U125" s="9"/>
      <c r="W125" s="104">
        <f t="shared" si="102"/>
        <v>139.69999999999999</v>
      </c>
      <c r="X125" s="106">
        <f t="shared" si="102"/>
        <v>42</v>
      </c>
      <c r="Y125" s="102">
        <f t="shared" si="103"/>
        <v>40</v>
      </c>
      <c r="Z125" s="109">
        <f t="shared" si="103"/>
        <v>0</v>
      </c>
      <c r="AA125" s="109">
        <f>K125</f>
        <v>0</v>
      </c>
      <c r="AB125" s="109">
        <f t="shared" si="104"/>
        <v>0</v>
      </c>
      <c r="AC125" s="4" t="str">
        <f t="shared" si="104"/>
        <v/>
      </c>
      <c r="AD125" s="105">
        <f t="shared" si="104"/>
        <v>0</v>
      </c>
      <c r="AE125" s="77" t="str">
        <f>S125</f>
        <v>계</v>
      </c>
      <c r="AF125" s="77" t="str">
        <f>Q125&amp;"/"&amp;R125</f>
        <v>4/2</v>
      </c>
      <c r="AH125" s="20" t="str">
        <f t="shared" si="89"/>
        <v>삼성(401)</v>
      </c>
      <c r="AI125" s="106">
        <f t="shared" si="88"/>
        <v>42</v>
      </c>
      <c r="AJ125" s="77" t="str">
        <f>IF(AI125="","",$AJ$2)</f>
        <v>A-</v>
      </c>
      <c r="AK125" s="77" t="s">
        <v>13</v>
      </c>
      <c r="AL125" s="77" t="s">
        <v>1242</v>
      </c>
      <c r="AM125" s="77" t="s">
        <v>1243</v>
      </c>
      <c r="AN125" s="77" t="str">
        <f>IF(AI125="","",$AN$2)</f>
        <v>C</v>
      </c>
      <c r="AO125" s="77" t="str">
        <f>IF(N125="","",IF(N125&gt;=$AO$1/100,"O","X"))</f>
        <v/>
      </c>
      <c r="AP125" s="77" t="str">
        <f>IF(I125="","",IF(I125&lt;=$AP$1,"O","X"))</f>
        <v/>
      </c>
      <c r="AQ125" s="77" t="str">
        <f>IF(O125="","",IF(O125&lt;=$AQ$1,"O","X"))</f>
        <v>O</v>
      </c>
      <c r="AR125" s="77" t="str">
        <f>IF(M125="","",IF(M125&lt;=$AR$1,"O","X"))</f>
        <v>O</v>
      </c>
      <c r="AS125" s="77" t="s">
        <v>2</v>
      </c>
      <c r="AT125" s="77" t="str">
        <f>IF(OR(F125="",AI125=""),"",IF(AND((F125&lt;=85),(AI125&gt;=15)),"O","X"))</f>
        <v>X</v>
      </c>
      <c r="AU125" s="77" t="str">
        <f>IF(C125="","",IF(C125&gt;=$AU$1,"O","X"))</f>
        <v>O</v>
      </c>
      <c r="AV125" s="77" t="str">
        <f>IF(AO125="","",IF(AND(AO125="O",AP125="O",AR125="O",AT125="O",AU125="O"),"후보","X"))</f>
        <v/>
      </c>
    </row>
    <row r="126" spans="1:48" x14ac:dyDescent="0.3">
      <c r="A126" s="9" t="s">
        <v>489</v>
      </c>
      <c r="B126" s="10" t="s">
        <v>1286</v>
      </c>
      <c r="C126" s="107">
        <v>670</v>
      </c>
      <c r="D126" s="104">
        <v>161.19999999999999</v>
      </c>
      <c r="E126" s="106">
        <v>49</v>
      </c>
      <c r="F126" s="104">
        <v>135</v>
      </c>
      <c r="G126" s="17">
        <v>41</v>
      </c>
      <c r="H126" s="107">
        <v>80</v>
      </c>
      <c r="I126" s="108"/>
      <c r="J126" s="108"/>
      <c r="K126" s="108"/>
      <c r="L126" s="108"/>
      <c r="M126" s="109">
        <f>I126-K126</f>
        <v>0</v>
      </c>
      <c r="N126" s="4" t="str">
        <f>IF(ISERROR(K126/I126),"",K126/I126)</f>
        <v/>
      </c>
      <c r="O126" s="105">
        <f>I126/E126</f>
        <v>0</v>
      </c>
      <c r="P126" s="105">
        <f>K126/E126</f>
        <v>0</v>
      </c>
      <c r="Q126" s="77">
        <v>4</v>
      </c>
      <c r="R126" s="77">
        <v>2</v>
      </c>
      <c r="S126" s="77" t="s">
        <v>1244</v>
      </c>
      <c r="T126" s="5">
        <v>161</v>
      </c>
      <c r="U126" s="9"/>
      <c r="W126" s="104">
        <f t="shared" si="102"/>
        <v>161.19999999999999</v>
      </c>
      <c r="X126" s="106">
        <f t="shared" si="102"/>
        <v>49</v>
      </c>
      <c r="Y126" s="102">
        <f t="shared" si="103"/>
        <v>80</v>
      </c>
      <c r="Z126" s="109">
        <f t="shared" si="103"/>
        <v>0</v>
      </c>
      <c r="AA126" s="109">
        <f>K126</f>
        <v>0</v>
      </c>
      <c r="AB126" s="109">
        <f t="shared" si="104"/>
        <v>0</v>
      </c>
      <c r="AC126" s="4" t="str">
        <f t="shared" si="104"/>
        <v/>
      </c>
      <c r="AD126" s="105">
        <f t="shared" si="104"/>
        <v>0</v>
      </c>
      <c r="AE126" s="77" t="str">
        <f>S126</f>
        <v>계</v>
      </c>
      <c r="AF126" s="77" t="str">
        <f>Q126&amp;"/"&amp;R126</f>
        <v>4/2</v>
      </c>
      <c r="AH126" s="20" t="str">
        <f t="shared" si="89"/>
        <v>삼성(401)</v>
      </c>
      <c r="AI126" s="106">
        <f t="shared" si="88"/>
        <v>49</v>
      </c>
      <c r="AJ126" s="77" t="str">
        <f>IF(AI126="","",$AJ$2)</f>
        <v>A-</v>
      </c>
      <c r="AK126" s="77" t="s">
        <v>13</v>
      </c>
      <c r="AL126" s="77" t="s">
        <v>1242</v>
      </c>
      <c r="AM126" s="77" t="s">
        <v>1243</v>
      </c>
      <c r="AN126" s="77" t="str">
        <f>IF(AI126="","",$AN$2)</f>
        <v>C</v>
      </c>
      <c r="AO126" s="77" t="str">
        <f>IF(N126="","",IF(N126&gt;=$AO$1/100,"O","X"))</f>
        <v/>
      </c>
      <c r="AP126" s="77" t="str">
        <f>IF(I126="","",IF(I126&lt;=$AP$1,"O","X"))</f>
        <v/>
      </c>
      <c r="AQ126" s="77" t="str">
        <f>IF(O126="","",IF(O126&lt;=$AQ$1,"O","X"))</f>
        <v>O</v>
      </c>
      <c r="AR126" s="77" t="str">
        <f>IF(M126="","",IF(M126&lt;=$AR$1,"O","X"))</f>
        <v>O</v>
      </c>
      <c r="AS126" s="77" t="s">
        <v>2</v>
      </c>
      <c r="AT126" s="77" t="str">
        <f>IF(OR(F126="",AI126=""),"",IF(AND((F126&lt;=85),(AI126&gt;=15)),"O","X"))</f>
        <v>X</v>
      </c>
      <c r="AU126" s="77" t="str">
        <f>IF(C126="","",IF(C126&gt;=$AU$1,"O","X"))</f>
        <v>O</v>
      </c>
      <c r="AV126" s="77" t="str">
        <f>IF(AO126="","",IF(AND(AO126="O",AP126="O",AR126="O",AT126="O",AU126="O"),"후보","X"))</f>
        <v/>
      </c>
    </row>
    <row r="127" spans="1:48" x14ac:dyDescent="0.3">
      <c r="A127" s="9"/>
      <c r="B127" s="77"/>
      <c r="C127" s="6"/>
      <c r="D127" s="9"/>
      <c r="E127" s="14"/>
      <c r="F127" s="104"/>
      <c r="G127" s="9"/>
      <c r="H127" s="9"/>
      <c r="I127" s="9"/>
      <c r="J127" s="9"/>
      <c r="K127" s="9"/>
      <c r="L127" s="9"/>
      <c r="M127" s="9"/>
      <c r="N127" s="9"/>
      <c r="O127" s="105"/>
      <c r="P127" s="105"/>
      <c r="Q127" s="106"/>
      <c r="R127" s="106"/>
      <c r="S127" s="9"/>
      <c r="T127" s="47"/>
      <c r="U127" s="9"/>
      <c r="W127" s="67" t="str">
        <f>$A$4&amp;" "&amp;A128&amp;"("&amp;B128&amp;","&amp;C128&amp;"^)"</f>
        <v>나운동 롯데3차('94.06.,572^)</v>
      </c>
      <c r="X127" s="68"/>
      <c r="Y127" s="68"/>
      <c r="Z127" s="68"/>
      <c r="AA127" s="68"/>
      <c r="AB127" s="68"/>
      <c r="AC127" s="68"/>
      <c r="AD127" s="68"/>
      <c r="AE127" s="68"/>
      <c r="AF127" s="69"/>
      <c r="AH127" s="20" t="str">
        <f t="shared" si="89"/>
        <v/>
      </c>
      <c r="AI127" s="103" t="str">
        <f t="shared" si="88"/>
        <v/>
      </c>
      <c r="AJ127" s="77"/>
      <c r="AK127" s="77"/>
      <c r="AL127" s="77"/>
      <c r="AM127" s="77"/>
      <c r="AN127" s="77"/>
      <c r="AO127" s="77"/>
      <c r="AP127" s="77"/>
      <c r="AQ127" s="77"/>
      <c r="AR127" s="77"/>
      <c r="AS127" s="77"/>
      <c r="AT127" s="77"/>
      <c r="AU127" s="77"/>
      <c r="AV127" s="77"/>
    </row>
    <row r="128" spans="1:48" x14ac:dyDescent="0.3">
      <c r="A128" s="9" t="s">
        <v>499</v>
      </c>
      <c r="B128" s="10" t="s">
        <v>1288</v>
      </c>
      <c r="C128" s="107">
        <v>572</v>
      </c>
      <c r="D128" s="104">
        <v>90.6</v>
      </c>
      <c r="E128" s="106">
        <v>27</v>
      </c>
      <c r="F128" s="104">
        <v>74</v>
      </c>
      <c r="G128" s="17">
        <v>22</v>
      </c>
      <c r="H128" s="107">
        <v>234</v>
      </c>
      <c r="I128" s="108"/>
      <c r="J128" s="108"/>
      <c r="K128" s="108"/>
      <c r="L128" s="108"/>
      <c r="M128" s="109">
        <f>I128-K128</f>
        <v>0</v>
      </c>
      <c r="N128" s="4" t="str">
        <f>IF(ISERROR(K128/I128),"",K128/I128)</f>
        <v/>
      </c>
      <c r="O128" s="105">
        <f>I128/E128</f>
        <v>0</v>
      </c>
      <c r="P128" s="105">
        <f>K128/E128</f>
        <v>0</v>
      </c>
      <c r="Q128" s="77">
        <v>3</v>
      </c>
      <c r="R128" s="77">
        <v>1</v>
      </c>
      <c r="S128" s="77" t="s">
        <v>1244</v>
      </c>
      <c r="T128" s="5">
        <v>90</v>
      </c>
      <c r="U128" s="9"/>
      <c r="W128" s="104">
        <f t="shared" ref="W128:X130" si="105">D128</f>
        <v>90.6</v>
      </c>
      <c r="X128" s="106">
        <f t="shared" si="105"/>
        <v>27</v>
      </c>
      <c r="Y128" s="102">
        <f t="shared" ref="Y128:Z130" si="106">H128</f>
        <v>234</v>
      </c>
      <c r="Z128" s="109">
        <f t="shared" si="106"/>
        <v>0</v>
      </c>
      <c r="AA128" s="109">
        <f>K128</f>
        <v>0</v>
      </c>
      <c r="AB128" s="109">
        <f t="shared" ref="AB128:AD130" si="107">M128</f>
        <v>0</v>
      </c>
      <c r="AC128" s="4" t="str">
        <f t="shared" si="107"/>
        <v/>
      </c>
      <c r="AD128" s="105">
        <f t="shared" si="107"/>
        <v>0</v>
      </c>
      <c r="AE128" s="77" t="str">
        <f>S128</f>
        <v>계</v>
      </c>
      <c r="AF128" s="77" t="str">
        <f>Q128&amp;"/"&amp;R128</f>
        <v>3/1</v>
      </c>
      <c r="AH128" s="20" t="str">
        <f t="shared" si="89"/>
        <v>롯데3차</v>
      </c>
      <c r="AI128" s="106">
        <f t="shared" si="88"/>
        <v>27</v>
      </c>
      <c r="AJ128" s="77" t="str">
        <f>IF(AI128="","",$AJ$2)</f>
        <v>A-</v>
      </c>
      <c r="AK128" s="77" t="s">
        <v>13</v>
      </c>
      <c r="AL128" s="77" t="s">
        <v>1242</v>
      </c>
      <c r="AM128" s="77" t="s">
        <v>1243</v>
      </c>
      <c r="AN128" s="77" t="str">
        <f>IF(AI128="","",$AN$2)</f>
        <v>C</v>
      </c>
      <c r="AO128" s="77" t="str">
        <f>IF(N128="","",IF(N128&gt;=$AO$1/100,"O","X"))</f>
        <v/>
      </c>
      <c r="AP128" s="77" t="str">
        <f>IF(I128="","",IF(I128&lt;=$AP$1,"O","X"))</f>
        <v/>
      </c>
      <c r="AQ128" s="77" t="str">
        <f>IF(O128="","",IF(O128&lt;=$AQ$1,"O","X"))</f>
        <v>O</v>
      </c>
      <c r="AR128" s="77" t="str">
        <f>IF(M128="","",IF(M128&lt;=$AR$1,"O","X"))</f>
        <v>O</v>
      </c>
      <c r="AS128" s="77" t="s">
        <v>2</v>
      </c>
      <c r="AT128" s="77" t="str">
        <f>IF(OR(F128="",AI128=""),"",IF(AND((F128&lt;=85),(AI128&gt;=15)),"O","X"))</f>
        <v>O</v>
      </c>
      <c r="AU128" s="77" t="str">
        <f>IF(C128="","",IF(C128&gt;=$AU$1,"O","X"))</f>
        <v>O</v>
      </c>
      <c r="AV128" s="77" t="str">
        <f>IF(AO128="","",IF(AND(AO128="O",AP128="O",AR128="O",AT128="O",AU128="O"),"후보","X"))</f>
        <v/>
      </c>
    </row>
    <row r="129" spans="1:48" x14ac:dyDescent="0.3">
      <c r="A129" s="9" t="s">
        <v>499</v>
      </c>
      <c r="B129" s="10" t="s">
        <v>1288</v>
      </c>
      <c r="C129" s="107">
        <v>572</v>
      </c>
      <c r="D129" s="104">
        <v>104.5</v>
      </c>
      <c r="E129" s="106">
        <v>32</v>
      </c>
      <c r="F129" s="104">
        <v>84.8</v>
      </c>
      <c r="G129" s="17">
        <v>26</v>
      </c>
      <c r="H129" s="107">
        <v>286</v>
      </c>
      <c r="I129" s="108">
        <v>15500</v>
      </c>
      <c r="J129" s="108" t="s">
        <v>1280</v>
      </c>
      <c r="K129" s="108"/>
      <c r="L129" s="108"/>
      <c r="M129" s="109">
        <f>I129-K129</f>
        <v>15500</v>
      </c>
      <c r="N129" s="4">
        <f>IF(ISERROR(K129/I129),"",K129/I129)</f>
        <v>0</v>
      </c>
      <c r="O129" s="105">
        <f>I129/E129</f>
        <v>484.375</v>
      </c>
      <c r="P129" s="105">
        <f>K129/E129</f>
        <v>0</v>
      </c>
      <c r="Q129" s="77">
        <v>3</v>
      </c>
      <c r="R129" s="77">
        <v>2</v>
      </c>
      <c r="S129" s="77" t="s">
        <v>1244</v>
      </c>
      <c r="T129" s="5">
        <v>104</v>
      </c>
      <c r="U129" s="9"/>
      <c r="W129" s="104">
        <f t="shared" si="105"/>
        <v>104.5</v>
      </c>
      <c r="X129" s="106">
        <f t="shared" si="105"/>
        <v>32</v>
      </c>
      <c r="Y129" s="102">
        <f t="shared" si="106"/>
        <v>286</v>
      </c>
      <c r="Z129" s="109">
        <f t="shared" si="106"/>
        <v>15500</v>
      </c>
      <c r="AA129" s="109">
        <f>K129</f>
        <v>0</v>
      </c>
      <c r="AB129" s="109">
        <f t="shared" si="107"/>
        <v>15500</v>
      </c>
      <c r="AC129" s="4">
        <f t="shared" si="107"/>
        <v>0</v>
      </c>
      <c r="AD129" s="105">
        <f t="shared" si="107"/>
        <v>484.375</v>
      </c>
      <c r="AE129" s="77" t="str">
        <f>S129</f>
        <v>계</v>
      </c>
      <c r="AF129" s="77" t="str">
        <f>Q129&amp;"/"&amp;R129</f>
        <v>3/2</v>
      </c>
      <c r="AH129" s="20" t="str">
        <f t="shared" si="89"/>
        <v>롯데3차</v>
      </c>
      <c r="AI129" s="106">
        <f t="shared" si="88"/>
        <v>32</v>
      </c>
      <c r="AJ129" s="77" t="str">
        <f>IF(AI129="","",$AJ$2)</f>
        <v>A-</v>
      </c>
      <c r="AK129" s="77" t="s">
        <v>13</v>
      </c>
      <c r="AL129" s="77" t="s">
        <v>1242</v>
      </c>
      <c r="AM129" s="77" t="s">
        <v>1243</v>
      </c>
      <c r="AN129" s="77" t="str">
        <f>IF(AI129="","",$AN$2)</f>
        <v>C</v>
      </c>
      <c r="AO129" s="77" t="str">
        <f>IF(N129="","",IF(N129&gt;=$AO$1/100,"O","X"))</f>
        <v>X</v>
      </c>
      <c r="AP129" s="77" t="str">
        <f>IF(I129="","",IF(I129&lt;=$AP$1,"O","X"))</f>
        <v>O</v>
      </c>
      <c r="AQ129" s="77" t="str">
        <f>IF(O129="","",IF(O129&lt;=$AQ$1,"O","X"))</f>
        <v>O</v>
      </c>
      <c r="AR129" s="77" t="str">
        <f>IF(M129="","",IF(M129&lt;=$AR$1,"O","X"))</f>
        <v>X</v>
      </c>
      <c r="AS129" s="77" t="s">
        <v>2</v>
      </c>
      <c r="AT129" s="77" t="str">
        <f>IF(OR(F129="",AI129=""),"",IF(AND((F129&lt;=85),(AI129&gt;=15)),"O","X"))</f>
        <v>O</v>
      </c>
      <c r="AU129" s="77" t="str">
        <f>IF(C129="","",IF(C129&gt;=$AU$1,"O","X"))</f>
        <v>O</v>
      </c>
      <c r="AV129" s="77" t="str">
        <f>IF(AO129="","",IF(AND(AO129="O",AP129="O",AR129="O",AT129="O",AU129="O"),"후보","X"))</f>
        <v>X</v>
      </c>
    </row>
    <row r="130" spans="1:48" x14ac:dyDescent="0.3">
      <c r="A130" s="9" t="s">
        <v>499</v>
      </c>
      <c r="B130" s="10" t="s">
        <v>1288</v>
      </c>
      <c r="C130" s="107">
        <v>572</v>
      </c>
      <c r="D130" s="104">
        <v>153.4</v>
      </c>
      <c r="E130" s="106">
        <v>46</v>
      </c>
      <c r="F130" s="104">
        <v>131.80000000000001</v>
      </c>
      <c r="G130" s="17">
        <v>40</v>
      </c>
      <c r="H130" s="107">
        <v>52</v>
      </c>
      <c r="I130" s="108">
        <v>22000</v>
      </c>
      <c r="J130" s="108" t="s">
        <v>1280</v>
      </c>
      <c r="K130" s="108"/>
      <c r="L130" s="108"/>
      <c r="M130" s="109">
        <f>I130-K130</f>
        <v>22000</v>
      </c>
      <c r="N130" s="4">
        <f>IF(ISERROR(K130/I130),"",K130/I130)</f>
        <v>0</v>
      </c>
      <c r="O130" s="105">
        <f>I130/E130</f>
        <v>478.26086956521738</v>
      </c>
      <c r="P130" s="105">
        <f>K130/E130</f>
        <v>0</v>
      </c>
      <c r="Q130" s="77">
        <v>4</v>
      </c>
      <c r="R130" s="77">
        <v>2</v>
      </c>
      <c r="S130" s="77" t="s">
        <v>1244</v>
      </c>
      <c r="T130" s="5">
        <v>153</v>
      </c>
      <c r="U130" s="9"/>
      <c r="W130" s="104">
        <f t="shared" si="105"/>
        <v>153.4</v>
      </c>
      <c r="X130" s="106">
        <f t="shared" si="105"/>
        <v>46</v>
      </c>
      <c r="Y130" s="102">
        <f t="shared" si="106"/>
        <v>52</v>
      </c>
      <c r="Z130" s="109">
        <f t="shared" si="106"/>
        <v>22000</v>
      </c>
      <c r="AA130" s="109">
        <f>K130</f>
        <v>0</v>
      </c>
      <c r="AB130" s="109">
        <f t="shared" si="107"/>
        <v>22000</v>
      </c>
      <c r="AC130" s="4">
        <f t="shared" si="107"/>
        <v>0</v>
      </c>
      <c r="AD130" s="105">
        <f t="shared" si="107"/>
        <v>478.26086956521738</v>
      </c>
      <c r="AE130" s="77" t="str">
        <f>S130</f>
        <v>계</v>
      </c>
      <c r="AF130" s="77" t="str">
        <f>Q130&amp;"/"&amp;R130</f>
        <v>4/2</v>
      </c>
      <c r="AH130" s="20" t="str">
        <f t="shared" si="89"/>
        <v>롯데3차</v>
      </c>
      <c r="AI130" s="106">
        <f t="shared" si="88"/>
        <v>46</v>
      </c>
      <c r="AJ130" s="77" t="str">
        <f>IF(AI130="","",$AJ$2)</f>
        <v>A-</v>
      </c>
      <c r="AK130" s="77" t="s">
        <v>13</v>
      </c>
      <c r="AL130" s="77" t="s">
        <v>1242</v>
      </c>
      <c r="AM130" s="77" t="s">
        <v>1243</v>
      </c>
      <c r="AN130" s="77" t="str">
        <f>IF(AI130="","",$AN$2)</f>
        <v>C</v>
      </c>
      <c r="AO130" s="77" t="str">
        <f>IF(N130="","",IF(N130&gt;=$AO$1/100,"O","X"))</f>
        <v>X</v>
      </c>
      <c r="AP130" s="77" t="str">
        <f>IF(I130="","",IF(I130&lt;=$AP$1,"O","X"))</f>
        <v>O</v>
      </c>
      <c r="AQ130" s="77" t="str">
        <f>IF(O130="","",IF(O130&lt;=$AQ$1,"O","X"))</f>
        <v>O</v>
      </c>
      <c r="AR130" s="77" t="str">
        <f>IF(M130="","",IF(M130&lt;=$AR$1,"O","X"))</f>
        <v>X</v>
      </c>
      <c r="AS130" s="77" t="s">
        <v>2</v>
      </c>
      <c r="AT130" s="77" t="str">
        <f>IF(OR(F130="",AI130=""),"",IF(AND((F130&lt;=85),(AI130&gt;=15)),"O","X"))</f>
        <v>X</v>
      </c>
      <c r="AU130" s="77" t="str">
        <f>IF(C130="","",IF(C130&gt;=$AU$1,"O","X"))</f>
        <v>O</v>
      </c>
      <c r="AV130" s="77" t="str">
        <f>IF(AO130="","",IF(AND(AO130="O",AP130="O",AR130="O",AT130="O",AU130="O"),"후보","X"))</f>
        <v>X</v>
      </c>
    </row>
    <row r="131" spans="1:48" x14ac:dyDescent="0.3">
      <c r="A131" s="9"/>
      <c r="B131" s="77"/>
      <c r="C131" s="6"/>
      <c r="D131" s="9"/>
      <c r="E131" s="14"/>
      <c r="F131" s="104"/>
      <c r="G131" s="9"/>
      <c r="H131" s="9"/>
      <c r="I131" s="9"/>
      <c r="J131" s="9"/>
      <c r="K131" s="9"/>
      <c r="L131" s="9"/>
      <c r="M131" s="9"/>
      <c r="N131" s="9"/>
      <c r="O131" s="105"/>
      <c r="P131" s="105"/>
      <c r="Q131" s="106"/>
      <c r="R131" s="106"/>
      <c r="S131" s="9"/>
      <c r="T131" s="47"/>
      <c r="U131" s="9"/>
      <c r="W131" s="67" t="str">
        <f>$A$4&amp;" "&amp;A132&amp;"("&amp;B132&amp;","&amp;C132&amp;"^)"</f>
        <v>나운동 우진('79.01.,390^)</v>
      </c>
      <c r="X131" s="68"/>
      <c r="Y131" s="68"/>
      <c r="Z131" s="68"/>
      <c r="AA131" s="68"/>
      <c r="AB131" s="68"/>
      <c r="AC131" s="68"/>
      <c r="AD131" s="68"/>
      <c r="AE131" s="68"/>
      <c r="AF131" s="69"/>
      <c r="AH131" s="20" t="str">
        <f t="shared" si="89"/>
        <v/>
      </c>
      <c r="AI131" s="103" t="str">
        <f t="shared" si="88"/>
        <v/>
      </c>
      <c r="AJ131" s="77"/>
      <c r="AK131" s="77"/>
      <c r="AL131" s="77"/>
      <c r="AM131" s="77"/>
      <c r="AN131" s="77"/>
      <c r="AO131" s="77"/>
      <c r="AP131" s="77"/>
      <c r="AQ131" s="77"/>
      <c r="AR131" s="77"/>
      <c r="AS131" s="77"/>
      <c r="AT131" s="77"/>
      <c r="AU131" s="77"/>
      <c r="AV131" s="77"/>
    </row>
    <row r="132" spans="1:48" x14ac:dyDescent="0.3">
      <c r="A132" s="9" t="s">
        <v>517</v>
      </c>
      <c r="B132" s="10" t="s">
        <v>1289</v>
      </c>
      <c r="C132" s="107">
        <v>390</v>
      </c>
      <c r="D132" s="104">
        <v>60.5</v>
      </c>
      <c r="E132" s="106">
        <v>18</v>
      </c>
      <c r="F132" s="104">
        <v>55.5</v>
      </c>
      <c r="G132" s="17">
        <v>17</v>
      </c>
      <c r="H132" s="107">
        <v>100</v>
      </c>
      <c r="I132" s="108"/>
      <c r="J132" s="108"/>
      <c r="K132" s="108"/>
      <c r="L132" s="108"/>
      <c r="M132" s="109">
        <f>I132-K132</f>
        <v>0</v>
      </c>
      <c r="N132" s="4" t="str">
        <f>IF(ISERROR(K132/I132),"",K132/I132)</f>
        <v/>
      </c>
      <c r="O132" s="105">
        <f>I132/E132</f>
        <v>0</v>
      </c>
      <c r="P132" s="105">
        <f>K132/E132</f>
        <v>0</v>
      </c>
      <c r="Q132" s="77">
        <v>3</v>
      </c>
      <c r="R132" s="77">
        <v>1</v>
      </c>
      <c r="S132" s="77" t="s">
        <v>1244</v>
      </c>
      <c r="T132" s="5">
        <v>60</v>
      </c>
      <c r="U132" s="9"/>
      <c r="W132" s="104">
        <f t="shared" ref="W132:X134" si="108">D132</f>
        <v>60.5</v>
      </c>
      <c r="X132" s="106">
        <f t="shared" si="108"/>
        <v>18</v>
      </c>
      <c r="Y132" s="102">
        <f t="shared" ref="Y132:Z134" si="109">H132</f>
        <v>100</v>
      </c>
      <c r="Z132" s="109">
        <f t="shared" si="109"/>
        <v>0</v>
      </c>
      <c r="AA132" s="109">
        <f>K132</f>
        <v>0</v>
      </c>
      <c r="AB132" s="109">
        <f t="shared" ref="AB132:AD134" si="110">M132</f>
        <v>0</v>
      </c>
      <c r="AC132" s="4" t="str">
        <f t="shared" si="110"/>
        <v/>
      </c>
      <c r="AD132" s="105">
        <f t="shared" si="110"/>
        <v>0</v>
      </c>
      <c r="AE132" s="77" t="str">
        <f>S132</f>
        <v>계</v>
      </c>
      <c r="AF132" s="77" t="str">
        <f>Q132&amp;"/"&amp;R132</f>
        <v>3/1</v>
      </c>
      <c r="AH132" s="20" t="str">
        <f t="shared" si="89"/>
        <v>우진</v>
      </c>
      <c r="AI132" s="106">
        <f t="shared" si="88"/>
        <v>18</v>
      </c>
      <c r="AJ132" s="77" t="str">
        <f>IF(AI132="","",$AJ$2)</f>
        <v>A-</v>
      </c>
      <c r="AK132" s="77" t="s">
        <v>13</v>
      </c>
      <c r="AL132" s="77" t="s">
        <v>1242</v>
      </c>
      <c r="AM132" s="77" t="s">
        <v>1243</v>
      </c>
      <c r="AN132" s="77" t="str">
        <f>IF(AI132="","",$AN$2)</f>
        <v>C</v>
      </c>
      <c r="AO132" s="77" t="str">
        <f>IF(N132="","",IF(N132&gt;=$AO$1/100,"O","X"))</f>
        <v/>
      </c>
      <c r="AP132" s="77" t="str">
        <f>IF(I132="","",IF(I132&lt;=$AP$1,"O","X"))</f>
        <v/>
      </c>
      <c r="AQ132" s="77" t="str">
        <f>IF(O132="","",IF(O132&lt;=$AQ$1,"O","X"))</f>
        <v>O</v>
      </c>
      <c r="AR132" s="77" t="str">
        <f>IF(M132="","",IF(M132&lt;=$AR$1,"O","X"))</f>
        <v>O</v>
      </c>
      <c r="AS132" s="77" t="s">
        <v>2</v>
      </c>
      <c r="AT132" s="77" t="str">
        <f>IF(OR(F132="",AI132=""),"",IF(AND((F132&lt;=85),(AI132&gt;=15)),"O","X"))</f>
        <v>O</v>
      </c>
      <c r="AU132" s="77" t="str">
        <f>IF(C132="","",IF(C132&gt;=$AU$1,"O","X"))</f>
        <v>O</v>
      </c>
      <c r="AV132" s="77" t="str">
        <f>IF(AO132="","",IF(AND(AO132="O",AP132="O",AR132="O",AT132="O",AU132="O"),"후보","X"))</f>
        <v/>
      </c>
    </row>
    <row r="133" spans="1:48" x14ac:dyDescent="0.3">
      <c r="A133" s="9" t="s">
        <v>517</v>
      </c>
      <c r="B133" s="10" t="s">
        <v>1289</v>
      </c>
      <c r="C133" s="107">
        <v>390</v>
      </c>
      <c r="D133" s="104">
        <v>61.2</v>
      </c>
      <c r="E133" s="106">
        <v>19</v>
      </c>
      <c r="F133" s="104">
        <v>55.4</v>
      </c>
      <c r="G133" s="17">
        <v>17</v>
      </c>
      <c r="H133" s="107">
        <v>170</v>
      </c>
      <c r="I133" s="108"/>
      <c r="J133" s="108"/>
      <c r="K133" s="108"/>
      <c r="L133" s="108"/>
      <c r="M133" s="109">
        <f>I133-K133</f>
        <v>0</v>
      </c>
      <c r="N133" s="4" t="str">
        <f>IF(ISERROR(K133/I133),"",K133/I133)</f>
        <v/>
      </c>
      <c r="O133" s="105">
        <f>I133/E133</f>
        <v>0</v>
      </c>
      <c r="P133" s="105">
        <f>K133/E133</f>
        <v>0</v>
      </c>
      <c r="Q133" s="77">
        <v>2</v>
      </c>
      <c r="R133" s="77">
        <v>1</v>
      </c>
      <c r="S133" s="77" t="s">
        <v>1241</v>
      </c>
      <c r="T133" s="5">
        <v>61</v>
      </c>
      <c r="U133" s="9"/>
      <c r="W133" s="104">
        <f t="shared" si="108"/>
        <v>61.2</v>
      </c>
      <c r="X133" s="106">
        <f t="shared" si="108"/>
        <v>19</v>
      </c>
      <c r="Y133" s="102">
        <f t="shared" si="109"/>
        <v>170</v>
      </c>
      <c r="Z133" s="109">
        <f t="shared" si="109"/>
        <v>0</v>
      </c>
      <c r="AA133" s="109">
        <f>K133</f>
        <v>0</v>
      </c>
      <c r="AB133" s="109">
        <f t="shared" si="110"/>
        <v>0</v>
      </c>
      <c r="AC133" s="4" t="str">
        <f t="shared" si="110"/>
        <v/>
      </c>
      <c r="AD133" s="105">
        <f t="shared" si="110"/>
        <v>0</v>
      </c>
      <c r="AE133" s="77" t="str">
        <f>S133</f>
        <v>복</v>
      </c>
      <c r="AF133" s="77" t="str">
        <f>Q133&amp;"/"&amp;R133</f>
        <v>2/1</v>
      </c>
      <c r="AH133" s="20" t="str">
        <f t="shared" si="89"/>
        <v>우진</v>
      </c>
      <c r="AI133" s="106">
        <f t="shared" si="88"/>
        <v>19</v>
      </c>
      <c r="AJ133" s="77" t="str">
        <f>IF(AI133="","",$AJ$2)</f>
        <v>A-</v>
      </c>
      <c r="AK133" s="77" t="s">
        <v>13</v>
      </c>
      <c r="AL133" s="77" t="s">
        <v>1242</v>
      </c>
      <c r="AM133" s="77" t="s">
        <v>1243</v>
      </c>
      <c r="AN133" s="77" t="str">
        <f>IF(AI133="","",$AN$2)</f>
        <v>C</v>
      </c>
      <c r="AO133" s="77" t="str">
        <f>IF(N133="","",IF(N133&gt;=$AO$1/100,"O","X"))</f>
        <v/>
      </c>
      <c r="AP133" s="77" t="str">
        <f>IF(I133="","",IF(I133&lt;=$AP$1,"O","X"))</f>
        <v/>
      </c>
      <c r="AQ133" s="77" t="str">
        <f>IF(O133="","",IF(O133&lt;=$AQ$1,"O","X"))</f>
        <v>O</v>
      </c>
      <c r="AR133" s="77" t="str">
        <f>IF(M133="","",IF(M133&lt;=$AR$1,"O","X"))</f>
        <v>O</v>
      </c>
      <c r="AS133" s="77" t="s">
        <v>2</v>
      </c>
      <c r="AT133" s="77" t="str">
        <f>IF(OR(F133="",AI133=""),"",IF(AND((F133&lt;=85),(AI133&gt;=15)),"O","X"))</f>
        <v>O</v>
      </c>
      <c r="AU133" s="77" t="str">
        <f>IF(C133="","",IF(C133&gt;=$AU$1,"O","X"))</f>
        <v>O</v>
      </c>
      <c r="AV133" s="77" t="str">
        <f>IF(AO133="","",IF(AND(AO133="O",AP133="O",AR133="O",AT133="O",AU133="O"),"후보","X"))</f>
        <v/>
      </c>
    </row>
    <row r="134" spans="1:48" x14ac:dyDescent="0.3">
      <c r="A134" s="9" t="s">
        <v>517</v>
      </c>
      <c r="B134" s="10" t="s">
        <v>1289</v>
      </c>
      <c r="C134" s="107">
        <v>390</v>
      </c>
      <c r="D134" s="104">
        <v>72.7</v>
      </c>
      <c r="E134" s="106">
        <v>22</v>
      </c>
      <c r="F134" s="104">
        <v>65.8</v>
      </c>
      <c r="G134" s="17">
        <v>20</v>
      </c>
      <c r="H134" s="107">
        <v>120</v>
      </c>
      <c r="I134" s="108"/>
      <c r="J134" s="108"/>
      <c r="K134" s="108"/>
      <c r="L134" s="108"/>
      <c r="M134" s="109">
        <f>I134-K134</f>
        <v>0</v>
      </c>
      <c r="N134" s="4" t="str">
        <f>IF(ISERROR(K134/I134),"",K134/I134)</f>
        <v/>
      </c>
      <c r="O134" s="105">
        <f>I134/E134</f>
        <v>0</v>
      </c>
      <c r="P134" s="105">
        <f>K134/E134</f>
        <v>0</v>
      </c>
      <c r="Q134" s="77">
        <v>3</v>
      </c>
      <c r="R134" s="77">
        <v>1</v>
      </c>
      <c r="S134" s="77" t="s">
        <v>1244</v>
      </c>
      <c r="T134" s="5">
        <v>72</v>
      </c>
      <c r="U134" s="9"/>
      <c r="W134" s="104">
        <f t="shared" si="108"/>
        <v>72.7</v>
      </c>
      <c r="X134" s="106">
        <f t="shared" si="108"/>
        <v>22</v>
      </c>
      <c r="Y134" s="102">
        <f t="shared" si="109"/>
        <v>120</v>
      </c>
      <c r="Z134" s="109">
        <f t="shared" si="109"/>
        <v>0</v>
      </c>
      <c r="AA134" s="109">
        <f>K134</f>
        <v>0</v>
      </c>
      <c r="AB134" s="109">
        <f t="shared" si="110"/>
        <v>0</v>
      </c>
      <c r="AC134" s="4" t="str">
        <f t="shared" si="110"/>
        <v/>
      </c>
      <c r="AD134" s="105">
        <f t="shared" si="110"/>
        <v>0</v>
      </c>
      <c r="AE134" s="77" t="str">
        <f>S134</f>
        <v>계</v>
      </c>
      <c r="AF134" s="77" t="str">
        <f>Q134&amp;"/"&amp;R134</f>
        <v>3/1</v>
      </c>
      <c r="AH134" s="20" t="str">
        <f t="shared" si="89"/>
        <v>우진</v>
      </c>
      <c r="AI134" s="106">
        <f t="shared" si="88"/>
        <v>22</v>
      </c>
      <c r="AJ134" s="77" t="str">
        <f>IF(AI134="","",$AJ$2)</f>
        <v>A-</v>
      </c>
      <c r="AK134" s="77" t="s">
        <v>13</v>
      </c>
      <c r="AL134" s="77" t="s">
        <v>1242</v>
      </c>
      <c r="AM134" s="77" t="s">
        <v>1243</v>
      </c>
      <c r="AN134" s="77" t="str">
        <f>IF(AI134="","",$AN$2)</f>
        <v>C</v>
      </c>
      <c r="AO134" s="77" t="str">
        <f>IF(N134="","",IF(N134&gt;=$AO$1/100,"O","X"))</f>
        <v/>
      </c>
      <c r="AP134" s="77" t="str">
        <f>IF(I134="","",IF(I134&lt;=$AP$1,"O","X"))</f>
        <v/>
      </c>
      <c r="AQ134" s="77" t="str">
        <f>IF(O134="","",IF(O134&lt;=$AQ$1,"O","X"))</f>
        <v>O</v>
      </c>
      <c r="AR134" s="77" t="str">
        <f>IF(M134="","",IF(M134&lt;=$AR$1,"O","X"))</f>
        <v>O</v>
      </c>
      <c r="AS134" s="77" t="s">
        <v>2</v>
      </c>
      <c r="AT134" s="77" t="str">
        <f>IF(OR(F134="",AI134=""),"",IF(AND((F134&lt;=85),(AI134&gt;=15)),"O","X"))</f>
        <v>O</v>
      </c>
      <c r="AU134" s="77" t="str">
        <f>IF(C134="","",IF(C134&gt;=$AU$1,"O","X"))</f>
        <v>O</v>
      </c>
      <c r="AV134" s="77" t="str">
        <f>IF(AO134="","",IF(AND(AO134="O",AP134="O",AR134="O",AT134="O",AU134="O"),"후보","X"))</f>
        <v/>
      </c>
    </row>
  </sheetData>
  <mergeCells count="1">
    <mergeCell ref="AJ1:AN1"/>
  </mergeCells>
  <phoneticPr fontId="2" type="noConversion"/>
  <conditionalFormatting sqref="AV4:AV6">
    <cfRule type="expression" dxfId="22815" priority="1903">
      <formula>AV4="X"</formula>
    </cfRule>
    <cfRule type="expression" dxfId="22814" priority="1904">
      <formula>AV4="후보"</formula>
    </cfRule>
  </conditionalFormatting>
  <conditionalFormatting sqref="AC1:AC2 AC4:AC6 N4:N5">
    <cfRule type="cellIs" dxfId="22813" priority="1901" operator="greaterThan">
      <formula>0.9</formula>
    </cfRule>
    <cfRule type="cellIs" dxfId="22812" priority="1902" operator="greaterThan">
      <formula>0.85</formula>
    </cfRule>
  </conditionalFormatting>
  <conditionalFormatting sqref="N1:N2">
    <cfRule type="cellIs" dxfId="22811" priority="1899" operator="greaterThan">
      <formula>0.9</formula>
    </cfRule>
    <cfRule type="cellIs" dxfId="22810" priority="1900" operator="greaterThan">
      <formula>0.85</formula>
    </cfRule>
  </conditionalFormatting>
  <conditionalFormatting sqref="N6">
    <cfRule type="cellIs" dxfId="22809" priority="1897" operator="greaterThan">
      <formula>0.9</formula>
    </cfRule>
    <cfRule type="cellIs" dxfId="22808" priority="1898" operator="greaterThan">
      <formula>0.85</formula>
    </cfRule>
  </conditionalFormatting>
  <conditionalFormatting sqref="E6">
    <cfRule type="expression" dxfId="22807" priority="1893">
      <formula>AND(IF(OR($Q6=1,$Q6=2),1,0),IF($X6&lt;=20,1,0))</formula>
    </cfRule>
    <cfRule type="expression" dxfId="22806" priority="1894">
      <formula>AND(IF($Q6=2,1,0),IF($X6&lt;30,1,0))</formula>
    </cfRule>
    <cfRule type="expression" dxfId="22805" priority="1895">
      <formula>AND(IF($Q6=3,1,0),IF($X6&lt;30,1,0))</formula>
    </cfRule>
    <cfRule type="expression" dxfId="22804" priority="1896">
      <formula>AND(IF($Q6=3,1,IF($Q6=4,1,0)),IF($F6&lt;=85,1,0))</formula>
    </cfRule>
  </conditionalFormatting>
  <conditionalFormatting sqref="X6">
    <cfRule type="expression" dxfId="22803" priority="1889">
      <formula>AND(IF(OR($Q6=1,$Q6=2),1,0),IF($X6&lt;=20,1,0))</formula>
    </cfRule>
    <cfRule type="expression" dxfId="22802" priority="1890">
      <formula>AND(IF($Q6=2,1,0),IF($X6&lt;30,1,0))</formula>
    </cfRule>
    <cfRule type="expression" dxfId="22801" priority="1891">
      <formula>AND(IF($Q6=3,1,0),IF($X6&lt;30,1,0))</formula>
    </cfRule>
    <cfRule type="expression" dxfId="22800" priority="1892">
      <formula>AND(IF($Q6=3,1,IF($Q6=4,1,0)),IF($F6&lt;=85,1,0))</formula>
    </cfRule>
  </conditionalFormatting>
  <conditionalFormatting sqref="AI6">
    <cfRule type="expression" dxfId="22799" priority="1885">
      <formula>AND(IF(OR($Q6=1,$Q6=2),1,0),IF($X6&lt;=20,1,0))</formula>
    </cfRule>
    <cfRule type="expression" dxfId="22798" priority="1886">
      <formula>AND(IF($Q6=2,1,0),IF($X6&lt;30,1,0))</formula>
    </cfRule>
    <cfRule type="expression" dxfId="22797" priority="1887">
      <formula>AND(IF($Q6=3,1,0),IF($X6&lt;30,1,0))</formula>
    </cfRule>
    <cfRule type="expression" dxfId="22796" priority="1888">
      <formula>AND(IF($Q6=3,1,IF($Q6=4,1,0)),IF($F6&lt;=85,1,0))</formula>
    </cfRule>
  </conditionalFormatting>
  <conditionalFormatting sqref="AV7">
    <cfRule type="expression" dxfId="22795" priority="1883">
      <formula>AV7="X"</formula>
    </cfRule>
    <cfRule type="expression" dxfId="22794" priority="1884">
      <formula>AV7="후보"</formula>
    </cfRule>
  </conditionalFormatting>
  <conditionalFormatting sqref="AC7">
    <cfRule type="cellIs" dxfId="22793" priority="1881" operator="greaterThan">
      <formula>0.9</formula>
    </cfRule>
    <cfRule type="cellIs" dxfId="22792" priority="1882" operator="greaterThan">
      <formula>0.85</formula>
    </cfRule>
  </conditionalFormatting>
  <conditionalFormatting sqref="N7">
    <cfRule type="cellIs" dxfId="22791" priority="1879" operator="greaterThan">
      <formula>0.9</formula>
    </cfRule>
    <cfRule type="cellIs" dxfId="22790" priority="1880" operator="greaterThan">
      <formula>0.85</formula>
    </cfRule>
  </conditionalFormatting>
  <conditionalFormatting sqref="E7">
    <cfRule type="expression" dxfId="22789" priority="1875">
      <formula>AND(IF(OR($Q7=1,$Q7=2),1,0),IF($X7&lt;=20,1,0))</formula>
    </cfRule>
    <cfRule type="expression" dxfId="22788" priority="1876">
      <formula>AND(IF($Q7=2,1,0),IF($X7&lt;30,1,0))</formula>
    </cfRule>
    <cfRule type="expression" dxfId="22787" priority="1877">
      <formula>AND(IF($Q7=3,1,0),IF($X7&lt;30,1,0))</formula>
    </cfRule>
    <cfRule type="expression" dxfId="22786" priority="1878">
      <formula>AND(IF($Q7=3,1,IF($Q7=4,1,0)),IF($F7&lt;=85,1,0))</formula>
    </cfRule>
  </conditionalFormatting>
  <conditionalFormatting sqref="X7">
    <cfRule type="expression" dxfId="22785" priority="1871">
      <formula>AND(IF(OR($Q7=1,$Q7=2),1,0),IF($X7&lt;=20,1,0))</formula>
    </cfRule>
    <cfRule type="expression" dxfId="22784" priority="1872">
      <formula>AND(IF($Q7=2,1,0),IF($X7&lt;30,1,0))</formula>
    </cfRule>
    <cfRule type="expression" dxfId="22783" priority="1873">
      <formula>AND(IF($Q7=3,1,0),IF($X7&lt;30,1,0))</formula>
    </cfRule>
    <cfRule type="expression" dxfId="22782" priority="1874">
      <formula>AND(IF($Q7=3,1,IF($Q7=4,1,0)),IF($F7&lt;=85,1,0))</formula>
    </cfRule>
  </conditionalFormatting>
  <conditionalFormatting sqref="AI7">
    <cfRule type="expression" dxfId="22781" priority="1867">
      <formula>AND(IF(OR($Q7=1,$Q7=2),1,0),IF($X7&lt;=20,1,0))</formula>
    </cfRule>
    <cfRule type="expression" dxfId="22780" priority="1868">
      <formula>AND(IF($Q7=2,1,0),IF($X7&lt;30,1,0))</formula>
    </cfRule>
    <cfRule type="expression" dxfId="22779" priority="1869">
      <formula>AND(IF($Q7=3,1,0),IF($X7&lt;30,1,0))</formula>
    </cfRule>
    <cfRule type="expression" dxfId="22778" priority="1870">
      <formula>AND(IF($Q7=3,1,IF($Q7=4,1,0)),IF($F7&lt;=85,1,0))</formula>
    </cfRule>
  </conditionalFormatting>
  <conditionalFormatting sqref="AV8">
    <cfRule type="expression" dxfId="22777" priority="1865">
      <formula>AV8="X"</formula>
    </cfRule>
    <cfRule type="expression" dxfId="22776" priority="1866">
      <formula>AV8="후보"</formula>
    </cfRule>
  </conditionalFormatting>
  <conditionalFormatting sqref="AC8">
    <cfRule type="cellIs" dxfId="22775" priority="1863" operator="greaterThan">
      <formula>0.9</formula>
    </cfRule>
    <cfRule type="cellIs" dxfId="22774" priority="1864" operator="greaterThan">
      <formula>0.85</formula>
    </cfRule>
  </conditionalFormatting>
  <conditionalFormatting sqref="N8">
    <cfRule type="cellIs" dxfId="22773" priority="1861" operator="greaterThan">
      <formula>0.9</formula>
    </cfRule>
    <cfRule type="cellIs" dxfId="22772" priority="1862" operator="greaterThan">
      <formula>0.85</formula>
    </cfRule>
  </conditionalFormatting>
  <conditionalFormatting sqref="E8">
    <cfRule type="expression" dxfId="22771" priority="1857">
      <formula>AND(IF(OR($Q8=1,$Q8=2),1,0),IF($X8&lt;=20,1,0))</formula>
    </cfRule>
    <cfRule type="expression" dxfId="22770" priority="1858">
      <formula>AND(IF($Q8=2,1,0),IF($X8&lt;30,1,0))</formula>
    </cfRule>
    <cfRule type="expression" dxfId="22769" priority="1859">
      <formula>AND(IF($Q8=3,1,0),IF($X8&lt;30,1,0))</formula>
    </cfRule>
    <cfRule type="expression" dxfId="22768" priority="1860">
      <formula>AND(IF($Q8=3,1,IF($Q8=4,1,0)),IF($F8&lt;=85,1,0))</formula>
    </cfRule>
  </conditionalFormatting>
  <conditionalFormatting sqref="X8">
    <cfRule type="expression" dxfId="22767" priority="1853">
      <formula>AND(IF(OR($Q8=1,$Q8=2),1,0),IF($X8&lt;=20,1,0))</formula>
    </cfRule>
    <cfRule type="expression" dxfId="22766" priority="1854">
      <formula>AND(IF($Q8=2,1,0),IF($X8&lt;30,1,0))</formula>
    </cfRule>
    <cfRule type="expression" dxfId="22765" priority="1855">
      <formula>AND(IF($Q8=3,1,0),IF($X8&lt;30,1,0))</formula>
    </cfRule>
    <cfRule type="expression" dxfId="22764" priority="1856">
      <formula>AND(IF($Q8=3,1,IF($Q8=4,1,0)),IF($F8&lt;=85,1,0))</formula>
    </cfRule>
  </conditionalFormatting>
  <conditionalFormatting sqref="AI8">
    <cfRule type="expression" dxfId="22763" priority="1849">
      <formula>AND(IF(OR($Q8=1,$Q8=2),1,0),IF($X8&lt;=20,1,0))</formula>
    </cfRule>
    <cfRule type="expression" dxfId="22762" priority="1850">
      <formula>AND(IF($Q8=2,1,0),IF($X8&lt;30,1,0))</formula>
    </cfRule>
    <cfRule type="expression" dxfId="22761" priority="1851">
      <formula>AND(IF($Q8=3,1,0),IF($X8&lt;30,1,0))</formula>
    </cfRule>
    <cfRule type="expression" dxfId="22760" priority="1852">
      <formula>AND(IF($Q8=3,1,IF($Q8=4,1,0)),IF($F8&lt;=85,1,0))</formula>
    </cfRule>
  </conditionalFormatting>
  <conditionalFormatting sqref="AV9">
    <cfRule type="expression" dxfId="22759" priority="1847">
      <formula>AV9="X"</formula>
    </cfRule>
    <cfRule type="expression" dxfId="22758" priority="1848">
      <formula>AV9="후보"</formula>
    </cfRule>
  </conditionalFormatting>
  <conditionalFormatting sqref="AC9">
    <cfRule type="cellIs" dxfId="22757" priority="1845" operator="greaterThan">
      <formula>0.9</formula>
    </cfRule>
    <cfRule type="cellIs" dxfId="22756" priority="1846" operator="greaterThan">
      <formula>0.85</formula>
    </cfRule>
  </conditionalFormatting>
  <conditionalFormatting sqref="N9">
    <cfRule type="cellIs" dxfId="22755" priority="1843" operator="greaterThan">
      <formula>0.9</formula>
    </cfRule>
    <cfRule type="cellIs" dxfId="22754" priority="1844" operator="greaterThan">
      <formula>0.85</formula>
    </cfRule>
  </conditionalFormatting>
  <conditionalFormatting sqref="E9">
    <cfRule type="expression" dxfId="22753" priority="1839">
      <formula>AND(IF(OR($Q9=1,$Q9=2),1,0),IF($X9&lt;=20,1,0))</formula>
    </cfRule>
    <cfRule type="expression" dxfId="22752" priority="1840">
      <formula>AND(IF($Q9=2,1,0),IF($X9&lt;30,1,0))</formula>
    </cfRule>
    <cfRule type="expression" dxfId="22751" priority="1841">
      <formula>AND(IF($Q9=3,1,0),IF($X9&lt;30,1,0))</formula>
    </cfRule>
    <cfRule type="expression" dxfId="22750" priority="1842">
      <formula>AND(IF($Q9=3,1,IF($Q9=4,1,0)),IF($F9&lt;=85,1,0))</formula>
    </cfRule>
  </conditionalFormatting>
  <conditionalFormatting sqref="X9">
    <cfRule type="expression" dxfId="22749" priority="1835">
      <formula>AND(IF(OR($Q9=1,$Q9=2),1,0),IF($X9&lt;=20,1,0))</formula>
    </cfRule>
    <cfRule type="expression" dxfId="22748" priority="1836">
      <formula>AND(IF($Q9=2,1,0),IF($X9&lt;30,1,0))</formula>
    </cfRule>
    <cfRule type="expression" dxfId="22747" priority="1837">
      <formula>AND(IF($Q9=3,1,0),IF($X9&lt;30,1,0))</formula>
    </cfRule>
    <cfRule type="expression" dxfId="22746" priority="1838">
      <formula>AND(IF($Q9=3,1,IF($Q9=4,1,0)),IF($F9&lt;=85,1,0))</formula>
    </cfRule>
  </conditionalFormatting>
  <conditionalFormatting sqref="AI9">
    <cfRule type="expression" dxfId="22745" priority="1831">
      <formula>AND(IF(OR($Q9=1,$Q9=2),1,0),IF($X9&lt;=20,1,0))</formula>
    </cfRule>
    <cfRule type="expression" dxfId="22744" priority="1832">
      <formula>AND(IF($Q9=2,1,0),IF($X9&lt;30,1,0))</formula>
    </cfRule>
    <cfRule type="expression" dxfId="22743" priority="1833">
      <formula>AND(IF($Q9=3,1,0),IF($X9&lt;30,1,0))</formula>
    </cfRule>
    <cfRule type="expression" dxfId="22742" priority="1834">
      <formula>AND(IF($Q9=3,1,IF($Q9=4,1,0)),IF($F9&lt;=85,1,0))</formula>
    </cfRule>
  </conditionalFormatting>
  <conditionalFormatting sqref="AV10">
    <cfRule type="expression" dxfId="22741" priority="1829">
      <formula>AV10="X"</formula>
    </cfRule>
    <cfRule type="expression" dxfId="22740" priority="1830">
      <formula>AV10="후보"</formula>
    </cfRule>
  </conditionalFormatting>
  <conditionalFormatting sqref="AC10">
    <cfRule type="cellIs" dxfId="22739" priority="1827" operator="greaterThan">
      <formula>0.9</formula>
    </cfRule>
    <cfRule type="cellIs" dxfId="22738" priority="1828" operator="greaterThan">
      <formula>0.85</formula>
    </cfRule>
  </conditionalFormatting>
  <conditionalFormatting sqref="N10">
    <cfRule type="cellIs" dxfId="22737" priority="1825" operator="greaterThan">
      <formula>0.9</formula>
    </cfRule>
    <cfRule type="cellIs" dxfId="22736" priority="1826" operator="greaterThan">
      <formula>0.85</formula>
    </cfRule>
  </conditionalFormatting>
  <conditionalFormatting sqref="E10">
    <cfRule type="expression" dxfId="22735" priority="1821">
      <formula>AND(IF(OR($Q10=1,$Q10=2),1,0),IF($X10&lt;=20,1,0))</formula>
    </cfRule>
    <cfRule type="expression" dxfId="22734" priority="1822">
      <formula>AND(IF($Q10=2,1,0),IF($X10&lt;30,1,0))</formula>
    </cfRule>
    <cfRule type="expression" dxfId="22733" priority="1823">
      <formula>AND(IF($Q10=3,1,0),IF($X10&lt;30,1,0))</formula>
    </cfRule>
    <cfRule type="expression" dxfId="22732" priority="1824">
      <formula>AND(IF($Q10=3,1,IF($Q10=4,1,0)),IF($F10&lt;=85,1,0))</formula>
    </cfRule>
  </conditionalFormatting>
  <conditionalFormatting sqref="X10">
    <cfRule type="expression" dxfId="22731" priority="1817">
      <formula>AND(IF(OR($Q10=1,$Q10=2),1,0),IF($X10&lt;=20,1,0))</formula>
    </cfRule>
    <cfRule type="expression" dxfId="22730" priority="1818">
      <formula>AND(IF($Q10=2,1,0),IF($X10&lt;30,1,0))</formula>
    </cfRule>
    <cfRule type="expression" dxfId="22729" priority="1819">
      <formula>AND(IF($Q10=3,1,0),IF($X10&lt;30,1,0))</formula>
    </cfRule>
    <cfRule type="expression" dxfId="22728" priority="1820">
      <formula>AND(IF($Q10=3,1,IF($Q10=4,1,0)),IF($F10&lt;=85,1,0))</formula>
    </cfRule>
  </conditionalFormatting>
  <conditionalFormatting sqref="AI10">
    <cfRule type="expression" dxfId="22727" priority="1813">
      <formula>AND(IF(OR($Q10=1,$Q10=2),1,0),IF($X10&lt;=20,1,0))</formula>
    </cfRule>
    <cfRule type="expression" dxfId="22726" priority="1814">
      <formula>AND(IF($Q10=2,1,0),IF($X10&lt;30,1,0))</formula>
    </cfRule>
    <cfRule type="expression" dxfId="22725" priority="1815">
      <formula>AND(IF($Q10=3,1,0),IF($X10&lt;30,1,0))</formula>
    </cfRule>
    <cfRule type="expression" dxfId="22724" priority="1816">
      <formula>AND(IF($Q10=3,1,IF($Q10=4,1,0)),IF($F10&lt;=85,1,0))</formula>
    </cfRule>
  </conditionalFormatting>
  <conditionalFormatting sqref="AV11">
    <cfRule type="expression" dxfId="22723" priority="1811">
      <formula>AV11="X"</formula>
    </cfRule>
    <cfRule type="expression" dxfId="22722" priority="1812">
      <formula>AV11="후보"</formula>
    </cfRule>
  </conditionalFormatting>
  <conditionalFormatting sqref="AC11">
    <cfRule type="cellIs" dxfId="22721" priority="1809" operator="greaterThan">
      <formula>0.9</formula>
    </cfRule>
    <cfRule type="cellIs" dxfId="22720" priority="1810" operator="greaterThan">
      <formula>0.85</formula>
    </cfRule>
  </conditionalFormatting>
  <conditionalFormatting sqref="N11">
    <cfRule type="cellIs" dxfId="22719" priority="1807" operator="greaterThan">
      <formula>0.9</formula>
    </cfRule>
    <cfRule type="cellIs" dxfId="22718" priority="1808" operator="greaterThan">
      <formula>0.85</formula>
    </cfRule>
  </conditionalFormatting>
  <conditionalFormatting sqref="E11">
    <cfRule type="expression" dxfId="22717" priority="1803">
      <formula>AND(IF(OR($Q11=1,$Q11=2),1,0),IF($X11&lt;=20,1,0))</formula>
    </cfRule>
    <cfRule type="expression" dxfId="22716" priority="1804">
      <formula>AND(IF($Q11=2,1,0),IF($X11&lt;30,1,0))</formula>
    </cfRule>
    <cfRule type="expression" dxfId="22715" priority="1805">
      <formula>AND(IF($Q11=3,1,0),IF($X11&lt;30,1,0))</formula>
    </cfRule>
    <cfRule type="expression" dxfId="22714" priority="1806">
      <formula>AND(IF($Q11=3,1,IF($Q11=4,1,0)),IF($F11&lt;=85,1,0))</formula>
    </cfRule>
  </conditionalFormatting>
  <conditionalFormatting sqref="X11">
    <cfRule type="expression" dxfId="22713" priority="1799">
      <formula>AND(IF(OR($Q11=1,$Q11=2),1,0),IF($X11&lt;=20,1,0))</formula>
    </cfRule>
    <cfRule type="expression" dxfId="22712" priority="1800">
      <formula>AND(IF($Q11=2,1,0),IF($X11&lt;30,1,0))</formula>
    </cfRule>
    <cfRule type="expression" dxfId="22711" priority="1801">
      <formula>AND(IF($Q11=3,1,0),IF($X11&lt;30,1,0))</formula>
    </cfRule>
    <cfRule type="expression" dxfId="22710" priority="1802">
      <formula>AND(IF($Q11=3,1,IF($Q11=4,1,0)),IF($F11&lt;=85,1,0))</formula>
    </cfRule>
  </conditionalFormatting>
  <conditionalFormatting sqref="AI11">
    <cfRule type="expression" dxfId="22709" priority="1795">
      <formula>AND(IF(OR($Q11=1,$Q11=2),1,0),IF($X11&lt;=20,1,0))</formula>
    </cfRule>
    <cfRule type="expression" dxfId="22708" priority="1796">
      <formula>AND(IF($Q11=2,1,0),IF($X11&lt;30,1,0))</formula>
    </cfRule>
    <cfRule type="expression" dxfId="22707" priority="1797">
      <formula>AND(IF($Q11=3,1,0),IF($X11&lt;30,1,0))</formula>
    </cfRule>
    <cfRule type="expression" dxfId="22706" priority="1798">
      <formula>AND(IF($Q11=3,1,IF($Q11=4,1,0)),IF($F11&lt;=85,1,0))</formula>
    </cfRule>
  </conditionalFormatting>
  <conditionalFormatting sqref="AV12">
    <cfRule type="expression" dxfId="22705" priority="1793">
      <formula>AV12="X"</formula>
    </cfRule>
    <cfRule type="expression" dxfId="22704" priority="1794">
      <formula>AV12="후보"</formula>
    </cfRule>
  </conditionalFormatting>
  <conditionalFormatting sqref="AC12 N12">
    <cfRule type="cellIs" dxfId="22703" priority="1791" operator="greaterThan">
      <formula>0.9</formula>
    </cfRule>
    <cfRule type="cellIs" dxfId="22702" priority="1792" operator="greaterThan">
      <formula>0.85</formula>
    </cfRule>
  </conditionalFormatting>
  <conditionalFormatting sqref="AV13">
    <cfRule type="expression" dxfId="22701" priority="1789">
      <formula>AV13="X"</formula>
    </cfRule>
    <cfRule type="expression" dxfId="22700" priority="1790">
      <formula>AV13="후보"</formula>
    </cfRule>
  </conditionalFormatting>
  <conditionalFormatting sqref="AC13">
    <cfRule type="cellIs" dxfId="22699" priority="1787" operator="greaterThan">
      <formula>0.9</formula>
    </cfRule>
    <cfRule type="cellIs" dxfId="22698" priority="1788" operator="greaterThan">
      <formula>0.85</formula>
    </cfRule>
  </conditionalFormatting>
  <conditionalFormatting sqref="N13">
    <cfRule type="cellIs" dxfId="22697" priority="1785" operator="greaterThan">
      <formula>0.9</formula>
    </cfRule>
    <cfRule type="cellIs" dxfId="22696" priority="1786" operator="greaterThan">
      <formula>0.85</formula>
    </cfRule>
  </conditionalFormatting>
  <conditionalFormatting sqref="E13">
    <cfRule type="expression" dxfId="22695" priority="1781">
      <formula>AND(IF(OR($Q13=1,$Q13=2),1,0),IF($X13&lt;=20,1,0))</formula>
    </cfRule>
    <cfRule type="expression" dxfId="22694" priority="1782">
      <formula>AND(IF($Q13=2,1,0),IF($X13&lt;30,1,0))</formula>
    </cfRule>
    <cfRule type="expression" dxfId="22693" priority="1783">
      <formula>AND(IF($Q13=3,1,0),IF($X13&lt;30,1,0))</formula>
    </cfRule>
    <cfRule type="expression" dxfId="22692" priority="1784">
      <formula>AND(IF($Q13=3,1,IF($Q13=4,1,0)),IF($F13&lt;=85,1,0))</formula>
    </cfRule>
  </conditionalFormatting>
  <conditionalFormatting sqref="X13">
    <cfRule type="expression" dxfId="22691" priority="1777">
      <formula>AND(IF(OR($Q13=1,$Q13=2),1,0),IF($X13&lt;=20,1,0))</formula>
    </cfRule>
    <cfRule type="expression" dxfId="22690" priority="1778">
      <formula>AND(IF($Q13=2,1,0),IF($X13&lt;30,1,0))</formula>
    </cfRule>
    <cfRule type="expression" dxfId="22689" priority="1779">
      <formula>AND(IF($Q13=3,1,0),IF($X13&lt;30,1,0))</formula>
    </cfRule>
    <cfRule type="expression" dxfId="22688" priority="1780">
      <formula>AND(IF($Q13=3,1,IF($Q13=4,1,0)),IF($F13&lt;=85,1,0))</formula>
    </cfRule>
  </conditionalFormatting>
  <conditionalFormatting sqref="AI13">
    <cfRule type="expression" dxfId="22687" priority="1773">
      <formula>AND(IF(OR($Q13=1,$Q13=2),1,0),IF($X13&lt;=20,1,0))</formula>
    </cfRule>
    <cfRule type="expression" dxfId="22686" priority="1774">
      <formula>AND(IF($Q13=2,1,0),IF($X13&lt;30,1,0))</formula>
    </cfRule>
    <cfRule type="expression" dxfId="22685" priority="1775">
      <formula>AND(IF($Q13=3,1,0),IF($X13&lt;30,1,0))</formula>
    </cfRule>
    <cfRule type="expression" dxfId="22684" priority="1776">
      <formula>AND(IF($Q13=3,1,IF($Q13=4,1,0)),IF($F13&lt;=85,1,0))</formula>
    </cfRule>
  </conditionalFormatting>
  <conditionalFormatting sqref="AV14">
    <cfRule type="expression" dxfId="22683" priority="1771">
      <formula>AV14="X"</formula>
    </cfRule>
    <cfRule type="expression" dxfId="22682" priority="1772">
      <formula>AV14="후보"</formula>
    </cfRule>
  </conditionalFormatting>
  <conditionalFormatting sqref="AC14">
    <cfRule type="cellIs" dxfId="22681" priority="1769" operator="greaterThan">
      <formula>0.9</formula>
    </cfRule>
    <cfRule type="cellIs" dxfId="22680" priority="1770" operator="greaterThan">
      <formula>0.85</formula>
    </cfRule>
  </conditionalFormatting>
  <conditionalFormatting sqref="N14">
    <cfRule type="cellIs" dxfId="22679" priority="1767" operator="greaterThan">
      <formula>0.9</formula>
    </cfRule>
    <cfRule type="cellIs" dxfId="22678" priority="1768" operator="greaterThan">
      <formula>0.85</formula>
    </cfRule>
  </conditionalFormatting>
  <conditionalFormatting sqref="E14">
    <cfRule type="expression" dxfId="22677" priority="1763">
      <formula>AND(IF(OR($Q14=1,$Q14=2),1,0),IF($X14&lt;=20,1,0))</formula>
    </cfRule>
    <cfRule type="expression" dxfId="22676" priority="1764">
      <formula>AND(IF($Q14=2,1,0),IF($X14&lt;30,1,0))</formula>
    </cfRule>
    <cfRule type="expression" dxfId="22675" priority="1765">
      <formula>AND(IF($Q14=3,1,0),IF($X14&lt;30,1,0))</formula>
    </cfRule>
    <cfRule type="expression" dxfId="22674" priority="1766">
      <formula>AND(IF($Q14=3,1,IF($Q14=4,1,0)),IF($F14&lt;=85,1,0))</formula>
    </cfRule>
  </conditionalFormatting>
  <conditionalFormatting sqref="X14">
    <cfRule type="expression" dxfId="22673" priority="1759">
      <formula>AND(IF(OR($Q14=1,$Q14=2),1,0),IF($X14&lt;=20,1,0))</formula>
    </cfRule>
    <cfRule type="expression" dxfId="22672" priority="1760">
      <formula>AND(IF($Q14=2,1,0),IF($X14&lt;30,1,0))</formula>
    </cfRule>
    <cfRule type="expression" dxfId="22671" priority="1761">
      <formula>AND(IF($Q14=3,1,0),IF($X14&lt;30,1,0))</formula>
    </cfRule>
    <cfRule type="expression" dxfId="22670" priority="1762">
      <formula>AND(IF($Q14=3,1,IF($Q14=4,1,0)),IF($F14&lt;=85,1,0))</formula>
    </cfRule>
  </conditionalFormatting>
  <conditionalFormatting sqref="AI14">
    <cfRule type="expression" dxfId="22669" priority="1755">
      <formula>AND(IF(OR($Q14=1,$Q14=2),1,0),IF($X14&lt;=20,1,0))</formula>
    </cfRule>
    <cfRule type="expression" dxfId="22668" priority="1756">
      <formula>AND(IF($Q14=2,1,0),IF($X14&lt;30,1,0))</formula>
    </cfRule>
    <cfRule type="expression" dxfId="22667" priority="1757">
      <formula>AND(IF($Q14=3,1,0),IF($X14&lt;30,1,0))</formula>
    </cfRule>
    <cfRule type="expression" dxfId="22666" priority="1758">
      <formula>AND(IF($Q14=3,1,IF($Q14=4,1,0)),IF($F14&lt;=85,1,0))</formula>
    </cfRule>
  </conditionalFormatting>
  <conditionalFormatting sqref="AV15">
    <cfRule type="expression" dxfId="22665" priority="1753">
      <formula>AV15="X"</formula>
    </cfRule>
    <cfRule type="expression" dxfId="22664" priority="1754">
      <formula>AV15="후보"</formula>
    </cfRule>
  </conditionalFormatting>
  <conditionalFormatting sqref="AC15 N15">
    <cfRule type="cellIs" dxfId="22663" priority="1751" operator="greaterThan">
      <formula>0.9</formula>
    </cfRule>
    <cfRule type="cellIs" dxfId="22662" priority="1752" operator="greaterThan">
      <formula>0.85</formula>
    </cfRule>
  </conditionalFormatting>
  <conditionalFormatting sqref="AV16">
    <cfRule type="expression" dxfId="22661" priority="1749">
      <formula>AV16="X"</formula>
    </cfRule>
    <cfRule type="expression" dxfId="22660" priority="1750">
      <formula>AV16="후보"</formula>
    </cfRule>
  </conditionalFormatting>
  <conditionalFormatting sqref="AC16">
    <cfRule type="cellIs" dxfId="22659" priority="1747" operator="greaterThan">
      <formula>0.9</formula>
    </cfRule>
    <cfRule type="cellIs" dxfId="22658" priority="1748" operator="greaterThan">
      <formula>0.85</formula>
    </cfRule>
  </conditionalFormatting>
  <conditionalFormatting sqref="N16">
    <cfRule type="cellIs" dxfId="22657" priority="1745" operator="greaterThan">
      <formula>0.9</formula>
    </cfRule>
    <cfRule type="cellIs" dxfId="22656" priority="1746" operator="greaterThan">
      <formula>0.85</formula>
    </cfRule>
  </conditionalFormatting>
  <conditionalFormatting sqref="E16">
    <cfRule type="expression" dxfId="22655" priority="1741">
      <formula>AND(IF(OR($Q16=1,$Q16=2),1,0),IF($X16&lt;=20,1,0))</formula>
    </cfRule>
    <cfRule type="expression" dxfId="22654" priority="1742">
      <formula>AND(IF($Q16=2,1,0),IF($X16&lt;30,1,0))</formula>
    </cfRule>
    <cfRule type="expression" dxfId="22653" priority="1743">
      <formula>AND(IF($Q16=3,1,0),IF($X16&lt;30,1,0))</formula>
    </cfRule>
    <cfRule type="expression" dxfId="22652" priority="1744">
      <formula>AND(IF($Q16=3,1,IF($Q16=4,1,0)),IF($F16&lt;=85,1,0))</formula>
    </cfRule>
  </conditionalFormatting>
  <conditionalFormatting sqref="X16">
    <cfRule type="expression" dxfId="22651" priority="1737">
      <formula>AND(IF(OR($Q16=1,$Q16=2),1,0),IF($X16&lt;=20,1,0))</formula>
    </cfRule>
    <cfRule type="expression" dxfId="22650" priority="1738">
      <formula>AND(IF($Q16=2,1,0),IF($X16&lt;30,1,0))</formula>
    </cfRule>
    <cfRule type="expression" dxfId="22649" priority="1739">
      <formula>AND(IF($Q16=3,1,0),IF($X16&lt;30,1,0))</formula>
    </cfRule>
    <cfRule type="expression" dxfId="22648" priority="1740">
      <formula>AND(IF($Q16=3,1,IF($Q16=4,1,0)),IF($F16&lt;=85,1,0))</formula>
    </cfRule>
  </conditionalFormatting>
  <conditionalFormatting sqref="AI16">
    <cfRule type="expression" dxfId="22647" priority="1733">
      <formula>AND(IF(OR($Q16=1,$Q16=2),1,0),IF($X16&lt;=20,1,0))</formula>
    </cfRule>
    <cfRule type="expression" dxfId="22646" priority="1734">
      <formula>AND(IF($Q16=2,1,0),IF($X16&lt;30,1,0))</formula>
    </cfRule>
    <cfRule type="expression" dxfId="22645" priority="1735">
      <formula>AND(IF($Q16=3,1,0),IF($X16&lt;30,1,0))</formula>
    </cfRule>
    <cfRule type="expression" dxfId="22644" priority="1736">
      <formula>AND(IF($Q16=3,1,IF($Q16=4,1,0)),IF($F16&lt;=85,1,0))</formula>
    </cfRule>
  </conditionalFormatting>
  <conditionalFormatting sqref="AV17">
    <cfRule type="expression" dxfId="22643" priority="1731">
      <formula>AV17="X"</formula>
    </cfRule>
    <cfRule type="expression" dxfId="22642" priority="1732">
      <formula>AV17="후보"</formula>
    </cfRule>
  </conditionalFormatting>
  <conditionalFormatting sqref="AC17 N17">
    <cfRule type="cellIs" dxfId="22641" priority="1729" operator="greaterThan">
      <formula>0.9</formula>
    </cfRule>
    <cfRule type="cellIs" dxfId="22640" priority="1730" operator="greaterThan">
      <formula>0.85</formula>
    </cfRule>
  </conditionalFormatting>
  <conditionalFormatting sqref="AV18">
    <cfRule type="expression" dxfId="22639" priority="1727">
      <formula>AV18="X"</formula>
    </cfRule>
    <cfRule type="expression" dxfId="22638" priority="1728">
      <formula>AV18="후보"</formula>
    </cfRule>
  </conditionalFormatting>
  <conditionalFormatting sqref="AC18">
    <cfRule type="cellIs" dxfId="22637" priority="1725" operator="greaterThan">
      <formula>0.9</formula>
    </cfRule>
    <cfRule type="cellIs" dxfId="22636" priority="1726" operator="greaterThan">
      <formula>0.85</formula>
    </cfRule>
  </conditionalFormatting>
  <conditionalFormatting sqref="N18">
    <cfRule type="cellIs" dxfId="22635" priority="1723" operator="greaterThan">
      <formula>0.9</formula>
    </cfRule>
    <cfRule type="cellIs" dxfId="22634" priority="1724" operator="greaterThan">
      <formula>0.85</formula>
    </cfRule>
  </conditionalFormatting>
  <conditionalFormatting sqref="E18">
    <cfRule type="expression" dxfId="22633" priority="1719">
      <formula>AND(IF(OR($Q18=1,$Q18=2),1,0),IF($X18&lt;=20,1,0))</formula>
    </cfRule>
    <cfRule type="expression" dxfId="22632" priority="1720">
      <formula>AND(IF($Q18=2,1,0),IF($X18&lt;30,1,0))</formula>
    </cfRule>
    <cfRule type="expression" dxfId="22631" priority="1721">
      <formula>AND(IF($Q18=3,1,0),IF($X18&lt;30,1,0))</formula>
    </cfRule>
    <cfRule type="expression" dxfId="22630" priority="1722">
      <formula>AND(IF($Q18=3,1,IF($Q18=4,1,0)),IF($F18&lt;=85,1,0))</formula>
    </cfRule>
  </conditionalFormatting>
  <conditionalFormatting sqref="X18">
    <cfRule type="expression" dxfId="22629" priority="1715">
      <formula>AND(IF(OR($Q18=1,$Q18=2),1,0),IF($X18&lt;=20,1,0))</formula>
    </cfRule>
    <cfRule type="expression" dxfId="22628" priority="1716">
      <formula>AND(IF($Q18=2,1,0),IF($X18&lt;30,1,0))</formula>
    </cfRule>
    <cfRule type="expression" dxfId="22627" priority="1717">
      <formula>AND(IF($Q18=3,1,0),IF($X18&lt;30,1,0))</formula>
    </cfRule>
    <cfRule type="expression" dxfId="22626" priority="1718">
      <formula>AND(IF($Q18=3,1,IF($Q18=4,1,0)),IF($F18&lt;=85,1,0))</formula>
    </cfRule>
  </conditionalFormatting>
  <conditionalFormatting sqref="AI18">
    <cfRule type="expression" dxfId="22625" priority="1711">
      <formula>AND(IF(OR($Q18=1,$Q18=2),1,0),IF($X18&lt;=20,1,0))</formula>
    </cfRule>
    <cfRule type="expression" dxfId="22624" priority="1712">
      <formula>AND(IF($Q18=2,1,0),IF($X18&lt;30,1,0))</formula>
    </cfRule>
    <cfRule type="expression" dxfId="22623" priority="1713">
      <formula>AND(IF($Q18=3,1,0),IF($X18&lt;30,1,0))</formula>
    </cfRule>
    <cfRule type="expression" dxfId="22622" priority="1714">
      <formula>AND(IF($Q18=3,1,IF($Q18=4,1,0)),IF($F18&lt;=85,1,0))</formula>
    </cfRule>
  </conditionalFormatting>
  <conditionalFormatting sqref="AV19">
    <cfRule type="expression" dxfId="22621" priority="1709">
      <formula>AV19="X"</formula>
    </cfRule>
    <cfRule type="expression" dxfId="22620" priority="1710">
      <formula>AV19="후보"</formula>
    </cfRule>
  </conditionalFormatting>
  <conditionalFormatting sqref="AC19">
    <cfRule type="cellIs" dxfId="22619" priority="1707" operator="greaterThan">
      <formula>0.9</formula>
    </cfRule>
    <cfRule type="cellIs" dxfId="22618" priority="1708" operator="greaterThan">
      <formula>0.85</formula>
    </cfRule>
  </conditionalFormatting>
  <conditionalFormatting sqref="N19">
    <cfRule type="cellIs" dxfId="22617" priority="1705" operator="greaterThan">
      <formula>0.9</formula>
    </cfRule>
    <cfRule type="cellIs" dxfId="22616" priority="1706" operator="greaterThan">
      <formula>0.85</formula>
    </cfRule>
  </conditionalFormatting>
  <conditionalFormatting sqref="E19">
    <cfRule type="expression" dxfId="22615" priority="1701">
      <formula>AND(IF(OR($Q19=1,$Q19=2),1,0),IF($X19&lt;=20,1,0))</formula>
    </cfRule>
    <cfRule type="expression" dxfId="22614" priority="1702">
      <formula>AND(IF($Q19=2,1,0),IF($X19&lt;30,1,0))</formula>
    </cfRule>
    <cfRule type="expression" dxfId="22613" priority="1703">
      <formula>AND(IF($Q19=3,1,0),IF($X19&lt;30,1,0))</formula>
    </cfRule>
    <cfRule type="expression" dxfId="22612" priority="1704">
      <formula>AND(IF($Q19=3,1,IF($Q19=4,1,0)),IF($F19&lt;=85,1,0))</formula>
    </cfRule>
  </conditionalFormatting>
  <conditionalFormatting sqref="X19">
    <cfRule type="expression" dxfId="22611" priority="1697">
      <formula>AND(IF(OR($Q19=1,$Q19=2),1,0),IF($X19&lt;=20,1,0))</formula>
    </cfRule>
    <cfRule type="expression" dxfId="22610" priority="1698">
      <formula>AND(IF($Q19=2,1,0),IF($X19&lt;30,1,0))</formula>
    </cfRule>
    <cfRule type="expression" dxfId="22609" priority="1699">
      <formula>AND(IF($Q19=3,1,0),IF($X19&lt;30,1,0))</formula>
    </cfRule>
    <cfRule type="expression" dxfId="22608" priority="1700">
      <formula>AND(IF($Q19=3,1,IF($Q19=4,1,0)),IF($F19&lt;=85,1,0))</formula>
    </cfRule>
  </conditionalFormatting>
  <conditionalFormatting sqref="AI19">
    <cfRule type="expression" dxfId="22607" priority="1693">
      <formula>AND(IF(OR($Q19=1,$Q19=2),1,0),IF($X19&lt;=20,1,0))</formula>
    </cfRule>
    <cfRule type="expression" dxfId="22606" priority="1694">
      <formula>AND(IF($Q19=2,1,0),IF($X19&lt;30,1,0))</formula>
    </cfRule>
    <cfRule type="expression" dxfId="22605" priority="1695">
      <formula>AND(IF($Q19=3,1,0),IF($X19&lt;30,1,0))</formula>
    </cfRule>
    <cfRule type="expression" dxfId="22604" priority="1696">
      <formula>AND(IF($Q19=3,1,IF($Q19=4,1,0)),IF($F19&lt;=85,1,0))</formula>
    </cfRule>
  </conditionalFormatting>
  <conditionalFormatting sqref="AV20">
    <cfRule type="expression" dxfId="22603" priority="1691">
      <formula>AV20="X"</formula>
    </cfRule>
    <cfRule type="expression" dxfId="22602" priority="1692">
      <formula>AV20="후보"</formula>
    </cfRule>
  </conditionalFormatting>
  <conditionalFormatting sqref="AC20">
    <cfRule type="cellIs" dxfId="22601" priority="1689" operator="greaterThan">
      <formula>0.9</formula>
    </cfRule>
    <cfRule type="cellIs" dxfId="22600" priority="1690" operator="greaterThan">
      <formula>0.85</formula>
    </cfRule>
  </conditionalFormatting>
  <conditionalFormatting sqref="N20">
    <cfRule type="cellIs" dxfId="22599" priority="1687" operator="greaterThan">
      <formula>0.9</formula>
    </cfRule>
    <cfRule type="cellIs" dxfId="22598" priority="1688" operator="greaterThan">
      <formula>0.85</formula>
    </cfRule>
  </conditionalFormatting>
  <conditionalFormatting sqref="E20">
    <cfRule type="expression" dxfId="22597" priority="1683">
      <formula>AND(IF(OR($Q20=1,$Q20=2),1,0),IF($X20&lt;=20,1,0))</formula>
    </cfRule>
    <cfRule type="expression" dxfId="22596" priority="1684">
      <formula>AND(IF($Q20=2,1,0),IF($X20&lt;30,1,0))</formula>
    </cfRule>
    <cfRule type="expression" dxfId="22595" priority="1685">
      <formula>AND(IF($Q20=3,1,0),IF($X20&lt;30,1,0))</formula>
    </cfRule>
    <cfRule type="expression" dxfId="22594" priority="1686">
      <formula>AND(IF($Q20=3,1,IF($Q20=4,1,0)),IF($F20&lt;=85,1,0))</formula>
    </cfRule>
  </conditionalFormatting>
  <conditionalFormatting sqref="X20">
    <cfRule type="expression" dxfId="22593" priority="1679">
      <formula>AND(IF(OR($Q20=1,$Q20=2),1,0),IF($X20&lt;=20,1,0))</formula>
    </cfRule>
    <cfRule type="expression" dxfId="22592" priority="1680">
      <formula>AND(IF($Q20=2,1,0),IF($X20&lt;30,1,0))</formula>
    </cfRule>
    <cfRule type="expression" dxfId="22591" priority="1681">
      <formula>AND(IF($Q20=3,1,0),IF($X20&lt;30,1,0))</formula>
    </cfRule>
    <cfRule type="expression" dxfId="22590" priority="1682">
      <formula>AND(IF($Q20=3,1,IF($Q20=4,1,0)),IF($F20&lt;=85,1,0))</formula>
    </cfRule>
  </conditionalFormatting>
  <conditionalFormatting sqref="AI20">
    <cfRule type="expression" dxfId="22589" priority="1675">
      <formula>AND(IF(OR($Q20=1,$Q20=2),1,0),IF($X20&lt;=20,1,0))</formula>
    </cfRule>
    <cfRule type="expression" dxfId="22588" priority="1676">
      <formula>AND(IF($Q20=2,1,0),IF($X20&lt;30,1,0))</formula>
    </cfRule>
    <cfRule type="expression" dxfId="22587" priority="1677">
      <formula>AND(IF($Q20=3,1,0),IF($X20&lt;30,1,0))</formula>
    </cfRule>
    <cfRule type="expression" dxfId="22586" priority="1678">
      <formula>AND(IF($Q20=3,1,IF($Q20=4,1,0)),IF($F20&lt;=85,1,0))</formula>
    </cfRule>
  </conditionalFormatting>
  <conditionalFormatting sqref="AV21">
    <cfRule type="expression" dxfId="22585" priority="1673">
      <formula>AV21="X"</formula>
    </cfRule>
    <cfRule type="expression" dxfId="22584" priority="1674">
      <formula>AV21="후보"</formula>
    </cfRule>
  </conditionalFormatting>
  <conditionalFormatting sqref="AC21 N21">
    <cfRule type="cellIs" dxfId="22583" priority="1671" operator="greaterThan">
      <formula>0.9</formula>
    </cfRule>
    <cfRule type="cellIs" dxfId="22582" priority="1672" operator="greaterThan">
      <formula>0.85</formula>
    </cfRule>
  </conditionalFormatting>
  <conditionalFormatting sqref="AV22">
    <cfRule type="expression" dxfId="22581" priority="1669">
      <formula>AV22="X"</formula>
    </cfRule>
    <cfRule type="expression" dxfId="22580" priority="1670">
      <formula>AV22="후보"</formula>
    </cfRule>
  </conditionalFormatting>
  <conditionalFormatting sqref="AC22">
    <cfRule type="cellIs" dxfId="22579" priority="1667" operator="greaterThan">
      <formula>0.9</formula>
    </cfRule>
    <cfRule type="cellIs" dxfId="22578" priority="1668" operator="greaterThan">
      <formula>0.85</formula>
    </cfRule>
  </conditionalFormatting>
  <conditionalFormatting sqref="N22">
    <cfRule type="cellIs" dxfId="22577" priority="1665" operator="greaterThan">
      <formula>0.9</formula>
    </cfRule>
    <cfRule type="cellIs" dxfId="22576" priority="1666" operator="greaterThan">
      <formula>0.85</formula>
    </cfRule>
  </conditionalFormatting>
  <conditionalFormatting sqref="E22">
    <cfRule type="expression" dxfId="22575" priority="1661">
      <formula>AND(IF(OR($Q22=1,$Q22=2),1,0),IF($X22&lt;=20,1,0))</formula>
    </cfRule>
    <cfRule type="expression" dxfId="22574" priority="1662">
      <formula>AND(IF($Q22=2,1,0),IF($X22&lt;30,1,0))</formula>
    </cfRule>
    <cfRule type="expression" dxfId="22573" priority="1663">
      <formula>AND(IF($Q22=3,1,0),IF($X22&lt;30,1,0))</formula>
    </cfRule>
    <cfRule type="expression" dxfId="22572" priority="1664">
      <formula>AND(IF($Q22=3,1,IF($Q22=4,1,0)),IF($F22&lt;=85,1,0))</formula>
    </cfRule>
  </conditionalFormatting>
  <conditionalFormatting sqref="X22">
    <cfRule type="expression" dxfId="22571" priority="1657">
      <formula>AND(IF(OR($Q22=1,$Q22=2),1,0),IF($X22&lt;=20,1,0))</formula>
    </cfRule>
    <cfRule type="expression" dxfId="22570" priority="1658">
      <formula>AND(IF($Q22=2,1,0),IF($X22&lt;30,1,0))</formula>
    </cfRule>
    <cfRule type="expression" dxfId="22569" priority="1659">
      <formula>AND(IF($Q22=3,1,0),IF($X22&lt;30,1,0))</formula>
    </cfRule>
    <cfRule type="expression" dxfId="22568" priority="1660">
      <formula>AND(IF($Q22=3,1,IF($Q22=4,1,0)),IF($F22&lt;=85,1,0))</formula>
    </cfRule>
  </conditionalFormatting>
  <conditionalFormatting sqref="AI22">
    <cfRule type="expression" dxfId="22567" priority="1653">
      <formula>AND(IF(OR($Q22=1,$Q22=2),1,0),IF($X22&lt;=20,1,0))</formula>
    </cfRule>
    <cfRule type="expression" dxfId="22566" priority="1654">
      <formula>AND(IF($Q22=2,1,0),IF($X22&lt;30,1,0))</formula>
    </cfRule>
    <cfRule type="expression" dxfId="22565" priority="1655">
      <formula>AND(IF($Q22=3,1,0),IF($X22&lt;30,1,0))</formula>
    </cfRule>
    <cfRule type="expression" dxfId="22564" priority="1656">
      <formula>AND(IF($Q22=3,1,IF($Q22=4,1,0)),IF($F22&lt;=85,1,0))</formula>
    </cfRule>
  </conditionalFormatting>
  <conditionalFormatting sqref="AV23">
    <cfRule type="expression" dxfId="22563" priority="1651">
      <formula>AV23="X"</formula>
    </cfRule>
    <cfRule type="expression" dxfId="22562" priority="1652">
      <formula>AV23="후보"</formula>
    </cfRule>
  </conditionalFormatting>
  <conditionalFormatting sqref="AC23">
    <cfRule type="cellIs" dxfId="22561" priority="1649" operator="greaterThan">
      <formula>0.9</formula>
    </cfRule>
    <cfRule type="cellIs" dxfId="22560" priority="1650" operator="greaterThan">
      <formula>0.85</formula>
    </cfRule>
  </conditionalFormatting>
  <conditionalFormatting sqref="N23">
    <cfRule type="cellIs" dxfId="22559" priority="1647" operator="greaterThan">
      <formula>0.9</formula>
    </cfRule>
    <cfRule type="cellIs" dxfId="22558" priority="1648" operator="greaterThan">
      <formula>0.85</formula>
    </cfRule>
  </conditionalFormatting>
  <conditionalFormatting sqref="E23">
    <cfRule type="expression" dxfId="22557" priority="1643">
      <formula>AND(IF(OR($Q23=1,$Q23=2),1,0),IF($X23&lt;=20,1,0))</formula>
    </cfRule>
    <cfRule type="expression" dxfId="22556" priority="1644">
      <formula>AND(IF($Q23=2,1,0),IF($X23&lt;30,1,0))</formula>
    </cfRule>
    <cfRule type="expression" dxfId="22555" priority="1645">
      <formula>AND(IF($Q23=3,1,0),IF($X23&lt;30,1,0))</formula>
    </cfRule>
    <cfRule type="expression" dxfId="22554" priority="1646">
      <formula>AND(IF($Q23=3,1,IF($Q23=4,1,0)),IF($F23&lt;=85,1,0))</formula>
    </cfRule>
  </conditionalFormatting>
  <conditionalFormatting sqref="X23">
    <cfRule type="expression" dxfId="22553" priority="1639">
      <formula>AND(IF(OR($Q23=1,$Q23=2),1,0),IF($X23&lt;=20,1,0))</formula>
    </cfRule>
    <cfRule type="expression" dxfId="22552" priority="1640">
      <formula>AND(IF($Q23=2,1,0),IF($X23&lt;30,1,0))</formula>
    </cfRule>
    <cfRule type="expression" dxfId="22551" priority="1641">
      <formula>AND(IF($Q23=3,1,0),IF($X23&lt;30,1,0))</formula>
    </cfRule>
    <cfRule type="expression" dxfId="22550" priority="1642">
      <formula>AND(IF($Q23=3,1,IF($Q23=4,1,0)),IF($F23&lt;=85,1,0))</formula>
    </cfRule>
  </conditionalFormatting>
  <conditionalFormatting sqref="AI23">
    <cfRule type="expression" dxfId="22549" priority="1635">
      <formula>AND(IF(OR($Q23=1,$Q23=2),1,0),IF($X23&lt;=20,1,0))</formula>
    </cfRule>
    <cfRule type="expression" dxfId="22548" priority="1636">
      <formula>AND(IF($Q23=2,1,0),IF($X23&lt;30,1,0))</formula>
    </cfRule>
    <cfRule type="expression" dxfId="22547" priority="1637">
      <formula>AND(IF($Q23=3,1,0),IF($X23&lt;30,1,0))</formula>
    </cfRule>
    <cfRule type="expression" dxfId="22546" priority="1638">
      <formula>AND(IF($Q23=3,1,IF($Q23=4,1,0)),IF($F23&lt;=85,1,0))</formula>
    </cfRule>
  </conditionalFormatting>
  <conditionalFormatting sqref="AV24">
    <cfRule type="expression" dxfId="22545" priority="1633">
      <formula>AV24="X"</formula>
    </cfRule>
    <cfRule type="expression" dxfId="22544" priority="1634">
      <formula>AV24="후보"</formula>
    </cfRule>
  </conditionalFormatting>
  <conditionalFormatting sqref="AC24">
    <cfRule type="cellIs" dxfId="22543" priority="1631" operator="greaterThan">
      <formula>0.9</formula>
    </cfRule>
    <cfRule type="cellIs" dxfId="22542" priority="1632" operator="greaterThan">
      <formula>0.85</formula>
    </cfRule>
  </conditionalFormatting>
  <conditionalFormatting sqref="N24">
    <cfRule type="cellIs" dxfId="22541" priority="1629" operator="greaterThan">
      <formula>0.9</formula>
    </cfRule>
    <cfRule type="cellIs" dxfId="22540" priority="1630" operator="greaterThan">
      <formula>0.85</formula>
    </cfRule>
  </conditionalFormatting>
  <conditionalFormatting sqref="E24">
    <cfRule type="expression" dxfId="22539" priority="1625">
      <formula>AND(IF(OR($Q24=1,$Q24=2),1,0),IF($X24&lt;=20,1,0))</formula>
    </cfRule>
    <cfRule type="expression" dxfId="22538" priority="1626">
      <formula>AND(IF($Q24=2,1,0),IF($X24&lt;30,1,0))</formula>
    </cfRule>
    <cfRule type="expression" dxfId="22537" priority="1627">
      <formula>AND(IF($Q24=3,1,0),IF($X24&lt;30,1,0))</formula>
    </cfRule>
    <cfRule type="expression" dxfId="22536" priority="1628">
      <formula>AND(IF($Q24=3,1,IF($Q24=4,1,0)),IF($F24&lt;=85,1,0))</formula>
    </cfRule>
  </conditionalFormatting>
  <conditionalFormatting sqref="X24">
    <cfRule type="expression" dxfId="22535" priority="1621">
      <formula>AND(IF(OR($Q24=1,$Q24=2),1,0),IF($X24&lt;=20,1,0))</formula>
    </cfRule>
    <cfRule type="expression" dxfId="22534" priority="1622">
      <formula>AND(IF($Q24=2,1,0),IF($X24&lt;30,1,0))</formula>
    </cfRule>
    <cfRule type="expression" dxfId="22533" priority="1623">
      <formula>AND(IF($Q24=3,1,0),IF($X24&lt;30,1,0))</formula>
    </cfRule>
    <cfRule type="expression" dxfId="22532" priority="1624">
      <formula>AND(IF($Q24=3,1,IF($Q24=4,1,0)),IF($F24&lt;=85,1,0))</formula>
    </cfRule>
  </conditionalFormatting>
  <conditionalFormatting sqref="AI24">
    <cfRule type="expression" dxfId="22531" priority="1617">
      <formula>AND(IF(OR($Q24=1,$Q24=2),1,0),IF($X24&lt;=20,1,0))</formula>
    </cfRule>
    <cfRule type="expression" dxfId="22530" priority="1618">
      <formula>AND(IF($Q24=2,1,0),IF($X24&lt;30,1,0))</formula>
    </cfRule>
    <cfRule type="expression" dxfId="22529" priority="1619">
      <formula>AND(IF($Q24=3,1,0),IF($X24&lt;30,1,0))</formula>
    </cfRule>
    <cfRule type="expression" dxfId="22528" priority="1620">
      <formula>AND(IF($Q24=3,1,IF($Q24=4,1,0)),IF($F24&lt;=85,1,0))</formula>
    </cfRule>
  </conditionalFormatting>
  <conditionalFormatting sqref="AV25">
    <cfRule type="expression" dxfId="22527" priority="1615">
      <formula>AV25="X"</formula>
    </cfRule>
    <cfRule type="expression" dxfId="22526" priority="1616">
      <formula>AV25="후보"</formula>
    </cfRule>
  </conditionalFormatting>
  <conditionalFormatting sqref="AC25">
    <cfRule type="cellIs" dxfId="22525" priority="1613" operator="greaterThan">
      <formula>0.9</formula>
    </cfRule>
    <cfRule type="cellIs" dxfId="22524" priority="1614" operator="greaterThan">
      <formula>0.85</formula>
    </cfRule>
  </conditionalFormatting>
  <conditionalFormatting sqref="N25">
    <cfRule type="cellIs" dxfId="22523" priority="1611" operator="greaterThan">
      <formula>0.9</formula>
    </cfRule>
    <cfRule type="cellIs" dxfId="22522" priority="1612" operator="greaterThan">
      <formula>0.85</formula>
    </cfRule>
  </conditionalFormatting>
  <conditionalFormatting sqref="E25">
    <cfRule type="expression" dxfId="22521" priority="1607">
      <formula>AND(IF(OR($Q25=1,$Q25=2),1,0),IF($X25&lt;=20,1,0))</formula>
    </cfRule>
    <cfRule type="expression" dxfId="22520" priority="1608">
      <formula>AND(IF($Q25=2,1,0),IF($X25&lt;30,1,0))</formula>
    </cfRule>
    <cfRule type="expression" dxfId="22519" priority="1609">
      <formula>AND(IF($Q25=3,1,0),IF($X25&lt;30,1,0))</formula>
    </cfRule>
    <cfRule type="expression" dxfId="22518" priority="1610">
      <formula>AND(IF($Q25=3,1,IF($Q25=4,1,0)),IF($F25&lt;=85,1,0))</formula>
    </cfRule>
  </conditionalFormatting>
  <conditionalFormatting sqref="X25">
    <cfRule type="expression" dxfId="22517" priority="1603">
      <formula>AND(IF(OR($Q25=1,$Q25=2),1,0),IF($X25&lt;=20,1,0))</formula>
    </cfRule>
    <cfRule type="expression" dxfId="22516" priority="1604">
      <formula>AND(IF($Q25=2,1,0),IF($X25&lt;30,1,0))</formula>
    </cfRule>
    <cfRule type="expression" dxfId="22515" priority="1605">
      <formula>AND(IF($Q25=3,1,0),IF($X25&lt;30,1,0))</formula>
    </cfRule>
    <cfRule type="expression" dxfId="22514" priority="1606">
      <formula>AND(IF($Q25=3,1,IF($Q25=4,1,0)),IF($F25&lt;=85,1,0))</formula>
    </cfRule>
  </conditionalFormatting>
  <conditionalFormatting sqref="AI25">
    <cfRule type="expression" dxfId="22513" priority="1599">
      <formula>AND(IF(OR($Q25=1,$Q25=2),1,0),IF($X25&lt;=20,1,0))</formula>
    </cfRule>
    <cfRule type="expression" dxfId="22512" priority="1600">
      <formula>AND(IF($Q25=2,1,0),IF($X25&lt;30,1,0))</formula>
    </cfRule>
    <cfRule type="expression" dxfId="22511" priority="1601">
      <formula>AND(IF($Q25=3,1,0),IF($X25&lt;30,1,0))</formula>
    </cfRule>
    <cfRule type="expression" dxfId="22510" priority="1602">
      <formula>AND(IF($Q25=3,1,IF($Q25=4,1,0)),IF($F25&lt;=85,1,0))</formula>
    </cfRule>
  </conditionalFormatting>
  <conditionalFormatting sqref="AV26">
    <cfRule type="expression" dxfId="22509" priority="1597">
      <formula>AV26="X"</formula>
    </cfRule>
    <cfRule type="expression" dxfId="22508" priority="1598">
      <formula>AV26="후보"</formula>
    </cfRule>
  </conditionalFormatting>
  <conditionalFormatting sqref="AC26 N26">
    <cfRule type="cellIs" dxfId="22507" priority="1595" operator="greaterThan">
      <formula>0.9</formula>
    </cfRule>
    <cfRule type="cellIs" dxfId="22506" priority="1596" operator="greaterThan">
      <formula>0.85</formula>
    </cfRule>
  </conditionalFormatting>
  <conditionalFormatting sqref="AV27">
    <cfRule type="expression" dxfId="22505" priority="1593">
      <formula>AV27="X"</formula>
    </cfRule>
    <cfRule type="expression" dxfId="22504" priority="1594">
      <formula>AV27="후보"</formula>
    </cfRule>
  </conditionalFormatting>
  <conditionalFormatting sqref="AC27">
    <cfRule type="cellIs" dxfId="22503" priority="1591" operator="greaterThan">
      <formula>0.9</formula>
    </cfRule>
    <cfRule type="cellIs" dxfId="22502" priority="1592" operator="greaterThan">
      <formula>0.85</formula>
    </cfRule>
  </conditionalFormatting>
  <conditionalFormatting sqref="N27">
    <cfRule type="cellIs" dxfId="22501" priority="1589" operator="greaterThan">
      <formula>0.9</formula>
    </cfRule>
    <cfRule type="cellIs" dxfId="22500" priority="1590" operator="greaterThan">
      <formula>0.85</formula>
    </cfRule>
  </conditionalFormatting>
  <conditionalFormatting sqref="E27">
    <cfRule type="expression" dxfId="22499" priority="1585">
      <formula>AND(IF(OR($Q27=1,$Q27=2),1,0),IF($X27&lt;=20,1,0))</formula>
    </cfRule>
    <cfRule type="expression" dxfId="22498" priority="1586">
      <formula>AND(IF($Q27=2,1,0),IF($X27&lt;30,1,0))</formula>
    </cfRule>
    <cfRule type="expression" dxfId="22497" priority="1587">
      <formula>AND(IF($Q27=3,1,0),IF($X27&lt;30,1,0))</formula>
    </cfRule>
    <cfRule type="expression" dxfId="22496" priority="1588">
      <formula>AND(IF($Q27=3,1,IF($Q27=4,1,0)),IF($F27&lt;=85,1,0))</formula>
    </cfRule>
  </conditionalFormatting>
  <conditionalFormatting sqref="X27">
    <cfRule type="expression" dxfId="22495" priority="1581">
      <formula>AND(IF(OR($Q27=1,$Q27=2),1,0),IF($X27&lt;=20,1,0))</formula>
    </cfRule>
    <cfRule type="expression" dxfId="22494" priority="1582">
      <formula>AND(IF($Q27=2,1,0),IF($X27&lt;30,1,0))</formula>
    </cfRule>
    <cfRule type="expression" dxfId="22493" priority="1583">
      <formula>AND(IF($Q27=3,1,0),IF($X27&lt;30,1,0))</formula>
    </cfRule>
    <cfRule type="expression" dxfId="22492" priority="1584">
      <formula>AND(IF($Q27=3,1,IF($Q27=4,1,0)),IF($F27&lt;=85,1,0))</formula>
    </cfRule>
  </conditionalFormatting>
  <conditionalFormatting sqref="AI27">
    <cfRule type="expression" dxfId="22491" priority="1577">
      <formula>AND(IF(OR($Q27=1,$Q27=2),1,0),IF($X27&lt;=20,1,0))</formula>
    </cfRule>
    <cfRule type="expression" dxfId="22490" priority="1578">
      <formula>AND(IF($Q27=2,1,0),IF($X27&lt;30,1,0))</formula>
    </cfRule>
    <cfRule type="expression" dxfId="22489" priority="1579">
      <formula>AND(IF($Q27=3,1,0),IF($X27&lt;30,1,0))</formula>
    </cfRule>
    <cfRule type="expression" dxfId="22488" priority="1580">
      <formula>AND(IF($Q27=3,1,IF($Q27=4,1,0)),IF($F27&lt;=85,1,0))</formula>
    </cfRule>
  </conditionalFormatting>
  <conditionalFormatting sqref="AV28">
    <cfRule type="expression" dxfId="22487" priority="1575">
      <formula>AV28="X"</formula>
    </cfRule>
    <cfRule type="expression" dxfId="22486" priority="1576">
      <formula>AV28="후보"</formula>
    </cfRule>
  </conditionalFormatting>
  <conditionalFormatting sqref="AC28">
    <cfRule type="cellIs" dxfId="22485" priority="1573" operator="greaterThan">
      <formula>0.9</formula>
    </cfRule>
    <cfRule type="cellIs" dxfId="22484" priority="1574" operator="greaterThan">
      <formula>0.85</formula>
    </cfRule>
  </conditionalFormatting>
  <conditionalFormatting sqref="N28">
    <cfRule type="cellIs" dxfId="22483" priority="1571" operator="greaterThan">
      <formula>0.9</formula>
    </cfRule>
    <cfRule type="cellIs" dxfId="22482" priority="1572" operator="greaterThan">
      <formula>0.85</formula>
    </cfRule>
  </conditionalFormatting>
  <conditionalFormatting sqref="E28">
    <cfRule type="expression" dxfId="22481" priority="1567">
      <formula>AND(IF(OR($Q28=1,$Q28=2),1,0),IF($X28&lt;=20,1,0))</formula>
    </cfRule>
    <cfRule type="expression" dxfId="22480" priority="1568">
      <formula>AND(IF($Q28=2,1,0),IF($X28&lt;30,1,0))</formula>
    </cfRule>
    <cfRule type="expression" dxfId="22479" priority="1569">
      <formula>AND(IF($Q28=3,1,0),IF($X28&lt;30,1,0))</formula>
    </cfRule>
    <cfRule type="expression" dxfId="22478" priority="1570">
      <formula>AND(IF($Q28=3,1,IF($Q28=4,1,0)),IF($F28&lt;=85,1,0))</formula>
    </cfRule>
  </conditionalFormatting>
  <conditionalFormatting sqref="X28">
    <cfRule type="expression" dxfId="22477" priority="1563">
      <formula>AND(IF(OR($Q28=1,$Q28=2),1,0),IF($X28&lt;=20,1,0))</formula>
    </cfRule>
    <cfRule type="expression" dxfId="22476" priority="1564">
      <formula>AND(IF($Q28=2,1,0),IF($X28&lt;30,1,0))</formula>
    </cfRule>
    <cfRule type="expression" dxfId="22475" priority="1565">
      <formula>AND(IF($Q28=3,1,0),IF($X28&lt;30,1,0))</formula>
    </cfRule>
    <cfRule type="expression" dxfId="22474" priority="1566">
      <formula>AND(IF($Q28=3,1,IF($Q28=4,1,0)),IF($F28&lt;=85,1,0))</formula>
    </cfRule>
  </conditionalFormatting>
  <conditionalFormatting sqref="AI28">
    <cfRule type="expression" dxfId="22473" priority="1559">
      <formula>AND(IF(OR($Q28=1,$Q28=2),1,0),IF($X28&lt;=20,1,0))</formula>
    </cfRule>
    <cfRule type="expression" dxfId="22472" priority="1560">
      <formula>AND(IF($Q28=2,1,0),IF($X28&lt;30,1,0))</formula>
    </cfRule>
    <cfRule type="expression" dxfId="22471" priority="1561">
      <formula>AND(IF($Q28=3,1,0),IF($X28&lt;30,1,0))</formula>
    </cfRule>
    <cfRule type="expression" dxfId="22470" priority="1562">
      <formula>AND(IF($Q28=3,1,IF($Q28=4,1,0)),IF($F28&lt;=85,1,0))</formula>
    </cfRule>
  </conditionalFormatting>
  <conditionalFormatting sqref="AV29">
    <cfRule type="expression" dxfId="22469" priority="1557">
      <formula>AV29="X"</formula>
    </cfRule>
    <cfRule type="expression" dxfId="22468" priority="1558">
      <formula>AV29="후보"</formula>
    </cfRule>
  </conditionalFormatting>
  <conditionalFormatting sqref="AC29">
    <cfRule type="cellIs" dxfId="22467" priority="1555" operator="greaterThan">
      <formula>0.9</formula>
    </cfRule>
    <cfRule type="cellIs" dxfId="22466" priority="1556" operator="greaterThan">
      <formula>0.85</formula>
    </cfRule>
  </conditionalFormatting>
  <conditionalFormatting sqref="N29">
    <cfRule type="cellIs" dxfId="22465" priority="1553" operator="greaterThan">
      <formula>0.9</formula>
    </cfRule>
    <cfRule type="cellIs" dxfId="22464" priority="1554" operator="greaterThan">
      <formula>0.85</formula>
    </cfRule>
  </conditionalFormatting>
  <conditionalFormatting sqref="E29">
    <cfRule type="expression" dxfId="22463" priority="1549">
      <formula>AND(IF(OR($Q29=1,$Q29=2),1,0),IF($X29&lt;=20,1,0))</formula>
    </cfRule>
    <cfRule type="expression" dxfId="22462" priority="1550">
      <formula>AND(IF($Q29=2,1,0),IF($X29&lt;30,1,0))</formula>
    </cfRule>
    <cfRule type="expression" dxfId="22461" priority="1551">
      <formula>AND(IF($Q29=3,1,0),IF($X29&lt;30,1,0))</formula>
    </cfRule>
    <cfRule type="expression" dxfId="22460" priority="1552">
      <formula>AND(IF($Q29=3,1,IF($Q29=4,1,0)),IF($F29&lt;=85,1,0))</formula>
    </cfRule>
  </conditionalFormatting>
  <conditionalFormatting sqref="X29">
    <cfRule type="expression" dxfId="22459" priority="1545">
      <formula>AND(IF(OR($Q29=1,$Q29=2),1,0),IF($X29&lt;=20,1,0))</formula>
    </cfRule>
    <cfRule type="expression" dxfId="22458" priority="1546">
      <formula>AND(IF($Q29=2,1,0),IF($X29&lt;30,1,0))</formula>
    </cfRule>
    <cfRule type="expression" dxfId="22457" priority="1547">
      <formula>AND(IF($Q29=3,1,0),IF($X29&lt;30,1,0))</formula>
    </cfRule>
    <cfRule type="expression" dxfId="22456" priority="1548">
      <formula>AND(IF($Q29=3,1,IF($Q29=4,1,0)),IF($F29&lt;=85,1,0))</formula>
    </cfRule>
  </conditionalFormatting>
  <conditionalFormatting sqref="AI29">
    <cfRule type="expression" dxfId="22455" priority="1541">
      <formula>AND(IF(OR($Q29=1,$Q29=2),1,0),IF($X29&lt;=20,1,0))</formula>
    </cfRule>
    <cfRule type="expression" dxfId="22454" priority="1542">
      <formula>AND(IF($Q29=2,1,0),IF($X29&lt;30,1,0))</formula>
    </cfRule>
    <cfRule type="expression" dxfId="22453" priority="1543">
      <formula>AND(IF($Q29=3,1,0),IF($X29&lt;30,1,0))</formula>
    </cfRule>
    <cfRule type="expression" dxfId="22452" priority="1544">
      <formula>AND(IF($Q29=3,1,IF($Q29=4,1,0)),IF($F29&lt;=85,1,0))</formula>
    </cfRule>
  </conditionalFormatting>
  <conditionalFormatting sqref="AV30">
    <cfRule type="expression" dxfId="22451" priority="1539">
      <formula>AV30="X"</formula>
    </cfRule>
    <cfRule type="expression" dxfId="22450" priority="1540">
      <formula>AV30="후보"</formula>
    </cfRule>
  </conditionalFormatting>
  <conditionalFormatting sqref="AC30 N30">
    <cfRule type="cellIs" dxfId="22449" priority="1537" operator="greaterThan">
      <formula>0.9</formula>
    </cfRule>
    <cfRule type="cellIs" dxfId="22448" priority="1538" operator="greaterThan">
      <formula>0.85</formula>
    </cfRule>
  </conditionalFormatting>
  <conditionalFormatting sqref="AV31">
    <cfRule type="expression" dxfId="22447" priority="1535">
      <formula>AV31="X"</formula>
    </cfRule>
    <cfRule type="expression" dxfId="22446" priority="1536">
      <formula>AV31="후보"</formula>
    </cfRule>
  </conditionalFormatting>
  <conditionalFormatting sqref="AC31">
    <cfRule type="cellIs" dxfId="22445" priority="1533" operator="greaterThan">
      <formula>0.9</formula>
    </cfRule>
    <cfRule type="cellIs" dxfId="22444" priority="1534" operator="greaterThan">
      <formula>0.85</formula>
    </cfRule>
  </conditionalFormatting>
  <conditionalFormatting sqref="N31">
    <cfRule type="cellIs" dxfId="22443" priority="1531" operator="greaterThan">
      <formula>0.9</formula>
    </cfRule>
    <cfRule type="cellIs" dxfId="22442" priority="1532" operator="greaterThan">
      <formula>0.85</formula>
    </cfRule>
  </conditionalFormatting>
  <conditionalFormatting sqref="E31">
    <cfRule type="expression" dxfId="22441" priority="1527">
      <formula>AND(IF(OR($Q31=1,$Q31=2),1,0),IF($X31&lt;=20,1,0))</formula>
    </cfRule>
    <cfRule type="expression" dxfId="22440" priority="1528">
      <formula>AND(IF($Q31=2,1,0),IF($X31&lt;30,1,0))</formula>
    </cfRule>
    <cfRule type="expression" dxfId="22439" priority="1529">
      <formula>AND(IF($Q31=3,1,0),IF($X31&lt;30,1,0))</formula>
    </cfRule>
    <cfRule type="expression" dxfId="22438" priority="1530">
      <formula>AND(IF($Q31=3,1,IF($Q31=4,1,0)),IF($F31&lt;=85,1,0))</formula>
    </cfRule>
  </conditionalFormatting>
  <conditionalFormatting sqref="X31">
    <cfRule type="expression" dxfId="22437" priority="1523">
      <formula>AND(IF(OR($Q31=1,$Q31=2),1,0),IF($X31&lt;=20,1,0))</formula>
    </cfRule>
    <cfRule type="expression" dxfId="22436" priority="1524">
      <formula>AND(IF($Q31=2,1,0),IF($X31&lt;30,1,0))</formula>
    </cfRule>
    <cfRule type="expression" dxfId="22435" priority="1525">
      <formula>AND(IF($Q31=3,1,0),IF($X31&lt;30,1,0))</formula>
    </cfRule>
    <cfRule type="expression" dxfId="22434" priority="1526">
      <formula>AND(IF($Q31=3,1,IF($Q31=4,1,0)),IF($F31&lt;=85,1,0))</formula>
    </cfRule>
  </conditionalFormatting>
  <conditionalFormatting sqref="AI31">
    <cfRule type="expression" dxfId="22433" priority="1519">
      <formula>AND(IF(OR($Q31=1,$Q31=2),1,0),IF($X31&lt;=20,1,0))</formula>
    </cfRule>
    <cfRule type="expression" dxfId="22432" priority="1520">
      <formula>AND(IF($Q31=2,1,0),IF($X31&lt;30,1,0))</formula>
    </cfRule>
    <cfRule type="expression" dxfId="22431" priority="1521">
      <formula>AND(IF($Q31=3,1,0),IF($X31&lt;30,1,0))</formula>
    </cfRule>
    <cfRule type="expression" dxfId="22430" priority="1522">
      <formula>AND(IF($Q31=3,1,IF($Q31=4,1,0)),IF($F31&lt;=85,1,0))</formula>
    </cfRule>
  </conditionalFormatting>
  <conditionalFormatting sqref="AV32">
    <cfRule type="expression" dxfId="22429" priority="1517">
      <formula>AV32="X"</formula>
    </cfRule>
    <cfRule type="expression" dxfId="22428" priority="1518">
      <formula>AV32="후보"</formula>
    </cfRule>
  </conditionalFormatting>
  <conditionalFormatting sqref="AC32 N32">
    <cfRule type="cellIs" dxfId="22427" priority="1515" operator="greaterThan">
      <formula>0.9</formula>
    </cfRule>
    <cfRule type="cellIs" dxfId="22426" priority="1516" operator="greaterThan">
      <formula>0.85</formula>
    </cfRule>
  </conditionalFormatting>
  <conditionalFormatting sqref="AV33">
    <cfRule type="expression" dxfId="22425" priority="1513">
      <formula>AV33="X"</formula>
    </cfRule>
    <cfRule type="expression" dxfId="22424" priority="1514">
      <formula>AV33="후보"</formula>
    </cfRule>
  </conditionalFormatting>
  <conditionalFormatting sqref="AC33">
    <cfRule type="cellIs" dxfId="22423" priority="1511" operator="greaterThan">
      <formula>0.9</formula>
    </cfRule>
    <cfRule type="cellIs" dxfId="22422" priority="1512" operator="greaterThan">
      <formula>0.85</formula>
    </cfRule>
  </conditionalFormatting>
  <conditionalFormatting sqref="N33">
    <cfRule type="cellIs" dxfId="22421" priority="1509" operator="greaterThan">
      <formula>0.9</formula>
    </cfRule>
    <cfRule type="cellIs" dxfId="22420" priority="1510" operator="greaterThan">
      <formula>0.85</formula>
    </cfRule>
  </conditionalFormatting>
  <conditionalFormatting sqref="E33">
    <cfRule type="expression" dxfId="22419" priority="1505">
      <formula>AND(IF(OR($Q33=1,$Q33=2),1,0),IF($X33&lt;=20,1,0))</formula>
    </cfRule>
    <cfRule type="expression" dxfId="22418" priority="1506">
      <formula>AND(IF($Q33=2,1,0),IF($X33&lt;30,1,0))</formula>
    </cfRule>
    <cfRule type="expression" dxfId="22417" priority="1507">
      <formula>AND(IF($Q33=3,1,0),IF($X33&lt;30,1,0))</formula>
    </cfRule>
    <cfRule type="expression" dxfId="22416" priority="1508">
      <formula>AND(IF($Q33=3,1,IF($Q33=4,1,0)),IF($F33&lt;=85,1,0))</formula>
    </cfRule>
  </conditionalFormatting>
  <conditionalFormatting sqref="X33">
    <cfRule type="expression" dxfId="22415" priority="1501">
      <formula>AND(IF(OR($Q33=1,$Q33=2),1,0),IF($X33&lt;=20,1,0))</formula>
    </cfRule>
    <cfRule type="expression" dxfId="22414" priority="1502">
      <formula>AND(IF($Q33=2,1,0),IF($X33&lt;30,1,0))</formula>
    </cfRule>
    <cfRule type="expression" dxfId="22413" priority="1503">
      <formula>AND(IF($Q33=3,1,0),IF($X33&lt;30,1,0))</formula>
    </cfRule>
    <cfRule type="expression" dxfId="22412" priority="1504">
      <formula>AND(IF($Q33=3,1,IF($Q33=4,1,0)),IF($F33&lt;=85,1,0))</formula>
    </cfRule>
  </conditionalFormatting>
  <conditionalFormatting sqref="AI33">
    <cfRule type="expression" dxfId="22411" priority="1497">
      <formula>AND(IF(OR($Q33=1,$Q33=2),1,0),IF($X33&lt;=20,1,0))</formula>
    </cfRule>
    <cfRule type="expression" dxfId="22410" priority="1498">
      <formula>AND(IF($Q33=2,1,0),IF($X33&lt;30,1,0))</formula>
    </cfRule>
    <cfRule type="expression" dxfId="22409" priority="1499">
      <formula>AND(IF($Q33=3,1,0),IF($X33&lt;30,1,0))</formula>
    </cfRule>
    <cfRule type="expression" dxfId="22408" priority="1500">
      <formula>AND(IF($Q33=3,1,IF($Q33=4,1,0)),IF($F33&lt;=85,1,0))</formula>
    </cfRule>
  </conditionalFormatting>
  <conditionalFormatting sqref="AV34">
    <cfRule type="expression" dxfId="22407" priority="1495">
      <formula>AV34="X"</formula>
    </cfRule>
    <cfRule type="expression" dxfId="22406" priority="1496">
      <formula>AV34="후보"</formula>
    </cfRule>
  </conditionalFormatting>
  <conditionalFormatting sqref="AC34 N34">
    <cfRule type="cellIs" dxfId="22405" priority="1493" operator="greaterThan">
      <formula>0.9</formula>
    </cfRule>
    <cfRule type="cellIs" dxfId="22404" priority="1494" operator="greaterThan">
      <formula>0.85</formula>
    </cfRule>
  </conditionalFormatting>
  <conditionalFormatting sqref="AV35">
    <cfRule type="expression" dxfId="22403" priority="1491">
      <formula>AV35="X"</formula>
    </cfRule>
    <cfRule type="expression" dxfId="22402" priority="1492">
      <formula>AV35="후보"</formula>
    </cfRule>
  </conditionalFormatting>
  <conditionalFormatting sqref="AC35">
    <cfRule type="cellIs" dxfId="22401" priority="1489" operator="greaterThan">
      <formula>0.9</formula>
    </cfRule>
    <cfRule type="cellIs" dxfId="22400" priority="1490" operator="greaterThan">
      <formula>0.85</formula>
    </cfRule>
  </conditionalFormatting>
  <conditionalFormatting sqref="N35">
    <cfRule type="cellIs" dxfId="22399" priority="1487" operator="greaterThan">
      <formula>0.9</formula>
    </cfRule>
    <cfRule type="cellIs" dxfId="22398" priority="1488" operator="greaterThan">
      <formula>0.85</formula>
    </cfRule>
  </conditionalFormatting>
  <conditionalFormatting sqref="E35">
    <cfRule type="expression" dxfId="22397" priority="1483">
      <formula>AND(IF(OR($Q35=1,$Q35=2),1,0),IF($X35&lt;=20,1,0))</formula>
    </cfRule>
    <cfRule type="expression" dxfId="22396" priority="1484">
      <formula>AND(IF($Q35=2,1,0),IF($X35&lt;30,1,0))</formula>
    </cfRule>
    <cfRule type="expression" dxfId="22395" priority="1485">
      <formula>AND(IF($Q35=3,1,0),IF($X35&lt;30,1,0))</formula>
    </cfRule>
    <cfRule type="expression" dxfId="22394" priority="1486">
      <formula>AND(IF($Q35=3,1,IF($Q35=4,1,0)),IF($F35&lt;=85,1,0))</formula>
    </cfRule>
  </conditionalFormatting>
  <conditionalFormatting sqref="X35">
    <cfRule type="expression" dxfId="22393" priority="1479">
      <formula>AND(IF(OR($Q35=1,$Q35=2),1,0),IF($X35&lt;=20,1,0))</formula>
    </cfRule>
    <cfRule type="expression" dxfId="22392" priority="1480">
      <formula>AND(IF($Q35=2,1,0),IF($X35&lt;30,1,0))</formula>
    </cfRule>
    <cfRule type="expression" dxfId="22391" priority="1481">
      <formula>AND(IF($Q35=3,1,0),IF($X35&lt;30,1,0))</formula>
    </cfRule>
    <cfRule type="expression" dxfId="22390" priority="1482">
      <formula>AND(IF($Q35=3,1,IF($Q35=4,1,0)),IF($F35&lt;=85,1,0))</formula>
    </cfRule>
  </conditionalFormatting>
  <conditionalFormatting sqref="AI35">
    <cfRule type="expression" dxfId="22389" priority="1475">
      <formula>AND(IF(OR($Q35=1,$Q35=2),1,0),IF($X35&lt;=20,1,0))</formula>
    </cfRule>
    <cfRule type="expression" dxfId="22388" priority="1476">
      <formula>AND(IF($Q35=2,1,0),IF($X35&lt;30,1,0))</formula>
    </cfRule>
    <cfRule type="expression" dxfId="22387" priority="1477">
      <formula>AND(IF($Q35=3,1,0),IF($X35&lt;30,1,0))</formula>
    </cfRule>
    <cfRule type="expression" dxfId="22386" priority="1478">
      <formula>AND(IF($Q35=3,1,IF($Q35=4,1,0)),IF($F35&lt;=85,1,0))</formula>
    </cfRule>
  </conditionalFormatting>
  <conditionalFormatting sqref="AV36">
    <cfRule type="expression" dxfId="22385" priority="1473">
      <formula>AV36="X"</formula>
    </cfRule>
    <cfRule type="expression" dxfId="22384" priority="1474">
      <formula>AV36="후보"</formula>
    </cfRule>
  </conditionalFormatting>
  <conditionalFormatting sqref="AC36">
    <cfRule type="cellIs" dxfId="22383" priority="1471" operator="greaterThan">
      <formula>0.9</formula>
    </cfRule>
    <cfRule type="cellIs" dxfId="22382" priority="1472" operator="greaterThan">
      <formula>0.85</formula>
    </cfRule>
  </conditionalFormatting>
  <conditionalFormatting sqref="N36">
    <cfRule type="cellIs" dxfId="22381" priority="1469" operator="greaterThan">
      <formula>0.9</formula>
    </cfRule>
    <cfRule type="cellIs" dxfId="22380" priority="1470" operator="greaterThan">
      <formula>0.85</formula>
    </cfRule>
  </conditionalFormatting>
  <conditionalFormatting sqref="E36">
    <cfRule type="expression" dxfId="22379" priority="1465">
      <formula>AND(IF(OR($Q36=1,$Q36=2),1,0),IF($X36&lt;=20,1,0))</formula>
    </cfRule>
    <cfRule type="expression" dxfId="22378" priority="1466">
      <formula>AND(IF($Q36=2,1,0),IF($X36&lt;30,1,0))</formula>
    </cfRule>
    <cfRule type="expression" dxfId="22377" priority="1467">
      <formula>AND(IF($Q36=3,1,0),IF($X36&lt;30,1,0))</formula>
    </cfRule>
    <cfRule type="expression" dxfId="22376" priority="1468">
      <formula>AND(IF($Q36=3,1,IF($Q36=4,1,0)),IF($F36&lt;=85,1,0))</formula>
    </cfRule>
  </conditionalFormatting>
  <conditionalFormatting sqref="X36">
    <cfRule type="expression" dxfId="22375" priority="1461">
      <formula>AND(IF(OR($Q36=1,$Q36=2),1,0),IF($X36&lt;=20,1,0))</formula>
    </cfRule>
    <cfRule type="expression" dxfId="22374" priority="1462">
      <formula>AND(IF($Q36=2,1,0),IF($X36&lt;30,1,0))</formula>
    </cfRule>
    <cfRule type="expression" dxfId="22373" priority="1463">
      <formula>AND(IF($Q36=3,1,0),IF($X36&lt;30,1,0))</formula>
    </cfRule>
    <cfRule type="expression" dxfId="22372" priority="1464">
      <formula>AND(IF($Q36=3,1,IF($Q36=4,1,0)),IF($F36&lt;=85,1,0))</formula>
    </cfRule>
  </conditionalFormatting>
  <conditionalFormatting sqref="AI36">
    <cfRule type="expression" dxfId="22371" priority="1457">
      <formula>AND(IF(OR($Q36=1,$Q36=2),1,0),IF($X36&lt;=20,1,0))</formula>
    </cfRule>
    <cfRule type="expression" dxfId="22370" priority="1458">
      <formula>AND(IF($Q36=2,1,0),IF($X36&lt;30,1,0))</formula>
    </cfRule>
    <cfRule type="expression" dxfId="22369" priority="1459">
      <formula>AND(IF($Q36=3,1,0),IF($X36&lt;30,1,0))</formula>
    </cfRule>
    <cfRule type="expression" dxfId="22368" priority="1460">
      <formula>AND(IF($Q36=3,1,IF($Q36=4,1,0)),IF($F36&lt;=85,1,0))</formula>
    </cfRule>
  </conditionalFormatting>
  <conditionalFormatting sqref="AV37">
    <cfRule type="expression" dxfId="22367" priority="1455">
      <formula>AV37="X"</formula>
    </cfRule>
    <cfRule type="expression" dxfId="22366" priority="1456">
      <formula>AV37="후보"</formula>
    </cfRule>
  </conditionalFormatting>
  <conditionalFormatting sqref="AC37">
    <cfRule type="cellIs" dxfId="22365" priority="1453" operator="greaterThan">
      <formula>0.9</formula>
    </cfRule>
    <cfRule type="cellIs" dxfId="22364" priority="1454" operator="greaterThan">
      <formula>0.85</formula>
    </cfRule>
  </conditionalFormatting>
  <conditionalFormatting sqref="N37">
    <cfRule type="cellIs" dxfId="22363" priority="1451" operator="greaterThan">
      <formula>0.9</formula>
    </cfRule>
    <cfRule type="cellIs" dxfId="22362" priority="1452" operator="greaterThan">
      <formula>0.85</formula>
    </cfRule>
  </conditionalFormatting>
  <conditionalFormatting sqref="E37">
    <cfRule type="expression" dxfId="22361" priority="1447">
      <formula>AND(IF(OR($Q37=1,$Q37=2),1,0),IF($X37&lt;=20,1,0))</formula>
    </cfRule>
    <cfRule type="expression" dxfId="22360" priority="1448">
      <formula>AND(IF($Q37=2,1,0),IF($X37&lt;30,1,0))</formula>
    </cfRule>
    <cfRule type="expression" dxfId="22359" priority="1449">
      <formula>AND(IF($Q37=3,1,0),IF($X37&lt;30,1,0))</formula>
    </cfRule>
    <cfRule type="expression" dxfId="22358" priority="1450">
      <formula>AND(IF($Q37=3,1,IF($Q37=4,1,0)),IF($F37&lt;=85,1,0))</formula>
    </cfRule>
  </conditionalFormatting>
  <conditionalFormatting sqref="X37">
    <cfRule type="expression" dxfId="22357" priority="1443">
      <formula>AND(IF(OR($Q37=1,$Q37=2),1,0),IF($X37&lt;=20,1,0))</formula>
    </cfRule>
    <cfRule type="expression" dxfId="22356" priority="1444">
      <formula>AND(IF($Q37=2,1,0),IF($X37&lt;30,1,0))</formula>
    </cfRule>
    <cfRule type="expression" dxfId="22355" priority="1445">
      <formula>AND(IF($Q37=3,1,0),IF($X37&lt;30,1,0))</formula>
    </cfRule>
    <cfRule type="expression" dxfId="22354" priority="1446">
      <formula>AND(IF($Q37=3,1,IF($Q37=4,1,0)),IF($F37&lt;=85,1,0))</formula>
    </cfRule>
  </conditionalFormatting>
  <conditionalFormatting sqref="AI37">
    <cfRule type="expression" dxfId="22353" priority="1439">
      <formula>AND(IF(OR($Q37=1,$Q37=2),1,0),IF($X37&lt;=20,1,0))</formula>
    </cfRule>
    <cfRule type="expression" dxfId="22352" priority="1440">
      <formula>AND(IF($Q37=2,1,0),IF($X37&lt;30,1,0))</formula>
    </cfRule>
    <cfRule type="expression" dxfId="22351" priority="1441">
      <formula>AND(IF($Q37=3,1,0),IF($X37&lt;30,1,0))</formula>
    </cfRule>
    <cfRule type="expression" dxfId="22350" priority="1442">
      <formula>AND(IF($Q37=3,1,IF($Q37=4,1,0)),IF($F37&lt;=85,1,0))</formula>
    </cfRule>
  </conditionalFormatting>
  <conditionalFormatting sqref="AV38">
    <cfRule type="expression" dxfId="22349" priority="1437">
      <formula>AV38="X"</formula>
    </cfRule>
    <cfRule type="expression" dxfId="22348" priority="1438">
      <formula>AV38="후보"</formula>
    </cfRule>
  </conditionalFormatting>
  <conditionalFormatting sqref="AC38 N38">
    <cfRule type="cellIs" dxfId="22347" priority="1435" operator="greaterThan">
      <formula>0.9</formula>
    </cfRule>
    <cfRule type="cellIs" dxfId="22346" priority="1436" operator="greaterThan">
      <formula>0.85</formula>
    </cfRule>
  </conditionalFormatting>
  <conditionalFormatting sqref="AV39">
    <cfRule type="expression" dxfId="22345" priority="1433">
      <formula>AV39="X"</formula>
    </cfRule>
    <cfRule type="expression" dxfId="22344" priority="1434">
      <formula>AV39="후보"</formula>
    </cfRule>
  </conditionalFormatting>
  <conditionalFormatting sqref="AC39">
    <cfRule type="cellIs" dxfId="22343" priority="1431" operator="greaterThan">
      <formula>0.9</formula>
    </cfRule>
    <cfRule type="cellIs" dxfId="22342" priority="1432" operator="greaterThan">
      <formula>0.85</formula>
    </cfRule>
  </conditionalFormatting>
  <conditionalFormatting sqref="N39">
    <cfRule type="cellIs" dxfId="22341" priority="1429" operator="greaterThan">
      <formula>0.9</formula>
    </cfRule>
    <cfRule type="cellIs" dxfId="22340" priority="1430" operator="greaterThan">
      <formula>0.85</formula>
    </cfRule>
  </conditionalFormatting>
  <conditionalFormatting sqref="E39">
    <cfRule type="expression" dxfId="22339" priority="1425">
      <formula>AND(IF(OR($Q39=1,$Q39=2),1,0),IF($X39&lt;=20,1,0))</formula>
    </cfRule>
    <cfRule type="expression" dxfId="22338" priority="1426">
      <formula>AND(IF($Q39=2,1,0),IF($X39&lt;30,1,0))</formula>
    </cfRule>
    <cfRule type="expression" dxfId="22337" priority="1427">
      <formula>AND(IF($Q39=3,1,0),IF($X39&lt;30,1,0))</formula>
    </cfRule>
    <cfRule type="expression" dxfId="22336" priority="1428">
      <formula>AND(IF($Q39=3,1,IF($Q39=4,1,0)),IF($F39&lt;=85,1,0))</formula>
    </cfRule>
  </conditionalFormatting>
  <conditionalFormatting sqref="X39">
    <cfRule type="expression" dxfId="22335" priority="1421">
      <formula>AND(IF(OR($Q39=1,$Q39=2),1,0),IF($X39&lt;=20,1,0))</formula>
    </cfRule>
    <cfRule type="expression" dxfId="22334" priority="1422">
      <formula>AND(IF($Q39=2,1,0),IF($X39&lt;30,1,0))</formula>
    </cfRule>
    <cfRule type="expression" dxfId="22333" priority="1423">
      <formula>AND(IF($Q39=3,1,0),IF($X39&lt;30,1,0))</formula>
    </cfRule>
    <cfRule type="expression" dxfId="22332" priority="1424">
      <formula>AND(IF($Q39=3,1,IF($Q39=4,1,0)),IF($F39&lt;=85,1,0))</formula>
    </cfRule>
  </conditionalFormatting>
  <conditionalFormatting sqref="AI39">
    <cfRule type="expression" dxfId="22331" priority="1417">
      <formula>AND(IF(OR($Q39=1,$Q39=2),1,0),IF($X39&lt;=20,1,0))</formula>
    </cfRule>
    <cfRule type="expression" dxfId="22330" priority="1418">
      <formula>AND(IF($Q39=2,1,0),IF($X39&lt;30,1,0))</formula>
    </cfRule>
    <cfRule type="expression" dxfId="22329" priority="1419">
      <formula>AND(IF($Q39=3,1,0),IF($X39&lt;30,1,0))</formula>
    </cfRule>
    <cfRule type="expression" dxfId="22328" priority="1420">
      <formula>AND(IF($Q39=3,1,IF($Q39=4,1,0)),IF($F39&lt;=85,1,0))</formula>
    </cfRule>
  </conditionalFormatting>
  <conditionalFormatting sqref="AV40">
    <cfRule type="expression" dxfId="22327" priority="1415">
      <formula>AV40="X"</formula>
    </cfRule>
    <cfRule type="expression" dxfId="22326" priority="1416">
      <formula>AV40="후보"</formula>
    </cfRule>
  </conditionalFormatting>
  <conditionalFormatting sqref="AC40">
    <cfRule type="cellIs" dxfId="22325" priority="1413" operator="greaterThan">
      <formula>0.9</formula>
    </cfRule>
    <cfRule type="cellIs" dxfId="22324" priority="1414" operator="greaterThan">
      <formula>0.85</formula>
    </cfRule>
  </conditionalFormatting>
  <conditionalFormatting sqref="N40">
    <cfRule type="cellIs" dxfId="22323" priority="1411" operator="greaterThan">
      <formula>0.9</formula>
    </cfRule>
    <cfRule type="cellIs" dxfId="22322" priority="1412" operator="greaterThan">
      <formula>0.85</formula>
    </cfRule>
  </conditionalFormatting>
  <conditionalFormatting sqref="E40">
    <cfRule type="expression" dxfId="22321" priority="1407">
      <formula>AND(IF(OR($Q40=1,$Q40=2),1,0),IF($X40&lt;=20,1,0))</formula>
    </cfRule>
    <cfRule type="expression" dxfId="22320" priority="1408">
      <formula>AND(IF($Q40=2,1,0),IF($X40&lt;30,1,0))</formula>
    </cfRule>
    <cfRule type="expression" dxfId="22319" priority="1409">
      <formula>AND(IF($Q40=3,1,0),IF($X40&lt;30,1,0))</formula>
    </cfRule>
    <cfRule type="expression" dxfId="22318" priority="1410">
      <formula>AND(IF($Q40=3,1,IF($Q40=4,1,0)),IF($F40&lt;=85,1,0))</formula>
    </cfRule>
  </conditionalFormatting>
  <conditionalFormatting sqref="X40">
    <cfRule type="expression" dxfId="22317" priority="1403">
      <formula>AND(IF(OR($Q40=1,$Q40=2),1,0),IF($X40&lt;=20,1,0))</formula>
    </cfRule>
    <cfRule type="expression" dxfId="22316" priority="1404">
      <formula>AND(IF($Q40=2,1,0),IF($X40&lt;30,1,0))</formula>
    </cfRule>
    <cfRule type="expression" dxfId="22315" priority="1405">
      <formula>AND(IF($Q40=3,1,0),IF($X40&lt;30,1,0))</formula>
    </cfRule>
    <cfRule type="expression" dxfId="22314" priority="1406">
      <formula>AND(IF($Q40=3,1,IF($Q40=4,1,0)),IF($F40&lt;=85,1,0))</formula>
    </cfRule>
  </conditionalFormatting>
  <conditionalFormatting sqref="AI40">
    <cfRule type="expression" dxfId="22313" priority="1399">
      <formula>AND(IF(OR($Q40=1,$Q40=2),1,0),IF($X40&lt;=20,1,0))</formula>
    </cfRule>
    <cfRule type="expression" dxfId="22312" priority="1400">
      <formula>AND(IF($Q40=2,1,0),IF($X40&lt;30,1,0))</formula>
    </cfRule>
    <cfRule type="expression" dxfId="22311" priority="1401">
      <formula>AND(IF($Q40=3,1,0),IF($X40&lt;30,1,0))</formula>
    </cfRule>
    <cfRule type="expression" dxfId="22310" priority="1402">
      <formula>AND(IF($Q40=3,1,IF($Q40=4,1,0)),IF($F40&lt;=85,1,0))</formula>
    </cfRule>
  </conditionalFormatting>
  <conditionalFormatting sqref="AV41">
    <cfRule type="expression" dxfId="22309" priority="1397">
      <formula>AV41="X"</formula>
    </cfRule>
    <cfRule type="expression" dxfId="22308" priority="1398">
      <formula>AV41="후보"</formula>
    </cfRule>
  </conditionalFormatting>
  <conditionalFormatting sqref="AC41">
    <cfRule type="cellIs" dxfId="22307" priority="1395" operator="greaterThan">
      <formula>0.9</formula>
    </cfRule>
    <cfRule type="cellIs" dxfId="22306" priority="1396" operator="greaterThan">
      <formula>0.85</formula>
    </cfRule>
  </conditionalFormatting>
  <conditionalFormatting sqref="N41">
    <cfRule type="cellIs" dxfId="22305" priority="1393" operator="greaterThan">
      <formula>0.9</formula>
    </cfRule>
    <cfRule type="cellIs" dxfId="22304" priority="1394" operator="greaterThan">
      <formula>0.85</formula>
    </cfRule>
  </conditionalFormatting>
  <conditionalFormatting sqref="E41">
    <cfRule type="expression" dxfId="22303" priority="1389">
      <formula>AND(IF(OR($Q41=1,$Q41=2),1,0),IF($X41&lt;=20,1,0))</formula>
    </cfRule>
    <cfRule type="expression" dxfId="22302" priority="1390">
      <formula>AND(IF($Q41=2,1,0),IF($X41&lt;30,1,0))</formula>
    </cfRule>
    <cfRule type="expression" dxfId="22301" priority="1391">
      <formula>AND(IF($Q41=3,1,0),IF($X41&lt;30,1,0))</formula>
    </cfRule>
    <cfRule type="expression" dxfId="22300" priority="1392">
      <formula>AND(IF($Q41=3,1,IF($Q41=4,1,0)),IF($F41&lt;=85,1,0))</formula>
    </cfRule>
  </conditionalFormatting>
  <conditionalFormatting sqref="X41">
    <cfRule type="expression" dxfId="22299" priority="1385">
      <formula>AND(IF(OR($Q41=1,$Q41=2),1,0),IF($X41&lt;=20,1,0))</formula>
    </cfRule>
    <cfRule type="expression" dxfId="22298" priority="1386">
      <formula>AND(IF($Q41=2,1,0),IF($X41&lt;30,1,0))</formula>
    </cfRule>
    <cfRule type="expression" dxfId="22297" priority="1387">
      <formula>AND(IF($Q41=3,1,0),IF($X41&lt;30,1,0))</formula>
    </cfRule>
    <cfRule type="expression" dxfId="22296" priority="1388">
      <formula>AND(IF($Q41=3,1,IF($Q41=4,1,0)),IF($F41&lt;=85,1,0))</formula>
    </cfRule>
  </conditionalFormatting>
  <conditionalFormatting sqref="AI41">
    <cfRule type="expression" dxfId="22295" priority="1381">
      <formula>AND(IF(OR($Q41=1,$Q41=2),1,0),IF($X41&lt;=20,1,0))</formula>
    </cfRule>
    <cfRule type="expression" dxfId="22294" priority="1382">
      <formula>AND(IF($Q41=2,1,0),IF($X41&lt;30,1,0))</formula>
    </cfRule>
    <cfRule type="expression" dxfId="22293" priority="1383">
      <formula>AND(IF($Q41=3,1,0),IF($X41&lt;30,1,0))</formula>
    </cfRule>
    <cfRule type="expression" dxfId="22292" priority="1384">
      <formula>AND(IF($Q41=3,1,IF($Q41=4,1,0)),IF($F41&lt;=85,1,0))</formula>
    </cfRule>
  </conditionalFormatting>
  <conditionalFormatting sqref="AV42">
    <cfRule type="expression" dxfId="22291" priority="1379">
      <formula>AV42="X"</formula>
    </cfRule>
    <cfRule type="expression" dxfId="22290" priority="1380">
      <formula>AV42="후보"</formula>
    </cfRule>
  </conditionalFormatting>
  <conditionalFormatting sqref="AC42 N42">
    <cfRule type="cellIs" dxfId="22289" priority="1377" operator="greaterThan">
      <formula>0.9</formula>
    </cfRule>
    <cfRule type="cellIs" dxfId="22288" priority="1378" operator="greaterThan">
      <formula>0.85</formula>
    </cfRule>
  </conditionalFormatting>
  <conditionalFormatting sqref="AV43">
    <cfRule type="expression" dxfId="22287" priority="1375">
      <formula>AV43="X"</formula>
    </cfRule>
    <cfRule type="expression" dxfId="22286" priority="1376">
      <formula>AV43="후보"</formula>
    </cfRule>
  </conditionalFormatting>
  <conditionalFormatting sqref="AC43">
    <cfRule type="cellIs" dxfId="22285" priority="1373" operator="greaterThan">
      <formula>0.9</formula>
    </cfRule>
    <cfRule type="cellIs" dxfId="22284" priority="1374" operator="greaterThan">
      <formula>0.85</formula>
    </cfRule>
  </conditionalFormatting>
  <conditionalFormatting sqref="N43">
    <cfRule type="cellIs" dxfId="22283" priority="1371" operator="greaterThan">
      <formula>0.9</formula>
    </cfRule>
    <cfRule type="cellIs" dxfId="22282" priority="1372" operator="greaterThan">
      <formula>0.85</formula>
    </cfRule>
  </conditionalFormatting>
  <conditionalFormatting sqref="E43">
    <cfRule type="expression" dxfId="22281" priority="1367">
      <formula>AND(IF(OR($Q43=1,$Q43=2),1,0),IF($X43&lt;=20,1,0))</formula>
    </cfRule>
    <cfRule type="expression" dxfId="22280" priority="1368">
      <formula>AND(IF($Q43=2,1,0),IF($X43&lt;30,1,0))</formula>
    </cfRule>
    <cfRule type="expression" dxfId="22279" priority="1369">
      <formula>AND(IF($Q43=3,1,0),IF($X43&lt;30,1,0))</formula>
    </cfRule>
    <cfRule type="expression" dxfId="22278" priority="1370">
      <formula>AND(IF($Q43=3,1,IF($Q43=4,1,0)),IF($F43&lt;=85,1,0))</formula>
    </cfRule>
  </conditionalFormatting>
  <conditionalFormatting sqref="X43">
    <cfRule type="expression" dxfId="22277" priority="1363">
      <formula>AND(IF(OR($Q43=1,$Q43=2),1,0),IF($X43&lt;=20,1,0))</formula>
    </cfRule>
    <cfRule type="expression" dxfId="22276" priority="1364">
      <formula>AND(IF($Q43=2,1,0),IF($X43&lt;30,1,0))</formula>
    </cfRule>
    <cfRule type="expression" dxfId="22275" priority="1365">
      <formula>AND(IF($Q43=3,1,0),IF($X43&lt;30,1,0))</formula>
    </cfRule>
    <cfRule type="expression" dxfId="22274" priority="1366">
      <formula>AND(IF($Q43=3,1,IF($Q43=4,1,0)),IF($F43&lt;=85,1,0))</formula>
    </cfRule>
  </conditionalFormatting>
  <conditionalFormatting sqref="AI43">
    <cfRule type="expression" dxfId="22273" priority="1359">
      <formula>AND(IF(OR($Q43=1,$Q43=2),1,0),IF($X43&lt;=20,1,0))</formula>
    </cfRule>
    <cfRule type="expression" dxfId="22272" priority="1360">
      <formula>AND(IF($Q43=2,1,0),IF($X43&lt;30,1,0))</formula>
    </cfRule>
    <cfRule type="expression" dxfId="22271" priority="1361">
      <formula>AND(IF($Q43=3,1,0),IF($X43&lt;30,1,0))</formula>
    </cfRule>
    <cfRule type="expression" dxfId="22270" priority="1362">
      <formula>AND(IF($Q43=3,1,IF($Q43=4,1,0)),IF($F43&lt;=85,1,0))</formula>
    </cfRule>
  </conditionalFormatting>
  <conditionalFormatting sqref="AV44">
    <cfRule type="expression" dxfId="22269" priority="1357">
      <formula>AV44="X"</formula>
    </cfRule>
    <cfRule type="expression" dxfId="22268" priority="1358">
      <formula>AV44="후보"</formula>
    </cfRule>
  </conditionalFormatting>
  <conditionalFormatting sqref="AC44">
    <cfRule type="cellIs" dxfId="22267" priority="1355" operator="greaterThan">
      <formula>0.9</formula>
    </cfRule>
    <cfRule type="cellIs" dxfId="22266" priority="1356" operator="greaterThan">
      <formula>0.85</formula>
    </cfRule>
  </conditionalFormatting>
  <conditionalFormatting sqref="N44">
    <cfRule type="cellIs" dxfId="22265" priority="1353" operator="greaterThan">
      <formula>0.9</formula>
    </cfRule>
    <cfRule type="cellIs" dxfId="22264" priority="1354" operator="greaterThan">
      <formula>0.85</formula>
    </cfRule>
  </conditionalFormatting>
  <conditionalFormatting sqref="E44">
    <cfRule type="expression" dxfId="22263" priority="1349">
      <formula>AND(IF(OR($Q44=1,$Q44=2),1,0),IF($X44&lt;=20,1,0))</formula>
    </cfRule>
    <cfRule type="expression" dxfId="22262" priority="1350">
      <formula>AND(IF($Q44=2,1,0),IF($X44&lt;30,1,0))</formula>
    </cfRule>
    <cfRule type="expression" dxfId="22261" priority="1351">
      <formula>AND(IF($Q44=3,1,0),IF($X44&lt;30,1,0))</formula>
    </cfRule>
    <cfRule type="expression" dxfId="22260" priority="1352">
      <formula>AND(IF($Q44=3,1,IF($Q44=4,1,0)),IF($F44&lt;=85,1,0))</formula>
    </cfRule>
  </conditionalFormatting>
  <conditionalFormatting sqref="X44">
    <cfRule type="expression" dxfId="22259" priority="1345">
      <formula>AND(IF(OR($Q44=1,$Q44=2),1,0),IF($X44&lt;=20,1,0))</formula>
    </cfRule>
    <cfRule type="expression" dxfId="22258" priority="1346">
      <formula>AND(IF($Q44=2,1,0),IF($X44&lt;30,1,0))</formula>
    </cfRule>
    <cfRule type="expression" dxfId="22257" priority="1347">
      <formula>AND(IF($Q44=3,1,0),IF($X44&lt;30,1,0))</formula>
    </cfRule>
    <cfRule type="expression" dxfId="22256" priority="1348">
      <formula>AND(IF($Q44=3,1,IF($Q44=4,1,0)),IF($F44&lt;=85,1,0))</formula>
    </cfRule>
  </conditionalFormatting>
  <conditionalFormatting sqref="AI44">
    <cfRule type="expression" dxfId="22255" priority="1341">
      <formula>AND(IF(OR($Q44=1,$Q44=2),1,0),IF($X44&lt;=20,1,0))</formula>
    </cfRule>
    <cfRule type="expression" dxfId="22254" priority="1342">
      <formula>AND(IF($Q44=2,1,0),IF($X44&lt;30,1,0))</formula>
    </cfRule>
    <cfRule type="expression" dxfId="22253" priority="1343">
      <formula>AND(IF($Q44=3,1,0),IF($X44&lt;30,1,0))</formula>
    </cfRule>
    <cfRule type="expression" dxfId="22252" priority="1344">
      <formula>AND(IF($Q44=3,1,IF($Q44=4,1,0)),IF($F44&lt;=85,1,0))</formula>
    </cfRule>
  </conditionalFormatting>
  <conditionalFormatting sqref="AV45">
    <cfRule type="expression" dxfId="22251" priority="1339">
      <formula>AV45="X"</formula>
    </cfRule>
    <cfRule type="expression" dxfId="22250" priority="1340">
      <formula>AV45="후보"</formula>
    </cfRule>
  </conditionalFormatting>
  <conditionalFormatting sqref="AC45 N45">
    <cfRule type="cellIs" dxfId="22249" priority="1337" operator="greaterThan">
      <formula>0.9</formula>
    </cfRule>
    <cfRule type="cellIs" dxfId="22248" priority="1338" operator="greaterThan">
      <formula>0.85</formula>
    </cfRule>
  </conditionalFormatting>
  <conditionalFormatting sqref="AV46">
    <cfRule type="expression" dxfId="22247" priority="1335">
      <formula>AV46="X"</formula>
    </cfRule>
    <cfRule type="expression" dxfId="22246" priority="1336">
      <formula>AV46="후보"</formula>
    </cfRule>
  </conditionalFormatting>
  <conditionalFormatting sqref="AC46">
    <cfRule type="cellIs" dxfId="22245" priority="1333" operator="greaterThan">
      <formula>0.9</formula>
    </cfRule>
    <cfRule type="cellIs" dxfId="22244" priority="1334" operator="greaterThan">
      <formula>0.85</formula>
    </cfRule>
  </conditionalFormatting>
  <conditionalFormatting sqref="N46">
    <cfRule type="cellIs" dxfId="22243" priority="1331" operator="greaterThan">
      <formula>0.9</formula>
    </cfRule>
    <cfRule type="cellIs" dxfId="22242" priority="1332" operator="greaterThan">
      <formula>0.85</formula>
    </cfRule>
  </conditionalFormatting>
  <conditionalFormatting sqref="E46">
    <cfRule type="expression" dxfId="22241" priority="1327">
      <formula>AND(IF(OR($Q46=1,$Q46=2),1,0),IF($X46&lt;=20,1,0))</formula>
    </cfRule>
    <cfRule type="expression" dxfId="22240" priority="1328">
      <formula>AND(IF($Q46=2,1,0),IF($X46&lt;30,1,0))</formula>
    </cfRule>
    <cfRule type="expression" dxfId="22239" priority="1329">
      <formula>AND(IF($Q46=3,1,0),IF($X46&lt;30,1,0))</formula>
    </cfRule>
    <cfRule type="expression" dxfId="22238" priority="1330">
      <formula>AND(IF($Q46=3,1,IF($Q46=4,1,0)),IF($F46&lt;=85,1,0))</formula>
    </cfRule>
  </conditionalFormatting>
  <conditionalFormatting sqref="X46">
    <cfRule type="expression" dxfId="22237" priority="1323">
      <formula>AND(IF(OR($Q46=1,$Q46=2),1,0),IF($X46&lt;=20,1,0))</formula>
    </cfRule>
    <cfRule type="expression" dxfId="22236" priority="1324">
      <formula>AND(IF($Q46=2,1,0),IF($X46&lt;30,1,0))</formula>
    </cfRule>
    <cfRule type="expression" dxfId="22235" priority="1325">
      <formula>AND(IF($Q46=3,1,0),IF($X46&lt;30,1,0))</formula>
    </cfRule>
    <cfRule type="expression" dxfId="22234" priority="1326">
      <formula>AND(IF($Q46=3,1,IF($Q46=4,1,0)),IF($F46&lt;=85,1,0))</formula>
    </cfRule>
  </conditionalFormatting>
  <conditionalFormatting sqref="AI46">
    <cfRule type="expression" dxfId="22233" priority="1319">
      <formula>AND(IF(OR($Q46=1,$Q46=2),1,0),IF($X46&lt;=20,1,0))</formula>
    </cfRule>
    <cfRule type="expression" dxfId="22232" priority="1320">
      <formula>AND(IF($Q46=2,1,0),IF($X46&lt;30,1,0))</formula>
    </cfRule>
    <cfRule type="expression" dxfId="22231" priority="1321">
      <formula>AND(IF($Q46=3,1,0),IF($X46&lt;30,1,0))</formula>
    </cfRule>
    <cfRule type="expression" dxfId="22230" priority="1322">
      <formula>AND(IF($Q46=3,1,IF($Q46=4,1,0)),IF($F46&lt;=85,1,0))</formula>
    </cfRule>
  </conditionalFormatting>
  <conditionalFormatting sqref="AV47">
    <cfRule type="expression" dxfId="22229" priority="1317">
      <formula>AV47="X"</formula>
    </cfRule>
    <cfRule type="expression" dxfId="22228" priority="1318">
      <formula>AV47="후보"</formula>
    </cfRule>
  </conditionalFormatting>
  <conditionalFormatting sqref="AC47">
    <cfRule type="cellIs" dxfId="22227" priority="1315" operator="greaterThan">
      <formula>0.9</formula>
    </cfRule>
    <cfRule type="cellIs" dxfId="22226" priority="1316" operator="greaterThan">
      <formula>0.85</formula>
    </cfRule>
  </conditionalFormatting>
  <conditionalFormatting sqref="N47">
    <cfRule type="cellIs" dxfId="22225" priority="1313" operator="greaterThan">
      <formula>0.9</formula>
    </cfRule>
    <cfRule type="cellIs" dxfId="22224" priority="1314" operator="greaterThan">
      <formula>0.85</formula>
    </cfRule>
  </conditionalFormatting>
  <conditionalFormatting sqref="E47">
    <cfRule type="expression" dxfId="22223" priority="1309">
      <formula>AND(IF(OR($Q47=1,$Q47=2),1,0),IF($X47&lt;=20,1,0))</formula>
    </cfRule>
    <cfRule type="expression" dxfId="22222" priority="1310">
      <formula>AND(IF($Q47=2,1,0),IF($X47&lt;30,1,0))</formula>
    </cfRule>
    <cfRule type="expression" dxfId="22221" priority="1311">
      <formula>AND(IF($Q47=3,1,0),IF($X47&lt;30,1,0))</formula>
    </cfRule>
    <cfRule type="expression" dxfId="22220" priority="1312">
      <formula>AND(IF($Q47=3,1,IF($Q47=4,1,0)),IF($F47&lt;=85,1,0))</formula>
    </cfRule>
  </conditionalFormatting>
  <conditionalFormatting sqref="X47">
    <cfRule type="expression" dxfId="22219" priority="1305">
      <formula>AND(IF(OR($Q47=1,$Q47=2),1,0),IF($X47&lt;=20,1,0))</formula>
    </cfRule>
    <cfRule type="expression" dxfId="22218" priority="1306">
      <formula>AND(IF($Q47=2,1,0),IF($X47&lt;30,1,0))</formula>
    </cfRule>
    <cfRule type="expression" dxfId="22217" priority="1307">
      <formula>AND(IF($Q47=3,1,0),IF($X47&lt;30,1,0))</formula>
    </cfRule>
    <cfRule type="expression" dxfId="22216" priority="1308">
      <formula>AND(IF($Q47=3,1,IF($Q47=4,1,0)),IF($F47&lt;=85,1,0))</formula>
    </cfRule>
  </conditionalFormatting>
  <conditionalFormatting sqref="AI47">
    <cfRule type="expression" dxfId="22215" priority="1301">
      <formula>AND(IF(OR($Q47=1,$Q47=2),1,0),IF($X47&lt;=20,1,0))</formula>
    </cfRule>
    <cfRule type="expression" dxfId="22214" priority="1302">
      <formula>AND(IF($Q47=2,1,0),IF($X47&lt;30,1,0))</formula>
    </cfRule>
    <cfRule type="expression" dxfId="22213" priority="1303">
      <formula>AND(IF($Q47=3,1,0),IF($X47&lt;30,1,0))</formula>
    </cfRule>
    <cfRule type="expression" dxfId="22212" priority="1304">
      <formula>AND(IF($Q47=3,1,IF($Q47=4,1,0)),IF($F47&lt;=85,1,0))</formula>
    </cfRule>
  </conditionalFormatting>
  <conditionalFormatting sqref="AV48">
    <cfRule type="expression" dxfId="22211" priority="1299">
      <formula>AV48="X"</formula>
    </cfRule>
    <cfRule type="expression" dxfId="22210" priority="1300">
      <formula>AV48="후보"</formula>
    </cfRule>
  </conditionalFormatting>
  <conditionalFormatting sqref="AC48 N48">
    <cfRule type="cellIs" dxfId="22209" priority="1297" operator="greaterThan">
      <formula>0.9</formula>
    </cfRule>
    <cfRule type="cellIs" dxfId="22208" priority="1298" operator="greaterThan">
      <formula>0.85</formula>
    </cfRule>
  </conditionalFormatting>
  <conditionalFormatting sqref="AV49">
    <cfRule type="expression" dxfId="22207" priority="1295">
      <formula>AV49="X"</formula>
    </cfRule>
    <cfRule type="expression" dxfId="22206" priority="1296">
      <formula>AV49="후보"</formula>
    </cfRule>
  </conditionalFormatting>
  <conditionalFormatting sqref="AC49">
    <cfRule type="cellIs" dxfId="22205" priority="1293" operator="greaterThan">
      <formula>0.9</formula>
    </cfRule>
    <cfRule type="cellIs" dxfId="22204" priority="1294" operator="greaterThan">
      <formula>0.85</formula>
    </cfRule>
  </conditionalFormatting>
  <conditionalFormatting sqref="N49">
    <cfRule type="cellIs" dxfId="22203" priority="1291" operator="greaterThan">
      <formula>0.9</formula>
    </cfRule>
    <cfRule type="cellIs" dxfId="22202" priority="1292" operator="greaterThan">
      <formula>0.85</formula>
    </cfRule>
  </conditionalFormatting>
  <conditionalFormatting sqref="E49">
    <cfRule type="expression" dxfId="22201" priority="1287">
      <formula>AND(IF(OR($Q49=1,$Q49=2),1,0),IF($X49&lt;=20,1,0))</formula>
    </cfRule>
    <cfRule type="expression" dxfId="22200" priority="1288">
      <formula>AND(IF($Q49=2,1,0),IF($X49&lt;30,1,0))</formula>
    </cfRule>
    <cfRule type="expression" dxfId="22199" priority="1289">
      <formula>AND(IF($Q49=3,1,0),IF($X49&lt;30,1,0))</formula>
    </cfRule>
    <cfRule type="expression" dxfId="22198" priority="1290">
      <formula>AND(IF($Q49=3,1,IF($Q49=4,1,0)),IF($F49&lt;=85,1,0))</formula>
    </cfRule>
  </conditionalFormatting>
  <conditionalFormatting sqref="X49">
    <cfRule type="expression" dxfId="22197" priority="1283">
      <formula>AND(IF(OR($Q49=1,$Q49=2),1,0),IF($X49&lt;=20,1,0))</formula>
    </cfRule>
    <cfRule type="expression" dxfId="22196" priority="1284">
      <formula>AND(IF($Q49=2,1,0),IF($X49&lt;30,1,0))</formula>
    </cfRule>
    <cfRule type="expression" dxfId="22195" priority="1285">
      <formula>AND(IF($Q49=3,1,0),IF($X49&lt;30,1,0))</formula>
    </cfRule>
    <cfRule type="expression" dxfId="22194" priority="1286">
      <formula>AND(IF($Q49=3,1,IF($Q49=4,1,0)),IF($F49&lt;=85,1,0))</formula>
    </cfRule>
  </conditionalFormatting>
  <conditionalFormatting sqref="AI49">
    <cfRule type="expression" dxfId="22193" priority="1279">
      <formula>AND(IF(OR($Q49=1,$Q49=2),1,0),IF($X49&lt;=20,1,0))</formula>
    </cfRule>
    <cfRule type="expression" dxfId="22192" priority="1280">
      <formula>AND(IF($Q49=2,1,0),IF($X49&lt;30,1,0))</formula>
    </cfRule>
    <cfRule type="expression" dxfId="22191" priority="1281">
      <formula>AND(IF($Q49=3,1,0),IF($X49&lt;30,1,0))</formula>
    </cfRule>
    <cfRule type="expression" dxfId="22190" priority="1282">
      <formula>AND(IF($Q49=3,1,IF($Q49=4,1,0)),IF($F49&lt;=85,1,0))</formula>
    </cfRule>
  </conditionalFormatting>
  <conditionalFormatting sqref="AV50">
    <cfRule type="expression" dxfId="22189" priority="1277">
      <formula>AV50="X"</formula>
    </cfRule>
    <cfRule type="expression" dxfId="22188" priority="1278">
      <formula>AV50="후보"</formula>
    </cfRule>
  </conditionalFormatting>
  <conditionalFormatting sqref="AC50">
    <cfRule type="cellIs" dxfId="22187" priority="1275" operator="greaterThan">
      <formula>0.9</formula>
    </cfRule>
    <cfRule type="cellIs" dxfId="22186" priority="1276" operator="greaterThan">
      <formula>0.85</formula>
    </cfRule>
  </conditionalFormatting>
  <conditionalFormatting sqref="N50">
    <cfRule type="cellIs" dxfId="22185" priority="1273" operator="greaterThan">
      <formula>0.9</formula>
    </cfRule>
    <cfRule type="cellIs" dxfId="22184" priority="1274" operator="greaterThan">
      <formula>0.85</formula>
    </cfRule>
  </conditionalFormatting>
  <conditionalFormatting sqref="E50">
    <cfRule type="expression" dxfId="22183" priority="1269">
      <formula>AND(IF(OR($Q50=1,$Q50=2),1,0),IF($X50&lt;=20,1,0))</formula>
    </cfRule>
    <cfRule type="expression" dxfId="22182" priority="1270">
      <formula>AND(IF($Q50=2,1,0),IF($X50&lt;30,1,0))</formula>
    </cfRule>
    <cfRule type="expression" dxfId="22181" priority="1271">
      <formula>AND(IF($Q50=3,1,0),IF($X50&lt;30,1,0))</formula>
    </cfRule>
    <cfRule type="expression" dxfId="22180" priority="1272">
      <formula>AND(IF($Q50=3,1,IF($Q50=4,1,0)),IF($F50&lt;=85,1,0))</formula>
    </cfRule>
  </conditionalFormatting>
  <conditionalFormatting sqref="X50">
    <cfRule type="expression" dxfId="22179" priority="1265">
      <formula>AND(IF(OR($Q50=1,$Q50=2),1,0),IF($X50&lt;=20,1,0))</formula>
    </cfRule>
    <cfRule type="expression" dxfId="22178" priority="1266">
      <formula>AND(IF($Q50=2,1,0),IF($X50&lt;30,1,0))</formula>
    </cfRule>
    <cfRule type="expression" dxfId="22177" priority="1267">
      <formula>AND(IF($Q50=3,1,0),IF($X50&lt;30,1,0))</formula>
    </cfRule>
    <cfRule type="expression" dxfId="22176" priority="1268">
      <formula>AND(IF($Q50=3,1,IF($Q50=4,1,0)),IF($F50&lt;=85,1,0))</formula>
    </cfRule>
  </conditionalFormatting>
  <conditionalFormatting sqref="AI50">
    <cfRule type="expression" dxfId="22175" priority="1261">
      <formula>AND(IF(OR($Q50=1,$Q50=2),1,0),IF($X50&lt;=20,1,0))</formula>
    </cfRule>
    <cfRule type="expression" dxfId="22174" priority="1262">
      <formula>AND(IF($Q50=2,1,0),IF($X50&lt;30,1,0))</formula>
    </cfRule>
    <cfRule type="expression" dxfId="22173" priority="1263">
      <formula>AND(IF($Q50=3,1,0),IF($X50&lt;30,1,0))</formula>
    </cfRule>
    <cfRule type="expression" dxfId="22172" priority="1264">
      <formula>AND(IF($Q50=3,1,IF($Q50=4,1,0)),IF($F50&lt;=85,1,0))</formula>
    </cfRule>
  </conditionalFormatting>
  <conditionalFormatting sqref="AV51">
    <cfRule type="expression" dxfId="22171" priority="1259">
      <formula>AV51="X"</formula>
    </cfRule>
    <cfRule type="expression" dxfId="22170" priority="1260">
      <formula>AV51="후보"</formula>
    </cfRule>
  </conditionalFormatting>
  <conditionalFormatting sqref="AC51 N51">
    <cfRule type="cellIs" dxfId="22169" priority="1257" operator="greaterThan">
      <formula>0.9</formula>
    </cfRule>
    <cfRule type="cellIs" dxfId="22168" priority="1258" operator="greaterThan">
      <formula>0.85</formula>
    </cfRule>
  </conditionalFormatting>
  <conditionalFormatting sqref="AV52">
    <cfRule type="expression" dxfId="22167" priority="1255">
      <formula>AV52="X"</formula>
    </cfRule>
    <cfRule type="expression" dxfId="22166" priority="1256">
      <formula>AV52="후보"</formula>
    </cfRule>
  </conditionalFormatting>
  <conditionalFormatting sqref="AC52">
    <cfRule type="cellIs" dxfId="22165" priority="1253" operator="greaterThan">
      <formula>0.9</formula>
    </cfRule>
    <cfRule type="cellIs" dxfId="22164" priority="1254" operator="greaterThan">
      <formula>0.85</formula>
    </cfRule>
  </conditionalFormatting>
  <conditionalFormatting sqref="N52">
    <cfRule type="cellIs" dxfId="22163" priority="1251" operator="greaterThan">
      <formula>0.9</formula>
    </cfRule>
    <cfRule type="cellIs" dxfId="22162" priority="1252" operator="greaterThan">
      <formula>0.85</formula>
    </cfRule>
  </conditionalFormatting>
  <conditionalFormatting sqref="E52">
    <cfRule type="expression" dxfId="22161" priority="1247">
      <formula>AND(IF(OR($Q52=1,$Q52=2),1,0),IF($X52&lt;=20,1,0))</formula>
    </cfRule>
    <cfRule type="expression" dxfId="22160" priority="1248">
      <formula>AND(IF($Q52=2,1,0),IF($X52&lt;30,1,0))</formula>
    </cfRule>
    <cfRule type="expression" dxfId="22159" priority="1249">
      <formula>AND(IF($Q52=3,1,0),IF($X52&lt;30,1,0))</formula>
    </cfRule>
    <cfRule type="expression" dxfId="22158" priority="1250">
      <formula>AND(IF($Q52=3,1,IF($Q52=4,1,0)),IF($F52&lt;=85,1,0))</formula>
    </cfRule>
  </conditionalFormatting>
  <conditionalFormatting sqref="X52">
    <cfRule type="expression" dxfId="22157" priority="1243">
      <formula>AND(IF(OR($Q52=1,$Q52=2),1,0),IF($X52&lt;=20,1,0))</formula>
    </cfRule>
    <cfRule type="expression" dxfId="22156" priority="1244">
      <formula>AND(IF($Q52=2,1,0),IF($X52&lt;30,1,0))</formula>
    </cfRule>
    <cfRule type="expression" dxfId="22155" priority="1245">
      <formula>AND(IF($Q52=3,1,0),IF($X52&lt;30,1,0))</formula>
    </cfRule>
    <cfRule type="expression" dxfId="22154" priority="1246">
      <formula>AND(IF($Q52=3,1,IF($Q52=4,1,0)),IF($F52&lt;=85,1,0))</formula>
    </cfRule>
  </conditionalFormatting>
  <conditionalFormatting sqref="AI52">
    <cfRule type="expression" dxfId="22153" priority="1239">
      <formula>AND(IF(OR($Q52=1,$Q52=2),1,0),IF($X52&lt;=20,1,0))</formula>
    </cfRule>
    <cfRule type="expression" dxfId="22152" priority="1240">
      <formula>AND(IF($Q52=2,1,0),IF($X52&lt;30,1,0))</formula>
    </cfRule>
    <cfRule type="expression" dxfId="22151" priority="1241">
      <formula>AND(IF($Q52=3,1,0),IF($X52&lt;30,1,0))</formula>
    </cfRule>
    <cfRule type="expression" dxfId="22150" priority="1242">
      <formula>AND(IF($Q52=3,1,IF($Q52=4,1,0)),IF($F52&lt;=85,1,0))</formula>
    </cfRule>
  </conditionalFormatting>
  <conditionalFormatting sqref="AV53">
    <cfRule type="expression" dxfId="22149" priority="1237">
      <formula>AV53="X"</formula>
    </cfRule>
    <cfRule type="expression" dxfId="22148" priority="1238">
      <formula>AV53="후보"</formula>
    </cfRule>
  </conditionalFormatting>
  <conditionalFormatting sqref="AC53">
    <cfRule type="cellIs" dxfId="22147" priority="1235" operator="greaterThan">
      <formula>0.9</formula>
    </cfRule>
    <cfRule type="cellIs" dxfId="22146" priority="1236" operator="greaterThan">
      <formula>0.85</formula>
    </cfRule>
  </conditionalFormatting>
  <conditionalFormatting sqref="N53">
    <cfRule type="cellIs" dxfId="22145" priority="1233" operator="greaterThan">
      <formula>0.9</formula>
    </cfRule>
    <cfRule type="cellIs" dxfId="22144" priority="1234" operator="greaterThan">
      <formula>0.85</formula>
    </cfRule>
  </conditionalFormatting>
  <conditionalFormatting sqref="E53">
    <cfRule type="expression" dxfId="22143" priority="1229">
      <formula>AND(IF(OR($Q53=1,$Q53=2),1,0),IF($X53&lt;=20,1,0))</formula>
    </cfRule>
    <cfRule type="expression" dxfId="22142" priority="1230">
      <formula>AND(IF($Q53=2,1,0),IF($X53&lt;30,1,0))</formula>
    </cfRule>
    <cfRule type="expression" dxfId="22141" priority="1231">
      <formula>AND(IF($Q53=3,1,0),IF($X53&lt;30,1,0))</formula>
    </cfRule>
    <cfRule type="expression" dxfId="22140" priority="1232">
      <formula>AND(IF($Q53=3,1,IF($Q53=4,1,0)),IF($F53&lt;=85,1,0))</formula>
    </cfRule>
  </conditionalFormatting>
  <conditionalFormatting sqref="X53">
    <cfRule type="expression" dxfId="22139" priority="1225">
      <formula>AND(IF(OR($Q53=1,$Q53=2),1,0),IF($X53&lt;=20,1,0))</formula>
    </cfRule>
    <cfRule type="expression" dxfId="22138" priority="1226">
      <formula>AND(IF($Q53=2,1,0),IF($X53&lt;30,1,0))</formula>
    </cfRule>
    <cfRule type="expression" dxfId="22137" priority="1227">
      <formula>AND(IF($Q53=3,1,0),IF($X53&lt;30,1,0))</formula>
    </cfRule>
    <cfRule type="expression" dxfId="22136" priority="1228">
      <formula>AND(IF($Q53=3,1,IF($Q53=4,1,0)),IF($F53&lt;=85,1,0))</formula>
    </cfRule>
  </conditionalFormatting>
  <conditionalFormatting sqref="AI53">
    <cfRule type="expression" dxfId="22135" priority="1221">
      <formula>AND(IF(OR($Q53=1,$Q53=2),1,0),IF($X53&lt;=20,1,0))</formula>
    </cfRule>
    <cfRule type="expression" dxfId="22134" priority="1222">
      <formula>AND(IF($Q53=2,1,0),IF($X53&lt;30,1,0))</formula>
    </cfRule>
    <cfRule type="expression" dxfId="22133" priority="1223">
      <formula>AND(IF($Q53=3,1,0),IF($X53&lt;30,1,0))</formula>
    </cfRule>
    <cfRule type="expression" dxfId="22132" priority="1224">
      <formula>AND(IF($Q53=3,1,IF($Q53=4,1,0)),IF($F53&lt;=85,1,0))</formula>
    </cfRule>
  </conditionalFormatting>
  <conditionalFormatting sqref="AV54">
    <cfRule type="expression" dxfId="22131" priority="1219">
      <formula>AV54="X"</formula>
    </cfRule>
    <cfRule type="expression" dxfId="22130" priority="1220">
      <formula>AV54="후보"</formula>
    </cfRule>
  </conditionalFormatting>
  <conditionalFormatting sqref="AC54">
    <cfRule type="cellIs" dxfId="22129" priority="1217" operator="greaterThan">
      <formula>0.9</formula>
    </cfRule>
    <cfRule type="cellIs" dxfId="22128" priority="1218" operator="greaterThan">
      <formula>0.85</formula>
    </cfRule>
  </conditionalFormatting>
  <conditionalFormatting sqref="N54">
    <cfRule type="cellIs" dxfId="22127" priority="1215" operator="greaterThan">
      <formula>0.9</formula>
    </cfRule>
    <cfRule type="cellIs" dxfId="22126" priority="1216" operator="greaterThan">
      <formula>0.85</formula>
    </cfRule>
  </conditionalFormatting>
  <conditionalFormatting sqref="E54">
    <cfRule type="expression" dxfId="22125" priority="1211">
      <formula>AND(IF(OR($Q54=1,$Q54=2),1,0),IF($X54&lt;=20,1,0))</formula>
    </cfRule>
    <cfRule type="expression" dxfId="22124" priority="1212">
      <formula>AND(IF($Q54=2,1,0),IF($X54&lt;30,1,0))</formula>
    </cfRule>
    <cfRule type="expression" dxfId="22123" priority="1213">
      <formula>AND(IF($Q54=3,1,0),IF($X54&lt;30,1,0))</formula>
    </cfRule>
    <cfRule type="expression" dxfId="22122" priority="1214">
      <formula>AND(IF($Q54=3,1,IF($Q54=4,1,0)),IF($F54&lt;=85,1,0))</formula>
    </cfRule>
  </conditionalFormatting>
  <conditionalFormatting sqref="X54">
    <cfRule type="expression" dxfId="22121" priority="1207">
      <formula>AND(IF(OR($Q54=1,$Q54=2),1,0),IF($X54&lt;=20,1,0))</formula>
    </cfRule>
    <cfRule type="expression" dxfId="22120" priority="1208">
      <formula>AND(IF($Q54=2,1,0),IF($X54&lt;30,1,0))</formula>
    </cfRule>
    <cfRule type="expression" dxfId="22119" priority="1209">
      <formula>AND(IF($Q54=3,1,0),IF($X54&lt;30,1,0))</formula>
    </cfRule>
    <cfRule type="expression" dxfId="22118" priority="1210">
      <formula>AND(IF($Q54=3,1,IF($Q54=4,1,0)),IF($F54&lt;=85,1,0))</formula>
    </cfRule>
  </conditionalFormatting>
  <conditionalFormatting sqref="AI54">
    <cfRule type="expression" dxfId="22117" priority="1203">
      <formula>AND(IF(OR($Q54=1,$Q54=2),1,0),IF($X54&lt;=20,1,0))</formula>
    </cfRule>
    <cfRule type="expression" dxfId="22116" priority="1204">
      <formula>AND(IF($Q54=2,1,0),IF($X54&lt;30,1,0))</formula>
    </cfRule>
    <cfRule type="expression" dxfId="22115" priority="1205">
      <formula>AND(IF($Q54=3,1,0),IF($X54&lt;30,1,0))</formula>
    </cfRule>
    <cfRule type="expression" dxfId="22114" priority="1206">
      <formula>AND(IF($Q54=3,1,IF($Q54=4,1,0)),IF($F54&lt;=85,1,0))</formula>
    </cfRule>
  </conditionalFormatting>
  <conditionalFormatting sqref="AV55">
    <cfRule type="expression" dxfId="22113" priority="1201">
      <formula>AV55="X"</formula>
    </cfRule>
    <cfRule type="expression" dxfId="22112" priority="1202">
      <formula>AV55="후보"</formula>
    </cfRule>
  </conditionalFormatting>
  <conditionalFormatting sqref="AC55">
    <cfRule type="cellIs" dxfId="22111" priority="1199" operator="greaterThan">
      <formula>0.9</formula>
    </cfRule>
    <cfRule type="cellIs" dxfId="22110" priority="1200" operator="greaterThan">
      <formula>0.85</formula>
    </cfRule>
  </conditionalFormatting>
  <conditionalFormatting sqref="N55">
    <cfRule type="cellIs" dxfId="22109" priority="1197" operator="greaterThan">
      <formula>0.9</formula>
    </cfRule>
    <cfRule type="cellIs" dxfId="22108" priority="1198" operator="greaterThan">
      <formula>0.85</formula>
    </cfRule>
  </conditionalFormatting>
  <conditionalFormatting sqref="E55">
    <cfRule type="expression" dxfId="22107" priority="1193">
      <formula>AND(IF(OR($Q55=1,$Q55=2),1,0),IF($X55&lt;=20,1,0))</formula>
    </cfRule>
    <cfRule type="expression" dxfId="22106" priority="1194">
      <formula>AND(IF($Q55=2,1,0),IF($X55&lt;30,1,0))</formula>
    </cfRule>
    <cfRule type="expression" dxfId="22105" priority="1195">
      <formula>AND(IF($Q55=3,1,0),IF($X55&lt;30,1,0))</formula>
    </cfRule>
    <cfRule type="expression" dxfId="22104" priority="1196">
      <formula>AND(IF($Q55=3,1,IF($Q55=4,1,0)),IF($F55&lt;=85,1,0))</formula>
    </cfRule>
  </conditionalFormatting>
  <conditionalFormatting sqref="X55">
    <cfRule type="expression" dxfId="22103" priority="1189">
      <formula>AND(IF(OR($Q55=1,$Q55=2),1,0),IF($X55&lt;=20,1,0))</formula>
    </cfRule>
    <cfRule type="expression" dxfId="22102" priority="1190">
      <formula>AND(IF($Q55=2,1,0),IF($X55&lt;30,1,0))</formula>
    </cfRule>
    <cfRule type="expression" dxfId="22101" priority="1191">
      <formula>AND(IF($Q55=3,1,0),IF($X55&lt;30,1,0))</formula>
    </cfRule>
    <cfRule type="expression" dxfId="22100" priority="1192">
      <formula>AND(IF($Q55=3,1,IF($Q55=4,1,0)),IF($F55&lt;=85,1,0))</formula>
    </cfRule>
  </conditionalFormatting>
  <conditionalFormatting sqref="AI55">
    <cfRule type="expression" dxfId="22099" priority="1185">
      <formula>AND(IF(OR($Q55=1,$Q55=2),1,0),IF($X55&lt;=20,1,0))</formula>
    </cfRule>
    <cfRule type="expression" dxfId="22098" priority="1186">
      <formula>AND(IF($Q55=2,1,0),IF($X55&lt;30,1,0))</formula>
    </cfRule>
    <cfRule type="expression" dxfId="22097" priority="1187">
      <formula>AND(IF($Q55=3,1,0),IF($X55&lt;30,1,0))</formula>
    </cfRule>
    <cfRule type="expression" dxfId="22096" priority="1188">
      <formula>AND(IF($Q55=3,1,IF($Q55=4,1,0)),IF($F55&lt;=85,1,0))</formula>
    </cfRule>
  </conditionalFormatting>
  <conditionalFormatting sqref="AV56">
    <cfRule type="expression" dxfId="22095" priority="1183">
      <formula>AV56="X"</formula>
    </cfRule>
    <cfRule type="expression" dxfId="22094" priority="1184">
      <formula>AV56="후보"</formula>
    </cfRule>
  </conditionalFormatting>
  <conditionalFormatting sqref="AC56">
    <cfRule type="cellIs" dxfId="22093" priority="1181" operator="greaterThan">
      <formula>0.9</formula>
    </cfRule>
    <cfRule type="cellIs" dxfId="22092" priority="1182" operator="greaterThan">
      <formula>0.85</formula>
    </cfRule>
  </conditionalFormatting>
  <conditionalFormatting sqref="N56">
    <cfRule type="cellIs" dxfId="22091" priority="1179" operator="greaterThan">
      <formula>0.9</formula>
    </cfRule>
    <cfRule type="cellIs" dxfId="22090" priority="1180" operator="greaterThan">
      <formula>0.85</formula>
    </cfRule>
  </conditionalFormatting>
  <conditionalFormatting sqref="E56">
    <cfRule type="expression" dxfId="22089" priority="1175">
      <formula>AND(IF(OR($Q56=1,$Q56=2),1,0),IF($X56&lt;=20,1,0))</formula>
    </cfRule>
    <cfRule type="expression" dxfId="22088" priority="1176">
      <formula>AND(IF($Q56=2,1,0),IF($X56&lt;30,1,0))</formula>
    </cfRule>
    <cfRule type="expression" dxfId="22087" priority="1177">
      <formula>AND(IF($Q56=3,1,0),IF($X56&lt;30,1,0))</formula>
    </cfRule>
    <cfRule type="expression" dxfId="22086" priority="1178">
      <formula>AND(IF($Q56=3,1,IF($Q56=4,1,0)),IF($F56&lt;=85,1,0))</formula>
    </cfRule>
  </conditionalFormatting>
  <conditionalFormatting sqref="X56">
    <cfRule type="expression" dxfId="22085" priority="1171">
      <formula>AND(IF(OR($Q56=1,$Q56=2),1,0),IF($X56&lt;=20,1,0))</formula>
    </cfRule>
    <cfRule type="expression" dxfId="22084" priority="1172">
      <formula>AND(IF($Q56=2,1,0),IF($X56&lt;30,1,0))</formula>
    </cfRule>
    <cfRule type="expression" dxfId="22083" priority="1173">
      <formula>AND(IF($Q56=3,1,0),IF($X56&lt;30,1,0))</formula>
    </cfRule>
    <cfRule type="expression" dxfId="22082" priority="1174">
      <formula>AND(IF($Q56=3,1,IF($Q56=4,1,0)),IF($F56&lt;=85,1,0))</formula>
    </cfRule>
  </conditionalFormatting>
  <conditionalFormatting sqref="AI56">
    <cfRule type="expression" dxfId="22081" priority="1167">
      <formula>AND(IF(OR($Q56=1,$Q56=2),1,0),IF($X56&lt;=20,1,0))</formula>
    </cfRule>
    <cfRule type="expression" dxfId="22080" priority="1168">
      <formula>AND(IF($Q56=2,1,0),IF($X56&lt;30,1,0))</formula>
    </cfRule>
    <cfRule type="expression" dxfId="22079" priority="1169">
      <formula>AND(IF($Q56=3,1,0),IF($X56&lt;30,1,0))</formula>
    </cfRule>
    <cfRule type="expression" dxfId="22078" priority="1170">
      <formula>AND(IF($Q56=3,1,IF($Q56=4,1,0)),IF($F56&lt;=85,1,0))</formula>
    </cfRule>
  </conditionalFormatting>
  <conditionalFormatting sqref="AV57">
    <cfRule type="expression" dxfId="22077" priority="1165">
      <formula>AV57="X"</formula>
    </cfRule>
    <cfRule type="expression" dxfId="22076" priority="1166">
      <formula>AV57="후보"</formula>
    </cfRule>
  </conditionalFormatting>
  <conditionalFormatting sqref="AC57">
    <cfRule type="cellIs" dxfId="22075" priority="1163" operator="greaterThan">
      <formula>0.9</formula>
    </cfRule>
    <cfRule type="cellIs" dxfId="22074" priority="1164" operator="greaterThan">
      <formula>0.85</formula>
    </cfRule>
  </conditionalFormatting>
  <conditionalFormatting sqref="N57">
    <cfRule type="cellIs" dxfId="22073" priority="1161" operator="greaterThan">
      <formula>0.9</formula>
    </cfRule>
    <cfRule type="cellIs" dxfId="22072" priority="1162" operator="greaterThan">
      <formula>0.85</formula>
    </cfRule>
  </conditionalFormatting>
  <conditionalFormatting sqref="E57">
    <cfRule type="expression" dxfId="22071" priority="1157">
      <formula>AND(IF(OR($Q57=1,$Q57=2),1,0),IF($X57&lt;=20,1,0))</formula>
    </cfRule>
    <cfRule type="expression" dxfId="22070" priority="1158">
      <formula>AND(IF($Q57=2,1,0),IF($X57&lt;30,1,0))</formula>
    </cfRule>
    <cfRule type="expression" dxfId="22069" priority="1159">
      <formula>AND(IF($Q57=3,1,0),IF($X57&lt;30,1,0))</formula>
    </cfRule>
    <cfRule type="expression" dxfId="22068" priority="1160">
      <formula>AND(IF($Q57=3,1,IF($Q57=4,1,0)),IF($F57&lt;=85,1,0))</formula>
    </cfRule>
  </conditionalFormatting>
  <conditionalFormatting sqref="X57">
    <cfRule type="expression" dxfId="22067" priority="1153">
      <formula>AND(IF(OR($Q57=1,$Q57=2),1,0),IF($X57&lt;=20,1,0))</formula>
    </cfRule>
    <cfRule type="expression" dxfId="22066" priority="1154">
      <formula>AND(IF($Q57=2,1,0),IF($X57&lt;30,1,0))</formula>
    </cfRule>
    <cfRule type="expression" dxfId="22065" priority="1155">
      <formula>AND(IF($Q57=3,1,0),IF($X57&lt;30,1,0))</formula>
    </cfRule>
    <cfRule type="expression" dxfId="22064" priority="1156">
      <formula>AND(IF($Q57=3,1,IF($Q57=4,1,0)),IF($F57&lt;=85,1,0))</formula>
    </cfRule>
  </conditionalFormatting>
  <conditionalFormatting sqref="AI57">
    <cfRule type="expression" dxfId="22063" priority="1149">
      <formula>AND(IF(OR($Q57=1,$Q57=2),1,0),IF($X57&lt;=20,1,0))</formula>
    </cfRule>
    <cfRule type="expression" dxfId="22062" priority="1150">
      <formula>AND(IF($Q57=2,1,0),IF($X57&lt;30,1,0))</formula>
    </cfRule>
    <cfRule type="expression" dxfId="22061" priority="1151">
      <formula>AND(IF($Q57=3,1,0),IF($X57&lt;30,1,0))</formula>
    </cfRule>
    <cfRule type="expression" dxfId="22060" priority="1152">
      <formula>AND(IF($Q57=3,1,IF($Q57=4,1,0)),IF($F57&lt;=85,1,0))</formula>
    </cfRule>
  </conditionalFormatting>
  <conditionalFormatting sqref="AV58">
    <cfRule type="expression" dxfId="22059" priority="1147">
      <formula>AV58="X"</formula>
    </cfRule>
    <cfRule type="expression" dxfId="22058" priority="1148">
      <formula>AV58="후보"</formula>
    </cfRule>
  </conditionalFormatting>
  <conditionalFormatting sqref="AC58">
    <cfRule type="cellIs" dxfId="22057" priority="1145" operator="greaterThan">
      <formula>0.9</formula>
    </cfRule>
    <cfRule type="cellIs" dxfId="22056" priority="1146" operator="greaterThan">
      <formula>0.85</formula>
    </cfRule>
  </conditionalFormatting>
  <conditionalFormatting sqref="N58">
    <cfRule type="cellIs" dxfId="22055" priority="1143" operator="greaterThan">
      <formula>0.9</formula>
    </cfRule>
    <cfRule type="cellIs" dxfId="22054" priority="1144" operator="greaterThan">
      <formula>0.85</formula>
    </cfRule>
  </conditionalFormatting>
  <conditionalFormatting sqref="E58">
    <cfRule type="expression" dxfId="22053" priority="1139">
      <formula>AND(IF(OR($Q58=1,$Q58=2),1,0),IF($X58&lt;=20,1,0))</formula>
    </cfRule>
    <cfRule type="expression" dxfId="22052" priority="1140">
      <formula>AND(IF($Q58=2,1,0),IF($X58&lt;30,1,0))</formula>
    </cfRule>
    <cfRule type="expression" dxfId="22051" priority="1141">
      <formula>AND(IF($Q58=3,1,0),IF($X58&lt;30,1,0))</formula>
    </cfRule>
    <cfRule type="expression" dxfId="22050" priority="1142">
      <formula>AND(IF($Q58=3,1,IF($Q58=4,1,0)),IF($F58&lt;=85,1,0))</formula>
    </cfRule>
  </conditionalFormatting>
  <conditionalFormatting sqref="X58">
    <cfRule type="expression" dxfId="22049" priority="1135">
      <formula>AND(IF(OR($Q58=1,$Q58=2),1,0),IF($X58&lt;=20,1,0))</formula>
    </cfRule>
    <cfRule type="expression" dxfId="22048" priority="1136">
      <formula>AND(IF($Q58=2,1,0),IF($X58&lt;30,1,0))</formula>
    </cfRule>
    <cfRule type="expression" dxfId="22047" priority="1137">
      <formula>AND(IF($Q58=3,1,0),IF($X58&lt;30,1,0))</formula>
    </cfRule>
    <cfRule type="expression" dxfId="22046" priority="1138">
      <formula>AND(IF($Q58=3,1,IF($Q58=4,1,0)),IF($F58&lt;=85,1,0))</formula>
    </cfRule>
  </conditionalFormatting>
  <conditionalFormatting sqref="AI58">
    <cfRule type="expression" dxfId="22045" priority="1131">
      <formula>AND(IF(OR($Q58=1,$Q58=2),1,0),IF($X58&lt;=20,1,0))</formula>
    </cfRule>
    <cfRule type="expression" dxfId="22044" priority="1132">
      <formula>AND(IF($Q58=2,1,0),IF($X58&lt;30,1,0))</formula>
    </cfRule>
    <cfRule type="expression" dxfId="22043" priority="1133">
      <formula>AND(IF($Q58=3,1,0),IF($X58&lt;30,1,0))</formula>
    </cfRule>
    <cfRule type="expression" dxfId="22042" priority="1134">
      <formula>AND(IF($Q58=3,1,IF($Q58=4,1,0)),IF($F58&lt;=85,1,0))</formula>
    </cfRule>
  </conditionalFormatting>
  <conditionalFormatting sqref="AV59">
    <cfRule type="expression" dxfId="22041" priority="1129">
      <formula>AV59="X"</formula>
    </cfRule>
    <cfRule type="expression" dxfId="22040" priority="1130">
      <formula>AV59="후보"</formula>
    </cfRule>
  </conditionalFormatting>
  <conditionalFormatting sqref="AC59">
    <cfRule type="cellIs" dxfId="22039" priority="1127" operator="greaterThan">
      <formula>0.9</formula>
    </cfRule>
    <cfRule type="cellIs" dxfId="22038" priority="1128" operator="greaterThan">
      <formula>0.85</formula>
    </cfRule>
  </conditionalFormatting>
  <conditionalFormatting sqref="N59">
    <cfRule type="cellIs" dxfId="22037" priority="1125" operator="greaterThan">
      <formula>0.9</formula>
    </cfRule>
    <cfRule type="cellIs" dxfId="22036" priority="1126" operator="greaterThan">
      <formula>0.85</formula>
    </cfRule>
  </conditionalFormatting>
  <conditionalFormatting sqref="E59">
    <cfRule type="expression" dxfId="22035" priority="1121">
      <formula>AND(IF(OR($Q59=1,$Q59=2),1,0),IF($X59&lt;=20,1,0))</formula>
    </cfRule>
    <cfRule type="expression" dxfId="22034" priority="1122">
      <formula>AND(IF($Q59=2,1,0),IF($X59&lt;30,1,0))</formula>
    </cfRule>
    <cfRule type="expression" dxfId="22033" priority="1123">
      <formula>AND(IF($Q59=3,1,0),IF($X59&lt;30,1,0))</formula>
    </cfRule>
    <cfRule type="expression" dxfId="22032" priority="1124">
      <formula>AND(IF($Q59=3,1,IF($Q59=4,1,0)),IF($F59&lt;=85,1,0))</formula>
    </cfRule>
  </conditionalFormatting>
  <conditionalFormatting sqref="X59">
    <cfRule type="expression" dxfId="22031" priority="1117">
      <formula>AND(IF(OR($Q59=1,$Q59=2),1,0),IF($X59&lt;=20,1,0))</formula>
    </cfRule>
    <cfRule type="expression" dxfId="22030" priority="1118">
      <formula>AND(IF($Q59=2,1,0),IF($X59&lt;30,1,0))</formula>
    </cfRule>
    <cfRule type="expression" dxfId="22029" priority="1119">
      <formula>AND(IF($Q59=3,1,0),IF($X59&lt;30,1,0))</formula>
    </cfRule>
    <cfRule type="expression" dxfId="22028" priority="1120">
      <formula>AND(IF($Q59=3,1,IF($Q59=4,1,0)),IF($F59&lt;=85,1,0))</formula>
    </cfRule>
  </conditionalFormatting>
  <conditionalFormatting sqref="AI59">
    <cfRule type="expression" dxfId="22027" priority="1113">
      <formula>AND(IF(OR($Q59=1,$Q59=2),1,0),IF($X59&lt;=20,1,0))</formula>
    </cfRule>
    <cfRule type="expression" dxfId="22026" priority="1114">
      <formula>AND(IF($Q59=2,1,0),IF($X59&lt;30,1,0))</formula>
    </cfRule>
    <cfRule type="expression" dxfId="22025" priority="1115">
      <formula>AND(IF($Q59=3,1,0),IF($X59&lt;30,1,0))</formula>
    </cfRule>
    <cfRule type="expression" dxfId="22024" priority="1116">
      <formula>AND(IF($Q59=3,1,IF($Q59=4,1,0)),IF($F59&lt;=85,1,0))</formula>
    </cfRule>
  </conditionalFormatting>
  <conditionalFormatting sqref="AV60">
    <cfRule type="expression" dxfId="22023" priority="1111">
      <formula>AV60="X"</formula>
    </cfRule>
    <cfRule type="expression" dxfId="22022" priority="1112">
      <formula>AV60="후보"</formula>
    </cfRule>
  </conditionalFormatting>
  <conditionalFormatting sqref="AC60">
    <cfRule type="cellIs" dxfId="22021" priority="1109" operator="greaterThan">
      <formula>0.9</formula>
    </cfRule>
    <cfRule type="cellIs" dxfId="22020" priority="1110" operator="greaterThan">
      <formula>0.85</formula>
    </cfRule>
  </conditionalFormatting>
  <conditionalFormatting sqref="N60">
    <cfRule type="cellIs" dxfId="22019" priority="1107" operator="greaterThan">
      <formula>0.9</formula>
    </cfRule>
    <cfRule type="cellIs" dxfId="22018" priority="1108" operator="greaterThan">
      <formula>0.85</formula>
    </cfRule>
  </conditionalFormatting>
  <conditionalFormatting sqref="E60">
    <cfRule type="expression" dxfId="22017" priority="1103">
      <formula>AND(IF(OR($Q60=1,$Q60=2),1,0),IF($X60&lt;=20,1,0))</formula>
    </cfRule>
    <cfRule type="expression" dxfId="22016" priority="1104">
      <formula>AND(IF($Q60=2,1,0),IF($X60&lt;30,1,0))</formula>
    </cfRule>
    <cfRule type="expression" dxfId="22015" priority="1105">
      <formula>AND(IF($Q60=3,1,0),IF($X60&lt;30,1,0))</formula>
    </cfRule>
    <cfRule type="expression" dxfId="22014" priority="1106">
      <formula>AND(IF($Q60=3,1,IF($Q60=4,1,0)),IF($F60&lt;=85,1,0))</formula>
    </cfRule>
  </conditionalFormatting>
  <conditionalFormatting sqref="X60">
    <cfRule type="expression" dxfId="22013" priority="1099">
      <formula>AND(IF(OR($Q60=1,$Q60=2),1,0),IF($X60&lt;=20,1,0))</formula>
    </cfRule>
    <cfRule type="expression" dxfId="22012" priority="1100">
      <formula>AND(IF($Q60=2,1,0),IF($X60&lt;30,1,0))</formula>
    </cfRule>
    <cfRule type="expression" dxfId="22011" priority="1101">
      <formula>AND(IF($Q60=3,1,0),IF($X60&lt;30,1,0))</formula>
    </cfRule>
    <cfRule type="expression" dxfId="22010" priority="1102">
      <formula>AND(IF($Q60=3,1,IF($Q60=4,1,0)),IF($F60&lt;=85,1,0))</formula>
    </cfRule>
  </conditionalFormatting>
  <conditionalFormatting sqref="AI60">
    <cfRule type="expression" dxfId="22009" priority="1095">
      <formula>AND(IF(OR($Q60=1,$Q60=2),1,0),IF($X60&lt;=20,1,0))</formula>
    </cfRule>
    <cfRule type="expression" dxfId="22008" priority="1096">
      <formula>AND(IF($Q60=2,1,0),IF($X60&lt;30,1,0))</formula>
    </cfRule>
    <cfRule type="expression" dxfId="22007" priority="1097">
      <formula>AND(IF($Q60=3,1,0),IF($X60&lt;30,1,0))</formula>
    </cfRule>
    <cfRule type="expression" dxfId="22006" priority="1098">
      <formula>AND(IF($Q60=3,1,IF($Q60=4,1,0)),IF($F60&lt;=85,1,0))</formula>
    </cfRule>
  </conditionalFormatting>
  <conditionalFormatting sqref="AV61">
    <cfRule type="expression" dxfId="22005" priority="1093">
      <formula>AV61="X"</formula>
    </cfRule>
    <cfRule type="expression" dxfId="22004" priority="1094">
      <formula>AV61="후보"</formula>
    </cfRule>
  </conditionalFormatting>
  <conditionalFormatting sqref="AC61">
    <cfRule type="cellIs" dxfId="22003" priority="1091" operator="greaterThan">
      <formula>0.9</formula>
    </cfRule>
    <cfRule type="cellIs" dxfId="22002" priority="1092" operator="greaterThan">
      <formula>0.85</formula>
    </cfRule>
  </conditionalFormatting>
  <conditionalFormatting sqref="N61">
    <cfRule type="cellIs" dxfId="22001" priority="1089" operator="greaterThan">
      <formula>0.9</formula>
    </cfRule>
    <cfRule type="cellIs" dxfId="22000" priority="1090" operator="greaterThan">
      <formula>0.85</formula>
    </cfRule>
  </conditionalFormatting>
  <conditionalFormatting sqref="E61">
    <cfRule type="expression" dxfId="21999" priority="1085">
      <formula>AND(IF(OR($Q61=1,$Q61=2),1,0),IF($X61&lt;=20,1,0))</formula>
    </cfRule>
    <cfRule type="expression" dxfId="21998" priority="1086">
      <formula>AND(IF($Q61=2,1,0),IF($X61&lt;30,1,0))</formula>
    </cfRule>
    <cfRule type="expression" dxfId="21997" priority="1087">
      <formula>AND(IF($Q61=3,1,0),IF($X61&lt;30,1,0))</formula>
    </cfRule>
    <cfRule type="expression" dxfId="21996" priority="1088">
      <formula>AND(IF($Q61=3,1,IF($Q61=4,1,0)),IF($F61&lt;=85,1,0))</formula>
    </cfRule>
  </conditionalFormatting>
  <conditionalFormatting sqref="X61">
    <cfRule type="expression" dxfId="21995" priority="1081">
      <formula>AND(IF(OR($Q61=1,$Q61=2),1,0),IF($X61&lt;=20,1,0))</formula>
    </cfRule>
    <cfRule type="expression" dxfId="21994" priority="1082">
      <formula>AND(IF($Q61=2,1,0),IF($X61&lt;30,1,0))</formula>
    </cfRule>
    <cfRule type="expression" dxfId="21993" priority="1083">
      <formula>AND(IF($Q61=3,1,0),IF($X61&lt;30,1,0))</formula>
    </cfRule>
    <cfRule type="expression" dxfId="21992" priority="1084">
      <formula>AND(IF($Q61=3,1,IF($Q61=4,1,0)),IF($F61&lt;=85,1,0))</formula>
    </cfRule>
  </conditionalFormatting>
  <conditionalFormatting sqref="AI61">
    <cfRule type="expression" dxfId="21991" priority="1077">
      <formula>AND(IF(OR($Q61=1,$Q61=2),1,0),IF($X61&lt;=20,1,0))</formula>
    </cfRule>
    <cfRule type="expression" dxfId="21990" priority="1078">
      <formula>AND(IF($Q61=2,1,0),IF($X61&lt;30,1,0))</formula>
    </cfRule>
    <cfRule type="expression" dxfId="21989" priority="1079">
      <formula>AND(IF($Q61=3,1,0),IF($X61&lt;30,1,0))</formula>
    </cfRule>
    <cfRule type="expression" dxfId="21988" priority="1080">
      <formula>AND(IF($Q61=3,1,IF($Q61=4,1,0)),IF($F61&lt;=85,1,0))</formula>
    </cfRule>
  </conditionalFormatting>
  <conditionalFormatting sqref="AV62">
    <cfRule type="expression" dxfId="21987" priority="1075">
      <formula>AV62="X"</formula>
    </cfRule>
    <cfRule type="expression" dxfId="21986" priority="1076">
      <formula>AV62="후보"</formula>
    </cfRule>
  </conditionalFormatting>
  <conditionalFormatting sqref="AC62 N62">
    <cfRule type="cellIs" dxfId="21985" priority="1073" operator="greaterThan">
      <formula>0.9</formula>
    </cfRule>
    <cfRule type="cellIs" dxfId="21984" priority="1074" operator="greaterThan">
      <formula>0.85</formula>
    </cfRule>
  </conditionalFormatting>
  <conditionalFormatting sqref="AV63">
    <cfRule type="expression" dxfId="21983" priority="1071">
      <formula>AV63="X"</formula>
    </cfRule>
    <cfRule type="expression" dxfId="21982" priority="1072">
      <formula>AV63="후보"</formula>
    </cfRule>
  </conditionalFormatting>
  <conditionalFormatting sqref="AC63">
    <cfRule type="cellIs" dxfId="21981" priority="1069" operator="greaterThan">
      <formula>0.9</formula>
    </cfRule>
    <cfRule type="cellIs" dxfId="21980" priority="1070" operator="greaterThan">
      <formula>0.85</formula>
    </cfRule>
  </conditionalFormatting>
  <conditionalFormatting sqref="N63">
    <cfRule type="cellIs" dxfId="21979" priority="1067" operator="greaterThan">
      <formula>0.9</formula>
    </cfRule>
    <cfRule type="cellIs" dxfId="21978" priority="1068" operator="greaterThan">
      <formula>0.85</formula>
    </cfRule>
  </conditionalFormatting>
  <conditionalFormatting sqref="E63">
    <cfRule type="expression" dxfId="21977" priority="1063">
      <formula>AND(IF(OR($Q63=1,$Q63=2),1,0),IF($X63&lt;=20,1,0))</formula>
    </cfRule>
    <cfRule type="expression" dxfId="21976" priority="1064">
      <formula>AND(IF($Q63=2,1,0),IF($X63&lt;30,1,0))</formula>
    </cfRule>
    <cfRule type="expression" dxfId="21975" priority="1065">
      <formula>AND(IF($Q63=3,1,0),IF($X63&lt;30,1,0))</formula>
    </cfRule>
    <cfRule type="expression" dxfId="21974" priority="1066">
      <formula>AND(IF($Q63=3,1,IF($Q63=4,1,0)),IF($F63&lt;=85,1,0))</formula>
    </cfRule>
  </conditionalFormatting>
  <conditionalFormatting sqref="X63">
    <cfRule type="expression" dxfId="21973" priority="1059">
      <formula>AND(IF(OR($Q63=1,$Q63=2),1,0),IF($X63&lt;=20,1,0))</formula>
    </cfRule>
    <cfRule type="expression" dxfId="21972" priority="1060">
      <formula>AND(IF($Q63=2,1,0),IF($X63&lt;30,1,0))</formula>
    </cfRule>
    <cfRule type="expression" dxfId="21971" priority="1061">
      <formula>AND(IF($Q63=3,1,0),IF($X63&lt;30,1,0))</formula>
    </cfRule>
    <cfRule type="expression" dxfId="21970" priority="1062">
      <formula>AND(IF($Q63=3,1,IF($Q63=4,1,0)),IF($F63&lt;=85,1,0))</formula>
    </cfRule>
  </conditionalFormatting>
  <conditionalFormatting sqref="AI63">
    <cfRule type="expression" dxfId="21969" priority="1055">
      <formula>AND(IF(OR($Q63=1,$Q63=2),1,0),IF($X63&lt;=20,1,0))</formula>
    </cfRule>
    <cfRule type="expression" dxfId="21968" priority="1056">
      <formula>AND(IF($Q63=2,1,0),IF($X63&lt;30,1,0))</formula>
    </cfRule>
    <cfRule type="expression" dxfId="21967" priority="1057">
      <formula>AND(IF($Q63=3,1,0),IF($X63&lt;30,1,0))</formula>
    </cfRule>
    <cfRule type="expression" dxfId="21966" priority="1058">
      <formula>AND(IF($Q63=3,1,IF($Q63=4,1,0)),IF($F63&lt;=85,1,0))</formula>
    </cfRule>
  </conditionalFormatting>
  <conditionalFormatting sqref="AV64">
    <cfRule type="expression" dxfId="21965" priority="1053">
      <formula>AV64="X"</formula>
    </cfRule>
    <cfRule type="expression" dxfId="21964" priority="1054">
      <formula>AV64="후보"</formula>
    </cfRule>
  </conditionalFormatting>
  <conditionalFormatting sqref="AC64">
    <cfRule type="cellIs" dxfId="21963" priority="1051" operator="greaterThan">
      <formula>0.9</formula>
    </cfRule>
    <cfRule type="cellIs" dxfId="21962" priority="1052" operator="greaterThan">
      <formula>0.85</formula>
    </cfRule>
  </conditionalFormatting>
  <conditionalFormatting sqref="N64">
    <cfRule type="cellIs" dxfId="21961" priority="1049" operator="greaterThan">
      <formula>0.9</formula>
    </cfRule>
    <cfRule type="cellIs" dxfId="21960" priority="1050" operator="greaterThan">
      <formula>0.85</formula>
    </cfRule>
  </conditionalFormatting>
  <conditionalFormatting sqref="E64">
    <cfRule type="expression" dxfId="21959" priority="1045">
      <formula>AND(IF(OR($Q64=1,$Q64=2),1,0),IF($X64&lt;=20,1,0))</formula>
    </cfRule>
    <cfRule type="expression" dxfId="21958" priority="1046">
      <formula>AND(IF($Q64=2,1,0),IF($X64&lt;30,1,0))</formula>
    </cfRule>
    <cfRule type="expression" dxfId="21957" priority="1047">
      <formula>AND(IF($Q64=3,1,0),IF($X64&lt;30,1,0))</formula>
    </cfRule>
    <cfRule type="expression" dxfId="21956" priority="1048">
      <formula>AND(IF($Q64=3,1,IF($Q64=4,1,0)),IF($F64&lt;=85,1,0))</formula>
    </cfRule>
  </conditionalFormatting>
  <conditionalFormatting sqref="X64">
    <cfRule type="expression" dxfId="21955" priority="1041">
      <formula>AND(IF(OR($Q64=1,$Q64=2),1,0),IF($X64&lt;=20,1,0))</formula>
    </cfRule>
    <cfRule type="expression" dxfId="21954" priority="1042">
      <formula>AND(IF($Q64=2,1,0),IF($X64&lt;30,1,0))</formula>
    </cfRule>
    <cfRule type="expression" dxfId="21953" priority="1043">
      <formula>AND(IF($Q64=3,1,0),IF($X64&lt;30,1,0))</formula>
    </cfRule>
    <cfRule type="expression" dxfId="21952" priority="1044">
      <formula>AND(IF($Q64=3,1,IF($Q64=4,1,0)),IF($F64&lt;=85,1,0))</formula>
    </cfRule>
  </conditionalFormatting>
  <conditionalFormatting sqref="AI64">
    <cfRule type="expression" dxfId="21951" priority="1037">
      <formula>AND(IF(OR($Q64=1,$Q64=2),1,0),IF($X64&lt;=20,1,0))</formula>
    </cfRule>
    <cfRule type="expression" dxfId="21950" priority="1038">
      <formula>AND(IF($Q64=2,1,0),IF($X64&lt;30,1,0))</formula>
    </cfRule>
    <cfRule type="expression" dxfId="21949" priority="1039">
      <formula>AND(IF($Q64=3,1,0),IF($X64&lt;30,1,0))</formula>
    </cfRule>
    <cfRule type="expression" dxfId="21948" priority="1040">
      <formula>AND(IF($Q64=3,1,IF($Q64=4,1,0)),IF($F64&lt;=85,1,0))</formula>
    </cfRule>
  </conditionalFormatting>
  <conditionalFormatting sqref="AV65">
    <cfRule type="expression" dxfId="21947" priority="1035">
      <formula>AV65="X"</formula>
    </cfRule>
    <cfRule type="expression" dxfId="21946" priority="1036">
      <formula>AV65="후보"</formula>
    </cfRule>
  </conditionalFormatting>
  <conditionalFormatting sqref="AC65">
    <cfRule type="cellIs" dxfId="21945" priority="1033" operator="greaterThan">
      <formula>0.9</formula>
    </cfRule>
    <cfRule type="cellIs" dxfId="21944" priority="1034" operator="greaterThan">
      <formula>0.85</formula>
    </cfRule>
  </conditionalFormatting>
  <conditionalFormatting sqref="N65">
    <cfRule type="cellIs" dxfId="21943" priority="1031" operator="greaterThan">
      <formula>0.9</formula>
    </cfRule>
    <cfRule type="cellIs" dxfId="21942" priority="1032" operator="greaterThan">
      <formula>0.85</formula>
    </cfRule>
  </conditionalFormatting>
  <conditionalFormatting sqref="E65">
    <cfRule type="expression" dxfId="21941" priority="1027">
      <formula>AND(IF(OR($Q65=1,$Q65=2),1,0),IF($X65&lt;=20,1,0))</formula>
    </cfRule>
    <cfRule type="expression" dxfId="21940" priority="1028">
      <formula>AND(IF($Q65=2,1,0),IF($X65&lt;30,1,0))</formula>
    </cfRule>
    <cfRule type="expression" dxfId="21939" priority="1029">
      <formula>AND(IF($Q65=3,1,0),IF($X65&lt;30,1,0))</formula>
    </cfRule>
    <cfRule type="expression" dxfId="21938" priority="1030">
      <formula>AND(IF($Q65=3,1,IF($Q65=4,1,0)),IF($F65&lt;=85,1,0))</formula>
    </cfRule>
  </conditionalFormatting>
  <conditionalFormatting sqref="X65">
    <cfRule type="expression" dxfId="21937" priority="1023">
      <formula>AND(IF(OR($Q65=1,$Q65=2),1,0),IF($X65&lt;=20,1,0))</formula>
    </cfRule>
    <cfRule type="expression" dxfId="21936" priority="1024">
      <formula>AND(IF($Q65=2,1,0),IF($X65&lt;30,1,0))</formula>
    </cfRule>
    <cfRule type="expression" dxfId="21935" priority="1025">
      <formula>AND(IF($Q65=3,1,0),IF($X65&lt;30,1,0))</formula>
    </cfRule>
    <cfRule type="expression" dxfId="21934" priority="1026">
      <formula>AND(IF($Q65=3,1,IF($Q65=4,1,0)),IF($F65&lt;=85,1,0))</formula>
    </cfRule>
  </conditionalFormatting>
  <conditionalFormatting sqref="AI65">
    <cfRule type="expression" dxfId="21933" priority="1019">
      <formula>AND(IF(OR($Q65=1,$Q65=2),1,0),IF($X65&lt;=20,1,0))</formula>
    </cfRule>
    <cfRule type="expression" dxfId="21932" priority="1020">
      <formula>AND(IF($Q65=2,1,0),IF($X65&lt;30,1,0))</formula>
    </cfRule>
    <cfRule type="expression" dxfId="21931" priority="1021">
      <formula>AND(IF($Q65=3,1,0),IF($X65&lt;30,1,0))</formula>
    </cfRule>
    <cfRule type="expression" dxfId="21930" priority="1022">
      <formula>AND(IF($Q65=3,1,IF($Q65=4,1,0)),IF($F65&lt;=85,1,0))</formula>
    </cfRule>
  </conditionalFormatting>
  <conditionalFormatting sqref="AV66">
    <cfRule type="expression" dxfId="21929" priority="1017">
      <formula>AV66="X"</formula>
    </cfRule>
    <cfRule type="expression" dxfId="21928" priority="1018">
      <formula>AV66="후보"</formula>
    </cfRule>
  </conditionalFormatting>
  <conditionalFormatting sqref="AC66">
    <cfRule type="cellIs" dxfId="21927" priority="1015" operator="greaterThan">
      <formula>0.9</formula>
    </cfRule>
    <cfRule type="cellIs" dxfId="21926" priority="1016" operator="greaterThan">
      <formula>0.85</formula>
    </cfRule>
  </conditionalFormatting>
  <conditionalFormatting sqref="N66">
    <cfRule type="cellIs" dxfId="21925" priority="1013" operator="greaterThan">
      <formula>0.9</formula>
    </cfRule>
    <cfRule type="cellIs" dxfId="21924" priority="1014" operator="greaterThan">
      <formula>0.85</formula>
    </cfRule>
  </conditionalFormatting>
  <conditionalFormatting sqref="E66">
    <cfRule type="expression" dxfId="21923" priority="1009">
      <formula>AND(IF(OR($Q66=1,$Q66=2),1,0),IF($X66&lt;=20,1,0))</formula>
    </cfRule>
    <cfRule type="expression" dxfId="21922" priority="1010">
      <formula>AND(IF($Q66=2,1,0),IF($X66&lt;30,1,0))</formula>
    </cfRule>
    <cfRule type="expression" dxfId="21921" priority="1011">
      <formula>AND(IF($Q66=3,1,0),IF($X66&lt;30,1,0))</formula>
    </cfRule>
    <cfRule type="expression" dxfId="21920" priority="1012">
      <formula>AND(IF($Q66=3,1,IF($Q66=4,1,0)),IF($F66&lt;=85,1,0))</formula>
    </cfRule>
  </conditionalFormatting>
  <conditionalFormatting sqref="X66">
    <cfRule type="expression" dxfId="21919" priority="1005">
      <formula>AND(IF(OR($Q66=1,$Q66=2),1,0),IF($X66&lt;=20,1,0))</formula>
    </cfRule>
    <cfRule type="expression" dxfId="21918" priority="1006">
      <formula>AND(IF($Q66=2,1,0),IF($X66&lt;30,1,0))</formula>
    </cfRule>
    <cfRule type="expression" dxfId="21917" priority="1007">
      <formula>AND(IF($Q66=3,1,0),IF($X66&lt;30,1,0))</formula>
    </cfRule>
    <cfRule type="expression" dxfId="21916" priority="1008">
      <formula>AND(IF($Q66=3,1,IF($Q66=4,1,0)),IF($F66&lt;=85,1,0))</formula>
    </cfRule>
  </conditionalFormatting>
  <conditionalFormatting sqref="AI66">
    <cfRule type="expression" dxfId="21915" priority="1001">
      <formula>AND(IF(OR($Q66=1,$Q66=2),1,0),IF($X66&lt;=20,1,0))</formula>
    </cfRule>
    <cfRule type="expression" dxfId="21914" priority="1002">
      <formula>AND(IF($Q66=2,1,0),IF($X66&lt;30,1,0))</formula>
    </cfRule>
    <cfRule type="expression" dxfId="21913" priority="1003">
      <formula>AND(IF($Q66=3,1,0),IF($X66&lt;30,1,0))</formula>
    </cfRule>
    <cfRule type="expression" dxfId="21912" priority="1004">
      <formula>AND(IF($Q66=3,1,IF($Q66=4,1,0)),IF($F66&lt;=85,1,0))</formula>
    </cfRule>
  </conditionalFormatting>
  <conditionalFormatting sqref="AV67">
    <cfRule type="expression" dxfId="21911" priority="999">
      <formula>AV67="X"</formula>
    </cfRule>
    <cfRule type="expression" dxfId="21910" priority="1000">
      <formula>AV67="후보"</formula>
    </cfRule>
  </conditionalFormatting>
  <conditionalFormatting sqref="AC67">
    <cfRule type="cellIs" dxfId="21909" priority="997" operator="greaterThan">
      <formula>0.9</formula>
    </cfRule>
    <cfRule type="cellIs" dxfId="21908" priority="998" operator="greaterThan">
      <formula>0.85</formula>
    </cfRule>
  </conditionalFormatting>
  <conditionalFormatting sqref="N67">
    <cfRule type="cellIs" dxfId="21907" priority="995" operator="greaterThan">
      <formula>0.9</formula>
    </cfRule>
    <cfRule type="cellIs" dxfId="21906" priority="996" operator="greaterThan">
      <formula>0.85</formula>
    </cfRule>
  </conditionalFormatting>
  <conditionalFormatting sqref="E67">
    <cfRule type="expression" dxfId="21905" priority="991">
      <formula>AND(IF(OR($Q67=1,$Q67=2),1,0),IF($X67&lt;=20,1,0))</formula>
    </cfRule>
    <cfRule type="expression" dxfId="21904" priority="992">
      <formula>AND(IF($Q67=2,1,0),IF($X67&lt;30,1,0))</formula>
    </cfRule>
    <cfRule type="expression" dxfId="21903" priority="993">
      <formula>AND(IF($Q67=3,1,0),IF($X67&lt;30,1,0))</formula>
    </cfRule>
    <cfRule type="expression" dxfId="21902" priority="994">
      <formula>AND(IF($Q67=3,1,IF($Q67=4,1,0)),IF($F67&lt;=85,1,0))</formula>
    </cfRule>
  </conditionalFormatting>
  <conditionalFormatting sqref="X67">
    <cfRule type="expression" dxfId="21901" priority="987">
      <formula>AND(IF(OR($Q67=1,$Q67=2),1,0),IF($X67&lt;=20,1,0))</formula>
    </cfRule>
    <cfRule type="expression" dxfId="21900" priority="988">
      <formula>AND(IF($Q67=2,1,0),IF($X67&lt;30,1,0))</formula>
    </cfRule>
    <cfRule type="expression" dxfId="21899" priority="989">
      <formula>AND(IF($Q67=3,1,0),IF($X67&lt;30,1,0))</formula>
    </cfRule>
    <cfRule type="expression" dxfId="21898" priority="990">
      <formula>AND(IF($Q67=3,1,IF($Q67=4,1,0)),IF($F67&lt;=85,1,0))</formula>
    </cfRule>
  </conditionalFormatting>
  <conditionalFormatting sqref="AI67">
    <cfRule type="expression" dxfId="21897" priority="983">
      <formula>AND(IF(OR($Q67=1,$Q67=2),1,0),IF($X67&lt;=20,1,0))</formula>
    </cfRule>
    <cfRule type="expression" dxfId="21896" priority="984">
      <formula>AND(IF($Q67=2,1,0),IF($X67&lt;30,1,0))</formula>
    </cfRule>
    <cfRule type="expression" dxfId="21895" priority="985">
      <formula>AND(IF($Q67=3,1,0),IF($X67&lt;30,1,0))</formula>
    </cfRule>
    <cfRule type="expression" dxfId="21894" priority="986">
      <formula>AND(IF($Q67=3,1,IF($Q67=4,1,0)),IF($F67&lt;=85,1,0))</formula>
    </cfRule>
  </conditionalFormatting>
  <conditionalFormatting sqref="AV68">
    <cfRule type="expression" dxfId="21893" priority="981">
      <formula>AV68="X"</formula>
    </cfRule>
    <cfRule type="expression" dxfId="21892" priority="982">
      <formula>AV68="후보"</formula>
    </cfRule>
  </conditionalFormatting>
  <conditionalFormatting sqref="AC68 N68">
    <cfRule type="cellIs" dxfId="21891" priority="979" operator="greaterThan">
      <formula>0.9</formula>
    </cfRule>
    <cfRule type="cellIs" dxfId="21890" priority="980" operator="greaterThan">
      <formula>0.85</formula>
    </cfRule>
  </conditionalFormatting>
  <conditionalFormatting sqref="AV69">
    <cfRule type="expression" dxfId="21889" priority="977">
      <formula>AV69="X"</formula>
    </cfRule>
    <cfRule type="expression" dxfId="21888" priority="978">
      <formula>AV69="후보"</formula>
    </cfRule>
  </conditionalFormatting>
  <conditionalFormatting sqref="AC69">
    <cfRule type="cellIs" dxfId="21887" priority="975" operator="greaterThan">
      <formula>0.9</formula>
    </cfRule>
    <cfRule type="cellIs" dxfId="21886" priority="976" operator="greaterThan">
      <formula>0.85</formula>
    </cfRule>
  </conditionalFormatting>
  <conditionalFormatting sqref="N69">
    <cfRule type="cellIs" dxfId="21885" priority="973" operator="greaterThan">
      <formula>0.9</formula>
    </cfRule>
    <cfRule type="cellIs" dxfId="21884" priority="974" operator="greaterThan">
      <formula>0.85</formula>
    </cfRule>
  </conditionalFormatting>
  <conditionalFormatting sqref="E69">
    <cfRule type="expression" dxfId="21883" priority="969">
      <formula>AND(IF(OR($Q69=1,$Q69=2),1,0),IF($X69&lt;=20,1,0))</formula>
    </cfRule>
    <cfRule type="expression" dxfId="21882" priority="970">
      <formula>AND(IF($Q69=2,1,0),IF($X69&lt;30,1,0))</formula>
    </cfRule>
    <cfRule type="expression" dxfId="21881" priority="971">
      <formula>AND(IF($Q69=3,1,0),IF($X69&lt;30,1,0))</formula>
    </cfRule>
    <cfRule type="expression" dxfId="21880" priority="972">
      <formula>AND(IF($Q69=3,1,IF($Q69=4,1,0)),IF($F69&lt;=85,1,0))</formula>
    </cfRule>
  </conditionalFormatting>
  <conditionalFormatting sqref="X69">
    <cfRule type="expression" dxfId="21879" priority="965">
      <formula>AND(IF(OR($Q69=1,$Q69=2),1,0),IF($X69&lt;=20,1,0))</formula>
    </cfRule>
    <cfRule type="expression" dxfId="21878" priority="966">
      <formula>AND(IF($Q69=2,1,0),IF($X69&lt;30,1,0))</formula>
    </cfRule>
    <cfRule type="expression" dxfId="21877" priority="967">
      <formula>AND(IF($Q69=3,1,0),IF($X69&lt;30,1,0))</formula>
    </cfRule>
    <cfRule type="expression" dxfId="21876" priority="968">
      <formula>AND(IF($Q69=3,1,IF($Q69=4,1,0)),IF($F69&lt;=85,1,0))</formula>
    </cfRule>
  </conditionalFormatting>
  <conditionalFormatting sqref="AI69">
    <cfRule type="expression" dxfId="21875" priority="961">
      <formula>AND(IF(OR($Q69=1,$Q69=2),1,0),IF($X69&lt;=20,1,0))</formula>
    </cfRule>
    <cfRule type="expression" dxfId="21874" priority="962">
      <formula>AND(IF($Q69=2,1,0),IF($X69&lt;30,1,0))</formula>
    </cfRule>
    <cfRule type="expression" dxfId="21873" priority="963">
      <formula>AND(IF($Q69=3,1,0),IF($X69&lt;30,1,0))</formula>
    </cfRule>
    <cfRule type="expression" dxfId="21872" priority="964">
      <formula>AND(IF($Q69=3,1,IF($Q69=4,1,0)),IF($F69&lt;=85,1,0))</formula>
    </cfRule>
  </conditionalFormatting>
  <conditionalFormatting sqref="AV70">
    <cfRule type="expression" dxfId="21871" priority="959">
      <formula>AV70="X"</formula>
    </cfRule>
    <cfRule type="expression" dxfId="21870" priority="960">
      <formula>AV70="후보"</formula>
    </cfRule>
  </conditionalFormatting>
  <conditionalFormatting sqref="AC70">
    <cfRule type="cellIs" dxfId="21869" priority="957" operator="greaterThan">
      <formula>0.9</formula>
    </cfRule>
    <cfRule type="cellIs" dxfId="21868" priority="958" operator="greaterThan">
      <formula>0.85</formula>
    </cfRule>
  </conditionalFormatting>
  <conditionalFormatting sqref="N70">
    <cfRule type="cellIs" dxfId="21867" priority="955" operator="greaterThan">
      <formula>0.9</formula>
    </cfRule>
    <cfRule type="cellIs" dxfId="21866" priority="956" operator="greaterThan">
      <formula>0.85</formula>
    </cfRule>
  </conditionalFormatting>
  <conditionalFormatting sqref="E70">
    <cfRule type="expression" dxfId="21865" priority="951">
      <formula>AND(IF(OR($Q70=1,$Q70=2),1,0),IF($X70&lt;=20,1,0))</formula>
    </cfRule>
    <cfRule type="expression" dxfId="21864" priority="952">
      <formula>AND(IF($Q70=2,1,0),IF($X70&lt;30,1,0))</formula>
    </cfRule>
    <cfRule type="expression" dxfId="21863" priority="953">
      <formula>AND(IF($Q70=3,1,0),IF($X70&lt;30,1,0))</formula>
    </cfRule>
    <cfRule type="expression" dxfId="21862" priority="954">
      <formula>AND(IF($Q70=3,1,IF($Q70=4,1,0)),IF($F70&lt;=85,1,0))</formula>
    </cfRule>
  </conditionalFormatting>
  <conditionalFormatting sqref="X70">
    <cfRule type="expression" dxfId="21861" priority="947">
      <formula>AND(IF(OR($Q70=1,$Q70=2),1,0),IF($X70&lt;=20,1,0))</formula>
    </cfRule>
    <cfRule type="expression" dxfId="21860" priority="948">
      <formula>AND(IF($Q70=2,1,0),IF($X70&lt;30,1,0))</formula>
    </cfRule>
    <cfRule type="expression" dxfId="21859" priority="949">
      <formula>AND(IF($Q70=3,1,0),IF($X70&lt;30,1,0))</formula>
    </cfRule>
    <cfRule type="expression" dxfId="21858" priority="950">
      <formula>AND(IF($Q70=3,1,IF($Q70=4,1,0)),IF($F70&lt;=85,1,0))</formula>
    </cfRule>
  </conditionalFormatting>
  <conditionalFormatting sqref="AI70">
    <cfRule type="expression" dxfId="21857" priority="943">
      <formula>AND(IF(OR($Q70=1,$Q70=2),1,0),IF($X70&lt;=20,1,0))</formula>
    </cfRule>
    <cfRule type="expression" dxfId="21856" priority="944">
      <formula>AND(IF($Q70=2,1,0),IF($X70&lt;30,1,0))</formula>
    </cfRule>
    <cfRule type="expression" dxfId="21855" priority="945">
      <formula>AND(IF($Q70=3,1,0),IF($X70&lt;30,1,0))</formula>
    </cfRule>
    <cfRule type="expression" dxfId="21854" priority="946">
      <formula>AND(IF($Q70=3,1,IF($Q70=4,1,0)),IF($F70&lt;=85,1,0))</formula>
    </cfRule>
  </conditionalFormatting>
  <conditionalFormatting sqref="AV71">
    <cfRule type="expression" dxfId="21853" priority="941">
      <formula>AV71="X"</formula>
    </cfRule>
    <cfRule type="expression" dxfId="21852" priority="942">
      <formula>AV71="후보"</formula>
    </cfRule>
  </conditionalFormatting>
  <conditionalFormatting sqref="AC71 N71">
    <cfRule type="cellIs" dxfId="21851" priority="939" operator="greaterThan">
      <formula>0.9</formula>
    </cfRule>
    <cfRule type="cellIs" dxfId="21850" priority="940" operator="greaterThan">
      <formula>0.85</formula>
    </cfRule>
  </conditionalFormatting>
  <conditionalFormatting sqref="AV72">
    <cfRule type="expression" dxfId="21849" priority="937">
      <formula>AV72="X"</formula>
    </cfRule>
    <cfRule type="expression" dxfId="21848" priority="938">
      <formula>AV72="후보"</formula>
    </cfRule>
  </conditionalFormatting>
  <conditionalFormatting sqref="AC72">
    <cfRule type="cellIs" dxfId="21847" priority="935" operator="greaterThan">
      <formula>0.9</formula>
    </cfRule>
    <cfRule type="cellIs" dxfId="21846" priority="936" operator="greaterThan">
      <formula>0.85</formula>
    </cfRule>
  </conditionalFormatting>
  <conditionalFormatting sqref="N72">
    <cfRule type="cellIs" dxfId="21845" priority="933" operator="greaterThan">
      <formula>0.9</formula>
    </cfRule>
    <cfRule type="cellIs" dxfId="21844" priority="934" operator="greaterThan">
      <formula>0.85</formula>
    </cfRule>
  </conditionalFormatting>
  <conditionalFormatting sqref="E72">
    <cfRule type="expression" dxfId="21843" priority="929">
      <formula>AND(IF(OR($Q72=1,$Q72=2),1,0),IF($X72&lt;=20,1,0))</formula>
    </cfRule>
    <cfRule type="expression" dxfId="21842" priority="930">
      <formula>AND(IF($Q72=2,1,0),IF($X72&lt;30,1,0))</formula>
    </cfRule>
    <cfRule type="expression" dxfId="21841" priority="931">
      <formula>AND(IF($Q72=3,1,0),IF($X72&lt;30,1,0))</formula>
    </cfRule>
    <cfRule type="expression" dxfId="21840" priority="932">
      <formula>AND(IF($Q72=3,1,IF($Q72=4,1,0)),IF($F72&lt;=85,1,0))</formula>
    </cfRule>
  </conditionalFormatting>
  <conditionalFormatting sqref="X72">
    <cfRule type="expression" dxfId="21839" priority="925">
      <formula>AND(IF(OR($Q72=1,$Q72=2),1,0),IF($X72&lt;=20,1,0))</formula>
    </cfRule>
    <cfRule type="expression" dxfId="21838" priority="926">
      <formula>AND(IF($Q72=2,1,0),IF($X72&lt;30,1,0))</formula>
    </cfRule>
    <cfRule type="expression" dxfId="21837" priority="927">
      <formula>AND(IF($Q72=3,1,0),IF($X72&lt;30,1,0))</formula>
    </cfRule>
    <cfRule type="expression" dxfId="21836" priority="928">
      <formula>AND(IF($Q72=3,1,IF($Q72=4,1,0)),IF($F72&lt;=85,1,0))</formula>
    </cfRule>
  </conditionalFormatting>
  <conditionalFormatting sqref="AI72">
    <cfRule type="expression" dxfId="21835" priority="921">
      <formula>AND(IF(OR($Q72=1,$Q72=2),1,0),IF($X72&lt;=20,1,0))</formula>
    </cfRule>
    <cfRule type="expression" dxfId="21834" priority="922">
      <formula>AND(IF($Q72=2,1,0),IF($X72&lt;30,1,0))</formula>
    </cfRule>
    <cfRule type="expression" dxfId="21833" priority="923">
      <formula>AND(IF($Q72=3,1,0),IF($X72&lt;30,1,0))</formula>
    </cfRule>
    <cfRule type="expression" dxfId="21832" priority="924">
      <formula>AND(IF($Q72=3,1,IF($Q72=4,1,0)),IF($F72&lt;=85,1,0))</formula>
    </cfRule>
  </conditionalFormatting>
  <conditionalFormatting sqref="AV73">
    <cfRule type="expression" dxfId="21831" priority="919">
      <formula>AV73="X"</formula>
    </cfRule>
    <cfRule type="expression" dxfId="21830" priority="920">
      <formula>AV73="후보"</formula>
    </cfRule>
  </conditionalFormatting>
  <conditionalFormatting sqref="AC73">
    <cfRule type="cellIs" dxfId="21829" priority="917" operator="greaterThan">
      <formula>0.9</formula>
    </cfRule>
    <cfRule type="cellIs" dxfId="21828" priority="918" operator="greaterThan">
      <formula>0.85</formula>
    </cfRule>
  </conditionalFormatting>
  <conditionalFormatting sqref="N73">
    <cfRule type="cellIs" dxfId="21827" priority="915" operator="greaterThan">
      <formula>0.9</formula>
    </cfRule>
    <cfRule type="cellIs" dxfId="21826" priority="916" operator="greaterThan">
      <formula>0.85</formula>
    </cfRule>
  </conditionalFormatting>
  <conditionalFormatting sqref="E73">
    <cfRule type="expression" dxfId="21825" priority="911">
      <formula>AND(IF(OR($Q73=1,$Q73=2),1,0),IF($X73&lt;=20,1,0))</formula>
    </cfRule>
    <cfRule type="expression" dxfId="21824" priority="912">
      <formula>AND(IF($Q73=2,1,0),IF($X73&lt;30,1,0))</formula>
    </cfRule>
    <cfRule type="expression" dxfId="21823" priority="913">
      <formula>AND(IF($Q73=3,1,0),IF($X73&lt;30,1,0))</formula>
    </cfRule>
    <cfRule type="expression" dxfId="21822" priority="914">
      <formula>AND(IF($Q73=3,1,IF($Q73=4,1,0)),IF($F73&lt;=85,1,0))</formula>
    </cfRule>
  </conditionalFormatting>
  <conditionalFormatting sqref="X73">
    <cfRule type="expression" dxfId="21821" priority="907">
      <formula>AND(IF(OR($Q73=1,$Q73=2),1,0),IF($X73&lt;=20,1,0))</formula>
    </cfRule>
    <cfRule type="expression" dxfId="21820" priority="908">
      <formula>AND(IF($Q73=2,1,0),IF($X73&lt;30,1,0))</formula>
    </cfRule>
    <cfRule type="expression" dxfId="21819" priority="909">
      <formula>AND(IF($Q73=3,1,0),IF($X73&lt;30,1,0))</formula>
    </cfRule>
    <cfRule type="expression" dxfId="21818" priority="910">
      <formula>AND(IF($Q73=3,1,IF($Q73=4,1,0)),IF($F73&lt;=85,1,0))</formula>
    </cfRule>
  </conditionalFormatting>
  <conditionalFormatting sqref="AI73">
    <cfRule type="expression" dxfId="21817" priority="903">
      <formula>AND(IF(OR($Q73=1,$Q73=2),1,0),IF($X73&lt;=20,1,0))</formula>
    </cfRule>
    <cfRule type="expression" dxfId="21816" priority="904">
      <formula>AND(IF($Q73=2,1,0),IF($X73&lt;30,1,0))</formula>
    </cfRule>
    <cfRule type="expression" dxfId="21815" priority="905">
      <formula>AND(IF($Q73=3,1,0),IF($X73&lt;30,1,0))</formula>
    </cfRule>
    <cfRule type="expression" dxfId="21814" priority="906">
      <formula>AND(IF($Q73=3,1,IF($Q73=4,1,0)),IF($F73&lt;=85,1,0))</formula>
    </cfRule>
  </conditionalFormatting>
  <conditionalFormatting sqref="AV74">
    <cfRule type="expression" dxfId="21813" priority="901">
      <formula>AV74="X"</formula>
    </cfRule>
    <cfRule type="expression" dxfId="21812" priority="902">
      <formula>AV74="후보"</formula>
    </cfRule>
  </conditionalFormatting>
  <conditionalFormatting sqref="AC74 N74">
    <cfRule type="cellIs" dxfId="21811" priority="899" operator="greaterThan">
      <formula>0.9</formula>
    </cfRule>
    <cfRule type="cellIs" dxfId="21810" priority="900" operator="greaterThan">
      <formula>0.85</formula>
    </cfRule>
  </conditionalFormatting>
  <conditionalFormatting sqref="AV75">
    <cfRule type="expression" dxfId="21809" priority="897">
      <formula>AV75="X"</formula>
    </cfRule>
    <cfRule type="expression" dxfId="21808" priority="898">
      <formula>AV75="후보"</formula>
    </cfRule>
  </conditionalFormatting>
  <conditionalFormatting sqref="AC75">
    <cfRule type="cellIs" dxfId="21807" priority="895" operator="greaterThan">
      <formula>0.9</formula>
    </cfRule>
    <cfRule type="cellIs" dxfId="21806" priority="896" operator="greaterThan">
      <formula>0.85</formula>
    </cfRule>
  </conditionalFormatting>
  <conditionalFormatting sqref="N75">
    <cfRule type="cellIs" dxfId="21805" priority="893" operator="greaterThan">
      <formula>0.9</formula>
    </cfRule>
    <cfRule type="cellIs" dxfId="21804" priority="894" operator="greaterThan">
      <formula>0.85</formula>
    </cfRule>
  </conditionalFormatting>
  <conditionalFormatting sqref="E75">
    <cfRule type="expression" dxfId="21803" priority="889">
      <formula>AND(IF(OR($Q75=1,$Q75=2),1,0),IF($X75&lt;=20,1,0))</formula>
    </cfRule>
    <cfRule type="expression" dxfId="21802" priority="890">
      <formula>AND(IF($Q75=2,1,0),IF($X75&lt;30,1,0))</formula>
    </cfRule>
    <cfRule type="expression" dxfId="21801" priority="891">
      <formula>AND(IF($Q75=3,1,0),IF($X75&lt;30,1,0))</formula>
    </cfRule>
    <cfRule type="expression" dxfId="21800" priority="892">
      <formula>AND(IF($Q75=3,1,IF($Q75=4,1,0)),IF($F75&lt;=85,1,0))</formula>
    </cfRule>
  </conditionalFormatting>
  <conditionalFormatting sqref="X75">
    <cfRule type="expression" dxfId="21799" priority="885">
      <formula>AND(IF(OR($Q75=1,$Q75=2),1,0),IF($X75&lt;=20,1,0))</formula>
    </cfRule>
    <cfRule type="expression" dxfId="21798" priority="886">
      <formula>AND(IF($Q75=2,1,0),IF($X75&lt;30,1,0))</formula>
    </cfRule>
    <cfRule type="expression" dxfId="21797" priority="887">
      <formula>AND(IF($Q75=3,1,0),IF($X75&lt;30,1,0))</formula>
    </cfRule>
    <cfRule type="expression" dxfId="21796" priority="888">
      <formula>AND(IF($Q75=3,1,IF($Q75=4,1,0)),IF($F75&lt;=85,1,0))</formula>
    </cfRule>
  </conditionalFormatting>
  <conditionalFormatting sqref="AI75">
    <cfRule type="expression" dxfId="21795" priority="881">
      <formula>AND(IF(OR($Q75=1,$Q75=2),1,0),IF($X75&lt;=20,1,0))</formula>
    </cfRule>
    <cfRule type="expression" dxfId="21794" priority="882">
      <formula>AND(IF($Q75=2,1,0),IF($X75&lt;30,1,0))</formula>
    </cfRule>
    <cfRule type="expression" dxfId="21793" priority="883">
      <formula>AND(IF($Q75=3,1,0),IF($X75&lt;30,1,0))</formula>
    </cfRule>
    <cfRule type="expression" dxfId="21792" priority="884">
      <formula>AND(IF($Q75=3,1,IF($Q75=4,1,0)),IF($F75&lt;=85,1,0))</formula>
    </cfRule>
  </conditionalFormatting>
  <conditionalFormatting sqref="AV76">
    <cfRule type="expression" dxfId="21791" priority="879">
      <formula>AV76="X"</formula>
    </cfRule>
    <cfRule type="expression" dxfId="21790" priority="880">
      <formula>AV76="후보"</formula>
    </cfRule>
  </conditionalFormatting>
  <conditionalFormatting sqref="AC76">
    <cfRule type="cellIs" dxfId="21789" priority="877" operator="greaterThan">
      <formula>0.9</formula>
    </cfRule>
    <cfRule type="cellIs" dxfId="21788" priority="878" operator="greaterThan">
      <formula>0.85</formula>
    </cfRule>
  </conditionalFormatting>
  <conditionalFormatting sqref="N76">
    <cfRule type="cellIs" dxfId="21787" priority="875" operator="greaterThan">
      <formula>0.9</formula>
    </cfRule>
    <cfRule type="cellIs" dxfId="21786" priority="876" operator="greaterThan">
      <formula>0.85</formula>
    </cfRule>
  </conditionalFormatting>
  <conditionalFormatting sqref="E76">
    <cfRule type="expression" dxfId="21785" priority="871">
      <formula>AND(IF(OR($Q76=1,$Q76=2),1,0),IF($X76&lt;=20,1,0))</formula>
    </cfRule>
    <cfRule type="expression" dxfId="21784" priority="872">
      <formula>AND(IF($Q76=2,1,0),IF($X76&lt;30,1,0))</formula>
    </cfRule>
    <cfRule type="expression" dxfId="21783" priority="873">
      <formula>AND(IF($Q76=3,1,0),IF($X76&lt;30,1,0))</formula>
    </cfRule>
    <cfRule type="expression" dxfId="21782" priority="874">
      <formula>AND(IF($Q76=3,1,IF($Q76=4,1,0)),IF($F76&lt;=85,1,0))</formula>
    </cfRule>
  </conditionalFormatting>
  <conditionalFormatting sqref="X76">
    <cfRule type="expression" dxfId="21781" priority="867">
      <formula>AND(IF(OR($Q76=1,$Q76=2),1,0),IF($X76&lt;=20,1,0))</formula>
    </cfRule>
    <cfRule type="expression" dxfId="21780" priority="868">
      <formula>AND(IF($Q76=2,1,0),IF($X76&lt;30,1,0))</formula>
    </cfRule>
    <cfRule type="expression" dxfId="21779" priority="869">
      <formula>AND(IF($Q76=3,1,0),IF($X76&lt;30,1,0))</formula>
    </cfRule>
    <cfRule type="expression" dxfId="21778" priority="870">
      <formula>AND(IF($Q76=3,1,IF($Q76=4,1,0)),IF($F76&lt;=85,1,0))</formula>
    </cfRule>
  </conditionalFormatting>
  <conditionalFormatting sqref="AI76">
    <cfRule type="expression" dxfId="21777" priority="863">
      <formula>AND(IF(OR($Q76=1,$Q76=2),1,0),IF($X76&lt;=20,1,0))</formula>
    </cfRule>
    <cfRule type="expression" dxfId="21776" priority="864">
      <formula>AND(IF($Q76=2,1,0),IF($X76&lt;30,1,0))</formula>
    </cfRule>
    <cfRule type="expression" dxfId="21775" priority="865">
      <formula>AND(IF($Q76=3,1,0),IF($X76&lt;30,1,0))</formula>
    </cfRule>
    <cfRule type="expression" dxfId="21774" priority="866">
      <formula>AND(IF($Q76=3,1,IF($Q76=4,1,0)),IF($F76&lt;=85,1,0))</formula>
    </cfRule>
  </conditionalFormatting>
  <conditionalFormatting sqref="AV77">
    <cfRule type="expression" dxfId="21773" priority="861">
      <formula>AV77="X"</formula>
    </cfRule>
    <cfRule type="expression" dxfId="21772" priority="862">
      <formula>AV77="후보"</formula>
    </cfRule>
  </conditionalFormatting>
  <conditionalFormatting sqref="AC77">
    <cfRule type="cellIs" dxfId="21771" priority="859" operator="greaterThan">
      <formula>0.9</formula>
    </cfRule>
    <cfRule type="cellIs" dxfId="21770" priority="860" operator="greaterThan">
      <formula>0.85</formula>
    </cfRule>
  </conditionalFormatting>
  <conditionalFormatting sqref="N77">
    <cfRule type="cellIs" dxfId="21769" priority="857" operator="greaterThan">
      <formula>0.9</formula>
    </cfRule>
    <cfRule type="cellIs" dxfId="21768" priority="858" operator="greaterThan">
      <formula>0.85</formula>
    </cfRule>
  </conditionalFormatting>
  <conditionalFormatting sqref="E77">
    <cfRule type="expression" dxfId="21767" priority="853">
      <formula>AND(IF(OR($Q77=1,$Q77=2),1,0),IF($X77&lt;=20,1,0))</formula>
    </cfRule>
    <cfRule type="expression" dxfId="21766" priority="854">
      <formula>AND(IF($Q77=2,1,0),IF($X77&lt;30,1,0))</formula>
    </cfRule>
    <cfRule type="expression" dxfId="21765" priority="855">
      <formula>AND(IF($Q77=3,1,0),IF($X77&lt;30,1,0))</formula>
    </cfRule>
    <cfRule type="expression" dxfId="21764" priority="856">
      <formula>AND(IF($Q77=3,1,IF($Q77=4,1,0)),IF($F77&lt;=85,1,0))</formula>
    </cfRule>
  </conditionalFormatting>
  <conditionalFormatting sqref="X77">
    <cfRule type="expression" dxfId="21763" priority="849">
      <formula>AND(IF(OR($Q77=1,$Q77=2),1,0),IF($X77&lt;=20,1,0))</formula>
    </cfRule>
    <cfRule type="expression" dxfId="21762" priority="850">
      <formula>AND(IF($Q77=2,1,0),IF($X77&lt;30,1,0))</formula>
    </cfRule>
    <cfRule type="expression" dxfId="21761" priority="851">
      <formula>AND(IF($Q77=3,1,0),IF($X77&lt;30,1,0))</formula>
    </cfRule>
    <cfRule type="expression" dxfId="21760" priority="852">
      <formula>AND(IF($Q77=3,1,IF($Q77=4,1,0)),IF($F77&lt;=85,1,0))</formula>
    </cfRule>
  </conditionalFormatting>
  <conditionalFormatting sqref="AI77">
    <cfRule type="expression" dxfId="21759" priority="845">
      <formula>AND(IF(OR($Q77=1,$Q77=2),1,0),IF($X77&lt;=20,1,0))</formula>
    </cfRule>
    <cfRule type="expression" dxfId="21758" priority="846">
      <formula>AND(IF($Q77=2,1,0),IF($X77&lt;30,1,0))</formula>
    </cfRule>
    <cfRule type="expression" dxfId="21757" priority="847">
      <formula>AND(IF($Q77=3,1,0),IF($X77&lt;30,1,0))</formula>
    </cfRule>
    <cfRule type="expression" dxfId="21756" priority="848">
      <formula>AND(IF($Q77=3,1,IF($Q77=4,1,0)),IF($F77&lt;=85,1,0))</formula>
    </cfRule>
  </conditionalFormatting>
  <conditionalFormatting sqref="AV78">
    <cfRule type="expression" dxfId="21755" priority="843">
      <formula>AV78="X"</formula>
    </cfRule>
    <cfRule type="expression" dxfId="21754" priority="844">
      <formula>AV78="후보"</formula>
    </cfRule>
  </conditionalFormatting>
  <conditionalFormatting sqref="AC78">
    <cfRule type="cellIs" dxfId="21753" priority="841" operator="greaterThan">
      <formula>0.9</formula>
    </cfRule>
    <cfRule type="cellIs" dxfId="21752" priority="842" operator="greaterThan">
      <formula>0.85</formula>
    </cfRule>
  </conditionalFormatting>
  <conditionalFormatting sqref="N78">
    <cfRule type="cellIs" dxfId="21751" priority="839" operator="greaterThan">
      <formula>0.9</formula>
    </cfRule>
    <cfRule type="cellIs" dxfId="21750" priority="840" operator="greaterThan">
      <formula>0.85</formula>
    </cfRule>
  </conditionalFormatting>
  <conditionalFormatting sqref="E78">
    <cfRule type="expression" dxfId="21749" priority="835">
      <formula>AND(IF(OR($Q78=1,$Q78=2),1,0),IF($X78&lt;=20,1,0))</formula>
    </cfRule>
    <cfRule type="expression" dxfId="21748" priority="836">
      <formula>AND(IF($Q78=2,1,0),IF($X78&lt;30,1,0))</formula>
    </cfRule>
    <cfRule type="expression" dxfId="21747" priority="837">
      <formula>AND(IF($Q78=3,1,0),IF($X78&lt;30,1,0))</formula>
    </cfRule>
    <cfRule type="expression" dxfId="21746" priority="838">
      <formula>AND(IF($Q78=3,1,IF($Q78=4,1,0)),IF($F78&lt;=85,1,0))</formula>
    </cfRule>
  </conditionalFormatting>
  <conditionalFormatting sqref="X78">
    <cfRule type="expression" dxfId="21745" priority="831">
      <formula>AND(IF(OR($Q78=1,$Q78=2),1,0),IF($X78&lt;=20,1,0))</formula>
    </cfRule>
    <cfRule type="expression" dxfId="21744" priority="832">
      <formula>AND(IF($Q78=2,1,0),IF($X78&lt;30,1,0))</formula>
    </cfRule>
    <cfRule type="expression" dxfId="21743" priority="833">
      <formula>AND(IF($Q78=3,1,0),IF($X78&lt;30,1,0))</formula>
    </cfRule>
    <cfRule type="expression" dxfId="21742" priority="834">
      <formula>AND(IF($Q78=3,1,IF($Q78=4,1,0)),IF($F78&lt;=85,1,0))</formula>
    </cfRule>
  </conditionalFormatting>
  <conditionalFormatting sqref="AI78">
    <cfRule type="expression" dxfId="21741" priority="827">
      <formula>AND(IF(OR($Q78=1,$Q78=2),1,0),IF($X78&lt;=20,1,0))</formula>
    </cfRule>
    <cfRule type="expression" dxfId="21740" priority="828">
      <formula>AND(IF($Q78=2,1,0),IF($X78&lt;30,1,0))</formula>
    </cfRule>
    <cfRule type="expression" dxfId="21739" priority="829">
      <formula>AND(IF($Q78=3,1,0),IF($X78&lt;30,1,0))</formula>
    </cfRule>
    <cfRule type="expression" dxfId="21738" priority="830">
      <formula>AND(IF($Q78=3,1,IF($Q78=4,1,0)),IF($F78&lt;=85,1,0))</formula>
    </cfRule>
  </conditionalFormatting>
  <conditionalFormatting sqref="AV79">
    <cfRule type="expression" dxfId="21737" priority="825">
      <formula>AV79="X"</formula>
    </cfRule>
    <cfRule type="expression" dxfId="21736" priority="826">
      <formula>AV79="후보"</formula>
    </cfRule>
  </conditionalFormatting>
  <conditionalFormatting sqref="AC79 N79">
    <cfRule type="cellIs" dxfId="21735" priority="823" operator="greaterThan">
      <formula>0.9</formula>
    </cfRule>
    <cfRule type="cellIs" dxfId="21734" priority="824" operator="greaterThan">
      <formula>0.85</formula>
    </cfRule>
  </conditionalFormatting>
  <conditionalFormatting sqref="AV80">
    <cfRule type="expression" dxfId="21733" priority="821">
      <formula>AV80="X"</formula>
    </cfRule>
    <cfRule type="expression" dxfId="21732" priority="822">
      <formula>AV80="후보"</formula>
    </cfRule>
  </conditionalFormatting>
  <conditionalFormatting sqref="AC80">
    <cfRule type="cellIs" dxfId="21731" priority="819" operator="greaterThan">
      <formula>0.9</formula>
    </cfRule>
    <cfRule type="cellIs" dxfId="21730" priority="820" operator="greaterThan">
      <formula>0.85</formula>
    </cfRule>
  </conditionalFormatting>
  <conditionalFormatting sqref="N80">
    <cfRule type="cellIs" dxfId="21729" priority="817" operator="greaterThan">
      <formula>0.9</formula>
    </cfRule>
    <cfRule type="cellIs" dxfId="21728" priority="818" operator="greaterThan">
      <formula>0.85</formula>
    </cfRule>
  </conditionalFormatting>
  <conditionalFormatting sqref="E80">
    <cfRule type="expression" dxfId="21727" priority="813">
      <formula>AND(IF(OR($Q80=1,$Q80=2),1,0),IF($X80&lt;=20,1,0))</formula>
    </cfRule>
    <cfRule type="expression" dxfId="21726" priority="814">
      <formula>AND(IF($Q80=2,1,0),IF($X80&lt;30,1,0))</formula>
    </cfRule>
    <cfRule type="expression" dxfId="21725" priority="815">
      <formula>AND(IF($Q80=3,1,0),IF($X80&lt;30,1,0))</formula>
    </cfRule>
    <cfRule type="expression" dxfId="21724" priority="816">
      <formula>AND(IF($Q80=3,1,IF($Q80=4,1,0)),IF($F80&lt;=85,1,0))</formula>
    </cfRule>
  </conditionalFormatting>
  <conditionalFormatting sqref="X80">
    <cfRule type="expression" dxfId="21723" priority="809">
      <formula>AND(IF(OR($Q80=1,$Q80=2),1,0),IF($X80&lt;=20,1,0))</formula>
    </cfRule>
    <cfRule type="expression" dxfId="21722" priority="810">
      <formula>AND(IF($Q80=2,1,0),IF($X80&lt;30,1,0))</formula>
    </cfRule>
    <cfRule type="expression" dxfId="21721" priority="811">
      <formula>AND(IF($Q80=3,1,0),IF($X80&lt;30,1,0))</formula>
    </cfRule>
    <cfRule type="expression" dxfId="21720" priority="812">
      <formula>AND(IF($Q80=3,1,IF($Q80=4,1,0)),IF($F80&lt;=85,1,0))</formula>
    </cfRule>
  </conditionalFormatting>
  <conditionalFormatting sqref="AI80">
    <cfRule type="expression" dxfId="21719" priority="805">
      <formula>AND(IF(OR($Q80=1,$Q80=2),1,0),IF($X80&lt;=20,1,0))</formula>
    </cfRule>
    <cfRule type="expression" dxfId="21718" priority="806">
      <formula>AND(IF($Q80=2,1,0),IF($X80&lt;30,1,0))</formula>
    </cfRule>
    <cfRule type="expression" dxfId="21717" priority="807">
      <formula>AND(IF($Q80=3,1,0),IF($X80&lt;30,1,0))</formula>
    </cfRule>
    <cfRule type="expression" dxfId="21716" priority="808">
      <formula>AND(IF($Q80=3,1,IF($Q80=4,1,0)),IF($F80&lt;=85,1,0))</formula>
    </cfRule>
  </conditionalFormatting>
  <conditionalFormatting sqref="AV81">
    <cfRule type="expression" dxfId="21715" priority="803">
      <formula>AV81="X"</formula>
    </cfRule>
    <cfRule type="expression" dxfId="21714" priority="804">
      <formula>AV81="후보"</formula>
    </cfRule>
  </conditionalFormatting>
  <conditionalFormatting sqref="AC81">
    <cfRule type="cellIs" dxfId="21713" priority="801" operator="greaterThan">
      <formula>0.9</formula>
    </cfRule>
    <cfRule type="cellIs" dxfId="21712" priority="802" operator="greaterThan">
      <formula>0.85</formula>
    </cfRule>
  </conditionalFormatting>
  <conditionalFormatting sqref="N81">
    <cfRule type="cellIs" dxfId="21711" priority="799" operator="greaterThan">
      <formula>0.9</formula>
    </cfRule>
    <cfRule type="cellIs" dxfId="21710" priority="800" operator="greaterThan">
      <formula>0.85</formula>
    </cfRule>
  </conditionalFormatting>
  <conditionalFormatting sqref="E81">
    <cfRule type="expression" dxfId="21709" priority="795">
      <formula>AND(IF(OR($Q81=1,$Q81=2),1,0),IF($X81&lt;=20,1,0))</formula>
    </cfRule>
    <cfRule type="expression" dxfId="21708" priority="796">
      <formula>AND(IF($Q81=2,1,0),IF($X81&lt;30,1,0))</formula>
    </cfRule>
    <cfRule type="expression" dxfId="21707" priority="797">
      <formula>AND(IF($Q81=3,1,0),IF($X81&lt;30,1,0))</formula>
    </cfRule>
    <cfRule type="expression" dxfId="21706" priority="798">
      <formula>AND(IF($Q81=3,1,IF($Q81=4,1,0)),IF($F81&lt;=85,1,0))</formula>
    </cfRule>
  </conditionalFormatting>
  <conditionalFormatting sqref="X81">
    <cfRule type="expression" dxfId="21705" priority="791">
      <formula>AND(IF(OR($Q81=1,$Q81=2),1,0),IF($X81&lt;=20,1,0))</formula>
    </cfRule>
    <cfRule type="expression" dxfId="21704" priority="792">
      <formula>AND(IF($Q81=2,1,0),IF($X81&lt;30,1,0))</formula>
    </cfRule>
    <cfRule type="expression" dxfId="21703" priority="793">
      <formula>AND(IF($Q81=3,1,0),IF($X81&lt;30,1,0))</formula>
    </cfRule>
    <cfRule type="expression" dxfId="21702" priority="794">
      <formula>AND(IF($Q81=3,1,IF($Q81=4,1,0)),IF($F81&lt;=85,1,0))</formula>
    </cfRule>
  </conditionalFormatting>
  <conditionalFormatting sqref="AI81">
    <cfRule type="expression" dxfId="21701" priority="787">
      <formula>AND(IF(OR($Q81=1,$Q81=2),1,0),IF($X81&lt;=20,1,0))</formula>
    </cfRule>
    <cfRule type="expression" dxfId="21700" priority="788">
      <formula>AND(IF($Q81=2,1,0),IF($X81&lt;30,1,0))</formula>
    </cfRule>
    <cfRule type="expression" dxfId="21699" priority="789">
      <formula>AND(IF($Q81=3,1,0),IF($X81&lt;30,1,0))</formula>
    </cfRule>
    <cfRule type="expression" dxfId="21698" priority="790">
      <formula>AND(IF($Q81=3,1,IF($Q81=4,1,0)),IF($F81&lt;=85,1,0))</formula>
    </cfRule>
  </conditionalFormatting>
  <conditionalFormatting sqref="AV82">
    <cfRule type="expression" dxfId="21697" priority="785">
      <formula>AV82="X"</formula>
    </cfRule>
    <cfRule type="expression" dxfId="21696" priority="786">
      <formula>AV82="후보"</formula>
    </cfRule>
  </conditionalFormatting>
  <conditionalFormatting sqref="AC82 N82">
    <cfRule type="cellIs" dxfId="21695" priority="783" operator="greaterThan">
      <formula>0.9</formula>
    </cfRule>
    <cfRule type="cellIs" dxfId="21694" priority="784" operator="greaterThan">
      <formula>0.85</formula>
    </cfRule>
  </conditionalFormatting>
  <conditionalFormatting sqref="AV83">
    <cfRule type="expression" dxfId="21693" priority="781">
      <formula>AV83="X"</formula>
    </cfRule>
    <cfRule type="expression" dxfId="21692" priority="782">
      <formula>AV83="후보"</formula>
    </cfRule>
  </conditionalFormatting>
  <conditionalFormatting sqref="AC83">
    <cfRule type="cellIs" dxfId="21691" priority="779" operator="greaterThan">
      <formula>0.9</formula>
    </cfRule>
    <cfRule type="cellIs" dxfId="21690" priority="780" operator="greaterThan">
      <formula>0.85</formula>
    </cfRule>
  </conditionalFormatting>
  <conditionalFormatting sqref="N83">
    <cfRule type="cellIs" dxfId="21689" priority="777" operator="greaterThan">
      <formula>0.9</formula>
    </cfRule>
    <cfRule type="cellIs" dxfId="21688" priority="778" operator="greaterThan">
      <formula>0.85</formula>
    </cfRule>
  </conditionalFormatting>
  <conditionalFormatting sqref="E83">
    <cfRule type="expression" dxfId="21687" priority="773">
      <formula>AND(IF(OR($Q83=1,$Q83=2),1,0),IF($X83&lt;=20,1,0))</formula>
    </cfRule>
    <cfRule type="expression" dxfId="21686" priority="774">
      <formula>AND(IF($Q83=2,1,0),IF($X83&lt;30,1,0))</formula>
    </cfRule>
    <cfRule type="expression" dxfId="21685" priority="775">
      <formula>AND(IF($Q83=3,1,0),IF($X83&lt;30,1,0))</formula>
    </cfRule>
    <cfRule type="expression" dxfId="21684" priority="776">
      <formula>AND(IF($Q83=3,1,IF($Q83=4,1,0)),IF($F83&lt;=85,1,0))</formula>
    </cfRule>
  </conditionalFormatting>
  <conditionalFormatting sqref="X83">
    <cfRule type="expression" dxfId="21683" priority="769">
      <formula>AND(IF(OR($Q83=1,$Q83=2),1,0),IF($X83&lt;=20,1,0))</formula>
    </cfRule>
    <cfRule type="expression" dxfId="21682" priority="770">
      <formula>AND(IF($Q83=2,1,0),IF($X83&lt;30,1,0))</formula>
    </cfRule>
    <cfRule type="expression" dxfId="21681" priority="771">
      <formula>AND(IF($Q83=3,1,0),IF($X83&lt;30,1,0))</formula>
    </cfRule>
    <cfRule type="expression" dxfId="21680" priority="772">
      <formula>AND(IF($Q83=3,1,IF($Q83=4,1,0)),IF($F83&lt;=85,1,0))</formula>
    </cfRule>
  </conditionalFormatting>
  <conditionalFormatting sqref="AI83">
    <cfRule type="expression" dxfId="21679" priority="765">
      <formula>AND(IF(OR($Q83=1,$Q83=2),1,0),IF($X83&lt;=20,1,0))</formula>
    </cfRule>
    <cfRule type="expression" dxfId="21678" priority="766">
      <formula>AND(IF($Q83=2,1,0),IF($X83&lt;30,1,0))</formula>
    </cfRule>
    <cfRule type="expression" dxfId="21677" priority="767">
      <formula>AND(IF($Q83=3,1,0),IF($X83&lt;30,1,0))</formula>
    </cfRule>
    <cfRule type="expression" dxfId="21676" priority="768">
      <formula>AND(IF($Q83=3,1,IF($Q83=4,1,0)),IF($F83&lt;=85,1,0))</formula>
    </cfRule>
  </conditionalFormatting>
  <conditionalFormatting sqref="AV84">
    <cfRule type="expression" dxfId="21675" priority="763">
      <formula>AV84="X"</formula>
    </cfRule>
    <cfRule type="expression" dxfId="21674" priority="764">
      <formula>AV84="후보"</formula>
    </cfRule>
  </conditionalFormatting>
  <conditionalFormatting sqref="AC84">
    <cfRule type="cellIs" dxfId="21673" priority="761" operator="greaterThan">
      <formula>0.9</formula>
    </cfRule>
    <cfRule type="cellIs" dxfId="21672" priority="762" operator="greaterThan">
      <formula>0.85</formula>
    </cfRule>
  </conditionalFormatting>
  <conditionalFormatting sqref="N84">
    <cfRule type="cellIs" dxfId="21671" priority="759" operator="greaterThan">
      <formula>0.9</formula>
    </cfRule>
    <cfRule type="cellIs" dxfId="21670" priority="760" operator="greaterThan">
      <formula>0.85</formula>
    </cfRule>
  </conditionalFormatting>
  <conditionalFormatting sqref="E84">
    <cfRule type="expression" dxfId="21669" priority="755">
      <formula>AND(IF(OR($Q84=1,$Q84=2),1,0),IF($X84&lt;=20,1,0))</formula>
    </cfRule>
    <cfRule type="expression" dxfId="21668" priority="756">
      <formula>AND(IF($Q84=2,1,0),IF($X84&lt;30,1,0))</formula>
    </cfRule>
    <cfRule type="expression" dxfId="21667" priority="757">
      <formula>AND(IF($Q84=3,1,0),IF($X84&lt;30,1,0))</formula>
    </cfRule>
    <cfRule type="expression" dxfId="21666" priority="758">
      <formula>AND(IF($Q84=3,1,IF($Q84=4,1,0)),IF($F84&lt;=85,1,0))</formula>
    </cfRule>
  </conditionalFormatting>
  <conditionalFormatting sqref="X84">
    <cfRule type="expression" dxfId="21665" priority="751">
      <formula>AND(IF(OR($Q84=1,$Q84=2),1,0),IF($X84&lt;=20,1,0))</formula>
    </cfRule>
    <cfRule type="expression" dxfId="21664" priority="752">
      <formula>AND(IF($Q84=2,1,0),IF($X84&lt;30,1,0))</formula>
    </cfRule>
    <cfRule type="expression" dxfId="21663" priority="753">
      <formula>AND(IF($Q84=3,1,0),IF($X84&lt;30,1,0))</formula>
    </cfRule>
    <cfRule type="expression" dxfId="21662" priority="754">
      <formula>AND(IF($Q84=3,1,IF($Q84=4,1,0)),IF($F84&lt;=85,1,0))</formula>
    </cfRule>
  </conditionalFormatting>
  <conditionalFormatting sqref="AI84">
    <cfRule type="expression" dxfId="21661" priority="747">
      <formula>AND(IF(OR($Q84=1,$Q84=2),1,0),IF($X84&lt;=20,1,0))</formula>
    </cfRule>
    <cfRule type="expression" dxfId="21660" priority="748">
      <formula>AND(IF($Q84=2,1,0),IF($X84&lt;30,1,0))</formula>
    </cfRule>
    <cfRule type="expression" dxfId="21659" priority="749">
      <formula>AND(IF($Q84=3,1,0),IF($X84&lt;30,1,0))</formula>
    </cfRule>
    <cfRule type="expression" dxfId="21658" priority="750">
      <formula>AND(IF($Q84=3,1,IF($Q84=4,1,0)),IF($F84&lt;=85,1,0))</formula>
    </cfRule>
  </conditionalFormatting>
  <conditionalFormatting sqref="AV85">
    <cfRule type="expression" dxfId="21657" priority="745">
      <formula>AV85="X"</formula>
    </cfRule>
    <cfRule type="expression" dxfId="21656" priority="746">
      <formula>AV85="후보"</formula>
    </cfRule>
  </conditionalFormatting>
  <conditionalFormatting sqref="AC85">
    <cfRule type="cellIs" dxfId="21655" priority="743" operator="greaterThan">
      <formula>0.9</formula>
    </cfRule>
    <cfRule type="cellIs" dxfId="21654" priority="744" operator="greaterThan">
      <formula>0.85</formula>
    </cfRule>
  </conditionalFormatting>
  <conditionalFormatting sqref="N85">
    <cfRule type="cellIs" dxfId="21653" priority="741" operator="greaterThan">
      <formula>0.9</formula>
    </cfRule>
    <cfRule type="cellIs" dxfId="21652" priority="742" operator="greaterThan">
      <formula>0.85</formula>
    </cfRule>
  </conditionalFormatting>
  <conditionalFormatting sqref="E85">
    <cfRule type="expression" dxfId="21651" priority="737">
      <formula>AND(IF(OR($Q85=1,$Q85=2),1,0),IF($X85&lt;=20,1,0))</formula>
    </cfRule>
    <cfRule type="expression" dxfId="21650" priority="738">
      <formula>AND(IF($Q85=2,1,0),IF($X85&lt;30,1,0))</formula>
    </cfRule>
    <cfRule type="expression" dxfId="21649" priority="739">
      <formula>AND(IF($Q85=3,1,0),IF($X85&lt;30,1,0))</formula>
    </cfRule>
    <cfRule type="expression" dxfId="21648" priority="740">
      <formula>AND(IF($Q85=3,1,IF($Q85=4,1,0)),IF($F85&lt;=85,1,0))</formula>
    </cfRule>
  </conditionalFormatting>
  <conditionalFormatting sqref="X85">
    <cfRule type="expression" dxfId="21647" priority="733">
      <formula>AND(IF(OR($Q85=1,$Q85=2),1,0),IF($X85&lt;=20,1,0))</formula>
    </cfRule>
    <cfRule type="expression" dxfId="21646" priority="734">
      <formula>AND(IF($Q85=2,1,0),IF($X85&lt;30,1,0))</formula>
    </cfRule>
    <cfRule type="expression" dxfId="21645" priority="735">
      <formula>AND(IF($Q85=3,1,0),IF($X85&lt;30,1,0))</formula>
    </cfRule>
    <cfRule type="expression" dxfId="21644" priority="736">
      <formula>AND(IF($Q85=3,1,IF($Q85=4,1,0)),IF($F85&lt;=85,1,0))</formula>
    </cfRule>
  </conditionalFormatting>
  <conditionalFormatting sqref="AI85">
    <cfRule type="expression" dxfId="21643" priority="729">
      <formula>AND(IF(OR($Q85=1,$Q85=2),1,0),IF($X85&lt;=20,1,0))</formula>
    </cfRule>
    <cfRule type="expression" dxfId="21642" priority="730">
      <formula>AND(IF($Q85=2,1,0),IF($X85&lt;30,1,0))</formula>
    </cfRule>
    <cfRule type="expression" dxfId="21641" priority="731">
      <formula>AND(IF($Q85=3,1,0),IF($X85&lt;30,1,0))</formula>
    </cfRule>
    <cfRule type="expression" dxfId="21640" priority="732">
      <formula>AND(IF($Q85=3,1,IF($Q85=4,1,0)),IF($F85&lt;=85,1,0))</formula>
    </cfRule>
  </conditionalFormatting>
  <conditionalFormatting sqref="AV86">
    <cfRule type="expression" dxfId="21639" priority="727">
      <formula>AV86="X"</formula>
    </cfRule>
    <cfRule type="expression" dxfId="21638" priority="728">
      <formula>AV86="후보"</formula>
    </cfRule>
  </conditionalFormatting>
  <conditionalFormatting sqref="AC86">
    <cfRule type="cellIs" dxfId="21637" priority="725" operator="greaterThan">
      <formula>0.9</formula>
    </cfRule>
    <cfRule type="cellIs" dxfId="21636" priority="726" operator="greaterThan">
      <formula>0.85</formula>
    </cfRule>
  </conditionalFormatting>
  <conditionalFormatting sqref="N86">
    <cfRule type="cellIs" dxfId="21635" priority="723" operator="greaterThan">
      <formula>0.9</formula>
    </cfRule>
    <cfRule type="cellIs" dxfId="21634" priority="724" operator="greaterThan">
      <formula>0.85</formula>
    </cfRule>
  </conditionalFormatting>
  <conditionalFormatting sqref="E86">
    <cfRule type="expression" dxfId="21633" priority="719">
      <formula>AND(IF(OR($Q86=1,$Q86=2),1,0),IF($X86&lt;=20,1,0))</formula>
    </cfRule>
    <cfRule type="expression" dxfId="21632" priority="720">
      <formula>AND(IF($Q86=2,1,0),IF($X86&lt;30,1,0))</formula>
    </cfRule>
    <cfRule type="expression" dxfId="21631" priority="721">
      <formula>AND(IF($Q86=3,1,0),IF($X86&lt;30,1,0))</formula>
    </cfRule>
    <cfRule type="expression" dxfId="21630" priority="722">
      <formula>AND(IF($Q86=3,1,IF($Q86=4,1,0)),IF($F86&lt;=85,1,0))</formula>
    </cfRule>
  </conditionalFormatting>
  <conditionalFormatting sqref="X86">
    <cfRule type="expression" dxfId="21629" priority="715">
      <formula>AND(IF(OR($Q86=1,$Q86=2),1,0),IF($X86&lt;=20,1,0))</formula>
    </cfRule>
    <cfRule type="expression" dxfId="21628" priority="716">
      <formula>AND(IF($Q86=2,1,0),IF($X86&lt;30,1,0))</formula>
    </cfRule>
    <cfRule type="expression" dxfId="21627" priority="717">
      <formula>AND(IF($Q86=3,1,0),IF($X86&lt;30,1,0))</formula>
    </cfRule>
    <cfRule type="expression" dxfId="21626" priority="718">
      <formula>AND(IF($Q86=3,1,IF($Q86=4,1,0)),IF($F86&lt;=85,1,0))</formula>
    </cfRule>
  </conditionalFormatting>
  <conditionalFormatting sqref="AI86">
    <cfRule type="expression" dxfId="21625" priority="711">
      <formula>AND(IF(OR($Q86=1,$Q86=2),1,0),IF($X86&lt;=20,1,0))</formula>
    </cfRule>
    <cfRule type="expression" dxfId="21624" priority="712">
      <formula>AND(IF($Q86=2,1,0),IF($X86&lt;30,1,0))</formula>
    </cfRule>
    <cfRule type="expression" dxfId="21623" priority="713">
      <formula>AND(IF($Q86=3,1,0),IF($X86&lt;30,1,0))</formula>
    </cfRule>
    <cfRule type="expression" dxfId="21622" priority="714">
      <formula>AND(IF($Q86=3,1,IF($Q86=4,1,0)),IF($F86&lt;=85,1,0))</formula>
    </cfRule>
  </conditionalFormatting>
  <conditionalFormatting sqref="AV87">
    <cfRule type="expression" dxfId="21621" priority="709">
      <formula>AV87="X"</formula>
    </cfRule>
    <cfRule type="expression" dxfId="21620" priority="710">
      <formula>AV87="후보"</formula>
    </cfRule>
  </conditionalFormatting>
  <conditionalFormatting sqref="AC87 N87">
    <cfRule type="cellIs" dxfId="21619" priority="707" operator="greaterThan">
      <formula>0.9</formula>
    </cfRule>
    <cfRule type="cellIs" dxfId="21618" priority="708" operator="greaterThan">
      <formula>0.85</formula>
    </cfRule>
  </conditionalFormatting>
  <conditionalFormatting sqref="AV88">
    <cfRule type="expression" dxfId="21617" priority="705">
      <formula>AV88="X"</formula>
    </cfRule>
    <cfRule type="expression" dxfId="21616" priority="706">
      <formula>AV88="후보"</formula>
    </cfRule>
  </conditionalFormatting>
  <conditionalFormatting sqref="AC88">
    <cfRule type="cellIs" dxfId="21615" priority="703" operator="greaterThan">
      <formula>0.9</formula>
    </cfRule>
    <cfRule type="cellIs" dxfId="21614" priority="704" operator="greaterThan">
      <formula>0.85</formula>
    </cfRule>
  </conditionalFormatting>
  <conditionalFormatting sqref="N88">
    <cfRule type="cellIs" dxfId="21613" priority="701" operator="greaterThan">
      <formula>0.9</formula>
    </cfRule>
    <cfRule type="cellIs" dxfId="21612" priority="702" operator="greaterThan">
      <formula>0.85</formula>
    </cfRule>
  </conditionalFormatting>
  <conditionalFormatting sqref="E88">
    <cfRule type="expression" dxfId="21611" priority="697">
      <formula>AND(IF(OR($Q88=1,$Q88=2),1,0),IF($X88&lt;=20,1,0))</formula>
    </cfRule>
    <cfRule type="expression" dxfId="21610" priority="698">
      <formula>AND(IF($Q88=2,1,0),IF($X88&lt;30,1,0))</formula>
    </cfRule>
    <cfRule type="expression" dxfId="21609" priority="699">
      <formula>AND(IF($Q88=3,1,0),IF($X88&lt;30,1,0))</formula>
    </cfRule>
    <cfRule type="expression" dxfId="21608" priority="700">
      <formula>AND(IF($Q88=3,1,IF($Q88=4,1,0)),IF($F88&lt;=85,1,0))</formula>
    </cfRule>
  </conditionalFormatting>
  <conditionalFormatting sqref="X88">
    <cfRule type="expression" dxfId="21607" priority="693">
      <formula>AND(IF(OR($Q88=1,$Q88=2),1,0),IF($X88&lt;=20,1,0))</formula>
    </cfRule>
    <cfRule type="expression" dxfId="21606" priority="694">
      <formula>AND(IF($Q88=2,1,0),IF($X88&lt;30,1,0))</formula>
    </cfRule>
    <cfRule type="expression" dxfId="21605" priority="695">
      <formula>AND(IF($Q88=3,1,0),IF($X88&lt;30,1,0))</formula>
    </cfRule>
    <cfRule type="expression" dxfId="21604" priority="696">
      <formula>AND(IF($Q88=3,1,IF($Q88=4,1,0)),IF($F88&lt;=85,1,0))</formula>
    </cfRule>
  </conditionalFormatting>
  <conditionalFormatting sqref="AI88">
    <cfRule type="expression" dxfId="21603" priority="689">
      <formula>AND(IF(OR($Q88=1,$Q88=2),1,0),IF($X88&lt;=20,1,0))</formula>
    </cfRule>
    <cfRule type="expression" dxfId="21602" priority="690">
      <formula>AND(IF($Q88=2,1,0),IF($X88&lt;30,1,0))</formula>
    </cfRule>
    <cfRule type="expression" dxfId="21601" priority="691">
      <formula>AND(IF($Q88=3,1,0),IF($X88&lt;30,1,0))</formula>
    </cfRule>
    <cfRule type="expression" dxfId="21600" priority="692">
      <formula>AND(IF($Q88=3,1,IF($Q88=4,1,0)),IF($F88&lt;=85,1,0))</formula>
    </cfRule>
  </conditionalFormatting>
  <conditionalFormatting sqref="AV89">
    <cfRule type="expression" dxfId="21599" priority="687">
      <formula>AV89="X"</formula>
    </cfRule>
    <cfRule type="expression" dxfId="21598" priority="688">
      <formula>AV89="후보"</formula>
    </cfRule>
  </conditionalFormatting>
  <conditionalFormatting sqref="AC89">
    <cfRule type="cellIs" dxfId="21597" priority="685" operator="greaterThan">
      <formula>0.9</formula>
    </cfRule>
    <cfRule type="cellIs" dxfId="21596" priority="686" operator="greaterThan">
      <formula>0.85</formula>
    </cfRule>
  </conditionalFormatting>
  <conditionalFormatting sqref="N89">
    <cfRule type="cellIs" dxfId="21595" priority="683" operator="greaterThan">
      <formula>0.9</formula>
    </cfRule>
    <cfRule type="cellIs" dxfId="21594" priority="684" operator="greaterThan">
      <formula>0.85</formula>
    </cfRule>
  </conditionalFormatting>
  <conditionalFormatting sqref="E89">
    <cfRule type="expression" dxfId="21593" priority="679">
      <formula>AND(IF(OR($Q89=1,$Q89=2),1,0),IF($X89&lt;=20,1,0))</formula>
    </cfRule>
    <cfRule type="expression" dxfId="21592" priority="680">
      <formula>AND(IF($Q89=2,1,0),IF($X89&lt;30,1,0))</formula>
    </cfRule>
    <cfRule type="expression" dxfId="21591" priority="681">
      <formula>AND(IF($Q89=3,1,0),IF($X89&lt;30,1,0))</formula>
    </cfRule>
    <cfRule type="expression" dxfId="21590" priority="682">
      <formula>AND(IF($Q89=3,1,IF($Q89=4,1,0)),IF($F89&lt;=85,1,0))</formula>
    </cfRule>
  </conditionalFormatting>
  <conditionalFormatting sqref="X89">
    <cfRule type="expression" dxfId="21589" priority="675">
      <formula>AND(IF(OR($Q89=1,$Q89=2),1,0),IF($X89&lt;=20,1,0))</formula>
    </cfRule>
    <cfRule type="expression" dxfId="21588" priority="676">
      <formula>AND(IF($Q89=2,1,0),IF($X89&lt;30,1,0))</formula>
    </cfRule>
    <cfRule type="expression" dxfId="21587" priority="677">
      <formula>AND(IF($Q89=3,1,0),IF($X89&lt;30,1,0))</formula>
    </cfRule>
    <cfRule type="expression" dxfId="21586" priority="678">
      <formula>AND(IF($Q89=3,1,IF($Q89=4,1,0)),IF($F89&lt;=85,1,0))</formula>
    </cfRule>
  </conditionalFormatting>
  <conditionalFormatting sqref="AI89">
    <cfRule type="expression" dxfId="21585" priority="671">
      <formula>AND(IF(OR($Q89=1,$Q89=2),1,0),IF($X89&lt;=20,1,0))</formula>
    </cfRule>
    <cfRule type="expression" dxfId="21584" priority="672">
      <formula>AND(IF($Q89=2,1,0),IF($X89&lt;30,1,0))</formula>
    </cfRule>
    <cfRule type="expression" dxfId="21583" priority="673">
      <formula>AND(IF($Q89=3,1,0),IF($X89&lt;30,1,0))</formula>
    </cfRule>
    <cfRule type="expression" dxfId="21582" priority="674">
      <formula>AND(IF($Q89=3,1,IF($Q89=4,1,0)),IF($F89&lt;=85,1,0))</formula>
    </cfRule>
  </conditionalFormatting>
  <conditionalFormatting sqref="AV90">
    <cfRule type="expression" dxfId="21581" priority="669">
      <formula>AV90="X"</formula>
    </cfRule>
    <cfRule type="expression" dxfId="21580" priority="670">
      <formula>AV90="후보"</formula>
    </cfRule>
  </conditionalFormatting>
  <conditionalFormatting sqref="AC90">
    <cfRule type="cellIs" dxfId="21579" priority="667" operator="greaterThan">
      <formula>0.9</formula>
    </cfRule>
    <cfRule type="cellIs" dxfId="21578" priority="668" operator="greaterThan">
      <formula>0.85</formula>
    </cfRule>
  </conditionalFormatting>
  <conditionalFormatting sqref="N90">
    <cfRule type="cellIs" dxfId="21577" priority="665" operator="greaterThan">
      <formula>0.9</formula>
    </cfRule>
    <cfRule type="cellIs" dxfId="21576" priority="666" operator="greaterThan">
      <formula>0.85</formula>
    </cfRule>
  </conditionalFormatting>
  <conditionalFormatting sqref="E90">
    <cfRule type="expression" dxfId="21575" priority="661">
      <formula>AND(IF(OR($Q90=1,$Q90=2),1,0),IF($X90&lt;=20,1,0))</formula>
    </cfRule>
    <cfRule type="expression" dxfId="21574" priority="662">
      <formula>AND(IF($Q90=2,1,0),IF($X90&lt;30,1,0))</formula>
    </cfRule>
    <cfRule type="expression" dxfId="21573" priority="663">
      <formula>AND(IF($Q90=3,1,0),IF($X90&lt;30,1,0))</formula>
    </cfRule>
    <cfRule type="expression" dxfId="21572" priority="664">
      <formula>AND(IF($Q90=3,1,IF($Q90=4,1,0)),IF($F90&lt;=85,1,0))</formula>
    </cfRule>
  </conditionalFormatting>
  <conditionalFormatting sqref="X90">
    <cfRule type="expression" dxfId="21571" priority="657">
      <formula>AND(IF(OR($Q90=1,$Q90=2),1,0),IF($X90&lt;=20,1,0))</formula>
    </cfRule>
    <cfRule type="expression" dxfId="21570" priority="658">
      <formula>AND(IF($Q90=2,1,0),IF($X90&lt;30,1,0))</formula>
    </cfRule>
    <cfRule type="expression" dxfId="21569" priority="659">
      <formula>AND(IF($Q90=3,1,0),IF($X90&lt;30,1,0))</formula>
    </cfRule>
    <cfRule type="expression" dxfId="21568" priority="660">
      <formula>AND(IF($Q90=3,1,IF($Q90=4,1,0)),IF($F90&lt;=85,1,0))</formula>
    </cfRule>
  </conditionalFormatting>
  <conditionalFormatting sqref="AI90">
    <cfRule type="expression" dxfId="21567" priority="653">
      <formula>AND(IF(OR($Q90=1,$Q90=2),1,0),IF($X90&lt;=20,1,0))</formula>
    </cfRule>
    <cfRule type="expression" dxfId="21566" priority="654">
      <formula>AND(IF($Q90=2,1,0),IF($X90&lt;30,1,0))</formula>
    </cfRule>
    <cfRule type="expression" dxfId="21565" priority="655">
      <formula>AND(IF($Q90=3,1,0),IF($X90&lt;30,1,0))</formula>
    </cfRule>
    <cfRule type="expression" dxfId="21564" priority="656">
      <formula>AND(IF($Q90=3,1,IF($Q90=4,1,0)),IF($F90&lt;=85,1,0))</formula>
    </cfRule>
  </conditionalFormatting>
  <conditionalFormatting sqref="AV91">
    <cfRule type="expression" dxfId="21563" priority="651">
      <formula>AV91="X"</formula>
    </cfRule>
    <cfRule type="expression" dxfId="21562" priority="652">
      <formula>AV91="후보"</formula>
    </cfRule>
  </conditionalFormatting>
  <conditionalFormatting sqref="AC91 N91">
    <cfRule type="cellIs" dxfId="21561" priority="649" operator="greaterThan">
      <formula>0.9</formula>
    </cfRule>
    <cfRule type="cellIs" dxfId="21560" priority="650" operator="greaterThan">
      <formula>0.85</formula>
    </cfRule>
  </conditionalFormatting>
  <conditionalFormatting sqref="AV92">
    <cfRule type="expression" dxfId="21559" priority="647">
      <formula>AV92="X"</formula>
    </cfRule>
    <cfRule type="expression" dxfId="21558" priority="648">
      <formula>AV92="후보"</formula>
    </cfRule>
  </conditionalFormatting>
  <conditionalFormatting sqref="AC92">
    <cfRule type="cellIs" dxfId="21557" priority="645" operator="greaterThan">
      <formula>0.9</formula>
    </cfRule>
    <cfRule type="cellIs" dxfId="21556" priority="646" operator="greaterThan">
      <formula>0.85</formula>
    </cfRule>
  </conditionalFormatting>
  <conditionalFormatting sqref="N92">
    <cfRule type="cellIs" dxfId="21555" priority="643" operator="greaterThan">
      <formula>0.9</formula>
    </cfRule>
    <cfRule type="cellIs" dxfId="21554" priority="644" operator="greaterThan">
      <formula>0.85</formula>
    </cfRule>
  </conditionalFormatting>
  <conditionalFormatting sqref="E92">
    <cfRule type="expression" dxfId="21553" priority="639">
      <formula>AND(IF(OR($Q92=1,$Q92=2),1,0),IF($X92&lt;=20,1,0))</formula>
    </cfRule>
    <cfRule type="expression" dxfId="21552" priority="640">
      <formula>AND(IF($Q92=2,1,0),IF($X92&lt;30,1,0))</formula>
    </cfRule>
    <cfRule type="expression" dxfId="21551" priority="641">
      <formula>AND(IF($Q92=3,1,0),IF($X92&lt;30,1,0))</formula>
    </cfRule>
    <cfRule type="expression" dxfId="21550" priority="642">
      <formula>AND(IF($Q92=3,1,IF($Q92=4,1,0)),IF($F92&lt;=85,1,0))</formula>
    </cfRule>
  </conditionalFormatting>
  <conditionalFormatting sqref="X92">
    <cfRule type="expression" dxfId="21549" priority="635">
      <formula>AND(IF(OR($Q92=1,$Q92=2),1,0),IF($X92&lt;=20,1,0))</formula>
    </cfRule>
    <cfRule type="expression" dxfId="21548" priority="636">
      <formula>AND(IF($Q92=2,1,0),IF($X92&lt;30,1,0))</formula>
    </cfRule>
    <cfRule type="expression" dxfId="21547" priority="637">
      <formula>AND(IF($Q92=3,1,0),IF($X92&lt;30,1,0))</formula>
    </cfRule>
    <cfRule type="expression" dxfId="21546" priority="638">
      <formula>AND(IF($Q92=3,1,IF($Q92=4,1,0)),IF($F92&lt;=85,1,0))</formula>
    </cfRule>
  </conditionalFormatting>
  <conditionalFormatting sqref="AI92">
    <cfRule type="expression" dxfId="21545" priority="631">
      <formula>AND(IF(OR($Q92=1,$Q92=2),1,0),IF($X92&lt;=20,1,0))</formula>
    </cfRule>
    <cfRule type="expression" dxfId="21544" priority="632">
      <formula>AND(IF($Q92=2,1,0),IF($X92&lt;30,1,0))</formula>
    </cfRule>
    <cfRule type="expression" dxfId="21543" priority="633">
      <formula>AND(IF($Q92=3,1,0),IF($X92&lt;30,1,0))</formula>
    </cfRule>
    <cfRule type="expression" dxfId="21542" priority="634">
      <formula>AND(IF($Q92=3,1,IF($Q92=4,1,0)),IF($F92&lt;=85,1,0))</formula>
    </cfRule>
  </conditionalFormatting>
  <conditionalFormatting sqref="AV93">
    <cfRule type="expression" dxfId="21541" priority="629">
      <formula>AV93="X"</formula>
    </cfRule>
    <cfRule type="expression" dxfId="21540" priority="630">
      <formula>AV93="후보"</formula>
    </cfRule>
  </conditionalFormatting>
  <conditionalFormatting sqref="AC93">
    <cfRule type="cellIs" dxfId="21539" priority="627" operator="greaterThan">
      <formula>0.9</formula>
    </cfRule>
    <cfRule type="cellIs" dxfId="21538" priority="628" operator="greaterThan">
      <formula>0.85</formula>
    </cfRule>
  </conditionalFormatting>
  <conditionalFormatting sqref="N93">
    <cfRule type="cellIs" dxfId="21537" priority="625" operator="greaterThan">
      <formula>0.9</formula>
    </cfRule>
    <cfRule type="cellIs" dxfId="21536" priority="626" operator="greaterThan">
      <formula>0.85</formula>
    </cfRule>
  </conditionalFormatting>
  <conditionalFormatting sqref="E93">
    <cfRule type="expression" dxfId="21535" priority="621">
      <formula>AND(IF(OR($Q93=1,$Q93=2),1,0),IF($X93&lt;=20,1,0))</formula>
    </cfRule>
    <cfRule type="expression" dxfId="21534" priority="622">
      <formula>AND(IF($Q93=2,1,0),IF($X93&lt;30,1,0))</formula>
    </cfRule>
    <cfRule type="expression" dxfId="21533" priority="623">
      <formula>AND(IF($Q93=3,1,0),IF($X93&lt;30,1,0))</formula>
    </cfRule>
    <cfRule type="expression" dxfId="21532" priority="624">
      <formula>AND(IF($Q93=3,1,IF($Q93=4,1,0)),IF($F93&lt;=85,1,0))</formula>
    </cfRule>
  </conditionalFormatting>
  <conditionalFormatting sqref="X93">
    <cfRule type="expression" dxfId="21531" priority="617">
      <formula>AND(IF(OR($Q93=1,$Q93=2),1,0),IF($X93&lt;=20,1,0))</formula>
    </cfRule>
    <cfRule type="expression" dxfId="21530" priority="618">
      <formula>AND(IF($Q93=2,1,0),IF($X93&lt;30,1,0))</formula>
    </cfRule>
    <cfRule type="expression" dxfId="21529" priority="619">
      <formula>AND(IF($Q93=3,1,0),IF($X93&lt;30,1,0))</formula>
    </cfRule>
    <cfRule type="expression" dxfId="21528" priority="620">
      <formula>AND(IF($Q93=3,1,IF($Q93=4,1,0)),IF($F93&lt;=85,1,0))</formula>
    </cfRule>
  </conditionalFormatting>
  <conditionalFormatting sqref="AI93">
    <cfRule type="expression" dxfId="21527" priority="613">
      <formula>AND(IF(OR($Q93=1,$Q93=2),1,0),IF($X93&lt;=20,1,0))</formula>
    </cfRule>
    <cfRule type="expression" dxfId="21526" priority="614">
      <formula>AND(IF($Q93=2,1,0),IF($X93&lt;30,1,0))</formula>
    </cfRule>
    <cfRule type="expression" dxfId="21525" priority="615">
      <formula>AND(IF($Q93=3,1,0),IF($X93&lt;30,1,0))</formula>
    </cfRule>
    <cfRule type="expression" dxfId="21524" priority="616">
      <formula>AND(IF($Q93=3,1,IF($Q93=4,1,0)),IF($F93&lt;=85,1,0))</formula>
    </cfRule>
  </conditionalFormatting>
  <conditionalFormatting sqref="AV94">
    <cfRule type="expression" dxfId="21523" priority="611">
      <formula>AV94="X"</formula>
    </cfRule>
    <cfRule type="expression" dxfId="21522" priority="612">
      <formula>AV94="후보"</formula>
    </cfRule>
  </conditionalFormatting>
  <conditionalFormatting sqref="AC94">
    <cfRule type="cellIs" dxfId="21521" priority="609" operator="greaterThan">
      <formula>0.9</formula>
    </cfRule>
    <cfRule type="cellIs" dxfId="21520" priority="610" operator="greaterThan">
      <formula>0.85</formula>
    </cfRule>
  </conditionalFormatting>
  <conditionalFormatting sqref="N94">
    <cfRule type="cellIs" dxfId="21519" priority="607" operator="greaterThan">
      <formula>0.9</formula>
    </cfRule>
    <cfRule type="cellIs" dxfId="21518" priority="608" operator="greaterThan">
      <formula>0.85</formula>
    </cfRule>
  </conditionalFormatting>
  <conditionalFormatting sqref="E94">
    <cfRule type="expression" dxfId="21517" priority="603">
      <formula>AND(IF(OR($Q94=1,$Q94=2),1,0),IF($X94&lt;=20,1,0))</formula>
    </cfRule>
    <cfRule type="expression" dxfId="21516" priority="604">
      <formula>AND(IF($Q94=2,1,0),IF($X94&lt;30,1,0))</formula>
    </cfRule>
    <cfRule type="expression" dxfId="21515" priority="605">
      <formula>AND(IF($Q94=3,1,0),IF($X94&lt;30,1,0))</formula>
    </cfRule>
    <cfRule type="expression" dxfId="21514" priority="606">
      <formula>AND(IF($Q94=3,1,IF($Q94=4,1,0)),IF($F94&lt;=85,1,0))</formula>
    </cfRule>
  </conditionalFormatting>
  <conditionalFormatting sqref="X94">
    <cfRule type="expression" dxfId="21513" priority="599">
      <formula>AND(IF(OR($Q94=1,$Q94=2),1,0),IF($X94&lt;=20,1,0))</formula>
    </cfRule>
    <cfRule type="expression" dxfId="21512" priority="600">
      <formula>AND(IF($Q94=2,1,0),IF($X94&lt;30,1,0))</formula>
    </cfRule>
    <cfRule type="expression" dxfId="21511" priority="601">
      <formula>AND(IF($Q94=3,1,0),IF($X94&lt;30,1,0))</formula>
    </cfRule>
    <cfRule type="expression" dxfId="21510" priority="602">
      <formula>AND(IF($Q94=3,1,IF($Q94=4,1,0)),IF($F94&lt;=85,1,0))</formula>
    </cfRule>
  </conditionalFormatting>
  <conditionalFormatting sqref="AI94">
    <cfRule type="expression" dxfId="21509" priority="595">
      <formula>AND(IF(OR($Q94=1,$Q94=2),1,0),IF($X94&lt;=20,1,0))</formula>
    </cfRule>
    <cfRule type="expression" dxfId="21508" priority="596">
      <formula>AND(IF($Q94=2,1,0),IF($X94&lt;30,1,0))</formula>
    </cfRule>
    <cfRule type="expression" dxfId="21507" priority="597">
      <formula>AND(IF($Q94=3,1,0),IF($X94&lt;30,1,0))</formula>
    </cfRule>
    <cfRule type="expression" dxfId="21506" priority="598">
      <formula>AND(IF($Q94=3,1,IF($Q94=4,1,0)),IF($F94&lt;=85,1,0))</formula>
    </cfRule>
  </conditionalFormatting>
  <conditionalFormatting sqref="AV95">
    <cfRule type="expression" dxfId="21505" priority="593">
      <formula>AV95="X"</formula>
    </cfRule>
    <cfRule type="expression" dxfId="21504" priority="594">
      <formula>AV95="후보"</formula>
    </cfRule>
  </conditionalFormatting>
  <conditionalFormatting sqref="AC95">
    <cfRule type="cellIs" dxfId="21503" priority="591" operator="greaterThan">
      <formula>0.9</formula>
    </cfRule>
    <cfRule type="cellIs" dxfId="21502" priority="592" operator="greaterThan">
      <formula>0.85</formula>
    </cfRule>
  </conditionalFormatting>
  <conditionalFormatting sqref="N95">
    <cfRule type="cellIs" dxfId="21501" priority="589" operator="greaterThan">
      <formula>0.9</formula>
    </cfRule>
    <cfRule type="cellIs" dxfId="21500" priority="590" operator="greaterThan">
      <formula>0.85</formula>
    </cfRule>
  </conditionalFormatting>
  <conditionalFormatting sqref="E95">
    <cfRule type="expression" dxfId="21499" priority="585">
      <formula>AND(IF(OR($Q95=1,$Q95=2),1,0),IF($X95&lt;=20,1,0))</formula>
    </cfRule>
    <cfRule type="expression" dxfId="21498" priority="586">
      <formula>AND(IF($Q95=2,1,0),IF($X95&lt;30,1,0))</formula>
    </cfRule>
    <cfRule type="expression" dxfId="21497" priority="587">
      <formula>AND(IF($Q95=3,1,0),IF($X95&lt;30,1,0))</formula>
    </cfRule>
    <cfRule type="expression" dxfId="21496" priority="588">
      <formula>AND(IF($Q95=3,1,IF($Q95=4,1,0)),IF($F95&lt;=85,1,0))</formula>
    </cfRule>
  </conditionalFormatting>
  <conditionalFormatting sqref="X95">
    <cfRule type="expression" dxfId="21495" priority="581">
      <formula>AND(IF(OR($Q95=1,$Q95=2),1,0),IF($X95&lt;=20,1,0))</formula>
    </cfRule>
    <cfRule type="expression" dxfId="21494" priority="582">
      <formula>AND(IF($Q95=2,1,0),IF($X95&lt;30,1,0))</formula>
    </cfRule>
    <cfRule type="expression" dxfId="21493" priority="583">
      <formula>AND(IF($Q95=3,1,0),IF($X95&lt;30,1,0))</formula>
    </cfRule>
    <cfRule type="expression" dxfId="21492" priority="584">
      <formula>AND(IF($Q95=3,1,IF($Q95=4,1,0)),IF($F95&lt;=85,1,0))</formula>
    </cfRule>
  </conditionalFormatting>
  <conditionalFormatting sqref="AI95">
    <cfRule type="expression" dxfId="21491" priority="577">
      <formula>AND(IF(OR($Q95=1,$Q95=2),1,0),IF($X95&lt;=20,1,0))</formula>
    </cfRule>
    <cfRule type="expression" dxfId="21490" priority="578">
      <formula>AND(IF($Q95=2,1,0),IF($X95&lt;30,1,0))</formula>
    </cfRule>
    <cfRule type="expression" dxfId="21489" priority="579">
      <formula>AND(IF($Q95=3,1,0),IF($X95&lt;30,1,0))</formula>
    </cfRule>
    <cfRule type="expression" dxfId="21488" priority="580">
      <formula>AND(IF($Q95=3,1,IF($Q95=4,1,0)),IF($F95&lt;=85,1,0))</formula>
    </cfRule>
  </conditionalFormatting>
  <conditionalFormatting sqref="AV96">
    <cfRule type="expression" dxfId="21487" priority="575">
      <formula>AV96="X"</formula>
    </cfRule>
    <cfRule type="expression" dxfId="21486" priority="576">
      <formula>AV96="후보"</formula>
    </cfRule>
  </conditionalFormatting>
  <conditionalFormatting sqref="AC96 N96">
    <cfRule type="cellIs" dxfId="21485" priority="573" operator="greaterThan">
      <formula>0.9</formula>
    </cfRule>
    <cfRule type="cellIs" dxfId="21484" priority="574" operator="greaterThan">
      <formula>0.85</formula>
    </cfRule>
  </conditionalFormatting>
  <conditionalFormatting sqref="AV97">
    <cfRule type="expression" dxfId="21483" priority="571">
      <formula>AV97="X"</formula>
    </cfRule>
    <cfRule type="expression" dxfId="21482" priority="572">
      <formula>AV97="후보"</formula>
    </cfRule>
  </conditionalFormatting>
  <conditionalFormatting sqref="AC97">
    <cfRule type="cellIs" dxfId="21481" priority="569" operator="greaterThan">
      <formula>0.9</formula>
    </cfRule>
    <cfRule type="cellIs" dxfId="21480" priority="570" operator="greaterThan">
      <formula>0.85</formula>
    </cfRule>
  </conditionalFormatting>
  <conditionalFormatting sqref="N97">
    <cfRule type="cellIs" dxfId="21479" priority="567" operator="greaterThan">
      <formula>0.9</formula>
    </cfRule>
    <cfRule type="cellIs" dxfId="21478" priority="568" operator="greaterThan">
      <formula>0.85</formula>
    </cfRule>
  </conditionalFormatting>
  <conditionalFormatting sqref="E97">
    <cfRule type="expression" dxfId="21477" priority="563">
      <formula>AND(IF(OR($Q97=1,$Q97=2),1,0),IF($X97&lt;=20,1,0))</formula>
    </cfRule>
    <cfRule type="expression" dxfId="21476" priority="564">
      <formula>AND(IF($Q97=2,1,0),IF($X97&lt;30,1,0))</formula>
    </cfRule>
    <cfRule type="expression" dxfId="21475" priority="565">
      <formula>AND(IF($Q97=3,1,0),IF($X97&lt;30,1,0))</formula>
    </cfRule>
    <cfRule type="expression" dxfId="21474" priority="566">
      <formula>AND(IF($Q97=3,1,IF($Q97=4,1,0)),IF($F97&lt;=85,1,0))</formula>
    </cfRule>
  </conditionalFormatting>
  <conditionalFormatting sqref="X97">
    <cfRule type="expression" dxfId="21473" priority="559">
      <formula>AND(IF(OR($Q97=1,$Q97=2),1,0),IF($X97&lt;=20,1,0))</formula>
    </cfRule>
    <cfRule type="expression" dxfId="21472" priority="560">
      <formula>AND(IF($Q97=2,1,0),IF($X97&lt;30,1,0))</formula>
    </cfRule>
    <cfRule type="expression" dxfId="21471" priority="561">
      <formula>AND(IF($Q97=3,1,0),IF($X97&lt;30,1,0))</formula>
    </cfRule>
    <cfRule type="expression" dxfId="21470" priority="562">
      <formula>AND(IF($Q97=3,1,IF($Q97=4,1,0)),IF($F97&lt;=85,1,0))</formula>
    </cfRule>
  </conditionalFormatting>
  <conditionalFormatting sqref="AI97">
    <cfRule type="expression" dxfId="21469" priority="555">
      <formula>AND(IF(OR($Q97=1,$Q97=2),1,0),IF($X97&lt;=20,1,0))</formula>
    </cfRule>
    <cfRule type="expression" dxfId="21468" priority="556">
      <formula>AND(IF($Q97=2,1,0),IF($X97&lt;30,1,0))</formula>
    </cfRule>
    <cfRule type="expression" dxfId="21467" priority="557">
      <formula>AND(IF($Q97=3,1,0),IF($X97&lt;30,1,0))</formula>
    </cfRule>
    <cfRule type="expression" dxfId="21466" priority="558">
      <formula>AND(IF($Q97=3,1,IF($Q97=4,1,0)),IF($F97&lt;=85,1,0))</formula>
    </cfRule>
  </conditionalFormatting>
  <conditionalFormatting sqref="AV98">
    <cfRule type="expression" dxfId="21465" priority="553">
      <formula>AV98="X"</formula>
    </cfRule>
    <cfRule type="expression" dxfId="21464" priority="554">
      <formula>AV98="후보"</formula>
    </cfRule>
  </conditionalFormatting>
  <conditionalFormatting sqref="AC98">
    <cfRule type="cellIs" dxfId="21463" priority="551" operator="greaterThan">
      <formula>0.9</formula>
    </cfRule>
    <cfRule type="cellIs" dxfId="21462" priority="552" operator="greaterThan">
      <formula>0.85</formula>
    </cfRule>
  </conditionalFormatting>
  <conditionalFormatting sqref="N98">
    <cfRule type="cellIs" dxfId="21461" priority="549" operator="greaterThan">
      <formula>0.9</formula>
    </cfRule>
    <cfRule type="cellIs" dxfId="21460" priority="550" operator="greaterThan">
      <formula>0.85</formula>
    </cfRule>
  </conditionalFormatting>
  <conditionalFormatting sqref="E98">
    <cfRule type="expression" dxfId="21459" priority="545">
      <formula>AND(IF(OR($Q98=1,$Q98=2),1,0),IF($X98&lt;=20,1,0))</formula>
    </cfRule>
    <cfRule type="expression" dxfId="21458" priority="546">
      <formula>AND(IF($Q98=2,1,0),IF($X98&lt;30,1,0))</formula>
    </cfRule>
    <cfRule type="expression" dxfId="21457" priority="547">
      <formula>AND(IF($Q98=3,1,0),IF($X98&lt;30,1,0))</formula>
    </cfRule>
    <cfRule type="expression" dxfId="21456" priority="548">
      <formula>AND(IF($Q98=3,1,IF($Q98=4,1,0)),IF($F98&lt;=85,1,0))</formula>
    </cfRule>
  </conditionalFormatting>
  <conditionalFormatting sqref="X98">
    <cfRule type="expression" dxfId="21455" priority="541">
      <formula>AND(IF(OR($Q98=1,$Q98=2),1,0),IF($X98&lt;=20,1,0))</formula>
    </cfRule>
    <cfRule type="expression" dxfId="21454" priority="542">
      <formula>AND(IF($Q98=2,1,0),IF($X98&lt;30,1,0))</formula>
    </cfRule>
    <cfRule type="expression" dxfId="21453" priority="543">
      <formula>AND(IF($Q98=3,1,0),IF($X98&lt;30,1,0))</formula>
    </cfRule>
    <cfRule type="expression" dxfId="21452" priority="544">
      <formula>AND(IF($Q98=3,1,IF($Q98=4,1,0)),IF($F98&lt;=85,1,0))</formula>
    </cfRule>
  </conditionalFormatting>
  <conditionalFormatting sqref="AI98">
    <cfRule type="expression" dxfId="21451" priority="537">
      <formula>AND(IF(OR($Q98=1,$Q98=2),1,0),IF($X98&lt;=20,1,0))</formula>
    </cfRule>
    <cfRule type="expression" dxfId="21450" priority="538">
      <formula>AND(IF($Q98=2,1,0),IF($X98&lt;30,1,0))</formula>
    </cfRule>
    <cfRule type="expression" dxfId="21449" priority="539">
      <formula>AND(IF($Q98=3,1,0),IF($X98&lt;30,1,0))</formula>
    </cfRule>
    <cfRule type="expression" dxfId="21448" priority="540">
      <formula>AND(IF($Q98=3,1,IF($Q98=4,1,0)),IF($F98&lt;=85,1,0))</formula>
    </cfRule>
  </conditionalFormatting>
  <conditionalFormatting sqref="AV99">
    <cfRule type="expression" dxfId="21447" priority="535">
      <formula>AV99="X"</formula>
    </cfRule>
    <cfRule type="expression" dxfId="21446" priority="536">
      <formula>AV99="후보"</formula>
    </cfRule>
  </conditionalFormatting>
  <conditionalFormatting sqref="AC99">
    <cfRule type="cellIs" dxfId="21445" priority="533" operator="greaterThan">
      <formula>0.9</formula>
    </cfRule>
    <cfRule type="cellIs" dxfId="21444" priority="534" operator="greaterThan">
      <formula>0.85</formula>
    </cfRule>
  </conditionalFormatting>
  <conditionalFormatting sqref="N99">
    <cfRule type="cellIs" dxfId="21443" priority="531" operator="greaterThan">
      <formula>0.9</formula>
    </cfRule>
    <cfRule type="cellIs" dxfId="21442" priority="532" operator="greaterThan">
      <formula>0.85</formula>
    </cfRule>
  </conditionalFormatting>
  <conditionalFormatting sqref="E99">
    <cfRule type="expression" dxfId="21441" priority="527">
      <formula>AND(IF(OR($Q99=1,$Q99=2),1,0),IF($X99&lt;=20,1,0))</formula>
    </cfRule>
    <cfRule type="expression" dxfId="21440" priority="528">
      <formula>AND(IF($Q99=2,1,0),IF($X99&lt;30,1,0))</formula>
    </cfRule>
    <cfRule type="expression" dxfId="21439" priority="529">
      <formula>AND(IF($Q99=3,1,0),IF($X99&lt;30,1,0))</formula>
    </cfRule>
    <cfRule type="expression" dxfId="21438" priority="530">
      <formula>AND(IF($Q99=3,1,IF($Q99=4,1,0)),IF($F99&lt;=85,1,0))</formula>
    </cfRule>
  </conditionalFormatting>
  <conditionalFormatting sqref="X99">
    <cfRule type="expression" dxfId="21437" priority="523">
      <formula>AND(IF(OR($Q99=1,$Q99=2),1,0),IF($X99&lt;=20,1,0))</formula>
    </cfRule>
    <cfRule type="expression" dxfId="21436" priority="524">
      <formula>AND(IF($Q99=2,1,0),IF($X99&lt;30,1,0))</formula>
    </cfRule>
    <cfRule type="expression" dxfId="21435" priority="525">
      <formula>AND(IF($Q99=3,1,0),IF($X99&lt;30,1,0))</formula>
    </cfRule>
    <cfRule type="expression" dxfId="21434" priority="526">
      <formula>AND(IF($Q99=3,1,IF($Q99=4,1,0)),IF($F99&lt;=85,1,0))</formula>
    </cfRule>
  </conditionalFormatting>
  <conditionalFormatting sqref="AI99">
    <cfRule type="expression" dxfId="21433" priority="519">
      <formula>AND(IF(OR($Q99=1,$Q99=2),1,0),IF($X99&lt;=20,1,0))</formula>
    </cfRule>
    <cfRule type="expression" dxfId="21432" priority="520">
      <formula>AND(IF($Q99=2,1,0),IF($X99&lt;30,1,0))</formula>
    </cfRule>
    <cfRule type="expression" dxfId="21431" priority="521">
      <formula>AND(IF($Q99=3,1,0),IF($X99&lt;30,1,0))</formula>
    </cfRule>
    <cfRule type="expression" dxfId="21430" priority="522">
      <formula>AND(IF($Q99=3,1,IF($Q99=4,1,0)),IF($F99&lt;=85,1,0))</formula>
    </cfRule>
  </conditionalFormatting>
  <conditionalFormatting sqref="AV100">
    <cfRule type="expression" dxfId="21429" priority="517">
      <formula>AV100="X"</formula>
    </cfRule>
    <cfRule type="expression" dxfId="21428" priority="518">
      <formula>AV100="후보"</formula>
    </cfRule>
  </conditionalFormatting>
  <conditionalFormatting sqref="AC100">
    <cfRule type="cellIs" dxfId="21427" priority="515" operator="greaterThan">
      <formula>0.9</formula>
    </cfRule>
    <cfRule type="cellIs" dxfId="21426" priority="516" operator="greaterThan">
      <formula>0.85</formula>
    </cfRule>
  </conditionalFormatting>
  <conditionalFormatting sqref="N100">
    <cfRule type="cellIs" dxfId="21425" priority="513" operator="greaterThan">
      <formula>0.9</formula>
    </cfRule>
    <cfRule type="cellIs" dxfId="21424" priority="514" operator="greaterThan">
      <formula>0.85</formula>
    </cfRule>
  </conditionalFormatting>
  <conditionalFormatting sqref="E100">
    <cfRule type="expression" dxfId="21423" priority="509">
      <formula>AND(IF(OR($Q100=1,$Q100=2),1,0),IF($X100&lt;=20,1,0))</formula>
    </cfRule>
    <cfRule type="expression" dxfId="21422" priority="510">
      <formula>AND(IF($Q100=2,1,0),IF($X100&lt;30,1,0))</formula>
    </cfRule>
    <cfRule type="expression" dxfId="21421" priority="511">
      <formula>AND(IF($Q100=3,1,0),IF($X100&lt;30,1,0))</formula>
    </cfRule>
    <cfRule type="expression" dxfId="21420" priority="512">
      <formula>AND(IF($Q100=3,1,IF($Q100=4,1,0)),IF($F100&lt;=85,1,0))</formula>
    </cfRule>
  </conditionalFormatting>
  <conditionalFormatting sqref="X100">
    <cfRule type="expression" dxfId="21419" priority="505">
      <formula>AND(IF(OR($Q100=1,$Q100=2),1,0),IF($X100&lt;=20,1,0))</formula>
    </cfRule>
    <cfRule type="expression" dxfId="21418" priority="506">
      <formula>AND(IF($Q100=2,1,0),IF($X100&lt;30,1,0))</formula>
    </cfRule>
    <cfRule type="expression" dxfId="21417" priority="507">
      <formula>AND(IF($Q100=3,1,0),IF($X100&lt;30,1,0))</formula>
    </cfRule>
    <cfRule type="expression" dxfId="21416" priority="508">
      <formula>AND(IF($Q100=3,1,IF($Q100=4,1,0)),IF($F100&lt;=85,1,0))</formula>
    </cfRule>
  </conditionalFormatting>
  <conditionalFormatting sqref="AI100">
    <cfRule type="expression" dxfId="21415" priority="501">
      <formula>AND(IF(OR($Q100=1,$Q100=2),1,0),IF($X100&lt;=20,1,0))</formula>
    </cfRule>
    <cfRule type="expression" dxfId="21414" priority="502">
      <formula>AND(IF($Q100=2,1,0),IF($X100&lt;30,1,0))</formula>
    </cfRule>
    <cfRule type="expression" dxfId="21413" priority="503">
      <formula>AND(IF($Q100=3,1,0),IF($X100&lt;30,1,0))</formula>
    </cfRule>
    <cfRule type="expression" dxfId="21412" priority="504">
      <formula>AND(IF($Q100=3,1,IF($Q100=4,1,0)),IF($F100&lt;=85,1,0))</formula>
    </cfRule>
  </conditionalFormatting>
  <conditionalFormatting sqref="AV101">
    <cfRule type="expression" dxfId="21411" priority="499">
      <formula>AV101="X"</formula>
    </cfRule>
    <cfRule type="expression" dxfId="21410" priority="500">
      <formula>AV101="후보"</formula>
    </cfRule>
  </conditionalFormatting>
  <conditionalFormatting sqref="AC101 N101">
    <cfRule type="cellIs" dxfId="21409" priority="497" operator="greaterThan">
      <formula>0.9</formula>
    </cfRule>
    <cfRule type="cellIs" dxfId="21408" priority="498" operator="greaterThan">
      <formula>0.85</formula>
    </cfRule>
  </conditionalFormatting>
  <conditionalFormatting sqref="AV102">
    <cfRule type="expression" dxfId="21407" priority="495">
      <formula>AV102="X"</formula>
    </cfRule>
    <cfRule type="expression" dxfId="21406" priority="496">
      <formula>AV102="후보"</formula>
    </cfRule>
  </conditionalFormatting>
  <conditionalFormatting sqref="AC102">
    <cfRule type="cellIs" dxfId="21405" priority="493" operator="greaterThan">
      <formula>0.9</formula>
    </cfRule>
    <cfRule type="cellIs" dxfId="21404" priority="494" operator="greaterThan">
      <formula>0.85</formula>
    </cfRule>
  </conditionalFormatting>
  <conditionalFormatting sqref="N102">
    <cfRule type="cellIs" dxfId="21403" priority="491" operator="greaterThan">
      <formula>0.9</formula>
    </cfRule>
    <cfRule type="cellIs" dxfId="21402" priority="492" operator="greaterThan">
      <formula>0.85</formula>
    </cfRule>
  </conditionalFormatting>
  <conditionalFormatting sqref="E102">
    <cfRule type="expression" dxfId="21401" priority="487">
      <formula>AND(IF(OR($Q102=1,$Q102=2),1,0),IF($X102&lt;=20,1,0))</formula>
    </cfRule>
    <cfRule type="expression" dxfId="21400" priority="488">
      <formula>AND(IF($Q102=2,1,0),IF($X102&lt;30,1,0))</formula>
    </cfRule>
    <cfRule type="expression" dxfId="21399" priority="489">
      <formula>AND(IF($Q102=3,1,0),IF($X102&lt;30,1,0))</formula>
    </cfRule>
    <cfRule type="expression" dxfId="21398" priority="490">
      <formula>AND(IF($Q102=3,1,IF($Q102=4,1,0)),IF($F102&lt;=85,1,0))</formula>
    </cfRule>
  </conditionalFormatting>
  <conditionalFormatting sqref="X102">
    <cfRule type="expression" dxfId="21397" priority="483">
      <formula>AND(IF(OR($Q102=1,$Q102=2),1,0),IF($X102&lt;=20,1,0))</formula>
    </cfRule>
    <cfRule type="expression" dxfId="21396" priority="484">
      <formula>AND(IF($Q102=2,1,0),IF($X102&lt;30,1,0))</formula>
    </cfRule>
    <cfRule type="expression" dxfId="21395" priority="485">
      <formula>AND(IF($Q102=3,1,0),IF($X102&lt;30,1,0))</formula>
    </cfRule>
    <cfRule type="expression" dxfId="21394" priority="486">
      <formula>AND(IF($Q102=3,1,IF($Q102=4,1,0)),IF($F102&lt;=85,1,0))</formula>
    </cfRule>
  </conditionalFormatting>
  <conditionalFormatting sqref="AI102">
    <cfRule type="expression" dxfId="21393" priority="479">
      <formula>AND(IF(OR($Q102=1,$Q102=2),1,0),IF($X102&lt;=20,1,0))</formula>
    </cfRule>
    <cfRule type="expression" dxfId="21392" priority="480">
      <formula>AND(IF($Q102=2,1,0),IF($X102&lt;30,1,0))</formula>
    </cfRule>
    <cfRule type="expression" dxfId="21391" priority="481">
      <formula>AND(IF($Q102=3,1,0),IF($X102&lt;30,1,0))</formula>
    </cfRule>
    <cfRule type="expression" dxfId="21390" priority="482">
      <formula>AND(IF($Q102=3,1,IF($Q102=4,1,0)),IF($F102&lt;=85,1,0))</formula>
    </cfRule>
  </conditionalFormatting>
  <conditionalFormatting sqref="AV103">
    <cfRule type="expression" dxfId="21389" priority="477">
      <formula>AV103="X"</formula>
    </cfRule>
    <cfRule type="expression" dxfId="21388" priority="478">
      <formula>AV103="후보"</formula>
    </cfRule>
  </conditionalFormatting>
  <conditionalFormatting sqref="AC103">
    <cfRule type="cellIs" dxfId="21387" priority="475" operator="greaterThan">
      <formula>0.9</formula>
    </cfRule>
    <cfRule type="cellIs" dxfId="21386" priority="476" operator="greaterThan">
      <formula>0.85</formula>
    </cfRule>
  </conditionalFormatting>
  <conditionalFormatting sqref="N103">
    <cfRule type="cellIs" dxfId="21385" priority="473" operator="greaterThan">
      <formula>0.9</formula>
    </cfRule>
    <cfRule type="cellIs" dxfId="21384" priority="474" operator="greaterThan">
      <formula>0.85</formula>
    </cfRule>
  </conditionalFormatting>
  <conditionalFormatting sqref="E103">
    <cfRule type="expression" dxfId="21383" priority="469">
      <formula>AND(IF(OR($Q103=1,$Q103=2),1,0),IF($X103&lt;=20,1,0))</formula>
    </cfRule>
    <cfRule type="expression" dxfId="21382" priority="470">
      <formula>AND(IF($Q103=2,1,0),IF($X103&lt;30,1,0))</formula>
    </cfRule>
    <cfRule type="expression" dxfId="21381" priority="471">
      <formula>AND(IF($Q103=3,1,0),IF($X103&lt;30,1,0))</formula>
    </cfRule>
    <cfRule type="expression" dxfId="21380" priority="472">
      <formula>AND(IF($Q103=3,1,IF($Q103=4,1,0)),IF($F103&lt;=85,1,0))</formula>
    </cfRule>
  </conditionalFormatting>
  <conditionalFormatting sqref="X103">
    <cfRule type="expression" dxfId="21379" priority="465">
      <formula>AND(IF(OR($Q103=1,$Q103=2),1,0),IF($X103&lt;=20,1,0))</formula>
    </cfRule>
    <cfRule type="expression" dxfId="21378" priority="466">
      <formula>AND(IF($Q103=2,1,0),IF($X103&lt;30,1,0))</formula>
    </cfRule>
    <cfRule type="expression" dxfId="21377" priority="467">
      <formula>AND(IF($Q103=3,1,0),IF($X103&lt;30,1,0))</formula>
    </cfRule>
    <cfRule type="expression" dxfId="21376" priority="468">
      <formula>AND(IF($Q103=3,1,IF($Q103=4,1,0)),IF($F103&lt;=85,1,0))</formula>
    </cfRule>
  </conditionalFormatting>
  <conditionalFormatting sqref="AI103">
    <cfRule type="expression" dxfId="21375" priority="461">
      <formula>AND(IF(OR($Q103=1,$Q103=2),1,0),IF($X103&lt;=20,1,0))</formula>
    </cfRule>
    <cfRule type="expression" dxfId="21374" priority="462">
      <formula>AND(IF($Q103=2,1,0),IF($X103&lt;30,1,0))</formula>
    </cfRule>
    <cfRule type="expression" dxfId="21373" priority="463">
      <formula>AND(IF($Q103=3,1,0),IF($X103&lt;30,1,0))</formula>
    </cfRule>
    <cfRule type="expression" dxfId="21372" priority="464">
      <formula>AND(IF($Q103=3,1,IF($Q103=4,1,0)),IF($F103&lt;=85,1,0))</formula>
    </cfRule>
  </conditionalFormatting>
  <conditionalFormatting sqref="AV104">
    <cfRule type="expression" dxfId="21371" priority="459">
      <formula>AV104="X"</formula>
    </cfRule>
    <cfRule type="expression" dxfId="21370" priority="460">
      <formula>AV104="후보"</formula>
    </cfRule>
  </conditionalFormatting>
  <conditionalFormatting sqref="AC104">
    <cfRule type="cellIs" dxfId="21369" priority="457" operator="greaterThan">
      <formula>0.9</formula>
    </cfRule>
    <cfRule type="cellIs" dxfId="21368" priority="458" operator="greaterThan">
      <formula>0.85</formula>
    </cfRule>
  </conditionalFormatting>
  <conditionalFormatting sqref="N104">
    <cfRule type="cellIs" dxfId="21367" priority="455" operator="greaterThan">
      <formula>0.9</formula>
    </cfRule>
    <cfRule type="cellIs" dxfId="21366" priority="456" operator="greaterThan">
      <formula>0.85</formula>
    </cfRule>
  </conditionalFormatting>
  <conditionalFormatting sqref="E104">
    <cfRule type="expression" dxfId="21365" priority="451">
      <formula>AND(IF(OR($Q104=1,$Q104=2),1,0),IF($X104&lt;=20,1,0))</formula>
    </cfRule>
    <cfRule type="expression" dxfId="21364" priority="452">
      <formula>AND(IF($Q104=2,1,0),IF($X104&lt;30,1,0))</formula>
    </cfRule>
    <cfRule type="expression" dxfId="21363" priority="453">
      <formula>AND(IF($Q104=3,1,0),IF($X104&lt;30,1,0))</formula>
    </cfRule>
    <cfRule type="expression" dxfId="21362" priority="454">
      <formula>AND(IF($Q104=3,1,IF($Q104=4,1,0)),IF($F104&lt;=85,1,0))</formula>
    </cfRule>
  </conditionalFormatting>
  <conditionalFormatting sqref="X104">
    <cfRule type="expression" dxfId="21361" priority="447">
      <formula>AND(IF(OR($Q104=1,$Q104=2),1,0),IF($X104&lt;=20,1,0))</formula>
    </cfRule>
    <cfRule type="expression" dxfId="21360" priority="448">
      <formula>AND(IF($Q104=2,1,0),IF($X104&lt;30,1,0))</formula>
    </cfRule>
    <cfRule type="expression" dxfId="21359" priority="449">
      <formula>AND(IF($Q104=3,1,0),IF($X104&lt;30,1,0))</formula>
    </cfRule>
    <cfRule type="expression" dxfId="21358" priority="450">
      <formula>AND(IF($Q104=3,1,IF($Q104=4,1,0)),IF($F104&lt;=85,1,0))</formula>
    </cfRule>
  </conditionalFormatting>
  <conditionalFormatting sqref="AI104">
    <cfRule type="expression" dxfId="21357" priority="443">
      <formula>AND(IF(OR($Q104=1,$Q104=2),1,0),IF($X104&lt;=20,1,0))</formula>
    </cfRule>
    <cfRule type="expression" dxfId="21356" priority="444">
      <formula>AND(IF($Q104=2,1,0),IF($X104&lt;30,1,0))</formula>
    </cfRule>
    <cfRule type="expression" dxfId="21355" priority="445">
      <formula>AND(IF($Q104=3,1,0),IF($X104&lt;30,1,0))</formula>
    </cfRule>
    <cfRule type="expression" dxfId="21354" priority="446">
      <formula>AND(IF($Q104=3,1,IF($Q104=4,1,0)),IF($F104&lt;=85,1,0))</formula>
    </cfRule>
  </conditionalFormatting>
  <conditionalFormatting sqref="AV105">
    <cfRule type="expression" dxfId="21353" priority="441">
      <formula>AV105="X"</formula>
    </cfRule>
    <cfRule type="expression" dxfId="21352" priority="442">
      <formula>AV105="후보"</formula>
    </cfRule>
  </conditionalFormatting>
  <conditionalFormatting sqref="AC105">
    <cfRule type="cellIs" dxfId="21351" priority="439" operator="greaterThan">
      <formula>0.9</formula>
    </cfRule>
    <cfRule type="cellIs" dxfId="21350" priority="440" operator="greaterThan">
      <formula>0.85</formula>
    </cfRule>
  </conditionalFormatting>
  <conditionalFormatting sqref="N105">
    <cfRule type="cellIs" dxfId="21349" priority="437" operator="greaterThan">
      <formula>0.9</formula>
    </cfRule>
    <cfRule type="cellIs" dxfId="21348" priority="438" operator="greaterThan">
      <formula>0.85</formula>
    </cfRule>
  </conditionalFormatting>
  <conditionalFormatting sqref="E105">
    <cfRule type="expression" dxfId="21347" priority="433">
      <formula>AND(IF(OR($Q105=1,$Q105=2),1,0),IF($X105&lt;=20,1,0))</formula>
    </cfRule>
    <cfRule type="expression" dxfId="21346" priority="434">
      <formula>AND(IF($Q105=2,1,0),IF($X105&lt;30,1,0))</formula>
    </cfRule>
    <cfRule type="expression" dxfId="21345" priority="435">
      <formula>AND(IF($Q105=3,1,0),IF($X105&lt;30,1,0))</formula>
    </cfRule>
    <cfRule type="expression" dxfId="21344" priority="436">
      <formula>AND(IF($Q105=3,1,IF($Q105=4,1,0)),IF($F105&lt;=85,1,0))</formula>
    </cfRule>
  </conditionalFormatting>
  <conditionalFormatting sqref="X105">
    <cfRule type="expression" dxfId="21343" priority="429">
      <formula>AND(IF(OR($Q105=1,$Q105=2),1,0),IF($X105&lt;=20,1,0))</formula>
    </cfRule>
    <cfRule type="expression" dxfId="21342" priority="430">
      <formula>AND(IF($Q105=2,1,0),IF($X105&lt;30,1,0))</formula>
    </cfRule>
    <cfRule type="expression" dxfId="21341" priority="431">
      <formula>AND(IF($Q105=3,1,0),IF($X105&lt;30,1,0))</formula>
    </cfRule>
    <cfRule type="expression" dxfId="21340" priority="432">
      <formula>AND(IF($Q105=3,1,IF($Q105=4,1,0)),IF($F105&lt;=85,1,0))</formula>
    </cfRule>
  </conditionalFormatting>
  <conditionalFormatting sqref="AI105">
    <cfRule type="expression" dxfId="21339" priority="425">
      <formula>AND(IF(OR($Q105=1,$Q105=2),1,0),IF($X105&lt;=20,1,0))</formula>
    </cfRule>
    <cfRule type="expression" dxfId="21338" priority="426">
      <formula>AND(IF($Q105=2,1,0),IF($X105&lt;30,1,0))</formula>
    </cfRule>
    <cfRule type="expression" dxfId="21337" priority="427">
      <formula>AND(IF($Q105=3,1,0),IF($X105&lt;30,1,0))</formula>
    </cfRule>
    <cfRule type="expression" dxfId="21336" priority="428">
      <formula>AND(IF($Q105=3,1,IF($Q105=4,1,0)),IF($F105&lt;=85,1,0))</formula>
    </cfRule>
  </conditionalFormatting>
  <conditionalFormatting sqref="AV106">
    <cfRule type="expression" dxfId="21335" priority="423">
      <formula>AV106="X"</formula>
    </cfRule>
    <cfRule type="expression" dxfId="21334" priority="424">
      <formula>AV106="후보"</formula>
    </cfRule>
  </conditionalFormatting>
  <conditionalFormatting sqref="AC106 N106">
    <cfRule type="cellIs" dxfId="21333" priority="421" operator="greaterThan">
      <formula>0.9</formula>
    </cfRule>
    <cfRule type="cellIs" dxfId="21332" priority="422" operator="greaterThan">
      <formula>0.85</formula>
    </cfRule>
  </conditionalFormatting>
  <conditionalFormatting sqref="AV107">
    <cfRule type="expression" dxfId="21331" priority="419">
      <formula>AV107="X"</formula>
    </cfRule>
    <cfRule type="expression" dxfId="21330" priority="420">
      <formula>AV107="후보"</formula>
    </cfRule>
  </conditionalFormatting>
  <conditionalFormatting sqref="AC107">
    <cfRule type="cellIs" dxfId="21329" priority="417" operator="greaterThan">
      <formula>0.9</formula>
    </cfRule>
    <cfRule type="cellIs" dxfId="21328" priority="418" operator="greaterThan">
      <formula>0.85</formula>
    </cfRule>
  </conditionalFormatting>
  <conditionalFormatting sqref="N107">
    <cfRule type="cellIs" dxfId="21327" priority="415" operator="greaterThan">
      <formula>0.9</formula>
    </cfRule>
    <cfRule type="cellIs" dxfId="21326" priority="416" operator="greaterThan">
      <formula>0.85</formula>
    </cfRule>
  </conditionalFormatting>
  <conditionalFormatting sqref="E107">
    <cfRule type="expression" dxfId="21325" priority="411">
      <formula>AND(IF(OR($Q107=1,$Q107=2),1,0),IF($X107&lt;=20,1,0))</formula>
    </cfRule>
    <cfRule type="expression" dxfId="21324" priority="412">
      <formula>AND(IF($Q107=2,1,0),IF($X107&lt;30,1,0))</formula>
    </cfRule>
    <cfRule type="expression" dxfId="21323" priority="413">
      <formula>AND(IF($Q107=3,1,0),IF($X107&lt;30,1,0))</formula>
    </cfRule>
    <cfRule type="expression" dxfId="21322" priority="414">
      <formula>AND(IF($Q107=3,1,IF($Q107=4,1,0)),IF($F107&lt;=85,1,0))</formula>
    </cfRule>
  </conditionalFormatting>
  <conditionalFormatting sqref="X107">
    <cfRule type="expression" dxfId="21321" priority="407">
      <formula>AND(IF(OR($Q107=1,$Q107=2),1,0),IF($X107&lt;=20,1,0))</formula>
    </cfRule>
    <cfRule type="expression" dxfId="21320" priority="408">
      <formula>AND(IF($Q107=2,1,0),IF($X107&lt;30,1,0))</formula>
    </cfRule>
    <cfRule type="expression" dxfId="21319" priority="409">
      <formula>AND(IF($Q107=3,1,0),IF($X107&lt;30,1,0))</formula>
    </cfRule>
    <cfRule type="expression" dxfId="21318" priority="410">
      <formula>AND(IF($Q107=3,1,IF($Q107=4,1,0)),IF($F107&lt;=85,1,0))</formula>
    </cfRule>
  </conditionalFormatting>
  <conditionalFormatting sqref="AI107">
    <cfRule type="expression" dxfId="21317" priority="403">
      <formula>AND(IF(OR($Q107=1,$Q107=2),1,0),IF($X107&lt;=20,1,0))</formula>
    </cfRule>
    <cfRule type="expression" dxfId="21316" priority="404">
      <formula>AND(IF($Q107=2,1,0),IF($X107&lt;30,1,0))</formula>
    </cfRule>
    <cfRule type="expression" dxfId="21315" priority="405">
      <formula>AND(IF($Q107=3,1,0),IF($X107&lt;30,1,0))</formula>
    </cfRule>
    <cfRule type="expression" dxfId="21314" priority="406">
      <formula>AND(IF($Q107=3,1,IF($Q107=4,1,0)),IF($F107&lt;=85,1,0))</formula>
    </cfRule>
  </conditionalFormatting>
  <conditionalFormatting sqref="AV108">
    <cfRule type="expression" dxfId="21313" priority="401">
      <formula>AV108="X"</formula>
    </cfRule>
    <cfRule type="expression" dxfId="21312" priority="402">
      <formula>AV108="후보"</formula>
    </cfRule>
  </conditionalFormatting>
  <conditionalFormatting sqref="AC108 N108">
    <cfRule type="cellIs" dxfId="21311" priority="399" operator="greaterThan">
      <formula>0.9</formula>
    </cfRule>
    <cfRule type="cellIs" dxfId="21310" priority="400" operator="greaterThan">
      <formula>0.85</formula>
    </cfRule>
  </conditionalFormatting>
  <conditionalFormatting sqref="AV109">
    <cfRule type="expression" dxfId="21309" priority="397">
      <formula>AV109="X"</formula>
    </cfRule>
    <cfRule type="expression" dxfId="21308" priority="398">
      <formula>AV109="후보"</formula>
    </cfRule>
  </conditionalFormatting>
  <conditionalFormatting sqref="AC109">
    <cfRule type="cellIs" dxfId="21307" priority="395" operator="greaterThan">
      <formula>0.9</formula>
    </cfRule>
    <cfRule type="cellIs" dxfId="21306" priority="396" operator="greaterThan">
      <formula>0.85</formula>
    </cfRule>
  </conditionalFormatting>
  <conditionalFormatting sqref="N109">
    <cfRule type="cellIs" dxfId="21305" priority="393" operator="greaterThan">
      <formula>0.9</formula>
    </cfRule>
    <cfRule type="cellIs" dxfId="21304" priority="394" operator="greaterThan">
      <formula>0.85</formula>
    </cfRule>
  </conditionalFormatting>
  <conditionalFormatting sqref="E109">
    <cfRule type="expression" dxfId="21303" priority="389">
      <formula>AND(IF(OR($Q109=1,$Q109=2),1,0),IF($X109&lt;=20,1,0))</formula>
    </cfRule>
    <cfRule type="expression" dxfId="21302" priority="390">
      <formula>AND(IF($Q109=2,1,0),IF($X109&lt;30,1,0))</formula>
    </cfRule>
    <cfRule type="expression" dxfId="21301" priority="391">
      <formula>AND(IF($Q109=3,1,0),IF($X109&lt;30,1,0))</formula>
    </cfRule>
    <cfRule type="expression" dxfId="21300" priority="392">
      <formula>AND(IF($Q109=3,1,IF($Q109=4,1,0)),IF($F109&lt;=85,1,0))</formula>
    </cfRule>
  </conditionalFormatting>
  <conditionalFormatting sqref="X109">
    <cfRule type="expression" dxfId="21299" priority="385">
      <formula>AND(IF(OR($Q109=1,$Q109=2),1,0),IF($X109&lt;=20,1,0))</formula>
    </cfRule>
    <cfRule type="expression" dxfId="21298" priority="386">
      <formula>AND(IF($Q109=2,1,0),IF($X109&lt;30,1,0))</formula>
    </cfRule>
    <cfRule type="expression" dxfId="21297" priority="387">
      <formula>AND(IF($Q109=3,1,0),IF($X109&lt;30,1,0))</formula>
    </cfRule>
    <cfRule type="expression" dxfId="21296" priority="388">
      <formula>AND(IF($Q109=3,1,IF($Q109=4,1,0)),IF($F109&lt;=85,1,0))</formula>
    </cfRule>
  </conditionalFormatting>
  <conditionalFormatting sqref="AI109">
    <cfRule type="expression" dxfId="21295" priority="381">
      <formula>AND(IF(OR($Q109=1,$Q109=2),1,0),IF($X109&lt;=20,1,0))</formula>
    </cfRule>
    <cfRule type="expression" dxfId="21294" priority="382">
      <formula>AND(IF($Q109=2,1,0),IF($X109&lt;30,1,0))</formula>
    </cfRule>
    <cfRule type="expression" dxfId="21293" priority="383">
      <formula>AND(IF($Q109=3,1,0),IF($X109&lt;30,1,0))</formula>
    </cfRule>
    <cfRule type="expression" dxfId="21292" priority="384">
      <formula>AND(IF($Q109=3,1,IF($Q109=4,1,0)),IF($F109&lt;=85,1,0))</formula>
    </cfRule>
  </conditionalFormatting>
  <conditionalFormatting sqref="AV110">
    <cfRule type="expression" dxfId="21291" priority="379">
      <formula>AV110="X"</formula>
    </cfRule>
    <cfRule type="expression" dxfId="21290" priority="380">
      <formula>AV110="후보"</formula>
    </cfRule>
  </conditionalFormatting>
  <conditionalFormatting sqref="AC110">
    <cfRule type="cellIs" dxfId="21289" priority="377" operator="greaterThan">
      <formula>0.9</formula>
    </cfRule>
    <cfRule type="cellIs" dxfId="21288" priority="378" operator="greaterThan">
      <formula>0.85</formula>
    </cfRule>
  </conditionalFormatting>
  <conditionalFormatting sqref="N110">
    <cfRule type="cellIs" dxfId="21287" priority="375" operator="greaterThan">
      <formula>0.9</formula>
    </cfRule>
    <cfRule type="cellIs" dxfId="21286" priority="376" operator="greaterThan">
      <formula>0.85</formula>
    </cfRule>
  </conditionalFormatting>
  <conditionalFormatting sqref="E110">
    <cfRule type="expression" dxfId="21285" priority="371">
      <formula>AND(IF(OR($Q110=1,$Q110=2),1,0),IF($X110&lt;=20,1,0))</formula>
    </cfRule>
    <cfRule type="expression" dxfId="21284" priority="372">
      <formula>AND(IF($Q110=2,1,0),IF($X110&lt;30,1,0))</formula>
    </cfRule>
    <cfRule type="expression" dxfId="21283" priority="373">
      <formula>AND(IF($Q110=3,1,0),IF($X110&lt;30,1,0))</formula>
    </cfRule>
    <cfRule type="expression" dxfId="21282" priority="374">
      <formula>AND(IF($Q110=3,1,IF($Q110=4,1,0)),IF($F110&lt;=85,1,0))</formula>
    </cfRule>
  </conditionalFormatting>
  <conditionalFormatting sqref="X110">
    <cfRule type="expression" dxfId="21281" priority="367">
      <formula>AND(IF(OR($Q110=1,$Q110=2),1,0),IF($X110&lt;=20,1,0))</formula>
    </cfRule>
    <cfRule type="expression" dxfId="21280" priority="368">
      <formula>AND(IF($Q110=2,1,0),IF($X110&lt;30,1,0))</formula>
    </cfRule>
    <cfRule type="expression" dxfId="21279" priority="369">
      <formula>AND(IF($Q110=3,1,0),IF($X110&lt;30,1,0))</formula>
    </cfRule>
    <cfRule type="expression" dxfId="21278" priority="370">
      <formula>AND(IF($Q110=3,1,IF($Q110=4,1,0)),IF($F110&lt;=85,1,0))</formula>
    </cfRule>
  </conditionalFormatting>
  <conditionalFormatting sqref="AI110">
    <cfRule type="expression" dxfId="21277" priority="363">
      <formula>AND(IF(OR($Q110=1,$Q110=2),1,0),IF($X110&lt;=20,1,0))</formula>
    </cfRule>
    <cfRule type="expression" dxfId="21276" priority="364">
      <formula>AND(IF($Q110=2,1,0),IF($X110&lt;30,1,0))</formula>
    </cfRule>
    <cfRule type="expression" dxfId="21275" priority="365">
      <formula>AND(IF($Q110=3,1,0),IF($X110&lt;30,1,0))</formula>
    </cfRule>
    <cfRule type="expression" dxfId="21274" priority="366">
      <formula>AND(IF($Q110=3,1,IF($Q110=4,1,0)),IF($F110&lt;=85,1,0))</formula>
    </cfRule>
  </conditionalFormatting>
  <conditionalFormatting sqref="AV111">
    <cfRule type="expression" dxfId="21273" priority="361">
      <formula>AV111="X"</formula>
    </cfRule>
    <cfRule type="expression" dxfId="21272" priority="362">
      <formula>AV111="후보"</formula>
    </cfRule>
  </conditionalFormatting>
  <conditionalFormatting sqref="AC111">
    <cfRule type="cellIs" dxfId="21271" priority="359" operator="greaterThan">
      <formula>0.9</formula>
    </cfRule>
    <cfRule type="cellIs" dxfId="21270" priority="360" operator="greaterThan">
      <formula>0.85</formula>
    </cfRule>
  </conditionalFormatting>
  <conditionalFormatting sqref="N111">
    <cfRule type="cellIs" dxfId="21269" priority="357" operator="greaterThan">
      <formula>0.9</formula>
    </cfRule>
    <cfRule type="cellIs" dxfId="21268" priority="358" operator="greaterThan">
      <formula>0.85</formula>
    </cfRule>
  </conditionalFormatting>
  <conditionalFormatting sqref="E111">
    <cfRule type="expression" dxfId="21267" priority="353">
      <formula>AND(IF(OR($Q111=1,$Q111=2),1,0),IF($X111&lt;=20,1,0))</formula>
    </cfRule>
    <cfRule type="expression" dxfId="21266" priority="354">
      <formula>AND(IF($Q111=2,1,0),IF($X111&lt;30,1,0))</formula>
    </cfRule>
    <cfRule type="expression" dxfId="21265" priority="355">
      <formula>AND(IF($Q111=3,1,0),IF($X111&lt;30,1,0))</formula>
    </cfRule>
    <cfRule type="expression" dxfId="21264" priority="356">
      <formula>AND(IF($Q111=3,1,IF($Q111=4,1,0)),IF($F111&lt;=85,1,0))</formula>
    </cfRule>
  </conditionalFormatting>
  <conditionalFormatting sqref="X111">
    <cfRule type="expression" dxfId="21263" priority="349">
      <formula>AND(IF(OR($Q111=1,$Q111=2),1,0),IF($X111&lt;=20,1,0))</formula>
    </cfRule>
    <cfRule type="expression" dxfId="21262" priority="350">
      <formula>AND(IF($Q111=2,1,0),IF($X111&lt;30,1,0))</formula>
    </cfRule>
    <cfRule type="expression" dxfId="21261" priority="351">
      <formula>AND(IF($Q111=3,1,0),IF($X111&lt;30,1,0))</formula>
    </cfRule>
    <cfRule type="expression" dxfId="21260" priority="352">
      <formula>AND(IF($Q111=3,1,IF($Q111=4,1,0)),IF($F111&lt;=85,1,0))</formula>
    </cfRule>
  </conditionalFormatting>
  <conditionalFormatting sqref="AI111">
    <cfRule type="expression" dxfId="21259" priority="345">
      <formula>AND(IF(OR($Q111=1,$Q111=2),1,0),IF($X111&lt;=20,1,0))</formula>
    </cfRule>
    <cfRule type="expression" dxfId="21258" priority="346">
      <formula>AND(IF($Q111=2,1,0),IF($X111&lt;30,1,0))</formula>
    </cfRule>
    <cfRule type="expression" dxfId="21257" priority="347">
      <formula>AND(IF($Q111=3,1,0),IF($X111&lt;30,1,0))</formula>
    </cfRule>
    <cfRule type="expression" dxfId="21256" priority="348">
      <formula>AND(IF($Q111=3,1,IF($Q111=4,1,0)),IF($F111&lt;=85,1,0))</formula>
    </cfRule>
  </conditionalFormatting>
  <conditionalFormatting sqref="AV112">
    <cfRule type="expression" dxfId="21255" priority="343">
      <formula>AV112="X"</formula>
    </cfRule>
    <cfRule type="expression" dxfId="21254" priority="344">
      <formula>AV112="후보"</formula>
    </cfRule>
  </conditionalFormatting>
  <conditionalFormatting sqref="AC112 N112">
    <cfRule type="cellIs" dxfId="21253" priority="341" operator="greaterThan">
      <formula>0.9</formula>
    </cfRule>
    <cfRule type="cellIs" dxfId="21252" priority="342" operator="greaterThan">
      <formula>0.85</formula>
    </cfRule>
  </conditionalFormatting>
  <conditionalFormatting sqref="AV113">
    <cfRule type="expression" dxfId="21251" priority="339">
      <formula>AV113="X"</formula>
    </cfRule>
    <cfRule type="expression" dxfId="21250" priority="340">
      <formula>AV113="후보"</formula>
    </cfRule>
  </conditionalFormatting>
  <conditionalFormatting sqref="AC113">
    <cfRule type="cellIs" dxfId="21249" priority="337" operator="greaterThan">
      <formula>0.9</formula>
    </cfRule>
    <cfRule type="cellIs" dxfId="21248" priority="338" operator="greaterThan">
      <formula>0.85</formula>
    </cfRule>
  </conditionalFormatting>
  <conditionalFormatting sqref="N113">
    <cfRule type="cellIs" dxfId="21247" priority="335" operator="greaterThan">
      <formula>0.9</formula>
    </cfRule>
    <cfRule type="cellIs" dxfId="21246" priority="336" operator="greaterThan">
      <formula>0.85</formula>
    </cfRule>
  </conditionalFormatting>
  <conditionalFormatting sqref="E113">
    <cfRule type="expression" dxfId="21245" priority="331">
      <formula>AND(IF(OR($Q113=1,$Q113=2),1,0),IF($X113&lt;=20,1,0))</formula>
    </cfRule>
    <cfRule type="expression" dxfId="21244" priority="332">
      <formula>AND(IF($Q113=2,1,0),IF($X113&lt;30,1,0))</formula>
    </cfRule>
    <cfRule type="expression" dxfId="21243" priority="333">
      <formula>AND(IF($Q113=3,1,0),IF($X113&lt;30,1,0))</formula>
    </cfRule>
    <cfRule type="expression" dxfId="21242" priority="334">
      <formula>AND(IF($Q113=3,1,IF($Q113=4,1,0)),IF($F113&lt;=85,1,0))</formula>
    </cfRule>
  </conditionalFormatting>
  <conditionalFormatting sqref="X113">
    <cfRule type="expression" dxfId="21241" priority="327">
      <formula>AND(IF(OR($Q113=1,$Q113=2),1,0),IF($X113&lt;=20,1,0))</formula>
    </cfRule>
    <cfRule type="expression" dxfId="21240" priority="328">
      <formula>AND(IF($Q113=2,1,0),IF($X113&lt;30,1,0))</formula>
    </cfRule>
    <cfRule type="expression" dxfId="21239" priority="329">
      <formula>AND(IF($Q113=3,1,0),IF($X113&lt;30,1,0))</formula>
    </cfRule>
    <cfRule type="expression" dxfId="21238" priority="330">
      <formula>AND(IF($Q113=3,1,IF($Q113=4,1,0)),IF($F113&lt;=85,1,0))</formula>
    </cfRule>
  </conditionalFormatting>
  <conditionalFormatting sqref="AI113">
    <cfRule type="expression" dxfId="21237" priority="323">
      <formula>AND(IF(OR($Q113=1,$Q113=2),1,0),IF($X113&lt;=20,1,0))</formula>
    </cfRule>
    <cfRule type="expression" dxfId="21236" priority="324">
      <formula>AND(IF($Q113=2,1,0),IF($X113&lt;30,1,0))</formula>
    </cfRule>
    <cfRule type="expression" dxfId="21235" priority="325">
      <formula>AND(IF($Q113=3,1,0),IF($X113&lt;30,1,0))</formula>
    </cfRule>
    <cfRule type="expression" dxfId="21234" priority="326">
      <formula>AND(IF($Q113=3,1,IF($Q113=4,1,0)),IF($F113&lt;=85,1,0))</formula>
    </cfRule>
  </conditionalFormatting>
  <conditionalFormatting sqref="AV114">
    <cfRule type="expression" dxfId="21233" priority="321">
      <formula>AV114="X"</formula>
    </cfRule>
    <cfRule type="expression" dxfId="21232" priority="322">
      <formula>AV114="후보"</formula>
    </cfRule>
  </conditionalFormatting>
  <conditionalFormatting sqref="AC114">
    <cfRule type="cellIs" dxfId="21231" priority="319" operator="greaterThan">
      <formula>0.9</formula>
    </cfRule>
    <cfRule type="cellIs" dxfId="21230" priority="320" operator="greaterThan">
      <formula>0.85</formula>
    </cfRule>
  </conditionalFormatting>
  <conditionalFormatting sqref="N114">
    <cfRule type="cellIs" dxfId="21229" priority="317" operator="greaterThan">
      <formula>0.9</formula>
    </cfRule>
    <cfRule type="cellIs" dxfId="21228" priority="318" operator="greaterThan">
      <formula>0.85</formula>
    </cfRule>
  </conditionalFormatting>
  <conditionalFormatting sqref="E114">
    <cfRule type="expression" dxfId="21227" priority="313">
      <formula>AND(IF(OR($Q114=1,$Q114=2),1,0),IF($X114&lt;=20,1,0))</formula>
    </cfRule>
    <cfRule type="expression" dxfId="21226" priority="314">
      <formula>AND(IF($Q114=2,1,0),IF($X114&lt;30,1,0))</formula>
    </cfRule>
    <cfRule type="expression" dxfId="21225" priority="315">
      <formula>AND(IF($Q114=3,1,0),IF($X114&lt;30,1,0))</formula>
    </cfRule>
    <cfRule type="expression" dxfId="21224" priority="316">
      <formula>AND(IF($Q114=3,1,IF($Q114=4,1,0)),IF($F114&lt;=85,1,0))</formula>
    </cfRule>
  </conditionalFormatting>
  <conditionalFormatting sqref="X114">
    <cfRule type="expression" dxfId="21223" priority="309">
      <formula>AND(IF(OR($Q114=1,$Q114=2),1,0),IF($X114&lt;=20,1,0))</formula>
    </cfRule>
    <cfRule type="expression" dxfId="21222" priority="310">
      <formula>AND(IF($Q114=2,1,0),IF($X114&lt;30,1,0))</formula>
    </cfRule>
    <cfRule type="expression" dxfId="21221" priority="311">
      <formula>AND(IF($Q114=3,1,0),IF($X114&lt;30,1,0))</formula>
    </cfRule>
    <cfRule type="expression" dxfId="21220" priority="312">
      <formula>AND(IF($Q114=3,1,IF($Q114=4,1,0)),IF($F114&lt;=85,1,0))</formula>
    </cfRule>
  </conditionalFormatting>
  <conditionalFormatting sqref="AI114">
    <cfRule type="expression" dxfId="21219" priority="305">
      <formula>AND(IF(OR($Q114=1,$Q114=2),1,0),IF($X114&lt;=20,1,0))</formula>
    </cfRule>
    <cfRule type="expression" dxfId="21218" priority="306">
      <formula>AND(IF($Q114=2,1,0),IF($X114&lt;30,1,0))</formula>
    </cfRule>
    <cfRule type="expression" dxfId="21217" priority="307">
      <formula>AND(IF($Q114=3,1,0),IF($X114&lt;30,1,0))</formula>
    </cfRule>
    <cfRule type="expression" dxfId="21216" priority="308">
      <formula>AND(IF($Q114=3,1,IF($Q114=4,1,0)),IF($F114&lt;=85,1,0))</formula>
    </cfRule>
  </conditionalFormatting>
  <conditionalFormatting sqref="AV115">
    <cfRule type="expression" dxfId="21215" priority="303">
      <formula>AV115="X"</formula>
    </cfRule>
    <cfRule type="expression" dxfId="21214" priority="304">
      <formula>AV115="후보"</formula>
    </cfRule>
  </conditionalFormatting>
  <conditionalFormatting sqref="AC115">
    <cfRule type="cellIs" dxfId="21213" priority="301" operator="greaterThan">
      <formula>0.9</formula>
    </cfRule>
    <cfRule type="cellIs" dxfId="21212" priority="302" operator="greaterThan">
      <formula>0.85</formula>
    </cfRule>
  </conditionalFormatting>
  <conditionalFormatting sqref="N115">
    <cfRule type="cellIs" dxfId="21211" priority="299" operator="greaterThan">
      <formula>0.9</formula>
    </cfRule>
    <cfRule type="cellIs" dxfId="21210" priority="300" operator="greaterThan">
      <formula>0.85</formula>
    </cfRule>
  </conditionalFormatting>
  <conditionalFormatting sqref="E115">
    <cfRule type="expression" dxfId="21209" priority="295">
      <formula>AND(IF(OR($Q115=1,$Q115=2),1,0),IF($X115&lt;=20,1,0))</formula>
    </cfRule>
    <cfRule type="expression" dxfId="21208" priority="296">
      <formula>AND(IF($Q115=2,1,0),IF($X115&lt;30,1,0))</formula>
    </cfRule>
    <cfRule type="expression" dxfId="21207" priority="297">
      <formula>AND(IF($Q115=3,1,0),IF($X115&lt;30,1,0))</formula>
    </cfRule>
    <cfRule type="expression" dxfId="21206" priority="298">
      <formula>AND(IF($Q115=3,1,IF($Q115=4,1,0)),IF($F115&lt;=85,1,0))</formula>
    </cfRule>
  </conditionalFormatting>
  <conditionalFormatting sqref="X115">
    <cfRule type="expression" dxfId="21205" priority="291">
      <formula>AND(IF(OR($Q115=1,$Q115=2),1,0),IF($X115&lt;=20,1,0))</formula>
    </cfRule>
    <cfRule type="expression" dxfId="21204" priority="292">
      <formula>AND(IF($Q115=2,1,0),IF($X115&lt;30,1,0))</formula>
    </cfRule>
    <cfRule type="expression" dxfId="21203" priority="293">
      <formula>AND(IF($Q115=3,1,0),IF($X115&lt;30,1,0))</formula>
    </cfRule>
    <cfRule type="expression" dxfId="21202" priority="294">
      <formula>AND(IF($Q115=3,1,IF($Q115=4,1,0)),IF($F115&lt;=85,1,0))</formula>
    </cfRule>
  </conditionalFormatting>
  <conditionalFormatting sqref="AI115">
    <cfRule type="expression" dxfId="21201" priority="287">
      <formula>AND(IF(OR($Q115=1,$Q115=2),1,0),IF($X115&lt;=20,1,0))</formula>
    </cfRule>
    <cfRule type="expression" dxfId="21200" priority="288">
      <formula>AND(IF($Q115=2,1,0),IF($X115&lt;30,1,0))</formula>
    </cfRule>
    <cfRule type="expression" dxfId="21199" priority="289">
      <formula>AND(IF($Q115=3,1,0),IF($X115&lt;30,1,0))</formula>
    </cfRule>
    <cfRule type="expression" dxfId="21198" priority="290">
      <formula>AND(IF($Q115=3,1,IF($Q115=4,1,0)),IF($F115&lt;=85,1,0))</formula>
    </cfRule>
  </conditionalFormatting>
  <conditionalFormatting sqref="AV116">
    <cfRule type="expression" dxfId="21197" priority="285">
      <formula>AV116="X"</formula>
    </cfRule>
    <cfRule type="expression" dxfId="21196" priority="286">
      <formula>AV116="후보"</formula>
    </cfRule>
  </conditionalFormatting>
  <conditionalFormatting sqref="AC116 N116">
    <cfRule type="cellIs" dxfId="21195" priority="283" operator="greaterThan">
      <formula>0.9</formula>
    </cfRule>
    <cfRule type="cellIs" dxfId="21194" priority="284" operator="greaterThan">
      <formula>0.85</formula>
    </cfRule>
  </conditionalFormatting>
  <conditionalFormatting sqref="AV117">
    <cfRule type="expression" dxfId="21193" priority="281">
      <formula>AV117="X"</formula>
    </cfRule>
    <cfRule type="expression" dxfId="21192" priority="282">
      <formula>AV117="후보"</formula>
    </cfRule>
  </conditionalFormatting>
  <conditionalFormatting sqref="AC117">
    <cfRule type="cellIs" dxfId="21191" priority="279" operator="greaterThan">
      <formula>0.9</formula>
    </cfRule>
    <cfRule type="cellIs" dxfId="21190" priority="280" operator="greaterThan">
      <formula>0.85</formula>
    </cfRule>
  </conditionalFormatting>
  <conditionalFormatting sqref="N117">
    <cfRule type="cellIs" dxfId="21189" priority="277" operator="greaterThan">
      <formula>0.9</formula>
    </cfRule>
    <cfRule type="cellIs" dxfId="21188" priority="278" operator="greaterThan">
      <formula>0.85</formula>
    </cfRule>
  </conditionalFormatting>
  <conditionalFormatting sqref="E117">
    <cfRule type="expression" dxfId="21187" priority="273">
      <formula>AND(IF(OR($Q117=1,$Q117=2),1,0),IF($X117&lt;=20,1,0))</formula>
    </cfRule>
    <cfRule type="expression" dxfId="21186" priority="274">
      <formula>AND(IF($Q117=2,1,0),IF($X117&lt;30,1,0))</formula>
    </cfRule>
    <cfRule type="expression" dxfId="21185" priority="275">
      <formula>AND(IF($Q117=3,1,0),IF($X117&lt;30,1,0))</formula>
    </cfRule>
    <cfRule type="expression" dxfId="21184" priority="276">
      <formula>AND(IF($Q117=3,1,IF($Q117=4,1,0)),IF($F117&lt;=85,1,0))</formula>
    </cfRule>
  </conditionalFormatting>
  <conditionalFormatting sqref="X117">
    <cfRule type="expression" dxfId="21183" priority="269">
      <formula>AND(IF(OR($Q117=1,$Q117=2),1,0),IF($X117&lt;=20,1,0))</formula>
    </cfRule>
    <cfRule type="expression" dxfId="21182" priority="270">
      <formula>AND(IF($Q117=2,1,0),IF($X117&lt;30,1,0))</formula>
    </cfRule>
    <cfRule type="expression" dxfId="21181" priority="271">
      <formula>AND(IF($Q117=3,1,0),IF($X117&lt;30,1,0))</formula>
    </cfRule>
    <cfRule type="expression" dxfId="21180" priority="272">
      <formula>AND(IF($Q117=3,1,IF($Q117=4,1,0)),IF($F117&lt;=85,1,0))</formula>
    </cfRule>
  </conditionalFormatting>
  <conditionalFormatting sqref="AI117">
    <cfRule type="expression" dxfId="21179" priority="265">
      <formula>AND(IF(OR($Q117=1,$Q117=2),1,0),IF($X117&lt;=20,1,0))</formula>
    </cfRule>
    <cfRule type="expression" dxfId="21178" priority="266">
      <formula>AND(IF($Q117=2,1,0),IF($X117&lt;30,1,0))</formula>
    </cfRule>
    <cfRule type="expression" dxfId="21177" priority="267">
      <formula>AND(IF($Q117=3,1,0),IF($X117&lt;30,1,0))</formula>
    </cfRule>
    <cfRule type="expression" dxfId="21176" priority="268">
      <formula>AND(IF($Q117=3,1,IF($Q117=4,1,0)),IF($F117&lt;=85,1,0))</formula>
    </cfRule>
  </conditionalFormatting>
  <conditionalFormatting sqref="AV118">
    <cfRule type="expression" dxfId="21175" priority="263">
      <formula>AV118="X"</formula>
    </cfRule>
    <cfRule type="expression" dxfId="21174" priority="264">
      <formula>AV118="후보"</formula>
    </cfRule>
  </conditionalFormatting>
  <conditionalFormatting sqref="AC118">
    <cfRule type="cellIs" dxfId="21173" priority="261" operator="greaterThan">
      <formula>0.9</formula>
    </cfRule>
    <cfRule type="cellIs" dxfId="21172" priority="262" operator="greaterThan">
      <formula>0.85</formula>
    </cfRule>
  </conditionalFormatting>
  <conditionalFormatting sqref="N118">
    <cfRule type="cellIs" dxfId="21171" priority="259" operator="greaterThan">
      <formula>0.9</formula>
    </cfRule>
    <cfRule type="cellIs" dxfId="21170" priority="260" operator="greaterThan">
      <formula>0.85</formula>
    </cfRule>
  </conditionalFormatting>
  <conditionalFormatting sqref="E118">
    <cfRule type="expression" dxfId="21169" priority="255">
      <formula>AND(IF(OR($Q118=1,$Q118=2),1,0),IF($X118&lt;=20,1,0))</formula>
    </cfRule>
    <cfRule type="expression" dxfId="21168" priority="256">
      <formula>AND(IF($Q118=2,1,0),IF($X118&lt;30,1,0))</formula>
    </cfRule>
    <cfRule type="expression" dxfId="21167" priority="257">
      <formula>AND(IF($Q118=3,1,0),IF($X118&lt;30,1,0))</formula>
    </cfRule>
    <cfRule type="expression" dxfId="21166" priority="258">
      <formula>AND(IF($Q118=3,1,IF($Q118=4,1,0)),IF($F118&lt;=85,1,0))</formula>
    </cfRule>
  </conditionalFormatting>
  <conditionalFormatting sqref="X118">
    <cfRule type="expression" dxfId="21165" priority="251">
      <formula>AND(IF(OR($Q118=1,$Q118=2),1,0),IF($X118&lt;=20,1,0))</formula>
    </cfRule>
    <cfRule type="expression" dxfId="21164" priority="252">
      <formula>AND(IF($Q118=2,1,0),IF($X118&lt;30,1,0))</formula>
    </cfRule>
    <cfRule type="expression" dxfId="21163" priority="253">
      <formula>AND(IF($Q118=3,1,0),IF($X118&lt;30,1,0))</formula>
    </cfRule>
    <cfRule type="expression" dxfId="21162" priority="254">
      <formula>AND(IF($Q118=3,1,IF($Q118=4,1,0)),IF($F118&lt;=85,1,0))</formula>
    </cfRule>
  </conditionalFormatting>
  <conditionalFormatting sqref="AI118">
    <cfRule type="expression" dxfId="21161" priority="247">
      <formula>AND(IF(OR($Q118=1,$Q118=2),1,0),IF($X118&lt;=20,1,0))</formula>
    </cfRule>
    <cfRule type="expression" dxfId="21160" priority="248">
      <formula>AND(IF($Q118=2,1,0),IF($X118&lt;30,1,0))</formula>
    </cfRule>
    <cfRule type="expression" dxfId="21159" priority="249">
      <formula>AND(IF($Q118=3,1,0),IF($X118&lt;30,1,0))</formula>
    </cfRule>
    <cfRule type="expression" dxfId="21158" priority="250">
      <formula>AND(IF($Q118=3,1,IF($Q118=4,1,0)),IF($F118&lt;=85,1,0))</formula>
    </cfRule>
  </conditionalFormatting>
  <conditionalFormatting sqref="AV119">
    <cfRule type="expression" dxfId="21157" priority="245">
      <formula>AV119="X"</formula>
    </cfRule>
    <cfRule type="expression" dxfId="21156" priority="246">
      <formula>AV119="후보"</formula>
    </cfRule>
  </conditionalFormatting>
  <conditionalFormatting sqref="AC119">
    <cfRule type="cellIs" dxfId="21155" priority="243" operator="greaterThan">
      <formula>0.9</formula>
    </cfRule>
    <cfRule type="cellIs" dxfId="21154" priority="244" operator="greaterThan">
      <formula>0.85</formula>
    </cfRule>
  </conditionalFormatting>
  <conditionalFormatting sqref="N119">
    <cfRule type="cellIs" dxfId="21153" priority="241" operator="greaterThan">
      <formula>0.9</formula>
    </cfRule>
    <cfRule type="cellIs" dxfId="21152" priority="242" operator="greaterThan">
      <formula>0.85</formula>
    </cfRule>
  </conditionalFormatting>
  <conditionalFormatting sqref="E119">
    <cfRule type="expression" dxfId="21151" priority="237">
      <formula>AND(IF(OR($Q119=1,$Q119=2),1,0),IF($X119&lt;=20,1,0))</formula>
    </cfRule>
    <cfRule type="expression" dxfId="21150" priority="238">
      <formula>AND(IF($Q119=2,1,0),IF($X119&lt;30,1,0))</formula>
    </cfRule>
    <cfRule type="expression" dxfId="21149" priority="239">
      <formula>AND(IF($Q119=3,1,0),IF($X119&lt;30,1,0))</formula>
    </cfRule>
    <cfRule type="expression" dxfId="21148" priority="240">
      <formula>AND(IF($Q119=3,1,IF($Q119=4,1,0)),IF($F119&lt;=85,1,0))</formula>
    </cfRule>
  </conditionalFormatting>
  <conditionalFormatting sqref="X119">
    <cfRule type="expression" dxfId="21147" priority="233">
      <formula>AND(IF(OR($Q119=1,$Q119=2),1,0),IF($X119&lt;=20,1,0))</formula>
    </cfRule>
    <cfRule type="expression" dxfId="21146" priority="234">
      <formula>AND(IF($Q119=2,1,0),IF($X119&lt;30,1,0))</formula>
    </cfRule>
    <cfRule type="expression" dxfId="21145" priority="235">
      <formula>AND(IF($Q119=3,1,0),IF($X119&lt;30,1,0))</formula>
    </cfRule>
    <cfRule type="expression" dxfId="21144" priority="236">
      <formula>AND(IF($Q119=3,1,IF($Q119=4,1,0)),IF($F119&lt;=85,1,0))</formula>
    </cfRule>
  </conditionalFormatting>
  <conditionalFormatting sqref="AI119">
    <cfRule type="expression" dxfId="21143" priority="229">
      <formula>AND(IF(OR($Q119=1,$Q119=2),1,0),IF($X119&lt;=20,1,0))</formula>
    </cfRule>
    <cfRule type="expression" dxfId="21142" priority="230">
      <formula>AND(IF($Q119=2,1,0),IF($X119&lt;30,1,0))</formula>
    </cfRule>
    <cfRule type="expression" dxfId="21141" priority="231">
      <formula>AND(IF($Q119=3,1,0),IF($X119&lt;30,1,0))</formula>
    </cfRule>
    <cfRule type="expression" dxfId="21140" priority="232">
      <formula>AND(IF($Q119=3,1,IF($Q119=4,1,0)),IF($F119&lt;=85,1,0))</formula>
    </cfRule>
  </conditionalFormatting>
  <conditionalFormatting sqref="AV120">
    <cfRule type="expression" dxfId="21139" priority="227">
      <formula>AV120="X"</formula>
    </cfRule>
    <cfRule type="expression" dxfId="21138" priority="228">
      <formula>AV120="후보"</formula>
    </cfRule>
  </conditionalFormatting>
  <conditionalFormatting sqref="AC120">
    <cfRule type="cellIs" dxfId="21137" priority="225" operator="greaterThan">
      <formula>0.9</formula>
    </cfRule>
    <cfRule type="cellIs" dxfId="21136" priority="226" operator="greaterThan">
      <formula>0.85</formula>
    </cfRule>
  </conditionalFormatting>
  <conditionalFormatting sqref="N120">
    <cfRule type="cellIs" dxfId="21135" priority="223" operator="greaterThan">
      <formula>0.9</formula>
    </cfRule>
    <cfRule type="cellIs" dxfId="21134" priority="224" operator="greaterThan">
      <formula>0.85</formula>
    </cfRule>
  </conditionalFormatting>
  <conditionalFormatting sqref="E120">
    <cfRule type="expression" dxfId="21133" priority="219">
      <formula>AND(IF(OR($Q120=1,$Q120=2),1,0),IF($X120&lt;=20,1,0))</formula>
    </cfRule>
    <cfRule type="expression" dxfId="21132" priority="220">
      <formula>AND(IF($Q120=2,1,0),IF($X120&lt;30,1,0))</formula>
    </cfRule>
    <cfRule type="expression" dxfId="21131" priority="221">
      <formula>AND(IF($Q120=3,1,0),IF($X120&lt;30,1,0))</formula>
    </cfRule>
    <cfRule type="expression" dxfId="21130" priority="222">
      <formula>AND(IF($Q120=3,1,IF($Q120=4,1,0)),IF($F120&lt;=85,1,0))</formula>
    </cfRule>
  </conditionalFormatting>
  <conditionalFormatting sqref="X120">
    <cfRule type="expression" dxfId="21129" priority="215">
      <formula>AND(IF(OR($Q120=1,$Q120=2),1,0),IF($X120&lt;=20,1,0))</formula>
    </cfRule>
    <cfRule type="expression" dxfId="21128" priority="216">
      <formula>AND(IF($Q120=2,1,0),IF($X120&lt;30,1,0))</formula>
    </cfRule>
    <cfRule type="expression" dxfId="21127" priority="217">
      <formula>AND(IF($Q120=3,1,0),IF($X120&lt;30,1,0))</formula>
    </cfRule>
    <cfRule type="expression" dxfId="21126" priority="218">
      <formula>AND(IF($Q120=3,1,IF($Q120=4,1,0)),IF($F120&lt;=85,1,0))</formula>
    </cfRule>
  </conditionalFormatting>
  <conditionalFormatting sqref="AI120">
    <cfRule type="expression" dxfId="21125" priority="211">
      <formula>AND(IF(OR($Q120=1,$Q120=2),1,0),IF($X120&lt;=20,1,0))</formula>
    </cfRule>
    <cfRule type="expression" dxfId="21124" priority="212">
      <formula>AND(IF($Q120=2,1,0),IF($X120&lt;30,1,0))</formula>
    </cfRule>
    <cfRule type="expression" dxfId="21123" priority="213">
      <formula>AND(IF($Q120=3,1,0),IF($X120&lt;30,1,0))</formula>
    </cfRule>
    <cfRule type="expression" dxfId="21122" priority="214">
      <formula>AND(IF($Q120=3,1,IF($Q120=4,1,0)),IF($F120&lt;=85,1,0))</formula>
    </cfRule>
  </conditionalFormatting>
  <conditionalFormatting sqref="AV121">
    <cfRule type="expression" dxfId="21121" priority="209">
      <formula>AV121="X"</formula>
    </cfRule>
    <cfRule type="expression" dxfId="21120" priority="210">
      <formula>AV121="후보"</formula>
    </cfRule>
  </conditionalFormatting>
  <conditionalFormatting sqref="AC121">
    <cfRule type="cellIs" dxfId="21119" priority="207" operator="greaterThan">
      <formula>0.9</formula>
    </cfRule>
    <cfRule type="cellIs" dxfId="21118" priority="208" operator="greaterThan">
      <formula>0.85</formula>
    </cfRule>
  </conditionalFormatting>
  <conditionalFormatting sqref="N121">
    <cfRule type="cellIs" dxfId="21117" priority="205" operator="greaterThan">
      <formula>0.9</formula>
    </cfRule>
    <cfRule type="cellIs" dxfId="21116" priority="206" operator="greaterThan">
      <formula>0.85</formula>
    </cfRule>
  </conditionalFormatting>
  <conditionalFormatting sqref="E121">
    <cfRule type="expression" dxfId="21115" priority="201">
      <formula>AND(IF(OR($Q121=1,$Q121=2),1,0),IF($X121&lt;=20,1,0))</formula>
    </cfRule>
    <cfRule type="expression" dxfId="21114" priority="202">
      <formula>AND(IF($Q121=2,1,0),IF($X121&lt;30,1,0))</formula>
    </cfRule>
    <cfRule type="expression" dxfId="21113" priority="203">
      <formula>AND(IF($Q121=3,1,0),IF($X121&lt;30,1,0))</formula>
    </cfRule>
    <cfRule type="expression" dxfId="21112" priority="204">
      <formula>AND(IF($Q121=3,1,IF($Q121=4,1,0)),IF($F121&lt;=85,1,0))</formula>
    </cfRule>
  </conditionalFormatting>
  <conditionalFormatting sqref="X121">
    <cfRule type="expression" dxfId="21111" priority="197">
      <formula>AND(IF(OR($Q121=1,$Q121=2),1,0),IF($X121&lt;=20,1,0))</formula>
    </cfRule>
    <cfRule type="expression" dxfId="21110" priority="198">
      <formula>AND(IF($Q121=2,1,0),IF($X121&lt;30,1,0))</formula>
    </cfRule>
    <cfRule type="expression" dxfId="21109" priority="199">
      <formula>AND(IF($Q121=3,1,0),IF($X121&lt;30,1,0))</formula>
    </cfRule>
    <cfRule type="expression" dxfId="21108" priority="200">
      <formula>AND(IF($Q121=3,1,IF($Q121=4,1,0)),IF($F121&lt;=85,1,0))</formula>
    </cfRule>
  </conditionalFormatting>
  <conditionalFormatting sqref="AI121">
    <cfRule type="expression" dxfId="21107" priority="193">
      <formula>AND(IF(OR($Q121=1,$Q121=2),1,0),IF($X121&lt;=20,1,0))</formula>
    </cfRule>
    <cfRule type="expression" dxfId="21106" priority="194">
      <formula>AND(IF($Q121=2,1,0),IF($X121&lt;30,1,0))</formula>
    </cfRule>
    <cfRule type="expression" dxfId="21105" priority="195">
      <formula>AND(IF($Q121=3,1,0),IF($X121&lt;30,1,0))</formula>
    </cfRule>
    <cfRule type="expression" dxfId="21104" priority="196">
      <formula>AND(IF($Q121=3,1,IF($Q121=4,1,0)),IF($F121&lt;=85,1,0))</formula>
    </cfRule>
  </conditionalFormatting>
  <conditionalFormatting sqref="AV122">
    <cfRule type="expression" dxfId="21103" priority="191">
      <formula>AV122="X"</formula>
    </cfRule>
    <cfRule type="expression" dxfId="21102" priority="192">
      <formula>AV122="후보"</formula>
    </cfRule>
  </conditionalFormatting>
  <conditionalFormatting sqref="AC122 N122">
    <cfRule type="cellIs" dxfId="21101" priority="189" operator="greaterThan">
      <formula>0.9</formula>
    </cfRule>
    <cfRule type="cellIs" dxfId="21100" priority="190" operator="greaterThan">
      <formula>0.85</formula>
    </cfRule>
  </conditionalFormatting>
  <conditionalFormatting sqref="AV123">
    <cfRule type="expression" dxfId="21099" priority="187">
      <formula>AV123="X"</formula>
    </cfRule>
    <cfRule type="expression" dxfId="21098" priority="188">
      <formula>AV123="후보"</formula>
    </cfRule>
  </conditionalFormatting>
  <conditionalFormatting sqref="AC123">
    <cfRule type="cellIs" dxfId="21097" priority="185" operator="greaterThan">
      <formula>0.9</formula>
    </cfRule>
    <cfRule type="cellIs" dxfId="21096" priority="186" operator="greaterThan">
      <formula>0.85</formula>
    </cfRule>
  </conditionalFormatting>
  <conditionalFormatting sqref="N123">
    <cfRule type="cellIs" dxfId="21095" priority="183" operator="greaterThan">
      <formula>0.9</formula>
    </cfRule>
    <cfRule type="cellIs" dxfId="21094" priority="184" operator="greaterThan">
      <formula>0.85</formula>
    </cfRule>
  </conditionalFormatting>
  <conditionalFormatting sqref="E123">
    <cfRule type="expression" dxfId="21093" priority="179">
      <formula>AND(IF(OR($Q123=1,$Q123=2),1,0),IF($X123&lt;=20,1,0))</formula>
    </cfRule>
    <cfRule type="expression" dxfId="21092" priority="180">
      <formula>AND(IF($Q123=2,1,0),IF($X123&lt;30,1,0))</formula>
    </cfRule>
    <cfRule type="expression" dxfId="21091" priority="181">
      <formula>AND(IF($Q123=3,1,0),IF($X123&lt;30,1,0))</formula>
    </cfRule>
    <cfRule type="expression" dxfId="21090" priority="182">
      <formula>AND(IF($Q123=3,1,IF($Q123=4,1,0)),IF($F123&lt;=85,1,0))</formula>
    </cfRule>
  </conditionalFormatting>
  <conditionalFormatting sqref="X123">
    <cfRule type="expression" dxfId="21089" priority="175">
      <formula>AND(IF(OR($Q123=1,$Q123=2),1,0),IF($X123&lt;=20,1,0))</formula>
    </cfRule>
    <cfRule type="expression" dxfId="21088" priority="176">
      <formula>AND(IF($Q123=2,1,0),IF($X123&lt;30,1,0))</formula>
    </cfRule>
    <cfRule type="expression" dxfId="21087" priority="177">
      <formula>AND(IF($Q123=3,1,0),IF($X123&lt;30,1,0))</formula>
    </cfRule>
    <cfRule type="expression" dxfId="21086" priority="178">
      <formula>AND(IF($Q123=3,1,IF($Q123=4,1,0)),IF($F123&lt;=85,1,0))</formula>
    </cfRule>
  </conditionalFormatting>
  <conditionalFormatting sqref="AI123">
    <cfRule type="expression" dxfId="21085" priority="171">
      <formula>AND(IF(OR($Q123=1,$Q123=2),1,0),IF($X123&lt;=20,1,0))</formula>
    </cfRule>
    <cfRule type="expression" dxfId="21084" priority="172">
      <formula>AND(IF($Q123=2,1,0),IF($X123&lt;30,1,0))</formula>
    </cfRule>
    <cfRule type="expression" dxfId="21083" priority="173">
      <formula>AND(IF($Q123=3,1,0),IF($X123&lt;30,1,0))</formula>
    </cfRule>
    <cfRule type="expression" dxfId="21082" priority="174">
      <formula>AND(IF($Q123=3,1,IF($Q123=4,1,0)),IF($F123&lt;=85,1,0))</formula>
    </cfRule>
  </conditionalFormatting>
  <conditionalFormatting sqref="AV124">
    <cfRule type="expression" dxfId="21081" priority="169">
      <formula>AV124="X"</formula>
    </cfRule>
    <cfRule type="expression" dxfId="21080" priority="170">
      <formula>AV124="후보"</formula>
    </cfRule>
  </conditionalFormatting>
  <conditionalFormatting sqref="AC124">
    <cfRule type="cellIs" dxfId="21079" priority="167" operator="greaterThan">
      <formula>0.9</formula>
    </cfRule>
    <cfRule type="cellIs" dxfId="21078" priority="168" operator="greaterThan">
      <formula>0.85</formula>
    </cfRule>
  </conditionalFormatting>
  <conditionalFormatting sqref="N124">
    <cfRule type="cellIs" dxfId="21077" priority="165" operator="greaterThan">
      <formula>0.9</formula>
    </cfRule>
    <cfRule type="cellIs" dxfId="21076" priority="166" operator="greaterThan">
      <formula>0.85</formula>
    </cfRule>
  </conditionalFormatting>
  <conditionalFormatting sqref="E124">
    <cfRule type="expression" dxfId="21075" priority="161">
      <formula>AND(IF(OR($Q124=1,$Q124=2),1,0),IF($X124&lt;=20,1,0))</formula>
    </cfRule>
    <cfRule type="expression" dxfId="21074" priority="162">
      <formula>AND(IF($Q124=2,1,0),IF($X124&lt;30,1,0))</formula>
    </cfRule>
    <cfRule type="expression" dxfId="21073" priority="163">
      <formula>AND(IF($Q124=3,1,0),IF($X124&lt;30,1,0))</formula>
    </cfRule>
    <cfRule type="expression" dxfId="21072" priority="164">
      <formula>AND(IF($Q124=3,1,IF($Q124=4,1,0)),IF($F124&lt;=85,1,0))</formula>
    </cfRule>
  </conditionalFormatting>
  <conditionalFormatting sqref="X124">
    <cfRule type="expression" dxfId="21071" priority="157">
      <formula>AND(IF(OR($Q124=1,$Q124=2),1,0),IF($X124&lt;=20,1,0))</formula>
    </cfRule>
    <cfRule type="expression" dxfId="21070" priority="158">
      <formula>AND(IF($Q124=2,1,0),IF($X124&lt;30,1,0))</formula>
    </cfRule>
    <cfRule type="expression" dxfId="21069" priority="159">
      <formula>AND(IF($Q124=3,1,0),IF($X124&lt;30,1,0))</formula>
    </cfRule>
    <cfRule type="expression" dxfId="21068" priority="160">
      <formula>AND(IF($Q124=3,1,IF($Q124=4,1,0)),IF($F124&lt;=85,1,0))</formula>
    </cfRule>
  </conditionalFormatting>
  <conditionalFormatting sqref="AI124">
    <cfRule type="expression" dxfId="21067" priority="153">
      <formula>AND(IF(OR($Q124=1,$Q124=2),1,0),IF($X124&lt;=20,1,0))</formula>
    </cfRule>
    <cfRule type="expression" dxfId="21066" priority="154">
      <formula>AND(IF($Q124=2,1,0),IF($X124&lt;30,1,0))</formula>
    </cfRule>
    <cfRule type="expression" dxfId="21065" priority="155">
      <formula>AND(IF($Q124=3,1,0),IF($X124&lt;30,1,0))</formula>
    </cfRule>
    <cfRule type="expression" dxfId="21064" priority="156">
      <formula>AND(IF($Q124=3,1,IF($Q124=4,1,0)),IF($F124&lt;=85,1,0))</formula>
    </cfRule>
  </conditionalFormatting>
  <conditionalFormatting sqref="AV125">
    <cfRule type="expression" dxfId="21063" priority="151">
      <formula>AV125="X"</formula>
    </cfRule>
    <cfRule type="expression" dxfId="21062" priority="152">
      <formula>AV125="후보"</formula>
    </cfRule>
  </conditionalFormatting>
  <conditionalFormatting sqref="AC125">
    <cfRule type="cellIs" dxfId="21061" priority="149" operator="greaterThan">
      <formula>0.9</formula>
    </cfRule>
    <cfRule type="cellIs" dxfId="21060" priority="150" operator="greaterThan">
      <formula>0.85</formula>
    </cfRule>
  </conditionalFormatting>
  <conditionalFormatting sqref="N125">
    <cfRule type="cellIs" dxfId="21059" priority="147" operator="greaterThan">
      <formula>0.9</formula>
    </cfRule>
    <cfRule type="cellIs" dxfId="21058" priority="148" operator="greaterThan">
      <formula>0.85</formula>
    </cfRule>
  </conditionalFormatting>
  <conditionalFormatting sqref="E125">
    <cfRule type="expression" dxfId="21057" priority="143">
      <formula>AND(IF(OR($Q125=1,$Q125=2),1,0),IF($X125&lt;=20,1,0))</formula>
    </cfRule>
    <cfRule type="expression" dxfId="21056" priority="144">
      <formula>AND(IF($Q125=2,1,0),IF($X125&lt;30,1,0))</formula>
    </cfRule>
    <cfRule type="expression" dxfId="21055" priority="145">
      <formula>AND(IF($Q125=3,1,0),IF($X125&lt;30,1,0))</formula>
    </cfRule>
    <cfRule type="expression" dxfId="21054" priority="146">
      <formula>AND(IF($Q125=3,1,IF($Q125=4,1,0)),IF($F125&lt;=85,1,0))</formula>
    </cfRule>
  </conditionalFormatting>
  <conditionalFormatting sqref="X125">
    <cfRule type="expression" dxfId="21053" priority="139">
      <formula>AND(IF(OR($Q125=1,$Q125=2),1,0),IF($X125&lt;=20,1,0))</formula>
    </cfRule>
    <cfRule type="expression" dxfId="21052" priority="140">
      <formula>AND(IF($Q125=2,1,0),IF($X125&lt;30,1,0))</formula>
    </cfRule>
    <cfRule type="expression" dxfId="21051" priority="141">
      <formula>AND(IF($Q125=3,1,0),IF($X125&lt;30,1,0))</formula>
    </cfRule>
    <cfRule type="expression" dxfId="21050" priority="142">
      <formula>AND(IF($Q125=3,1,IF($Q125=4,1,0)),IF($F125&lt;=85,1,0))</formula>
    </cfRule>
  </conditionalFormatting>
  <conditionalFormatting sqref="AI125">
    <cfRule type="expression" dxfId="21049" priority="135">
      <formula>AND(IF(OR($Q125=1,$Q125=2),1,0),IF($X125&lt;=20,1,0))</formula>
    </cfRule>
    <cfRule type="expression" dxfId="21048" priority="136">
      <formula>AND(IF($Q125=2,1,0),IF($X125&lt;30,1,0))</formula>
    </cfRule>
    <cfRule type="expression" dxfId="21047" priority="137">
      <formula>AND(IF($Q125=3,1,0),IF($X125&lt;30,1,0))</formula>
    </cfRule>
    <cfRule type="expression" dxfId="21046" priority="138">
      <formula>AND(IF($Q125=3,1,IF($Q125=4,1,0)),IF($F125&lt;=85,1,0))</formula>
    </cfRule>
  </conditionalFormatting>
  <conditionalFormatting sqref="AV126">
    <cfRule type="expression" dxfId="21045" priority="133">
      <formula>AV126="X"</formula>
    </cfRule>
    <cfRule type="expression" dxfId="21044" priority="134">
      <formula>AV126="후보"</formula>
    </cfRule>
  </conditionalFormatting>
  <conditionalFormatting sqref="AC126">
    <cfRule type="cellIs" dxfId="21043" priority="131" operator="greaterThan">
      <formula>0.9</formula>
    </cfRule>
    <cfRule type="cellIs" dxfId="21042" priority="132" operator="greaterThan">
      <formula>0.85</formula>
    </cfRule>
  </conditionalFormatting>
  <conditionalFormatting sqref="N126">
    <cfRule type="cellIs" dxfId="21041" priority="129" operator="greaterThan">
      <formula>0.9</formula>
    </cfRule>
    <cfRule type="cellIs" dxfId="21040" priority="130" operator="greaterThan">
      <formula>0.85</formula>
    </cfRule>
  </conditionalFormatting>
  <conditionalFormatting sqref="E126">
    <cfRule type="expression" dxfId="21039" priority="125">
      <formula>AND(IF(OR($Q126=1,$Q126=2),1,0),IF($X126&lt;=20,1,0))</formula>
    </cfRule>
    <cfRule type="expression" dxfId="21038" priority="126">
      <formula>AND(IF($Q126=2,1,0),IF($X126&lt;30,1,0))</formula>
    </cfRule>
    <cfRule type="expression" dxfId="21037" priority="127">
      <formula>AND(IF($Q126=3,1,0),IF($X126&lt;30,1,0))</formula>
    </cfRule>
    <cfRule type="expression" dxfId="21036" priority="128">
      <formula>AND(IF($Q126=3,1,IF($Q126=4,1,0)),IF($F126&lt;=85,1,0))</formula>
    </cfRule>
  </conditionalFormatting>
  <conditionalFormatting sqref="X126">
    <cfRule type="expression" dxfId="21035" priority="121">
      <formula>AND(IF(OR($Q126=1,$Q126=2),1,0),IF($X126&lt;=20,1,0))</formula>
    </cfRule>
    <cfRule type="expression" dxfId="21034" priority="122">
      <formula>AND(IF($Q126=2,1,0),IF($X126&lt;30,1,0))</formula>
    </cfRule>
    <cfRule type="expression" dxfId="21033" priority="123">
      <formula>AND(IF($Q126=3,1,0),IF($X126&lt;30,1,0))</formula>
    </cfRule>
    <cfRule type="expression" dxfId="21032" priority="124">
      <formula>AND(IF($Q126=3,1,IF($Q126=4,1,0)),IF($F126&lt;=85,1,0))</formula>
    </cfRule>
  </conditionalFormatting>
  <conditionalFormatting sqref="AI126">
    <cfRule type="expression" dxfId="21031" priority="117">
      <formula>AND(IF(OR($Q126=1,$Q126=2),1,0),IF($X126&lt;=20,1,0))</formula>
    </cfRule>
    <cfRule type="expression" dxfId="21030" priority="118">
      <formula>AND(IF($Q126=2,1,0),IF($X126&lt;30,1,0))</formula>
    </cfRule>
    <cfRule type="expression" dxfId="21029" priority="119">
      <formula>AND(IF($Q126=3,1,0),IF($X126&lt;30,1,0))</formula>
    </cfRule>
    <cfRule type="expression" dxfId="21028" priority="120">
      <formula>AND(IF($Q126=3,1,IF($Q126=4,1,0)),IF($F126&lt;=85,1,0))</formula>
    </cfRule>
  </conditionalFormatting>
  <conditionalFormatting sqref="AV127">
    <cfRule type="expression" dxfId="21027" priority="115">
      <formula>AV127="X"</formula>
    </cfRule>
    <cfRule type="expression" dxfId="21026" priority="116">
      <formula>AV127="후보"</formula>
    </cfRule>
  </conditionalFormatting>
  <conditionalFormatting sqref="AC127 N127">
    <cfRule type="cellIs" dxfId="21025" priority="113" operator="greaterThan">
      <formula>0.9</formula>
    </cfRule>
    <cfRule type="cellIs" dxfId="21024" priority="114" operator="greaterThan">
      <formula>0.85</formula>
    </cfRule>
  </conditionalFormatting>
  <conditionalFormatting sqref="AV128">
    <cfRule type="expression" dxfId="21023" priority="111">
      <formula>AV128="X"</formula>
    </cfRule>
    <cfRule type="expression" dxfId="21022" priority="112">
      <formula>AV128="후보"</formula>
    </cfRule>
  </conditionalFormatting>
  <conditionalFormatting sqref="AC128">
    <cfRule type="cellIs" dxfId="21021" priority="109" operator="greaterThan">
      <formula>0.9</formula>
    </cfRule>
    <cfRule type="cellIs" dxfId="21020" priority="110" operator="greaterThan">
      <formula>0.85</formula>
    </cfRule>
  </conditionalFormatting>
  <conditionalFormatting sqref="N128">
    <cfRule type="cellIs" dxfId="21019" priority="107" operator="greaterThan">
      <formula>0.9</formula>
    </cfRule>
    <cfRule type="cellIs" dxfId="21018" priority="108" operator="greaterThan">
      <formula>0.85</formula>
    </cfRule>
  </conditionalFormatting>
  <conditionalFormatting sqref="E128">
    <cfRule type="expression" dxfId="21017" priority="103">
      <formula>AND(IF(OR($Q128=1,$Q128=2),1,0),IF($X128&lt;=20,1,0))</formula>
    </cfRule>
    <cfRule type="expression" dxfId="21016" priority="104">
      <formula>AND(IF($Q128=2,1,0),IF($X128&lt;30,1,0))</formula>
    </cfRule>
    <cfRule type="expression" dxfId="21015" priority="105">
      <formula>AND(IF($Q128=3,1,0),IF($X128&lt;30,1,0))</formula>
    </cfRule>
    <cfRule type="expression" dxfId="21014" priority="106">
      <formula>AND(IF($Q128=3,1,IF($Q128=4,1,0)),IF($F128&lt;=85,1,0))</formula>
    </cfRule>
  </conditionalFormatting>
  <conditionalFormatting sqref="X128">
    <cfRule type="expression" dxfId="21013" priority="99">
      <formula>AND(IF(OR($Q128=1,$Q128=2),1,0),IF($X128&lt;=20,1,0))</formula>
    </cfRule>
    <cfRule type="expression" dxfId="21012" priority="100">
      <formula>AND(IF($Q128=2,1,0),IF($X128&lt;30,1,0))</formula>
    </cfRule>
    <cfRule type="expression" dxfId="21011" priority="101">
      <formula>AND(IF($Q128=3,1,0),IF($X128&lt;30,1,0))</formula>
    </cfRule>
    <cfRule type="expression" dxfId="21010" priority="102">
      <formula>AND(IF($Q128=3,1,IF($Q128=4,1,0)),IF($F128&lt;=85,1,0))</formula>
    </cfRule>
  </conditionalFormatting>
  <conditionalFormatting sqref="AI128">
    <cfRule type="expression" dxfId="21009" priority="95">
      <formula>AND(IF(OR($Q128=1,$Q128=2),1,0),IF($X128&lt;=20,1,0))</formula>
    </cfRule>
    <cfRule type="expression" dxfId="21008" priority="96">
      <formula>AND(IF($Q128=2,1,0),IF($X128&lt;30,1,0))</formula>
    </cfRule>
    <cfRule type="expression" dxfId="21007" priority="97">
      <formula>AND(IF($Q128=3,1,0),IF($X128&lt;30,1,0))</formula>
    </cfRule>
    <cfRule type="expression" dxfId="21006" priority="98">
      <formula>AND(IF($Q128=3,1,IF($Q128=4,1,0)),IF($F128&lt;=85,1,0))</formula>
    </cfRule>
  </conditionalFormatting>
  <conditionalFormatting sqref="AV129">
    <cfRule type="expression" dxfId="21005" priority="93">
      <formula>AV129="X"</formula>
    </cfRule>
    <cfRule type="expression" dxfId="21004" priority="94">
      <formula>AV129="후보"</formula>
    </cfRule>
  </conditionalFormatting>
  <conditionalFormatting sqref="AC129">
    <cfRule type="cellIs" dxfId="21003" priority="91" operator="greaterThan">
      <formula>0.9</formula>
    </cfRule>
    <cfRule type="cellIs" dxfId="21002" priority="92" operator="greaterThan">
      <formula>0.85</formula>
    </cfRule>
  </conditionalFormatting>
  <conditionalFormatting sqref="N129">
    <cfRule type="cellIs" dxfId="21001" priority="89" operator="greaterThan">
      <formula>0.9</formula>
    </cfRule>
    <cfRule type="cellIs" dxfId="21000" priority="90" operator="greaterThan">
      <formula>0.85</formula>
    </cfRule>
  </conditionalFormatting>
  <conditionalFormatting sqref="E129">
    <cfRule type="expression" dxfId="20999" priority="85">
      <formula>AND(IF(OR($Q129=1,$Q129=2),1,0),IF($X129&lt;=20,1,0))</formula>
    </cfRule>
    <cfRule type="expression" dxfId="20998" priority="86">
      <formula>AND(IF($Q129=2,1,0),IF($X129&lt;30,1,0))</formula>
    </cfRule>
    <cfRule type="expression" dxfId="20997" priority="87">
      <formula>AND(IF($Q129=3,1,0),IF($X129&lt;30,1,0))</formula>
    </cfRule>
    <cfRule type="expression" dxfId="20996" priority="88">
      <formula>AND(IF($Q129=3,1,IF($Q129=4,1,0)),IF($F129&lt;=85,1,0))</formula>
    </cfRule>
  </conditionalFormatting>
  <conditionalFormatting sqref="X129">
    <cfRule type="expression" dxfId="20995" priority="81">
      <formula>AND(IF(OR($Q129=1,$Q129=2),1,0),IF($X129&lt;=20,1,0))</formula>
    </cfRule>
    <cfRule type="expression" dxfId="20994" priority="82">
      <formula>AND(IF($Q129=2,1,0),IF($X129&lt;30,1,0))</formula>
    </cfRule>
    <cfRule type="expression" dxfId="20993" priority="83">
      <formula>AND(IF($Q129=3,1,0),IF($X129&lt;30,1,0))</formula>
    </cfRule>
    <cfRule type="expression" dxfId="20992" priority="84">
      <formula>AND(IF($Q129=3,1,IF($Q129=4,1,0)),IF($F129&lt;=85,1,0))</formula>
    </cfRule>
  </conditionalFormatting>
  <conditionalFormatting sqref="AI129">
    <cfRule type="expression" dxfId="20991" priority="77">
      <formula>AND(IF(OR($Q129=1,$Q129=2),1,0),IF($X129&lt;=20,1,0))</formula>
    </cfRule>
    <cfRule type="expression" dxfId="20990" priority="78">
      <formula>AND(IF($Q129=2,1,0),IF($X129&lt;30,1,0))</formula>
    </cfRule>
    <cfRule type="expression" dxfId="20989" priority="79">
      <formula>AND(IF($Q129=3,1,0),IF($X129&lt;30,1,0))</formula>
    </cfRule>
    <cfRule type="expression" dxfId="20988" priority="80">
      <formula>AND(IF($Q129=3,1,IF($Q129=4,1,0)),IF($F129&lt;=85,1,0))</formula>
    </cfRule>
  </conditionalFormatting>
  <conditionalFormatting sqref="AV130">
    <cfRule type="expression" dxfId="20987" priority="75">
      <formula>AV130="X"</formula>
    </cfRule>
    <cfRule type="expression" dxfId="20986" priority="76">
      <formula>AV130="후보"</formula>
    </cfRule>
  </conditionalFormatting>
  <conditionalFormatting sqref="AC130">
    <cfRule type="cellIs" dxfId="20985" priority="73" operator="greaterThan">
      <formula>0.9</formula>
    </cfRule>
    <cfRule type="cellIs" dxfId="20984" priority="74" operator="greaterThan">
      <formula>0.85</formula>
    </cfRule>
  </conditionalFormatting>
  <conditionalFormatting sqref="N130">
    <cfRule type="cellIs" dxfId="20983" priority="71" operator="greaterThan">
      <formula>0.9</formula>
    </cfRule>
    <cfRule type="cellIs" dxfId="20982" priority="72" operator="greaterThan">
      <formula>0.85</formula>
    </cfRule>
  </conditionalFormatting>
  <conditionalFormatting sqref="E130">
    <cfRule type="expression" dxfId="20981" priority="67">
      <formula>AND(IF(OR($Q130=1,$Q130=2),1,0),IF($X130&lt;=20,1,0))</formula>
    </cfRule>
    <cfRule type="expression" dxfId="20980" priority="68">
      <formula>AND(IF($Q130=2,1,0),IF($X130&lt;30,1,0))</formula>
    </cfRule>
    <cfRule type="expression" dxfId="20979" priority="69">
      <formula>AND(IF($Q130=3,1,0),IF($X130&lt;30,1,0))</formula>
    </cfRule>
    <cfRule type="expression" dxfId="20978" priority="70">
      <formula>AND(IF($Q130=3,1,IF($Q130=4,1,0)),IF($F130&lt;=85,1,0))</formula>
    </cfRule>
  </conditionalFormatting>
  <conditionalFormatting sqref="X130">
    <cfRule type="expression" dxfId="20977" priority="63">
      <formula>AND(IF(OR($Q130=1,$Q130=2),1,0),IF($X130&lt;=20,1,0))</formula>
    </cfRule>
    <cfRule type="expression" dxfId="20976" priority="64">
      <formula>AND(IF($Q130=2,1,0),IF($X130&lt;30,1,0))</formula>
    </cfRule>
    <cfRule type="expression" dxfId="20975" priority="65">
      <formula>AND(IF($Q130=3,1,0),IF($X130&lt;30,1,0))</formula>
    </cfRule>
    <cfRule type="expression" dxfId="20974" priority="66">
      <formula>AND(IF($Q130=3,1,IF($Q130=4,1,0)),IF($F130&lt;=85,1,0))</formula>
    </cfRule>
  </conditionalFormatting>
  <conditionalFormatting sqref="AI130">
    <cfRule type="expression" dxfId="20973" priority="59">
      <formula>AND(IF(OR($Q130=1,$Q130=2),1,0),IF($X130&lt;=20,1,0))</formula>
    </cfRule>
    <cfRule type="expression" dxfId="20972" priority="60">
      <formula>AND(IF($Q130=2,1,0),IF($X130&lt;30,1,0))</formula>
    </cfRule>
    <cfRule type="expression" dxfId="20971" priority="61">
      <formula>AND(IF($Q130=3,1,0),IF($X130&lt;30,1,0))</formula>
    </cfRule>
    <cfRule type="expression" dxfId="20970" priority="62">
      <formula>AND(IF($Q130=3,1,IF($Q130=4,1,0)),IF($F130&lt;=85,1,0))</formula>
    </cfRule>
  </conditionalFormatting>
  <conditionalFormatting sqref="AV131">
    <cfRule type="expression" dxfId="20969" priority="57">
      <formula>AV131="X"</formula>
    </cfRule>
    <cfRule type="expression" dxfId="20968" priority="58">
      <formula>AV131="후보"</formula>
    </cfRule>
  </conditionalFormatting>
  <conditionalFormatting sqref="AC131 N131">
    <cfRule type="cellIs" dxfId="20967" priority="55" operator="greaterThan">
      <formula>0.9</formula>
    </cfRule>
    <cfRule type="cellIs" dxfId="20966" priority="56" operator="greaterThan">
      <formula>0.85</formula>
    </cfRule>
  </conditionalFormatting>
  <conditionalFormatting sqref="AV132">
    <cfRule type="expression" dxfId="20965" priority="53">
      <formula>AV132="X"</formula>
    </cfRule>
    <cfRule type="expression" dxfId="20964" priority="54">
      <formula>AV132="후보"</formula>
    </cfRule>
  </conditionalFormatting>
  <conditionalFormatting sqref="AC132">
    <cfRule type="cellIs" dxfId="20963" priority="51" operator="greaterThan">
      <formula>0.9</formula>
    </cfRule>
    <cfRule type="cellIs" dxfId="20962" priority="52" operator="greaterThan">
      <formula>0.85</formula>
    </cfRule>
  </conditionalFormatting>
  <conditionalFormatting sqref="N132">
    <cfRule type="cellIs" dxfId="20961" priority="49" operator="greaterThan">
      <formula>0.9</formula>
    </cfRule>
    <cfRule type="cellIs" dxfId="20960" priority="50" operator="greaterThan">
      <formula>0.85</formula>
    </cfRule>
  </conditionalFormatting>
  <conditionalFormatting sqref="E132">
    <cfRule type="expression" dxfId="20959" priority="45">
      <formula>AND(IF(OR($Q132=1,$Q132=2),1,0),IF($X132&lt;=20,1,0))</formula>
    </cfRule>
    <cfRule type="expression" dxfId="20958" priority="46">
      <formula>AND(IF($Q132=2,1,0),IF($X132&lt;30,1,0))</formula>
    </cfRule>
    <cfRule type="expression" dxfId="20957" priority="47">
      <formula>AND(IF($Q132=3,1,0),IF($X132&lt;30,1,0))</formula>
    </cfRule>
    <cfRule type="expression" dxfId="20956" priority="48">
      <formula>AND(IF($Q132=3,1,IF($Q132=4,1,0)),IF($F132&lt;=85,1,0))</formula>
    </cfRule>
  </conditionalFormatting>
  <conditionalFormatting sqref="X132">
    <cfRule type="expression" dxfId="20955" priority="41">
      <formula>AND(IF(OR($Q132=1,$Q132=2),1,0),IF($X132&lt;=20,1,0))</formula>
    </cfRule>
    <cfRule type="expression" dxfId="20954" priority="42">
      <formula>AND(IF($Q132=2,1,0),IF($X132&lt;30,1,0))</formula>
    </cfRule>
    <cfRule type="expression" dxfId="20953" priority="43">
      <formula>AND(IF($Q132=3,1,0),IF($X132&lt;30,1,0))</formula>
    </cfRule>
    <cfRule type="expression" dxfId="20952" priority="44">
      <formula>AND(IF($Q132=3,1,IF($Q132=4,1,0)),IF($F132&lt;=85,1,0))</formula>
    </cfRule>
  </conditionalFormatting>
  <conditionalFormatting sqref="AI132">
    <cfRule type="expression" dxfId="20951" priority="37">
      <formula>AND(IF(OR($Q132=1,$Q132=2),1,0),IF($X132&lt;=20,1,0))</formula>
    </cfRule>
    <cfRule type="expression" dxfId="20950" priority="38">
      <formula>AND(IF($Q132=2,1,0),IF($X132&lt;30,1,0))</formula>
    </cfRule>
    <cfRule type="expression" dxfId="20949" priority="39">
      <formula>AND(IF($Q132=3,1,0),IF($X132&lt;30,1,0))</formula>
    </cfRule>
    <cfRule type="expression" dxfId="20948" priority="40">
      <formula>AND(IF($Q132=3,1,IF($Q132=4,1,0)),IF($F132&lt;=85,1,0))</formula>
    </cfRule>
  </conditionalFormatting>
  <conditionalFormatting sqref="AV133">
    <cfRule type="expression" dxfId="20947" priority="35">
      <formula>AV133="X"</formula>
    </cfRule>
    <cfRule type="expression" dxfId="20946" priority="36">
      <formula>AV133="후보"</formula>
    </cfRule>
  </conditionalFormatting>
  <conditionalFormatting sqref="AC133">
    <cfRule type="cellIs" dxfId="20945" priority="33" operator="greaterThan">
      <formula>0.9</formula>
    </cfRule>
    <cfRule type="cellIs" dxfId="20944" priority="34" operator="greaterThan">
      <formula>0.85</formula>
    </cfRule>
  </conditionalFormatting>
  <conditionalFormatting sqref="N133">
    <cfRule type="cellIs" dxfId="20943" priority="31" operator="greaterThan">
      <formula>0.9</formula>
    </cfRule>
    <cfRule type="cellIs" dxfId="20942" priority="32" operator="greaterThan">
      <formula>0.85</formula>
    </cfRule>
  </conditionalFormatting>
  <conditionalFormatting sqref="E133">
    <cfRule type="expression" dxfId="20941" priority="27">
      <formula>AND(IF(OR($Q133=1,$Q133=2),1,0),IF($X133&lt;=20,1,0))</formula>
    </cfRule>
    <cfRule type="expression" dxfId="20940" priority="28">
      <formula>AND(IF($Q133=2,1,0),IF($X133&lt;30,1,0))</formula>
    </cfRule>
    <cfRule type="expression" dxfId="20939" priority="29">
      <formula>AND(IF($Q133=3,1,0),IF($X133&lt;30,1,0))</formula>
    </cfRule>
    <cfRule type="expression" dxfId="20938" priority="30">
      <formula>AND(IF($Q133=3,1,IF($Q133=4,1,0)),IF($F133&lt;=85,1,0))</formula>
    </cfRule>
  </conditionalFormatting>
  <conditionalFormatting sqref="X133">
    <cfRule type="expression" dxfId="20937" priority="23">
      <formula>AND(IF(OR($Q133=1,$Q133=2),1,0),IF($X133&lt;=20,1,0))</formula>
    </cfRule>
    <cfRule type="expression" dxfId="20936" priority="24">
      <formula>AND(IF($Q133=2,1,0),IF($X133&lt;30,1,0))</formula>
    </cfRule>
    <cfRule type="expression" dxfId="20935" priority="25">
      <formula>AND(IF($Q133=3,1,0),IF($X133&lt;30,1,0))</formula>
    </cfRule>
    <cfRule type="expression" dxfId="20934" priority="26">
      <formula>AND(IF($Q133=3,1,IF($Q133=4,1,0)),IF($F133&lt;=85,1,0))</formula>
    </cfRule>
  </conditionalFormatting>
  <conditionalFormatting sqref="AI133">
    <cfRule type="expression" dxfId="20933" priority="19">
      <formula>AND(IF(OR($Q133=1,$Q133=2),1,0),IF($X133&lt;=20,1,0))</formula>
    </cfRule>
    <cfRule type="expression" dxfId="20932" priority="20">
      <formula>AND(IF($Q133=2,1,0),IF($X133&lt;30,1,0))</formula>
    </cfRule>
    <cfRule type="expression" dxfId="20931" priority="21">
      <formula>AND(IF($Q133=3,1,0),IF($X133&lt;30,1,0))</formula>
    </cfRule>
    <cfRule type="expression" dxfId="20930" priority="22">
      <formula>AND(IF($Q133=3,1,IF($Q133=4,1,0)),IF($F133&lt;=85,1,0))</formula>
    </cfRule>
  </conditionalFormatting>
  <conditionalFormatting sqref="AV134">
    <cfRule type="expression" dxfId="20929" priority="17">
      <formula>AV134="X"</formula>
    </cfRule>
    <cfRule type="expression" dxfId="20928" priority="18">
      <formula>AV134="후보"</formula>
    </cfRule>
  </conditionalFormatting>
  <conditionalFormatting sqref="AC134">
    <cfRule type="cellIs" dxfId="20927" priority="15" operator="greaterThan">
      <formula>0.9</formula>
    </cfRule>
    <cfRule type="cellIs" dxfId="20926" priority="16" operator="greaterThan">
      <formula>0.85</formula>
    </cfRule>
  </conditionalFormatting>
  <conditionalFormatting sqref="N134">
    <cfRule type="cellIs" dxfId="20925" priority="13" operator="greaterThan">
      <formula>0.9</formula>
    </cfRule>
    <cfRule type="cellIs" dxfId="20924" priority="14" operator="greaterThan">
      <formula>0.85</formula>
    </cfRule>
  </conditionalFormatting>
  <conditionalFormatting sqref="E134">
    <cfRule type="expression" dxfId="20923" priority="9">
      <formula>AND(IF(OR($Q134=1,$Q134=2),1,0),IF($X134&lt;=20,1,0))</formula>
    </cfRule>
    <cfRule type="expression" dxfId="20922" priority="10">
      <formula>AND(IF($Q134=2,1,0),IF($X134&lt;30,1,0))</formula>
    </cfRule>
    <cfRule type="expression" dxfId="20921" priority="11">
      <formula>AND(IF($Q134=3,1,0),IF($X134&lt;30,1,0))</formula>
    </cfRule>
    <cfRule type="expression" dxfId="20920" priority="12">
      <formula>AND(IF($Q134=3,1,IF($Q134=4,1,0)),IF($F134&lt;=85,1,0))</formula>
    </cfRule>
  </conditionalFormatting>
  <conditionalFormatting sqref="X134">
    <cfRule type="expression" dxfId="20919" priority="5">
      <formula>AND(IF(OR($Q134=1,$Q134=2),1,0),IF($X134&lt;=20,1,0))</formula>
    </cfRule>
    <cfRule type="expression" dxfId="20918" priority="6">
      <formula>AND(IF($Q134=2,1,0),IF($X134&lt;30,1,0))</formula>
    </cfRule>
    <cfRule type="expression" dxfId="20917" priority="7">
      <formula>AND(IF($Q134=3,1,0),IF($X134&lt;30,1,0))</formula>
    </cfRule>
    <cfRule type="expression" dxfId="20916" priority="8">
      <formula>AND(IF($Q134=3,1,IF($Q134=4,1,0)),IF($F134&lt;=85,1,0))</formula>
    </cfRule>
  </conditionalFormatting>
  <conditionalFormatting sqref="AI134">
    <cfRule type="expression" dxfId="20915" priority="1">
      <formula>AND(IF(OR($Q134=1,$Q134=2),1,0),IF($X134&lt;=20,1,0))</formula>
    </cfRule>
    <cfRule type="expression" dxfId="20914" priority="2">
      <formula>AND(IF($Q134=2,1,0),IF($X134&lt;30,1,0))</formula>
    </cfRule>
    <cfRule type="expression" dxfId="20913" priority="3">
      <formula>AND(IF($Q134=3,1,0),IF($X134&lt;30,1,0))</formula>
    </cfRule>
    <cfRule type="expression" dxfId="20912" priority="4">
      <formula>AND(IF($Q134=3,1,IF($Q134=4,1,0)),IF($F134&lt;=85,1,0))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대명동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542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대명동 현대메트로타워2차('16.04.,942^)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2" si="1"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538</v>
      </c>
      <c r="B6" s="10" t="s">
        <v>1290</v>
      </c>
      <c r="C6" s="107">
        <v>942</v>
      </c>
      <c r="D6" s="104">
        <v>115.3</v>
      </c>
      <c r="E6" s="106">
        <v>35</v>
      </c>
      <c r="F6" s="104">
        <v>84.9</v>
      </c>
      <c r="G6" s="17">
        <v>26</v>
      </c>
      <c r="H6" s="107">
        <v>318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7">
        <v>3</v>
      </c>
      <c r="R6" s="77">
        <v>2</v>
      </c>
      <c r="S6" s="77" t="s">
        <v>1244</v>
      </c>
      <c r="T6" s="5" t="s">
        <v>179</v>
      </c>
      <c r="U6" s="9"/>
      <c r="W6" s="104">
        <f t="shared" ref="W6:X8" si="2">D6</f>
        <v>115.3</v>
      </c>
      <c r="X6" s="106">
        <f t="shared" si="2"/>
        <v>35</v>
      </c>
      <c r="Y6" s="102">
        <f t="shared" ref="Y6:Z8" si="3">H6</f>
        <v>318</v>
      </c>
      <c r="Z6" s="109">
        <f t="shared" si="3"/>
        <v>0</v>
      </c>
      <c r="AA6" s="109">
        <f>K6</f>
        <v>0</v>
      </c>
      <c r="AB6" s="109">
        <f t="shared" ref="AB6:AD8" si="4">M6</f>
        <v>0</v>
      </c>
      <c r="AC6" s="4" t="str">
        <f t="shared" si="4"/>
        <v/>
      </c>
      <c r="AD6" s="105">
        <f t="shared" si="4"/>
        <v>0</v>
      </c>
      <c r="AE6" s="77" t="str">
        <f>S6</f>
        <v>계</v>
      </c>
      <c r="AF6" s="77" t="str">
        <f>Q6&amp;"/"&amp;R6</f>
        <v>3/2</v>
      </c>
      <c r="AH6" s="20" t="str">
        <f t="shared" si="1"/>
        <v>현대메트로타워2차</v>
      </c>
      <c r="AI6" s="106">
        <f t="shared" si="0"/>
        <v>35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538</v>
      </c>
      <c r="B7" s="10" t="s">
        <v>1290</v>
      </c>
      <c r="C7" s="107">
        <v>942</v>
      </c>
      <c r="D7" s="104">
        <v>115.5</v>
      </c>
      <c r="E7" s="106">
        <v>35</v>
      </c>
      <c r="F7" s="104">
        <v>85</v>
      </c>
      <c r="G7" s="17">
        <v>26</v>
      </c>
      <c r="H7" s="107">
        <v>316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7">
        <v>3</v>
      </c>
      <c r="R7" s="77">
        <v>2</v>
      </c>
      <c r="S7" s="77" t="s">
        <v>1244</v>
      </c>
      <c r="T7" s="5" t="s">
        <v>544</v>
      </c>
      <c r="U7" s="9"/>
      <c r="W7" s="104">
        <f t="shared" si="2"/>
        <v>115.5</v>
      </c>
      <c r="X7" s="106">
        <f t="shared" si="2"/>
        <v>35</v>
      </c>
      <c r="Y7" s="102">
        <f t="shared" si="3"/>
        <v>316</v>
      </c>
      <c r="Z7" s="109">
        <f t="shared" si="3"/>
        <v>0</v>
      </c>
      <c r="AA7" s="109">
        <f>K7</f>
        <v>0</v>
      </c>
      <c r="AB7" s="109">
        <f t="shared" si="4"/>
        <v>0</v>
      </c>
      <c r="AC7" s="4" t="str">
        <f t="shared" si="4"/>
        <v/>
      </c>
      <c r="AD7" s="105">
        <f t="shared" si="4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현대메트로타워2차</v>
      </c>
      <c r="AI7" s="106">
        <f t="shared" si="0"/>
        <v>35</v>
      </c>
      <c r="AJ7" s="77" t="str">
        <f>IF(AI7="","",$AJ$2)</f>
        <v>A-</v>
      </c>
      <c r="AK7" s="77" t="s">
        <v>13</v>
      </c>
      <c r="AL7" s="77" t="s">
        <v>1242</v>
      </c>
      <c r="AM7" s="77" t="s">
        <v>1243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48" x14ac:dyDescent="0.3">
      <c r="A8" s="9" t="s">
        <v>538</v>
      </c>
      <c r="B8" s="10" t="s">
        <v>1290</v>
      </c>
      <c r="C8" s="107">
        <v>942</v>
      </c>
      <c r="D8" s="104">
        <v>115.3</v>
      </c>
      <c r="E8" s="106">
        <v>35</v>
      </c>
      <c r="F8" s="104">
        <v>85</v>
      </c>
      <c r="G8" s="17">
        <v>26</v>
      </c>
      <c r="H8" s="107">
        <v>308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7">
        <v>3</v>
      </c>
      <c r="R8" s="77">
        <v>2</v>
      </c>
      <c r="S8" s="77" t="s">
        <v>1244</v>
      </c>
      <c r="T8" s="5" t="s">
        <v>286</v>
      </c>
      <c r="U8" s="9"/>
      <c r="W8" s="104">
        <f t="shared" si="2"/>
        <v>115.3</v>
      </c>
      <c r="X8" s="106">
        <f t="shared" si="2"/>
        <v>35</v>
      </c>
      <c r="Y8" s="102">
        <f t="shared" si="3"/>
        <v>308</v>
      </c>
      <c r="Z8" s="109">
        <f t="shared" si="3"/>
        <v>0</v>
      </c>
      <c r="AA8" s="109">
        <f>K8</f>
        <v>0</v>
      </c>
      <c r="AB8" s="109">
        <f t="shared" si="4"/>
        <v>0</v>
      </c>
      <c r="AC8" s="4" t="str">
        <f t="shared" si="4"/>
        <v/>
      </c>
      <c r="AD8" s="105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현대메트로타워2차</v>
      </c>
      <c r="AI8" s="106">
        <f t="shared" si="0"/>
        <v>35</v>
      </c>
      <c r="AJ8" s="77" t="str">
        <f>IF(AI8="","",$AJ$2)</f>
        <v>A-</v>
      </c>
      <c r="AK8" s="77" t="s">
        <v>13</v>
      </c>
      <c r="AL8" s="77" t="s">
        <v>1242</v>
      </c>
      <c r="AM8" s="77" t="s">
        <v>1243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/>
      <c r="B9" s="77"/>
      <c r="C9" s="6"/>
      <c r="D9" s="9"/>
      <c r="E9" s="14"/>
      <c r="F9" s="104"/>
      <c r="G9" s="9"/>
      <c r="H9" s="9"/>
      <c r="I9" s="9"/>
      <c r="J9" s="9"/>
      <c r="K9" s="9"/>
      <c r="L9" s="9"/>
      <c r="M9" s="9"/>
      <c r="N9" s="9"/>
      <c r="O9" s="105"/>
      <c r="P9" s="105"/>
      <c r="Q9" s="106"/>
      <c r="R9" s="106"/>
      <c r="S9" s="9"/>
      <c r="T9" s="47"/>
      <c r="U9" s="9"/>
      <c r="W9" s="67" t="str">
        <f>$A$4&amp;" "&amp;A10&amp;"("&amp;B10&amp;","&amp;C10&amp;"^)"</f>
        <v>대명동 현대메트로타워('11.10.,614^)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3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545</v>
      </c>
      <c r="B10" s="10" t="s">
        <v>1291</v>
      </c>
      <c r="C10" s="107">
        <v>614</v>
      </c>
      <c r="D10" s="104">
        <v>108.7</v>
      </c>
      <c r="E10" s="106">
        <v>33</v>
      </c>
      <c r="F10" s="104">
        <v>76.3</v>
      </c>
      <c r="G10" s="17">
        <v>23</v>
      </c>
      <c r="H10" s="107">
        <v>248</v>
      </c>
      <c r="I10" s="108"/>
      <c r="J10" s="108"/>
      <c r="K10" s="108"/>
      <c r="L10" s="108"/>
      <c r="M10" s="109">
        <f>I10-K10</f>
        <v>0</v>
      </c>
      <c r="N10" s="4" t="str">
        <f>IF(ISERROR(K10/I10),"",K10/I10)</f>
        <v/>
      </c>
      <c r="O10" s="105">
        <f>I10/E10</f>
        <v>0</v>
      </c>
      <c r="P10" s="105">
        <f>K10/E10</f>
        <v>0</v>
      </c>
      <c r="Q10" s="77">
        <v>3</v>
      </c>
      <c r="R10" s="77">
        <v>2</v>
      </c>
      <c r="S10" s="77" t="s">
        <v>1244</v>
      </c>
      <c r="T10" s="5">
        <v>108</v>
      </c>
      <c r="U10" s="9"/>
      <c r="W10" s="104">
        <f t="shared" ref="W10:X12" si="5">D10</f>
        <v>108.7</v>
      </c>
      <c r="X10" s="106">
        <f t="shared" si="5"/>
        <v>33</v>
      </c>
      <c r="Y10" s="102">
        <f t="shared" ref="Y10:Z12" si="6">H10</f>
        <v>248</v>
      </c>
      <c r="Z10" s="109">
        <f t="shared" si="6"/>
        <v>0</v>
      </c>
      <c r="AA10" s="109">
        <f>K10</f>
        <v>0</v>
      </c>
      <c r="AB10" s="109">
        <f t="shared" ref="AB10:AD12" si="7">M10</f>
        <v>0</v>
      </c>
      <c r="AC10" s="4" t="str">
        <f t="shared" si="7"/>
        <v/>
      </c>
      <c r="AD10" s="105">
        <f t="shared" si="7"/>
        <v>0</v>
      </c>
      <c r="AE10" s="77" t="str">
        <f>S10</f>
        <v>계</v>
      </c>
      <c r="AF10" s="77" t="str">
        <f>Q10&amp;"/"&amp;R10</f>
        <v>3/2</v>
      </c>
      <c r="AH10" s="20" t="str">
        <f t="shared" si="1"/>
        <v>현대메트로타워</v>
      </c>
      <c r="AI10" s="106">
        <f t="shared" si="0"/>
        <v>33</v>
      </c>
      <c r="AJ10" s="77" t="str">
        <f>IF(AI10="","",$AJ$2)</f>
        <v>A-</v>
      </c>
      <c r="AK10" s="77" t="s">
        <v>13</v>
      </c>
      <c r="AL10" s="77" t="s">
        <v>1242</v>
      </c>
      <c r="AM10" s="77" t="s">
        <v>1243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/>
      </c>
    </row>
    <row r="11" spans="1:48" x14ac:dyDescent="0.3">
      <c r="A11" s="9" t="s">
        <v>545</v>
      </c>
      <c r="B11" s="10" t="s">
        <v>1291</v>
      </c>
      <c r="C11" s="107">
        <v>614</v>
      </c>
      <c r="D11" s="104">
        <v>120.5</v>
      </c>
      <c r="E11" s="106">
        <v>36</v>
      </c>
      <c r="F11" s="104">
        <v>84.9</v>
      </c>
      <c r="G11" s="17">
        <v>26</v>
      </c>
      <c r="H11" s="107">
        <v>244</v>
      </c>
      <c r="I11" s="108"/>
      <c r="J11" s="108"/>
      <c r="K11" s="108"/>
      <c r="L11" s="108"/>
      <c r="M11" s="109">
        <f>I11-K11</f>
        <v>0</v>
      </c>
      <c r="N11" s="4" t="str">
        <f>IF(ISERROR(K11/I11),"",K11/I11)</f>
        <v/>
      </c>
      <c r="O11" s="105">
        <f>I11/E11</f>
        <v>0</v>
      </c>
      <c r="P11" s="105">
        <f>K11/E11</f>
        <v>0</v>
      </c>
      <c r="Q11" s="77">
        <v>3</v>
      </c>
      <c r="R11" s="77">
        <v>2</v>
      </c>
      <c r="S11" s="77" t="s">
        <v>1244</v>
      </c>
      <c r="T11" s="5">
        <v>120</v>
      </c>
      <c r="U11" s="9"/>
      <c r="W11" s="104">
        <f t="shared" si="5"/>
        <v>120.5</v>
      </c>
      <c r="X11" s="106">
        <f t="shared" si="5"/>
        <v>36</v>
      </c>
      <c r="Y11" s="102">
        <f t="shared" si="6"/>
        <v>244</v>
      </c>
      <c r="Z11" s="109">
        <f t="shared" si="6"/>
        <v>0</v>
      </c>
      <c r="AA11" s="109">
        <f>K11</f>
        <v>0</v>
      </c>
      <c r="AB11" s="109">
        <f t="shared" si="7"/>
        <v>0</v>
      </c>
      <c r="AC11" s="4" t="str">
        <f t="shared" si="7"/>
        <v/>
      </c>
      <c r="AD11" s="105">
        <f t="shared" si="7"/>
        <v>0</v>
      </c>
      <c r="AE11" s="77" t="str">
        <f>S11</f>
        <v>계</v>
      </c>
      <c r="AF11" s="77" t="str">
        <f>Q11&amp;"/"&amp;R11</f>
        <v>3/2</v>
      </c>
      <c r="AH11" s="20" t="str">
        <f t="shared" si="1"/>
        <v>현대메트로타워</v>
      </c>
      <c r="AI11" s="106">
        <f t="shared" si="0"/>
        <v>36</v>
      </c>
      <c r="AJ11" s="77" t="str">
        <f>IF(AI11="","",$AJ$2)</f>
        <v>A-</v>
      </c>
      <c r="AK11" s="77" t="s">
        <v>13</v>
      </c>
      <c r="AL11" s="77" t="s">
        <v>1242</v>
      </c>
      <c r="AM11" s="77" t="s">
        <v>1243</v>
      </c>
      <c r="AN11" s="77" t="str">
        <f>IF(AI11="","",$AN$2)</f>
        <v>C</v>
      </c>
      <c r="AO11" s="77" t="str">
        <f>IF(N11="","",IF(N11&gt;=$AO$1/100,"O","X"))</f>
        <v/>
      </c>
      <c r="AP11" s="77" t="str">
        <f>IF(I11="","",IF(I11&lt;=$AP$1,"O","X"))</f>
        <v/>
      </c>
      <c r="AQ11" s="77" t="str">
        <f>IF(O11="","",IF(O11&lt;=$AQ$1,"O","X"))</f>
        <v>O</v>
      </c>
      <c r="AR11" s="77" t="str">
        <f>IF(M11="","",IF(M11&lt;=$AR$1,"O","X"))</f>
        <v>O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/>
      </c>
    </row>
    <row r="12" spans="1:48" x14ac:dyDescent="0.3">
      <c r="A12" s="9" t="s">
        <v>545</v>
      </c>
      <c r="B12" s="10" t="s">
        <v>1291</v>
      </c>
      <c r="C12" s="107">
        <v>614</v>
      </c>
      <c r="D12" s="104">
        <v>120.7</v>
      </c>
      <c r="E12" s="106">
        <v>37</v>
      </c>
      <c r="F12" s="104">
        <v>84.9</v>
      </c>
      <c r="G12" s="17">
        <v>26</v>
      </c>
      <c r="H12" s="107">
        <v>122</v>
      </c>
      <c r="I12" s="108"/>
      <c r="J12" s="108"/>
      <c r="K12" s="108"/>
      <c r="L12" s="108"/>
      <c r="M12" s="109">
        <f>I12-K12</f>
        <v>0</v>
      </c>
      <c r="N12" s="4" t="str">
        <f>IF(ISERROR(K12/I12),"",K12/I12)</f>
        <v/>
      </c>
      <c r="O12" s="105">
        <f>I12/E12</f>
        <v>0</v>
      </c>
      <c r="P12" s="105">
        <f>K12/E12</f>
        <v>0</v>
      </c>
      <c r="Q12" s="77">
        <v>3</v>
      </c>
      <c r="R12" s="77">
        <v>2</v>
      </c>
      <c r="S12" s="77" t="s">
        <v>1244</v>
      </c>
      <c r="T12" s="5">
        <v>120</v>
      </c>
      <c r="U12" s="9"/>
      <c r="W12" s="104">
        <f t="shared" si="5"/>
        <v>120.7</v>
      </c>
      <c r="X12" s="106">
        <f t="shared" si="5"/>
        <v>37</v>
      </c>
      <c r="Y12" s="102">
        <f t="shared" si="6"/>
        <v>122</v>
      </c>
      <c r="Z12" s="109">
        <f t="shared" si="6"/>
        <v>0</v>
      </c>
      <c r="AA12" s="109">
        <f>K12</f>
        <v>0</v>
      </c>
      <c r="AB12" s="109">
        <f t="shared" si="7"/>
        <v>0</v>
      </c>
      <c r="AC12" s="4" t="str">
        <f t="shared" si="7"/>
        <v/>
      </c>
      <c r="AD12" s="105">
        <f t="shared" si="7"/>
        <v>0</v>
      </c>
      <c r="AE12" s="77" t="str">
        <f>S12</f>
        <v>계</v>
      </c>
      <c r="AF12" s="77" t="str">
        <f>Q12&amp;"/"&amp;R12</f>
        <v>3/2</v>
      </c>
      <c r="AH12" s="20" t="str">
        <f t="shared" si="1"/>
        <v>현대메트로타워</v>
      </c>
      <c r="AI12" s="106">
        <f t="shared" si="0"/>
        <v>37</v>
      </c>
      <c r="AJ12" s="77" t="str">
        <f>IF(AI12="","",$AJ$2)</f>
        <v>A-</v>
      </c>
      <c r="AK12" s="77" t="s">
        <v>13</v>
      </c>
      <c r="AL12" s="77" t="s">
        <v>1242</v>
      </c>
      <c r="AM12" s="77" t="s">
        <v>1243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/>
      </c>
    </row>
  </sheetData>
  <mergeCells count="1">
    <mergeCell ref="AJ1:AN1"/>
  </mergeCells>
  <phoneticPr fontId="2" type="noConversion"/>
  <conditionalFormatting sqref="AV4:AV6">
    <cfRule type="expression" dxfId="20911" priority="113">
      <formula>AV4="X"</formula>
    </cfRule>
    <cfRule type="expression" dxfId="20910" priority="114">
      <formula>AV4="후보"</formula>
    </cfRule>
  </conditionalFormatting>
  <conditionalFormatting sqref="AC1:AC2 AC4:AC6 N4:N5">
    <cfRule type="cellIs" dxfId="20909" priority="111" operator="greaterThan">
      <formula>0.9</formula>
    </cfRule>
    <cfRule type="cellIs" dxfId="20908" priority="112" operator="greaterThan">
      <formula>0.85</formula>
    </cfRule>
  </conditionalFormatting>
  <conditionalFormatting sqref="N1:N2">
    <cfRule type="cellIs" dxfId="20907" priority="109" operator="greaterThan">
      <formula>0.9</formula>
    </cfRule>
    <cfRule type="cellIs" dxfId="20906" priority="110" operator="greaterThan">
      <formula>0.85</formula>
    </cfRule>
  </conditionalFormatting>
  <conditionalFormatting sqref="N6">
    <cfRule type="cellIs" dxfId="20905" priority="107" operator="greaterThan">
      <formula>0.9</formula>
    </cfRule>
    <cfRule type="cellIs" dxfId="20904" priority="108" operator="greaterThan">
      <formula>0.85</formula>
    </cfRule>
  </conditionalFormatting>
  <conditionalFormatting sqref="E6">
    <cfRule type="expression" dxfId="20903" priority="103">
      <formula>AND(IF(OR($Q6=1,$Q6=2),1,0),IF($X6&lt;=20,1,0))</formula>
    </cfRule>
    <cfRule type="expression" dxfId="20902" priority="104">
      <formula>AND(IF($Q6=2,1,0),IF($X6&lt;30,1,0))</formula>
    </cfRule>
    <cfRule type="expression" dxfId="20901" priority="105">
      <formula>AND(IF($Q6=3,1,0),IF($X6&lt;30,1,0))</formula>
    </cfRule>
    <cfRule type="expression" dxfId="20900" priority="106">
      <formula>AND(IF($Q6=3,1,IF($Q6=4,1,0)),IF($F6&lt;=85,1,0))</formula>
    </cfRule>
  </conditionalFormatting>
  <conditionalFormatting sqref="X6">
    <cfRule type="expression" dxfId="20899" priority="99">
      <formula>AND(IF(OR($Q6=1,$Q6=2),1,0),IF($X6&lt;=20,1,0))</formula>
    </cfRule>
    <cfRule type="expression" dxfId="20898" priority="100">
      <formula>AND(IF($Q6=2,1,0),IF($X6&lt;30,1,0))</formula>
    </cfRule>
    <cfRule type="expression" dxfId="20897" priority="101">
      <formula>AND(IF($Q6=3,1,0),IF($X6&lt;30,1,0))</formula>
    </cfRule>
    <cfRule type="expression" dxfId="20896" priority="102">
      <formula>AND(IF($Q6=3,1,IF($Q6=4,1,0)),IF($F6&lt;=85,1,0))</formula>
    </cfRule>
  </conditionalFormatting>
  <conditionalFormatting sqref="AI6">
    <cfRule type="expression" dxfId="20895" priority="95">
      <formula>AND(IF(OR($Q6=1,$Q6=2),1,0),IF($X6&lt;=20,1,0))</formula>
    </cfRule>
    <cfRule type="expression" dxfId="20894" priority="96">
      <formula>AND(IF($Q6=2,1,0),IF($X6&lt;30,1,0))</formula>
    </cfRule>
    <cfRule type="expression" dxfId="20893" priority="97">
      <formula>AND(IF($Q6=3,1,0),IF($X6&lt;30,1,0))</formula>
    </cfRule>
    <cfRule type="expression" dxfId="20892" priority="98">
      <formula>AND(IF($Q6=3,1,IF($Q6=4,1,0)),IF($F6&lt;=85,1,0))</formula>
    </cfRule>
  </conditionalFormatting>
  <conditionalFormatting sqref="AV7">
    <cfRule type="expression" dxfId="20891" priority="93">
      <formula>AV7="X"</formula>
    </cfRule>
    <cfRule type="expression" dxfId="20890" priority="94">
      <formula>AV7="후보"</formula>
    </cfRule>
  </conditionalFormatting>
  <conditionalFormatting sqref="AC7">
    <cfRule type="cellIs" dxfId="20889" priority="91" operator="greaterThan">
      <formula>0.9</formula>
    </cfRule>
    <cfRule type="cellIs" dxfId="20888" priority="92" operator="greaterThan">
      <formula>0.85</formula>
    </cfRule>
  </conditionalFormatting>
  <conditionalFormatting sqref="N7">
    <cfRule type="cellIs" dxfId="20887" priority="89" operator="greaterThan">
      <formula>0.9</formula>
    </cfRule>
    <cfRule type="cellIs" dxfId="20886" priority="90" operator="greaterThan">
      <formula>0.85</formula>
    </cfRule>
  </conditionalFormatting>
  <conditionalFormatting sqref="E7">
    <cfRule type="expression" dxfId="20885" priority="85">
      <formula>AND(IF(OR($Q7=1,$Q7=2),1,0),IF($X7&lt;=20,1,0))</formula>
    </cfRule>
    <cfRule type="expression" dxfId="20884" priority="86">
      <formula>AND(IF($Q7=2,1,0),IF($X7&lt;30,1,0))</formula>
    </cfRule>
    <cfRule type="expression" dxfId="20883" priority="87">
      <formula>AND(IF($Q7=3,1,0),IF($X7&lt;30,1,0))</formula>
    </cfRule>
    <cfRule type="expression" dxfId="20882" priority="88">
      <formula>AND(IF($Q7=3,1,IF($Q7=4,1,0)),IF($F7&lt;=85,1,0))</formula>
    </cfRule>
  </conditionalFormatting>
  <conditionalFormatting sqref="X7">
    <cfRule type="expression" dxfId="20881" priority="81">
      <formula>AND(IF(OR($Q7=1,$Q7=2),1,0),IF($X7&lt;=20,1,0))</formula>
    </cfRule>
    <cfRule type="expression" dxfId="20880" priority="82">
      <formula>AND(IF($Q7=2,1,0),IF($X7&lt;30,1,0))</formula>
    </cfRule>
    <cfRule type="expression" dxfId="20879" priority="83">
      <formula>AND(IF($Q7=3,1,0),IF($X7&lt;30,1,0))</formula>
    </cfRule>
    <cfRule type="expression" dxfId="20878" priority="84">
      <formula>AND(IF($Q7=3,1,IF($Q7=4,1,0)),IF($F7&lt;=85,1,0))</formula>
    </cfRule>
  </conditionalFormatting>
  <conditionalFormatting sqref="AI7">
    <cfRule type="expression" dxfId="20877" priority="77">
      <formula>AND(IF(OR($Q7=1,$Q7=2),1,0),IF($X7&lt;=20,1,0))</formula>
    </cfRule>
    <cfRule type="expression" dxfId="20876" priority="78">
      <formula>AND(IF($Q7=2,1,0),IF($X7&lt;30,1,0))</formula>
    </cfRule>
    <cfRule type="expression" dxfId="20875" priority="79">
      <formula>AND(IF($Q7=3,1,0),IF($X7&lt;30,1,0))</formula>
    </cfRule>
    <cfRule type="expression" dxfId="20874" priority="80">
      <formula>AND(IF($Q7=3,1,IF($Q7=4,1,0)),IF($F7&lt;=85,1,0))</formula>
    </cfRule>
  </conditionalFormatting>
  <conditionalFormatting sqref="AV8">
    <cfRule type="expression" dxfId="20873" priority="75">
      <formula>AV8="X"</formula>
    </cfRule>
    <cfRule type="expression" dxfId="20872" priority="76">
      <formula>AV8="후보"</formula>
    </cfRule>
  </conditionalFormatting>
  <conditionalFormatting sqref="AC8">
    <cfRule type="cellIs" dxfId="20871" priority="73" operator="greaterThan">
      <formula>0.9</formula>
    </cfRule>
    <cfRule type="cellIs" dxfId="20870" priority="74" operator="greaterThan">
      <formula>0.85</formula>
    </cfRule>
  </conditionalFormatting>
  <conditionalFormatting sqref="N8">
    <cfRule type="cellIs" dxfId="20869" priority="71" operator="greaterThan">
      <formula>0.9</formula>
    </cfRule>
    <cfRule type="cellIs" dxfId="20868" priority="72" operator="greaterThan">
      <formula>0.85</formula>
    </cfRule>
  </conditionalFormatting>
  <conditionalFormatting sqref="E8">
    <cfRule type="expression" dxfId="20867" priority="67">
      <formula>AND(IF(OR($Q8=1,$Q8=2),1,0),IF($X8&lt;=20,1,0))</formula>
    </cfRule>
    <cfRule type="expression" dxfId="20866" priority="68">
      <formula>AND(IF($Q8=2,1,0),IF($X8&lt;30,1,0))</formula>
    </cfRule>
    <cfRule type="expression" dxfId="20865" priority="69">
      <formula>AND(IF($Q8=3,1,0),IF($X8&lt;30,1,0))</formula>
    </cfRule>
    <cfRule type="expression" dxfId="20864" priority="70">
      <formula>AND(IF($Q8=3,1,IF($Q8=4,1,0)),IF($F8&lt;=85,1,0))</formula>
    </cfRule>
  </conditionalFormatting>
  <conditionalFormatting sqref="X8">
    <cfRule type="expression" dxfId="20863" priority="63">
      <formula>AND(IF(OR($Q8=1,$Q8=2),1,0),IF($X8&lt;=20,1,0))</formula>
    </cfRule>
    <cfRule type="expression" dxfId="20862" priority="64">
      <formula>AND(IF($Q8=2,1,0),IF($X8&lt;30,1,0))</formula>
    </cfRule>
    <cfRule type="expression" dxfId="20861" priority="65">
      <formula>AND(IF($Q8=3,1,0),IF($X8&lt;30,1,0))</formula>
    </cfRule>
    <cfRule type="expression" dxfId="20860" priority="66">
      <formula>AND(IF($Q8=3,1,IF($Q8=4,1,0)),IF($F8&lt;=85,1,0))</formula>
    </cfRule>
  </conditionalFormatting>
  <conditionalFormatting sqref="AI8">
    <cfRule type="expression" dxfId="20859" priority="59">
      <formula>AND(IF(OR($Q8=1,$Q8=2),1,0),IF($X8&lt;=20,1,0))</formula>
    </cfRule>
    <cfRule type="expression" dxfId="20858" priority="60">
      <formula>AND(IF($Q8=2,1,0),IF($X8&lt;30,1,0))</formula>
    </cfRule>
    <cfRule type="expression" dxfId="20857" priority="61">
      <formula>AND(IF($Q8=3,1,0),IF($X8&lt;30,1,0))</formula>
    </cfRule>
    <cfRule type="expression" dxfId="20856" priority="62">
      <formula>AND(IF($Q8=3,1,IF($Q8=4,1,0)),IF($F8&lt;=85,1,0))</formula>
    </cfRule>
  </conditionalFormatting>
  <conditionalFormatting sqref="AV9">
    <cfRule type="expression" dxfId="20855" priority="57">
      <formula>AV9="X"</formula>
    </cfRule>
    <cfRule type="expression" dxfId="20854" priority="58">
      <formula>AV9="후보"</formula>
    </cfRule>
  </conditionalFormatting>
  <conditionalFormatting sqref="AC9 N9">
    <cfRule type="cellIs" dxfId="20853" priority="55" operator="greaterThan">
      <formula>0.9</formula>
    </cfRule>
    <cfRule type="cellIs" dxfId="20852" priority="56" operator="greaterThan">
      <formula>0.85</formula>
    </cfRule>
  </conditionalFormatting>
  <conditionalFormatting sqref="AV10">
    <cfRule type="expression" dxfId="20851" priority="53">
      <formula>AV10="X"</formula>
    </cfRule>
    <cfRule type="expression" dxfId="20850" priority="54">
      <formula>AV10="후보"</formula>
    </cfRule>
  </conditionalFormatting>
  <conditionalFormatting sqref="AC10">
    <cfRule type="cellIs" dxfId="20849" priority="51" operator="greaterThan">
      <formula>0.9</formula>
    </cfRule>
    <cfRule type="cellIs" dxfId="20848" priority="52" operator="greaterThan">
      <formula>0.85</formula>
    </cfRule>
  </conditionalFormatting>
  <conditionalFormatting sqref="N10">
    <cfRule type="cellIs" dxfId="20847" priority="49" operator="greaterThan">
      <formula>0.9</formula>
    </cfRule>
    <cfRule type="cellIs" dxfId="20846" priority="50" operator="greaterThan">
      <formula>0.85</formula>
    </cfRule>
  </conditionalFormatting>
  <conditionalFormatting sqref="E10">
    <cfRule type="expression" dxfId="20845" priority="45">
      <formula>AND(IF(OR($Q10=1,$Q10=2),1,0),IF($X10&lt;=20,1,0))</formula>
    </cfRule>
    <cfRule type="expression" dxfId="20844" priority="46">
      <formula>AND(IF($Q10=2,1,0),IF($X10&lt;30,1,0))</formula>
    </cfRule>
    <cfRule type="expression" dxfId="20843" priority="47">
      <formula>AND(IF($Q10=3,1,0),IF($X10&lt;30,1,0))</formula>
    </cfRule>
    <cfRule type="expression" dxfId="20842" priority="48">
      <formula>AND(IF($Q10=3,1,IF($Q10=4,1,0)),IF($F10&lt;=85,1,0))</formula>
    </cfRule>
  </conditionalFormatting>
  <conditionalFormatting sqref="X10">
    <cfRule type="expression" dxfId="20841" priority="41">
      <formula>AND(IF(OR($Q10=1,$Q10=2),1,0),IF($X10&lt;=20,1,0))</formula>
    </cfRule>
    <cfRule type="expression" dxfId="20840" priority="42">
      <formula>AND(IF($Q10=2,1,0),IF($X10&lt;30,1,0))</formula>
    </cfRule>
    <cfRule type="expression" dxfId="20839" priority="43">
      <formula>AND(IF($Q10=3,1,0),IF($X10&lt;30,1,0))</formula>
    </cfRule>
    <cfRule type="expression" dxfId="20838" priority="44">
      <formula>AND(IF($Q10=3,1,IF($Q10=4,1,0)),IF($F10&lt;=85,1,0))</formula>
    </cfRule>
  </conditionalFormatting>
  <conditionalFormatting sqref="AI10">
    <cfRule type="expression" dxfId="20837" priority="37">
      <formula>AND(IF(OR($Q10=1,$Q10=2),1,0),IF($X10&lt;=20,1,0))</formula>
    </cfRule>
    <cfRule type="expression" dxfId="20836" priority="38">
      <formula>AND(IF($Q10=2,1,0),IF($X10&lt;30,1,0))</formula>
    </cfRule>
    <cfRule type="expression" dxfId="20835" priority="39">
      <formula>AND(IF($Q10=3,1,0),IF($X10&lt;30,1,0))</formula>
    </cfRule>
    <cfRule type="expression" dxfId="20834" priority="40">
      <formula>AND(IF($Q10=3,1,IF($Q10=4,1,0)),IF($F10&lt;=85,1,0))</formula>
    </cfRule>
  </conditionalFormatting>
  <conditionalFormatting sqref="AV11">
    <cfRule type="expression" dxfId="20833" priority="35">
      <formula>AV11="X"</formula>
    </cfRule>
    <cfRule type="expression" dxfId="20832" priority="36">
      <formula>AV11="후보"</formula>
    </cfRule>
  </conditionalFormatting>
  <conditionalFormatting sqref="AC11">
    <cfRule type="cellIs" dxfId="20831" priority="33" operator="greaterThan">
      <formula>0.9</formula>
    </cfRule>
    <cfRule type="cellIs" dxfId="20830" priority="34" operator="greaterThan">
      <formula>0.85</formula>
    </cfRule>
  </conditionalFormatting>
  <conditionalFormatting sqref="N11">
    <cfRule type="cellIs" dxfId="20829" priority="31" operator="greaterThan">
      <formula>0.9</formula>
    </cfRule>
    <cfRule type="cellIs" dxfId="20828" priority="32" operator="greaterThan">
      <formula>0.85</formula>
    </cfRule>
  </conditionalFormatting>
  <conditionalFormatting sqref="E11">
    <cfRule type="expression" dxfId="20827" priority="27">
      <formula>AND(IF(OR($Q11=1,$Q11=2),1,0),IF($X11&lt;=20,1,0))</formula>
    </cfRule>
    <cfRule type="expression" dxfId="20826" priority="28">
      <formula>AND(IF($Q11=2,1,0),IF($X11&lt;30,1,0))</formula>
    </cfRule>
    <cfRule type="expression" dxfId="20825" priority="29">
      <formula>AND(IF($Q11=3,1,0),IF($X11&lt;30,1,0))</formula>
    </cfRule>
    <cfRule type="expression" dxfId="20824" priority="30">
      <formula>AND(IF($Q11=3,1,IF($Q11=4,1,0)),IF($F11&lt;=85,1,0))</formula>
    </cfRule>
  </conditionalFormatting>
  <conditionalFormatting sqref="X11">
    <cfRule type="expression" dxfId="20823" priority="23">
      <formula>AND(IF(OR($Q11=1,$Q11=2),1,0),IF($X11&lt;=20,1,0))</formula>
    </cfRule>
    <cfRule type="expression" dxfId="20822" priority="24">
      <formula>AND(IF($Q11=2,1,0),IF($X11&lt;30,1,0))</formula>
    </cfRule>
    <cfRule type="expression" dxfId="20821" priority="25">
      <formula>AND(IF($Q11=3,1,0),IF($X11&lt;30,1,0))</formula>
    </cfRule>
    <cfRule type="expression" dxfId="20820" priority="26">
      <formula>AND(IF($Q11=3,1,IF($Q11=4,1,0)),IF($F11&lt;=85,1,0))</formula>
    </cfRule>
  </conditionalFormatting>
  <conditionalFormatting sqref="AI11">
    <cfRule type="expression" dxfId="20819" priority="19">
      <formula>AND(IF(OR($Q11=1,$Q11=2),1,0),IF($X11&lt;=20,1,0))</formula>
    </cfRule>
    <cfRule type="expression" dxfId="20818" priority="20">
      <formula>AND(IF($Q11=2,1,0),IF($X11&lt;30,1,0))</formula>
    </cfRule>
    <cfRule type="expression" dxfId="20817" priority="21">
      <formula>AND(IF($Q11=3,1,0),IF($X11&lt;30,1,0))</formula>
    </cfRule>
    <cfRule type="expression" dxfId="20816" priority="22">
      <formula>AND(IF($Q11=3,1,IF($Q11=4,1,0)),IF($F11&lt;=85,1,0))</formula>
    </cfRule>
  </conditionalFormatting>
  <conditionalFormatting sqref="AV12">
    <cfRule type="expression" dxfId="20815" priority="17">
      <formula>AV12="X"</formula>
    </cfRule>
    <cfRule type="expression" dxfId="20814" priority="18">
      <formula>AV12="후보"</formula>
    </cfRule>
  </conditionalFormatting>
  <conditionalFormatting sqref="AC12">
    <cfRule type="cellIs" dxfId="20813" priority="15" operator="greaterThan">
      <formula>0.9</formula>
    </cfRule>
    <cfRule type="cellIs" dxfId="20812" priority="16" operator="greaterThan">
      <formula>0.85</formula>
    </cfRule>
  </conditionalFormatting>
  <conditionalFormatting sqref="N12">
    <cfRule type="cellIs" dxfId="20811" priority="13" operator="greaterThan">
      <formula>0.9</formula>
    </cfRule>
    <cfRule type="cellIs" dxfId="20810" priority="14" operator="greaterThan">
      <formula>0.85</formula>
    </cfRule>
  </conditionalFormatting>
  <conditionalFormatting sqref="E12">
    <cfRule type="expression" dxfId="20809" priority="9">
      <formula>AND(IF(OR($Q12=1,$Q12=2),1,0),IF($X12&lt;=20,1,0))</formula>
    </cfRule>
    <cfRule type="expression" dxfId="20808" priority="10">
      <formula>AND(IF($Q12=2,1,0),IF($X12&lt;30,1,0))</formula>
    </cfRule>
    <cfRule type="expression" dxfId="20807" priority="11">
      <formula>AND(IF($Q12=3,1,0),IF($X12&lt;30,1,0))</formula>
    </cfRule>
    <cfRule type="expression" dxfId="20806" priority="12">
      <formula>AND(IF($Q12=3,1,IF($Q12=4,1,0)),IF($F12&lt;=85,1,0))</formula>
    </cfRule>
  </conditionalFormatting>
  <conditionalFormatting sqref="X12">
    <cfRule type="expression" dxfId="20805" priority="5">
      <formula>AND(IF(OR($Q12=1,$Q12=2),1,0),IF($X12&lt;=20,1,0))</formula>
    </cfRule>
    <cfRule type="expression" dxfId="20804" priority="6">
      <formula>AND(IF($Q12=2,1,0),IF($X12&lt;30,1,0))</formula>
    </cfRule>
    <cfRule type="expression" dxfId="20803" priority="7">
      <formula>AND(IF($Q12=3,1,0),IF($X12&lt;30,1,0))</formula>
    </cfRule>
    <cfRule type="expression" dxfId="20802" priority="8">
      <formula>AND(IF($Q12=3,1,IF($Q12=4,1,0)),IF($F12&lt;=85,1,0))</formula>
    </cfRule>
  </conditionalFormatting>
  <conditionalFormatting sqref="AI12">
    <cfRule type="expression" dxfId="20801" priority="1">
      <formula>AND(IF(OR($Q12=1,$Q12=2),1,0),IF($X12&lt;=20,1,0))</formula>
    </cfRule>
    <cfRule type="expression" dxfId="20800" priority="2">
      <formula>AND(IF($Q12=2,1,0),IF($X12&lt;30,1,0))</formula>
    </cfRule>
    <cfRule type="expression" dxfId="20799" priority="3">
      <formula>AND(IF($Q12=3,1,0),IF($X12&lt;30,1,0))</formula>
    </cfRule>
    <cfRule type="expression" dxfId="20798" priority="4">
      <formula>AND(IF($Q12=3,1,IF($Q12=4,1,0)),IF($F12&lt;=85,1,0))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동흥남동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586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동흥남동 군산동흥남주공('06.02.,318^)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582</v>
      </c>
      <c r="B6" s="10" t="s">
        <v>1292</v>
      </c>
      <c r="C6" s="107">
        <v>318</v>
      </c>
      <c r="D6" s="104">
        <v>94.9</v>
      </c>
      <c r="E6" s="106">
        <v>29</v>
      </c>
      <c r="F6" s="104">
        <v>75.3</v>
      </c>
      <c r="G6" s="17">
        <v>23</v>
      </c>
      <c r="H6" s="107">
        <v>90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7">
        <v>3</v>
      </c>
      <c r="R6" s="77">
        <v>2</v>
      </c>
      <c r="S6" s="77" t="s">
        <v>1244</v>
      </c>
      <c r="T6" s="5">
        <v>94</v>
      </c>
      <c r="U6" s="9"/>
      <c r="W6" s="104">
        <f t="shared" ref="W6:X8" si="1">D6</f>
        <v>94.9</v>
      </c>
      <c r="X6" s="106">
        <f t="shared" si="1"/>
        <v>29</v>
      </c>
      <c r="Y6" s="102">
        <f t="shared" ref="Y6:Z8" si="2">H6</f>
        <v>90</v>
      </c>
      <c r="Z6" s="109">
        <f t="shared" si="2"/>
        <v>0</v>
      </c>
      <c r="AA6" s="109">
        <f>K6</f>
        <v>0</v>
      </c>
      <c r="AB6" s="109">
        <f t="shared" ref="AB6:AD8" si="3">M6</f>
        <v>0</v>
      </c>
      <c r="AC6" s="4" t="str">
        <f t="shared" si="3"/>
        <v/>
      </c>
      <c r="AD6" s="105">
        <f t="shared" si="3"/>
        <v>0</v>
      </c>
      <c r="AE6" s="77" t="str">
        <f>S6</f>
        <v>계</v>
      </c>
      <c r="AF6" s="77" t="str">
        <f>Q6&amp;"/"&amp;R6</f>
        <v>3/2</v>
      </c>
      <c r="AH6" s="20" t="str">
        <f>IF(A6="","",A6)</f>
        <v>군산동흥남주공</v>
      </c>
      <c r="AI6" s="106">
        <f t="shared" si="0"/>
        <v>29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582</v>
      </c>
      <c r="B7" s="10" t="s">
        <v>1292</v>
      </c>
      <c r="C7" s="107">
        <v>318</v>
      </c>
      <c r="D7" s="104">
        <v>107</v>
      </c>
      <c r="E7" s="106">
        <v>32</v>
      </c>
      <c r="F7" s="104">
        <v>84.9</v>
      </c>
      <c r="G7" s="17">
        <v>26</v>
      </c>
      <c r="H7" s="107">
        <v>99</v>
      </c>
      <c r="I7" s="108">
        <v>23000</v>
      </c>
      <c r="J7" s="108" t="s">
        <v>1250</v>
      </c>
      <c r="K7" s="108"/>
      <c r="L7" s="108"/>
      <c r="M7" s="109">
        <f>I7-K7</f>
        <v>23000</v>
      </c>
      <c r="N7" s="4">
        <f>IF(ISERROR(K7/I7),"",K7/I7)</f>
        <v>0</v>
      </c>
      <c r="O7" s="105">
        <f>I7/E7</f>
        <v>718.75</v>
      </c>
      <c r="P7" s="105">
        <f>K7/E7</f>
        <v>0</v>
      </c>
      <c r="Q7" s="77">
        <v>3</v>
      </c>
      <c r="R7" s="77">
        <v>2</v>
      </c>
      <c r="S7" s="77" t="s">
        <v>1244</v>
      </c>
      <c r="T7" s="5" t="s">
        <v>135</v>
      </c>
      <c r="U7" s="9"/>
      <c r="W7" s="104">
        <f t="shared" si="1"/>
        <v>107</v>
      </c>
      <c r="X7" s="106">
        <f t="shared" si="1"/>
        <v>32</v>
      </c>
      <c r="Y7" s="102">
        <f t="shared" si="2"/>
        <v>99</v>
      </c>
      <c r="Z7" s="109">
        <f t="shared" si="2"/>
        <v>23000</v>
      </c>
      <c r="AA7" s="109">
        <f>K7</f>
        <v>0</v>
      </c>
      <c r="AB7" s="109">
        <f t="shared" si="3"/>
        <v>23000</v>
      </c>
      <c r="AC7" s="4">
        <f t="shared" si="3"/>
        <v>0</v>
      </c>
      <c r="AD7" s="105">
        <f t="shared" si="3"/>
        <v>718.75</v>
      </c>
      <c r="AE7" s="77" t="str">
        <f>S7</f>
        <v>계</v>
      </c>
      <c r="AF7" s="77" t="str">
        <f>Q7&amp;"/"&amp;R7</f>
        <v>3/2</v>
      </c>
      <c r="AH7" s="20" t="str">
        <f>IF(A7="","",A7)</f>
        <v>군산동흥남주공</v>
      </c>
      <c r="AI7" s="106">
        <f t="shared" si="0"/>
        <v>32</v>
      </c>
      <c r="AJ7" s="77" t="str">
        <f>IF(AI7="","",$AJ$2)</f>
        <v>A-</v>
      </c>
      <c r="AK7" s="77" t="s">
        <v>13</v>
      </c>
      <c r="AL7" s="77" t="s">
        <v>1242</v>
      </c>
      <c r="AM7" s="77" t="s">
        <v>1243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582</v>
      </c>
      <c r="B8" s="10" t="s">
        <v>1292</v>
      </c>
      <c r="C8" s="107">
        <v>318</v>
      </c>
      <c r="D8" s="104">
        <v>107.1</v>
      </c>
      <c r="E8" s="106">
        <v>32</v>
      </c>
      <c r="F8" s="104">
        <v>85</v>
      </c>
      <c r="G8" s="17">
        <v>26</v>
      </c>
      <c r="H8" s="107">
        <v>129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7">
        <v>3</v>
      </c>
      <c r="R8" s="77">
        <v>2</v>
      </c>
      <c r="S8" s="77" t="s">
        <v>1244</v>
      </c>
      <c r="T8" s="5" t="s">
        <v>588</v>
      </c>
      <c r="U8" s="9"/>
      <c r="W8" s="104">
        <f t="shared" si="1"/>
        <v>107.1</v>
      </c>
      <c r="X8" s="106">
        <f t="shared" si="1"/>
        <v>32</v>
      </c>
      <c r="Y8" s="102">
        <f t="shared" si="2"/>
        <v>129</v>
      </c>
      <c r="Z8" s="109">
        <f t="shared" si="2"/>
        <v>0</v>
      </c>
      <c r="AA8" s="109">
        <f>K8</f>
        <v>0</v>
      </c>
      <c r="AB8" s="109">
        <f t="shared" si="3"/>
        <v>0</v>
      </c>
      <c r="AC8" s="4" t="str">
        <f t="shared" si="3"/>
        <v/>
      </c>
      <c r="AD8" s="105">
        <f t="shared" si="3"/>
        <v>0</v>
      </c>
      <c r="AE8" s="77" t="str">
        <f>S8</f>
        <v>계</v>
      </c>
      <c r="AF8" s="77" t="str">
        <f>Q8&amp;"/"&amp;R8</f>
        <v>3/2</v>
      </c>
      <c r="AH8" s="20" t="str">
        <f>IF(A8="","",A8)</f>
        <v>군산동흥남주공</v>
      </c>
      <c r="AI8" s="106">
        <f t="shared" si="0"/>
        <v>32</v>
      </c>
      <c r="AJ8" s="77" t="str">
        <f>IF(AI8="","",$AJ$2)</f>
        <v>A-</v>
      </c>
      <c r="AK8" s="77" t="s">
        <v>13</v>
      </c>
      <c r="AL8" s="77" t="s">
        <v>1242</v>
      </c>
      <c r="AM8" s="77" t="s">
        <v>1243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</sheetData>
  <mergeCells count="1">
    <mergeCell ref="AJ1:AN1"/>
  </mergeCells>
  <phoneticPr fontId="2" type="noConversion"/>
  <conditionalFormatting sqref="AV4:AV6">
    <cfRule type="expression" dxfId="20797" priority="55">
      <formula>AV4="X"</formula>
    </cfRule>
    <cfRule type="expression" dxfId="20796" priority="56">
      <formula>AV4="후보"</formula>
    </cfRule>
  </conditionalFormatting>
  <conditionalFormatting sqref="AC1:AC2 AC4:AC6 N4:N5">
    <cfRule type="cellIs" dxfId="20795" priority="53" operator="greaterThan">
      <formula>0.9</formula>
    </cfRule>
    <cfRule type="cellIs" dxfId="20794" priority="54" operator="greaterThan">
      <formula>0.85</formula>
    </cfRule>
  </conditionalFormatting>
  <conditionalFormatting sqref="N1:N2">
    <cfRule type="cellIs" dxfId="20793" priority="51" operator="greaterThan">
      <formula>0.9</formula>
    </cfRule>
    <cfRule type="cellIs" dxfId="20792" priority="52" operator="greaterThan">
      <formula>0.85</formula>
    </cfRule>
  </conditionalFormatting>
  <conditionalFormatting sqref="N6">
    <cfRule type="cellIs" dxfId="20791" priority="49" operator="greaterThan">
      <formula>0.9</formula>
    </cfRule>
    <cfRule type="cellIs" dxfId="20790" priority="50" operator="greaterThan">
      <formula>0.85</formula>
    </cfRule>
  </conditionalFormatting>
  <conditionalFormatting sqref="E6">
    <cfRule type="expression" dxfId="20789" priority="45">
      <formula>AND(IF(OR($Q6=1,$Q6=2),1,0),IF($X6&lt;=20,1,0))</formula>
    </cfRule>
    <cfRule type="expression" dxfId="20788" priority="46">
      <formula>AND(IF($Q6=2,1,0),IF($X6&lt;30,1,0))</formula>
    </cfRule>
    <cfRule type="expression" dxfId="20787" priority="47">
      <formula>AND(IF($Q6=3,1,0),IF($X6&lt;30,1,0))</formula>
    </cfRule>
    <cfRule type="expression" dxfId="20786" priority="48">
      <formula>AND(IF($Q6=3,1,IF($Q6=4,1,0)),IF($F6&lt;=85,1,0))</formula>
    </cfRule>
  </conditionalFormatting>
  <conditionalFormatting sqref="X6">
    <cfRule type="expression" dxfId="20785" priority="41">
      <formula>AND(IF(OR($Q6=1,$Q6=2),1,0),IF($X6&lt;=20,1,0))</formula>
    </cfRule>
    <cfRule type="expression" dxfId="20784" priority="42">
      <formula>AND(IF($Q6=2,1,0),IF($X6&lt;30,1,0))</formula>
    </cfRule>
    <cfRule type="expression" dxfId="20783" priority="43">
      <formula>AND(IF($Q6=3,1,0),IF($X6&lt;30,1,0))</formula>
    </cfRule>
    <cfRule type="expression" dxfId="20782" priority="44">
      <formula>AND(IF($Q6=3,1,IF($Q6=4,1,0)),IF($F6&lt;=85,1,0))</formula>
    </cfRule>
  </conditionalFormatting>
  <conditionalFormatting sqref="AI6">
    <cfRule type="expression" dxfId="20781" priority="37">
      <formula>AND(IF(OR($Q6=1,$Q6=2),1,0),IF($X6&lt;=20,1,0))</formula>
    </cfRule>
    <cfRule type="expression" dxfId="20780" priority="38">
      <formula>AND(IF($Q6=2,1,0),IF($X6&lt;30,1,0))</formula>
    </cfRule>
    <cfRule type="expression" dxfId="20779" priority="39">
      <formula>AND(IF($Q6=3,1,0),IF($X6&lt;30,1,0))</formula>
    </cfRule>
    <cfRule type="expression" dxfId="20778" priority="40">
      <formula>AND(IF($Q6=3,1,IF($Q6=4,1,0)),IF($F6&lt;=85,1,0))</formula>
    </cfRule>
  </conditionalFormatting>
  <conditionalFormatting sqref="AV7">
    <cfRule type="expression" dxfId="20777" priority="35">
      <formula>AV7="X"</formula>
    </cfRule>
    <cfRule type="expression" dxfId="20776" priority="36">
      <formula>AV7="후보"</formula>
    </cfRule>
  </conditionalFormatting>
  <conditionalFormatting sqref="AC7">
    <cfRule type="cellIs" dxfId="20775" priority="33" operator="greaterThan">
      <formula>0.9</formula>
    </cfRule>
    <cfRule type="cellIs" dxfId="20774" priority="34" operator="greaterThan">
      <formula>0.85</formula>
    </cfRule>
  </conditionalFormatting>
  <conditionalFormatting sqref="N7">
    <cfRule type="cellIs" dxfId="20773" priority="31" operator="greaterThan">
      <formula>0.9</formula>
    </cfRule>
    <cfRule type="cellIs" dxfId="20772" priority="32" operator="greaterThan">
      <formula>0.85</formula>
    </cfRule>
  </conditionalFormatting>
  <conditionalFormatting sqref="E7">
    <cfRule type="expression" dxfId="20771" priority="27">
      <formula>AND(IF(OR($Q7=1,$Q7=2),1,0),IF($X7&lt;=20,1,0))</formula>
    </cfRule>
    <cfRule type="expression" dxfId="20770" priority="28">
      <formula>AND(IF($Q7=2,1,0),IF($X7&lt;30,1,0))</formula>
    </cfRule>
    <cfRule type="expression" dxfId="20769" priority="29">
      <formula>AND(IF($Q7=3,1,0),IF($X7&lt;30,1,0))</formula>
    </cfRule>
    <cfRule type="expression" dxfId="20768" priority="30">
      <formula>AND(IF($Q7=3,1,IF($Q7=4,1,0)),IF($F7&lt;=85,1,0))</formula>
    </cfRule>
  </conditionalFormatting>
  <conditionalFormatting sqref="X7">
    <cfRule type="expression" dxfId="20767" priority="23">
      <formula>AND(IF(OR($Q7=1,$Q7=2),1,0),IF($X7&lt;=20,1,0))</formula>
    </cfRule>
    <cfRule type="expression" dxfId="20766" priority="24">
      <formula>AND(IF($Q7=2,1,0),IF($X7&lt;30,1,0))</formula>
    </cfRule>
    <cfRule type="expression" dxfId="20765" priority="25">
      <formula>AND(IF($Q7=3,1,0),IF($X7&lt;30,1,0))</formula>
    </cfRule>
    <cfRule type="expression" dxfId="20764" priority="26">
      <formula>AND(IF($Q7=3,1,IF($Q7=4,1,0)),IF($F7&lt;=85,1,0))</formula>
    </cfRule>
  </conditionalFormatting>
  <conditionalFormatting sqref="AI7">
    <cfRule type="expression" dxfId="20763" priority="19">
      <formula>AND(IF(OR($Q7=1,$Q7=2),1,0),IF($X7&lt;=20,1,0))</formula>
    </cfRule>
    <cfRule type="expression" dxfId="20762" priority="20">
      <formula>AND(IF($Q7=2,1,0),IF($X7&lt;30,1,0))</formula>
    </cfRule>
    <cfRule type="expression" dxfId="20761" priority="21">
      <formula>AND(IF($Q7=3,1,0),IF($X7&lt;30,1,0))</formula>
    </cfRule>
    <cfRule type="expression" dxfId="20760" priority="22">
      <formula>AND(IF($Q7=3,1,IF($Q7=4,1,0)),IF($F7&lt;=85,1,0))</formula>
    </cfRule>
  </conditionalFormatting>
  <conditionalFormatting sqref="AV8">
    <cfRule type="expression" dxfId="20759" priority="17">
      <formula>AV8="X"</formula>
    </cfRule>
    <cfRule type="expression" dxfId="20758" priority="18">
      <formula>AV8="후보"</formula>
    </cfRule>
  </conditionalFormatting>
  <conditionalFormatting sqref="AC8">
    <cfRule type="cellIs" dxfId="20757" priority="15" operator="greaterThan">
      <formula>0.9</formula>
    </cfRule>
    <cfRule type="cellIs" dxfId="20756" priority="16" operator="greaterThan">
      <formula>0.85</formula>
    </cfRule>
  </conditionalFormatting>
  <conditionalFormatting sqref="N8">
    <cfRule type="cellIs" dxfId="20755" priority="13" operator="greaterThan">
      <formula>0.9</formula>
    </cfRule>
    <cfRule type="cellIs" dxfId="20754" priority="14" operator="greaterThan">
      <formula>0.85</formula>
    </cfRule>
  </conditionalFormatting>
  <conditionalFormatting sqref="E8">
    <cfRule type="expression" dxfId="20753" priority="9">
      <formula>AND(IF(OR($Q8=1,$Q8=2),1,0),IF($X8&lt;=20,1,0))</formula>
    </cfRule>
    <cfRule type="expression" dxfId="20752" priority="10">
      <formula>AND(IF($Q8=2,1,0),IF($X8&lt;30,1,0))</formula>
    </cfRule>
    <cfRule type="expression" dxfId="20751" priority="11">
      <formula>AND(IF($Q8=3,1,0),IF($X8&lt;30,1,0))</formula>
    </cfRule>
    <cfRule type="expression" dxfId="20750" priority="12">
      <formula>AND(IF($Q8=3,1,IF($Q8=4,1,0)),IF($F8&lt;=85,1,0))</formula>
    </cfRule>
  </conditionalFormatting>
  <conditionalFormatting sqref="X8">
    <cfRule type="expression" dxfId="20749" priority="5">
      <formula>AND(IF(OR($Q8=1,$Q8=2),1,0),IF($X8&lt;=20,1,0))</formula>
    </cfRule>
    <cfRule type="expression" dxfId="20748" priority="6">
      <formula>AND(IF($Q8=2,1,0),IF($X8&lt;30,1,0))</formula>
    </cfRule>
    <cfRule type="expression" dxfId="20747" priority="7">
      <formula>AND(IF($Q8=3,1,0),IF($X8&lt;30,1,0))</formula>
    </cfRule>
    <cfRule type="expression" dxfId="20746" priority="8">
      <formula>AND(IF($Q8=3,1,IF($Q8=4,1,0)),IF($F8&lt;=85,1,0))</formula>
    </cfRule>
  </conditionalFormatting>
  <conditionalFormatting sqref="AI8">
    <cfRule type="expression" dxfId="20745" priority="1">
      <formula>AND(IF(OR($Q8=1,$Q8=2),1,0),IF($X8&lt;=20,1,0))</formula>
    </cfRule>
    <cfRule type="expression" dxfId="20744" priority="2">
      <formula>AND(IF($Q8=2,1,0),IF($X8&lt;30,1,0))</formula>
    </cfRule>
    <cfRule type="expression" dxfId="20743" priority="3">
      <formula>AND(IF($Q8=3,1,0),IF($X8&lt;30,1,0))</formula>
    </cfRule>
    <cfRule type="expression" dxfId="20742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문화동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600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문화동 삼성('92.08.,716^)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148</v>
      </c>
      <c r="B6" s="10" t="s">
        <v>1270</v>
      </c>
      <c r="C6" s="107">
        <v>716</v>
      </c>
      <c r="D6" s="104">
        <v>79.7</v>
      </c>
      <c r="E6" s="106">
        <v>24</v>
      </c>
      <c r="F6" s="104">
        <v>65.2</v>
      </c>
      <c r="G6" s="17">
        <v>20</v>
      </c>
      <c r="H6" s="107">
        <v>56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7">
        <v>3</v>
      </c>
      <c r="R6" s="77">
        <v>1</v>
      </c>
      <c r="S6" s="77" t="s">
        <v>1244</v>
      </c>
      <c r="T6" s="5">
        <v>79</v>
      </c>
      <c r="U6" s="9"/>
      <c r="W6" s="104">
        <f t="shared" ref="W6:X8" si="1">D6</f>
        <v>79.7</v>
      </c>
      <c r="X6" s="106">
        <f t="shared" si="1"/>
        <v>24</v>
      </c>
      <c r="Y6" s="102">
        <f t="shared" ref="Y6:Z8" si="2">H6</f>
        <v>56</v>
      </c>
      <c r="Z6" s="109">
        <f t="shared" si="2"/>
        <v>0</v>
      </c>
      <c r="AA6" s="109">
        <f>K6</f>
        <v>0</v>
      </c>
      <c r="AB6" s="109">
        <f t="shared" ref="AB6:AD8" si="3">M6</f>
        <v>0</v>
      </c>
      <c r="AC6" s="4" t="str">
        <f t="shared" si="3"/>
        <v/>
      </c>
      <c r="AD6" s="105">
        <f t="shared" si="3"/>
        <v>0</v>
      </c>
      <c r="AE6" s="77" t="str">
        <f>S6</f>
        <v>계</v>
      </c>
      <c r="AF6" s="77" t="str">
        <f>Q6&amp;"/"&amp;R6</f>
        <v>3/1</v>
      </c>
      <c r="AH6" s="20" t="str">
        <f>IF(A6="","",A6)</f>
        <v>삼성</v>
      </c>
      <c r="AI6" s="106">
        <f t="shared" si="0"/>
        <v>24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148</v>
      </c>
      <c r="B7" s="10" t="s">
        <v>1270</v>
      </c>
      <c r="C7" s="107">
        <v>716</v>
      </c>
      <c r="D7" s="104">
        <v>93.1</v>
      </c>
      <c r="E7" s="106">
        <v>28</v>
      </c>
      <c r="F7" s="104">
        <v>76</v>
      </c>
      <c r="G7" s="17">
        <v>23</v>
      </c>
      <c r="H7" s="107">
        <v>198</v>
      </c>
      <c r="I7" s="108">
        <v>12800</v>
      </c>
      <c r="J7" s="108" t="s">
        <v>1251</v>
      </c>
      <c r="K7" s="108"/>
      <c r="L7" s="108"/>
      <c r="M7" s="109">
        <f>I7-K7</f>
        <v>12800</v>
      </c>
      <c r="N7" s="4">
        <f>IF(ISERROR(K7/I7),"",K7/I7)</f>
        <v>0</v>
      </c>
      <c r="O7" s="105">
        <f>I7/E7</f>
        <v>457.14285714285717</v>
      </c>
      <c r="P7" s="105">
        <f>K7/E7</f>
        <v>0</v>
      </c>
      <c r="Q7" s="77">
        <v>3</v>
      </c>
      <c r="R7" s="77">
        <v>1</v>
      </c>
      <c r="S7" s="77" t="s">
        <v>1244</v>
      </c>
      <c r="T7" s="5">
        <v>93</v>
      </c>
      <c r="U7" s="9"/>
      <c r="W7" s="104">
        <f t="shared" si="1"/>
        <v>93.1</v>
      </c>
      <c r="X7" s="106">
        <f t="shared" si="1"/>
        <v>28</v>
      </c>
      <c r="Y7" s="102">
        <f t="shared" si="2"/>
        <v>198</v>
      </c>
      <c r="Z7" s="109">
        <f t="shared" si="2"/>
        <v>12800</v>
      </c>
      <c r="AA7" s="109">
        <f>K7</f>
        <v>0</v>
      </c>
      <c r="AB7" s="109">
        <f t="shared" si="3"/>
        <v>12800</v>
      </c>
      <c r="AC7" s="4">
        <f t="shared" si="3"/>
        <v>0</v>
      </c>
      <c r="AD7" s="105">
        <f t="shared" si="3"/>
        <v>457.14285714285717</v>
      </c>
      <c r="AE7" s="77" t="str">
        <f>S7</f>
        <v>계</v>
      </c>
      <c r="AF7" s="77" t="str">
        <f>Q7&amp;"/"&amp;R7</f>
        <v>3/1</v>
      </c>
      <c r="AH7" s="20" t="str">
        <f>IF(A7="","",A7)</f>
        <v>삼성</v>
      </c>
      <c r="AI7" s="106">
        <f t="shared" si="0"/>
        <v>28</v>
      </c>
      <c r="AJ7" s="77" t="str">
        <f>IF(AI7="","",$AJ$2)</f>
        <v>A-</v>
      </c>
      <c r="AK7" s="77" t="s">
        <v>13</v>
      </c>
      <c r="AL7" s="77" t="s">
        <v>1242</v>
      </c>
      <c r="AM7" s="77" t="s">
        <v>1243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148</v>
      </c>
      <c r="B8" s="10" t="s">
        <v>1270</v>
      </c>
      <c r="C8" s="107">
        <v>716</v>
      </c>
      <c r="D8" s="104">
        <v>104</v>
      </c>
      <c r="E8" s="106">
        <v>31</v>
      </c>
      <c r="F8" s="104">
        <v>84.9</v>
      </c>
      <c r="G8" s="17">
        <v>26</v>
      </c>
      <c r="H8" s="107">
        <v>462</v>
      </c>
      <c r="I8" s="108">
        <v>13500</v>
      </c>
      <c r="J8" s="108" t="s">
        <v>1251</v>
      </c>
      <c r="K8" s="108">
        <v>14000</v>
      </c>
      <c r="L8" s="108" t="s">
        <v>1280</v>
      </c>
      <c r="M8" s="109">
        <f>I8-K8</f>
        <v>-500</v>
      </c>
      <c r="N8" s="4">
        <f>IF(ISERROR(K8/I8),"",K8/I8)</f>
        <v>1.037037037037037</v>
      </c>
      <c r="O8" s="105">
        <f>I8/E8</f>
        <v>435.48387096774195</v>
      </c>
      <c r="P8" s="105">
        <f>K8/E8</f>
        <v>451.61290322580646</v>
      </c>
      <c r="Q8" s="77">
        <v>3</v>
      </c>
      <c r="R8" s="77">
        <v>2</v>
      </c>
      <c r="S8" s="77" t="s">
        <v>1244</v>
      </c>
      <c r="T8" s="5">
        <v>104</v>
      </c>
      <c r="U8" s="9"/>
      <c r="W8" s="104">
        <f t="shared" si="1"/>
        <v>104</v>
      </c>
      <c r="X8" s="106">
        <f t="shared" si="1"/>
        <v>31</v>
      </c>
      <c r="Y8" s="102">
        <f t="shared" si="2"/>
        <v>462</v>
      </c>
      <c r="Z8" s="109">
        <f t="shared" si="2"/>
        <v>13500</v>
      </c>
      <c r="AA8" s="109">
        <f>K8</f>
        <v>14000</v>
      </c>
      <c r="AB8" s="109">
        <f t="shared" si="3"/>
        <v>-500</v>
      </c>
      <c r="AC8" s="4">
        <f t="shared" si="3"/>
        <v>1.037037037037037</v>
      </c>
      <c r="AD8" s="105">
        <f t="shared" si="3"/>
        <v>435.48387096774195</v>
      </c>
      <c r="AE8" s="77" t="str">
        <f>S8</f>
        <v>계</v>
      </c>
      <c r="AF8" s="77" t="str">
        <f>Q8&amp;"/"&amp;R8</f>
        <v>3/2</v>
      </c>
      <c r="AH8" s="20" t="str">
        <f>IF(A8="","",A8)</f>
        <v>삼성</v>
      </c>
      <c r="AI8" s="106">
        <f t="shared" si="0"/>
        <v>31</v>
      </c>
      <c r="AJ8" s="77" t="str">
        <f>IF(AI8="","",$AJ$2)</f>
        <v>A-</v>
      </c>
      <c r="AK8" s="77" t="s">
        <v>13</v>
      </c>
      <c r="AL8" s="77" t="s">
        <v>1242</v>
      </c>
      <c r="AM8" s="77" t="s">
        <v>1243</v>
      </c>
      <c r="AN8" s="77" t="str">
        <f>IF(AI8="","",$AN$2)</f>
        <v>C</v>
      </c>
      <c r="AO8" s="77" t="str">
        <f>IF(N8="","",IF(N8&gt;=$AO$1/100,"O","X"))</f>
        <v>O</v>
      </c>
      <c r="AP8" s="77" t="str">
        <f>IF(I8="","",IF(I8&lt;=$AP$1,"O","X"))</f>
        <v>O</v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20741" priority="55">
      <formula>AV4="X"</formula>
    </cfRule>
    <cfRule type="expression" dxfId="20740" priority="56">
      <formula>AV4="후보"</formula>
    </cfRule>
  </conditionalFormatting>
  <conditionalFormatting sqref="AC1:AC2 AC4:AC6 N4:N5">
    <cfRule type="cellIs" dxfId="20739" priority="53" operator="greaterThan">
      <formula>0.9</formula>
    </cfRule>
    <cfRule type="cellIs" dxfId="20738" priority="54" operator="greaterThan">
      <formula>0.85</formula>
    </cfRule>
  </conditionalFormatting>
  <conditionalFormatting sqref="N1:N2">
    <cfRule type="cellIs" dxfId="20737" priority="51" operator="greaterThan">
      <formula>0.9</formula>
    </cfRule>
    <cfRule type="cellIs" dxfId="20736" priority="52" operator="greaterThan">
      <formula>0.85</formula>
    </cfRule>
  </conditionalFormatting>
  <conditionalFormatting sqref="N6">
    <cfRule type="cellIs" dxfId="20735" priority="49" operator="greaterThan">
      <formula>0.9</formula>
    </cfRule>
    <cfRule type="cellIs" dxfId="20734" priority="50" operator="greaterThan">
      <formula>0.85</formula>
    </cfRule>
  </conditionalFormatting>
  <conditionalFormatting sqref="E6">
    <cfRule type="expression" dxfId="20733" priority="45">
      <formula>AND(IF(OR($Q6=1,$Q6=2),1,0),IF($X6&lt;=20,1,0))</formula>
    </cfRule>
    <cfRule type="expression" dxfId="20732" priority="46">
      <formula>AND(IF($Q6=2,1,0),IF($X6&lt;30,1,0))</formula>
    </cfRule>
    <cfRule type="expression" dxfId="20731" priority="47">
      <formula>AND(IF($Q6=3,1,0),IF($X6&lt;30,1,0))</formula>
    </cfRule>
    <cfRule type="expression" dxfId="20730" priority="48">
      <formula>AND(IF($Q6=3,1,IF($Q6=4,1,0)),IF($F6&lt;=85,1,0))</formula>
    </cfRule>
  </conditionalFormatting>
  <conditionalFormatting sqref="X6">
    <cfRule type="expression" dxfId="20729" priority="41">
      <formula>AND(IF(OR($Q6=1,$Q6=2),1,0),IF($X6&lt;=20,1,0))</formula>
    </cfRule>
    <cfRule type="expression" dxfId="20728" priority="42">
      <formula>AND(IF($Q6=2,1,0),IF($X6&lt;30,1,0))</formula>
    </cfRule>
    <cfRule type="expression" dxfId="20727" priority="43">
      <formula>AND(IF($Q6=3,1,0),IF($X6&lt;30,1,0))</formula>
    </cfRule>
    <cfRule type="expression" dxfId="20726" priority="44">
      <formula>AND(IF($Q6=3,1,IF($Q6=4,1,0)),IF($F6&lt;=85,1,0))</formula>
    </cfRule>
  </conditionalFormatting>
  <conditionalFormatting sqref="AI6">
    <cfRule type="expression" dxfId="20725" priority="37">
      <formula>AND(IF(OR($Q6=1,$Q6=2),1,0),IF($X6&lt;=20,1,0))</formula>
    </cfRule>
    <cfRule type="expression" dxfId="20724" priority="38">
      <formula>AND(IF($Q6=2,1,0),IF($X6&lt;30,1,0))</formula>
    </cfRule>
    <cfRule type="expression" dxfId="20723" priority="39">
      <formula>AND(IF($Q6=3,1,0),IF($X6&lt;30,1,0))</formula>
    </cfRule>
    <cfRule type="expression" dxfId="20722" priority="40">
      <formula>AND(IF($Q6=3,1,IF($Q6=4,1,0)),IF($F6&lt;=85,1,0))</formula>
    </cfRule>
  </conditionalFormatting>
  <conditionalFormatting sqref="AV7">
    <cfRule type="expression" dxfId="20721" priority="35">
      <formula>AV7="X"</formula>
    </cfRule>
    <cfRule type="expression" dxfId="20720" priority="36">
      <formula>AV7="후보"</formula>
    </cfRule>
  </conditionalFormatting>
  <conditionalFormatting sqref="AC7">
    <cfRule type="cellIs" dxfId="20719" priority="33" operator="greaterThan">
      <formula>0.9</formula>
    </cfRule>
    <cfRule type="cellIs" dxfId="20718" priority="34" operator="greaterThan">
      <formula>0.85</formula>
    </cfRule>
  </conditionalFormatting>
  <conditionalFormatting sqref="N7">
    <cfRule type="cellIs" dxfId="20717" priority="31" operator="greaterThan">
      <formula>0.9</formula>
    </cfRule>
    <cfRule type="cellIs" dxfId="20716" priority="32" operator="greaterThan">
      <formula>0.85</formula>
    </cfRule>
  </conditionalFormatting>
  <conditionalFormatting sqref="E7">
    <cfRule type="expression" dxfId="20715" priority="27">
      <formula>AND(IF(OR($Q7=1,$Q7=2),1,0),IF($X7&lt;=20,1,0))</formula>
    </cfRule>
    <cfRule type="expression" dxfId="20714" priority="28">
      <formula>AND(IF($Q7=2,1,0),IF($X7&lt;30,1,0))</formula>
    </cfRule>
    <cfRule type="expression" dxfId="20713" priority="29">
      <formula>AND(IF($Q7=3,1,0),IF($X7&lt;30,1,0))</formula>
    </cfRule>
    <cfRule type="expression" dxfId="20712" priority="30">
      <formula>AND(IF($Q7=3,1,IF($Q7=4,1,0)),IF($F7&lt;=85,1,0))</formula>
    </cfRule>
  </conditionalFormatting>
  <conditionalFormatting sqref="X7">
    <cfRule type="expression" dxfId="20711" priority="23">
      <formula>AND(IF(OR($Q7=1,$Q7=2),1,0),IF($X7&lt;=20,1,0))</formula>
    </cfRule>
    <cfRule type="expression" dxfId="20710" priority="24">
      <formula>AND(IF($Q7=2,1,0),IF($X7&lt;30,1,0))</formula>
    </cfRule>
    <cfRule type="expression" dxfId="20709" priority="25">
      <formula>AND(IF($Q7=3,1,0),IF($X7&lt;30,1,0))</formula>
    </cfRule>
    <cfRule type="expression" dxfId="20708" priority="26">
      <formula>AND(IF($Q7=3,1,IF($Q7=4,1,0)),IF($F7&lt;=85,1,0))</formula>
    </cfRule>
  </conditionalFormatting>
  <conditionalFormatting sqref="AI7">
    <cfRule type="expression" dxfId="20707" priority="19">
      <formula>AND(IF(OR($Q7=1,$Q7=2),1,0),IF($X7&lt;=20,1,0))</formula>
    </cfRule>
    <cfRule type="expression" dxfId="20706" priority="20">
      <formula>AND(IF($Q7=2,1,0),IF($X7&lt;30,1,0))</formula>
    </cfRule>
    <cfRule type="expression" dxfId="20705" priority="21">
      <formula>AND(IF($Q7=3,1,0),IF($X7&lt;30,1,0))</formula>
    </cfRule>
    <cfRule type="expression" dxfId="20704" priority="22">
      <formula>AND(IF($Q7=3,1,IF($Q7=4,1,0)),IF($F7&lt;=85,1,0))</formula>
    </cfRule>
  </conditionalFormatting>
  <conditionalFormatting sqref="AV8">
    <cfRule type="expression" dxfId="20703" priority="17">
      <formula>AV8="X"</formula>
    </cfRule>
    <cfRule type="expression" dxfId="20702" priority="18">
      <formula>AV8="후보"</formula>
    </cfRule>
  </conditionalFormatting>
  <conditionalFormatting sqref="AC8">
    <cfRule type="cellIs" dxfId="20701" priority="15" operator="greaterThan">
      <formula>0.9</formula>
    </cfRule>
    <cfRule type="cellIs" dxfId="20700" priority="16" operator="greaterThan">
      <formula>0.85</formula>
    </cfRule>
  </conditionalFormatting>
  <conditionalFormatting sqref="N8">
    <cfRule type="cellIs" dxfId="20699" priority="13" operator="greaterThan">
      <formula>0.9</formula>
    </cfRule>
    <cfRule type="cellIs" dxfId="20698" priority="14" operator="greaterThan">
      <formula>0.85</formula>
    </cfRule>
  </conditionalFormatting>
  <conditionalFormatting sqref="E8">
    <cfRule type="expression" dxfId="20697" priority="9">
      <formula>AND(IF(OR($Q8=1,$Q8=2),1,0),IF($X8&lt;=20,1,0))</formula>
    </cfRule>
    <cfRule type="expression" dxfId="20696" priority="10">
      <formula>AND(IF($Q8=2,1,0),IF($X8&lt;30,1,0))</formula>
    </cfRule>
    <cfRule type="expression" dxfId="20695" priority="11">
      <formula>AND(IF($Q8=3,1,0),IF($X8&lt;30,1,0))</formula>
    </cfRule>
    <cfRule type="expression" dxfId="20694" priority="12">
      <formula>AND(IF($Q8=3,1,IF($Q8=4,1,0)),IF($F8&lt;=85,1,0))</formula>
    </cfRule>
  </conditionalFormatting>
  <conditionalFormatting sqref="X8">
    <cfRule type="expression" dxfId="20693" priority="5">
      <formula>AND(IF(OR($Q8=1,$Q8=2),1,0),IF($X8&lt;=20,1,0))</formula>
    </cfRule>
    <cfRule type="expression" dxfId="20692" priority="6">
      <formula>AND(IF($Q8=2,1,0),IF($X8&lt;30,1,0))</formula>
    </cfRule>
    <cfRule type="expression" dxfId="20691" priority="7">
      <formula>AND(IF($Q8=3,1,0),IF($X8&lt;30,1,0))</formula>
    </cfRule>
    <cfRule type="expression" dxfId="20690" priority="8">
      <formula>AND(IF($Q8=3,1,IF($Q8=4,1,0)),IF($F8&lt;=85,1,0))</formula>
    </cfRule>
  </conditionalFormatting>
  <conditionalFormatting sqref="AI8">
    <cfRule type="expression" dxfId="20689" priority="1">
      <formula>AND(IF(OR($Q8=1,$Q8=2),1,0),IF($X8&lt;=20,1,0))</formula>
    </cfRule>
    <cfRule type="expression" dxfId="20688" priority="2">
      <formula>AND(IF($Q8=2,1,0),IF($X8&lt;30,1,0))</formula>
    </cfRule>
    <cfRule type="expression" dxfId="20687" priority="3">
      <formula>AND(IF($Q8=3,1,0),IF($X8&lt;30,1,0))</formula>
    </cfRule>
    <cfRule type="expression" dxfId="20686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미룡동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619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미룡동 미룡대명1차('98.06.,498^)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6" si="1"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615</v>
      </c>
      <c r="B6" s="10" t="s">
        <v>1293</v>
      </c>
      <c r="C6" s="107">
        <v>498</v>
      </c>
      <c r="D6" s="104">
        <v>53.9</v>
      </c>
      <c r="E6" s="106">
        <v>16</v>
      </c>
      <c r="F6" s="104">
        <v>40</v>
      </c>
      <c r="G6" s="17">
        <v>12</v>
      </c>
      <c r="H6" s="107">
        <v>498</v>
      </c>
      <c r="I6" s="108">
        <v>3600</v>
      </c>
      <c r="J6" s="108" t="s">
        <v>1294</v>
      </c>
      <c r="K6" s="108">
        <v>4500</v>
      </c>
      <c r="L6" s="108" t="s">
        <v>1287</v>
      </c>
      <c r="M6" s="109">
        <f>I6-K6</f>
        <v>-900</v>
      </c>
      <c r="N6" s="4">
        <f>IF(ISERROR(K6/I6),"",K6/I6)</f>
        <v>1.25</v>
      </c>
      <c r="O6" s="105">
        <f>I6/E6</f>
        <v>225</v>
      </c>
      <c r="P6" s="105">
        <f>K6/E6</f>
        <v>281.25</v>
      </c>
      <c r="Q6" s="77">
        <v>2</v>
      </c>
      <c r="R6" s="77">
        <v>1</v>
      </c>
      <c r="S6" s="77" t="s">
        <v>1244</v>
      </c>
      <c r="T6" s="5">
        <v>53</v>
      </c>
      <c r="U6" s="9"/>
      <c r="W6" s="104">
        <f>D6</f>
        <v>53.9</v>
      </c>
      <c r="X6" s="106">
        <f>E6</f>
        <v>16</v>
      </c>
      <c r="Y6" s="102">
        <f>H6</f>
        <v>498</v>
      </c>
      <c r="Z6" s="109">
        <f>I6</f>
        <v>3600</v>
      </c>
      <c r="AA6" s="109">
        <f>K6</f>
        <v>4500</v>
      </c>
      <c r="AB6" s="109">
        <f>M6</f>
        <v>-900</v>
      </c>
      <c r="AC6" s="4">
        <f>N6</f>
        <v>1.25</v>
      </c>
      <c r="AD6" s="105">
        <f>O6</f>
        <v>225</v>
      </c>
      <c r="AE6" s="77" t="str">
        <f>S6</f>
        <v>계</v>
      </c>
      <c r="AF6" s="77" t="str">
        <f>Q6&amp;"/"&amp;R6</f>
        <v>2/1</v>
      </c>
      <c r="AH6" s="20" t="str">
        <f t="shared" si="1"/>
        <v>미룡대명1차</v>
      </c>
      <c r="AI6" s="106">
        <f t="shared" si="0"/>
        <v>16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>O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후보</v>
      </c>
    </row>
    <row r="7" spans="1:48" x14ac:dyDescent="0.3">
      <c r="A7" s="9"/>
      <c r="B7" s="77"/>
      <c r="C7" s="6"/>
      <c r="D7" s="9"/>
      <c r="E7" s="14"/>
      <c r="F7" s="104"/>
      <c r="G7" s="9"/>
      <c r="H7" s="9"/>
      <c r="I7" s="9"/>
      <c r="J7" s="9"/>
      <c r="K7" s="9"/>
      <c r="L7" s="9"/>
      <c r="M7" s="9"/>
      <c r="N7" s="9"/>
      <c r="O7" s="105"/>
      <c r="P7" s="105"/>
      <c r="Q7" s="106"/>
      <c r="R7" s="106"/>
      <c r="S7" s="9"/>
      <c r="T7" s="47"/>
      <c r="U7" s="9"/>
      <c r="W7" s="67" t="str">
        <f>$A$4&amp;" "&amp;A8&amp;"("&amp;B8&amp;","&amp;C8&amp;"^)"</f>
        <v>미룡동 금광베네스타('08.12.,950^)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3" t="str">
        <f t="shared" si="0"/>
        <v/>
      </c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</row>
    <row r="8" spans="1:48" x14ac:dyDescent="0.3">
      <c r="A8" s="9" t="s">
        <v>621</v>
      </c>
      <c r="B8" s="10" t="s">
        <v>1295</v>
      </c>
      <c r="C8" s="107">
        <v>950</v>
      </c>
      <c r="D8" s="104">
        <v>110.3</v>
      </c>
      <c r="E8" s="106">
        <v>33</v>
      </c>
      <c r="F8" s="104">
        <v>84.7</v>
      </c>
      <c r="G8" s="17">
        <v>26</v>
      </c>
      <c r="H8" s="107">
        <v>120</v>
      </c>
      <c r="I8" s="108"/>
      <c r="J8" s="108"/>
      <c r="K8" s="108"/>
      <c r="L8" s="108"/>
      <c r="M8" s="109">
        <f t="shared" ref="M8:M16" si="2">I8-K8</f>
        <v>0</v>
      </c>
      <c r="N8" s="4" t="str">
        <f t="shared" ref="N8:N16" si="3">IF(ISERROR(K8/I8),"",K8/I8)</f>
        <v/>
      </c>
      <c r="O8" s="105">
        <f t="shared" ref="O8:O16" si="4">I8/E8</f>
        <v>0</v>
      </c>
      <c r="P8" s="105">
        <f t="shared" ref="P8:P16" si="5">K8/E8</f>
        <v>0</v>
      </c>
      <c r="Q8" s="77">
        <v>3</v>
      </c>
      <c r="R8" s="77">
        <v>2</v>
      </c>
      <c r="S8" s="77" t="s">
        <v>1241</v>
      </c>
      <c r="T8" s="5" t="s">
        <v>102</v>
      </c>
      <c r="U8" s="9"/>
      <c r="W8" s="104">
        <f t="shared" ref="W8:W16" si="6">D8</f>
        <v>110.3</v>
      </c>
      <c r="X8" s="106">
        <f t="shared" ref="X8:X16" si="7">E8</f>
        <v>33</v>
      </c>
      <c r="Y8" s="102">
        <f t="shared" ref="Y8:Y16" si="8">H8</f>
        <v>120</v>
      </c>
      <c r="Z8" s="109">
        <f t="shared" ref="Z8:Z16" si="9">I8</f>
        <v>0</v>
      </c>
      <c r="AA8" s="109">
        <f t="shared" ref="AA8:AA16" si="10">K8</f>
        <v>0</v>
      </c>
      <c r="AB8" s="109">
        <f t="shared" ref="AB8:AB16" si="11">M8</f>
        <v>0</v>
      </c>
      <c r="AC8" s="4" t="str">
        <f t="shared" ref="AC8:AC16" si="12">N8</f>
        <v/>
      </c>
      <c r="AD8" s="105">
        <f t="shared" ref="AD8:AD16" si="13">O8</f>
        <v>0</v>
      </c>
      <c r="AE8" s="77" t="str">
        <f t="shared" ref="AE8:AE16" si="14">S8</f>
        <v>복</v>
      </c>
      <c r="AF8" s="77" t="str">
        <f t="shared" ref="AF8:AF16" si="15">Q8&amp;"/"&amp;R8</f>
        <v>3/2</v>
      </c>
      <c r="AH8" s="20" t="str">
        <f t="shared" si="1"/>
        <v>금광베네스타</v>
      </c>
      <c r="AI8" s="106">
        <f t="shared" si="0"/>
        <v>33</v>
      </c>
      <c r="AJ8" s="77" t="str">
        <f t="shared" ref="AJ8:AJ16" si="16">IF(AI8="","",$AJ$2)</f>
        <v>A-</v>
      </c>
      <c r="AK8" s="77" t="s">
        <v>13</v>
      </c>
      <c r="AL8" s="77" t="s">
        <v>1242</v>
      </c>
      <c r="AM8" s="77" t="s">
        <v>1243</v>
      </c>
      <c r="AN8" s="77" t="str">
        <f t="shared" ref="AN8:AN16" si="17">IF(AI8="","",$AN$2)</f>
        <v>C</v>
      </c>
      <c r="AO8" s="77" t="str">
        <f t="shared" ref="AO8:AO16" si="18">IF(N8="","",IF(N8&gt;=$AO$1/100,"O","X"))</f>
        <v/>
      </c>
      <c r="AP8" s="77" t="str">
        <f t="shared" ref="AP8:AP16" si="19">IF(I8="","",IF(I8&lt;=$AP$1,"O","X"))</f>
        <v/>
      </c>
      <c r="AQ8" s="77" t="str">
        <f t="shared" ref="AQ8:AQ16" si="20">IF(O8="","",IF(O8&lt;=$AQ$1,"O","X"))</f>
        <v>O</v>
      </c>
      <c r="AR8" s="77" t="str">
        <f t="shared" ref="AR8:AR16" si="21">IF(M8="","",IF(M8&lt;=$AR$1,"O","X"))</f>
        <v>O</v>
      </c>
      <c r="AS8" s="77" t="s">
        <v>2</v>
      </c>
      <c r="AT8" s="77" t="str">
        <f t="shared" ref="AT8:AT16" si="22">IF(OR(F8="",AI8=""),"",IF(AND((F8&lt;=85),(AI8&gt;=15)),"O","X"))</f>
        <v>O</v>
      </c>
      <c r="AU8" s="77" t="str">
        <f t="shared" ref="AU8:AU16" si="23">IF(C8="","",IF(C8&gt;=$AU$1,"O","X"))</f>
        <v>O</v>
      </c>
      <c r="AV8" s="77" t="str">
        <f t="shared" ref="AV8:AV16" si="24">IF(AO8="","",IF(AND(AO8="O",AP8="O",AR8="O",AT8="O",AU8="O"),"후보","X"))</f>
        <v/>
      </c>
    </row>
    <row r="9" spans="1:48" x14ac:dyDescent="0.3">
      <c r="A9" s="9" t="s">
        <v>621</v>
      </c>
      <c r="B9" s="10" t="s">
        <v>1295</v>
      </c>
      <c r="C9" s="107">
        <v>950</v>
      </c>
      <c r="D9" s="104">
        <v>110.5</v>
      </c>
      <c r="E9" s="106">
        <v>33</v>
      </c>
      <c r="F9" s="104">
        <v>84.8</v>
      </c>
      <c r="G9" s="17">
        <v>26</v>
      </c>
      <c r="H9" s="107">
        <v>39</v>
      </c>
      <c r="I9" s="108"/>
      <c r="J9" s="108"/>
      <c r="K9" s="108"/>
      <c r="L9" s="108"/>
      <c r="M9" s="109">
        <f t="shared" si="2"/>
        <v>0</v>
      </c>
      <c r="N9" s="4" t="str">
        <f t="shared" si="3"/>
        <v/>
      </c>
      <c r="O9" s="105">
        <f t="shared" si="4"/>
        <v>0</v>
      </c>
      <c r="P9" s="105">
        <f t="shared" si="5"/>
        <v>0</v>
      </c>
      <c r="Q9" s="77">
        <v>3</v>
      </c>
      <c r="R9" s="77">
        <v>2</v>
      </c>
      <c r="S9" s="77" t="s">
        <v>1241</v>
      </c>
      <c r="T9" s="5" t="s">
        <v>101</v>
      </c>
      <c r="U9" s="9"/>
      <c r="W9" s="104">
        <f t="shared" si="6"/>
        <v>110.5</v>
      </c>
      <c r="X9" s="106">
        <f t="shared" si="7"/>
        <v>33</v>
      </c>
      <c r="Y9" s="102">
        <f t="shared" si="8"/>
        <v>39</v>
      </c>
      <c r="Z9" s="109">
        <f t="shared" si="9"/>
        <v>0</v>
      </c>
      <c r="AA9" s="109">
        <f t="shared" si="10"/>
        <v>0</v>
      </c>
      <c r="AB9" s="109">
        <f t="shared" si="11"/>
        <v>0</v>
      </c>
      <c r="AC9" s="4" t="str">
        <f t="shared" si="12"/>
        <v/>
      </c>
      <c r="AD9" s="105">
        <f t="shared" si="13"/>
        <v>0</v>
      </c>
      <c r="AE9" s="77" t="str">
        <f t="shared" si="14"/>
        <v>복</v>
      </c>
      <c r="AF9" s="77" t="str">
        <f t="shared" si="15"/>
        <v>3/2</v>
      </c>
      <c r="AH9" s="20" t="str">
        <f t="shared" si="1"/>
        <v>금광베네스타</v>
      </c>
      <c r="AI9" s="106">
        <f t="shared" si="0"/>
        <v>33</v>
      </c>
      <c r="AJ9" s="77" t="str">
        <f t="shared" si="16"/>
        <v>A-</v>
      </c>
      <c r="AK9" s="77" t="s">
        <v>13</v>
      </c>
      <c r="AL9" s="77" t="s">
        <v>1242</v>
      </c>
      <c r="AM9" s="77" t="s">
        <v>1243</v>
      </c>
      <c r="AN9" s="77" t="str">
        <f t="shared" si="17"/>
        <v>C</v>
      </c>
      <c r="AO9" s="77" t="str">
        <f t="shared" si="18"/>
        <v/>
      </c>
      <c r="AP9" s="77" t="str">
        <f t="shared" si="19"/>
        <v/>
      </c>
      <c r="AQ9" s="77" t="str">
        <f t="shared" si="20"/>
        <v>O</v>
      </c>
      <c r="AR9" s="77" t="str">
        <f t="shared" si="21"/>
        <v>O</v>
      </c>
      <c r="AS9" s="77" t="s">
        <v>2</v>
      </c>
      <c r="AT9" s="77" t="str">
        <f t="shared" si="22"/>
        <v>O</v>
      </c>
      <c r="AU9" s="77" t="str">
        <f t="shared" si="23"/>
        <v>O</v>
      </c>
      <c r="AV9" s="77" t="str">
        <f t="shared" si="24"/>
        <v/>
      </c>
    </row>
    <row r="10" spans="1:48" x14ac:dyDescent="0.3">
      <c r="A10" s="9" t="s">
        <v>621</v>
      </c>
      <c r="B10" s="10" t="s">
        <v>1295</v>
      </c>
      <c r="C10" s="107">
        <v>950</v>
      </c>
      <c r="D10" s="104">
        <v>111.7</v>
      </c>
      <c r="E10" s="106">
        <v>34</v>
      </c>
      <c r="F10" s="104">
        <v>85</v>
      </c>
      <c r="G10" s="17">
        <v>26</v>
      </c>
      <c r="H10" s="107">
        <v>40</v>
      </c>
      <c r="I10" s="108"/>
      <c r="J10" s="108"/>
      <c r="K10" s="108"/>
      <c r="L10" s="108"/>
      <c r="M10" s="109">
        <f t="shared" si="2"/>
        <v>0</v>
      </c>
      <c r="N10" s="4" t="str">
        <f t="shared" si="3"/>
        <v/>
      </c>
      <c r="O10" s="105">
        <f t="shared" si="4"/>
        <v>0</v>
      </c>
      <c r="P10" s="105">
        <f t="shared" si="5"/>
        <v>0</v>
      </c>
      <c r="Q10" s="77">
        <v>3</v>
      </c>
      <c r="R10" s="77">
        <v>2</v>
      </c>
      <c r="S10" s="77" t="s">
        <v>1241</v>
      </c>
      <c r="T10" s="5" t="s">
        <v>428</v>
      </c>
      <c r="U10" s="9"/>
      <c r="W10" s="104">
        <f t="shared" si="6"/>
        <v>111.7</v>
      </c>
      <c r="X10" s="106">
        <f t="shared" si="7"/>
        <v>34</v>
      </c>
      <c r="Y10" s="102">
        <f t="shared" si="8"/>
        <v>40</v>
      </c>
      <c r="Z10" s="109">
        <f t="shared" si="9"/>
        <v>0</v>
      </c>
      <c r="AA10" s="109">
        <f t="shared" si="10"/>
        <v>0</v>
      </c>
      <c r="AB10" s="109">
        <f t="shared" si="11"/>
        <v>0</v>
      </c>
      <c r="AC10" s="4" t="str">
        <f t="shared" si="12"/>
        <v/>
      </c>
      <c r="AD10" s="105">
        <f t="shared" si="13"/>
        <v>0</v>
      </c>
      <c r="AE10" s="77" t="str">
        <f t="shared" si="14"/>
        <v>복</v>
      </c>
      <c r="AF10" s="77" t="str">
        <f t="shared" si="15"/>
        <v>3/2</v>
      </c>
      <c r="AH10" s="20" t="str">
        <f t="shared" si="1"/>
        <v>금광베네스타</v>
      </c>
      <c r="AI10" s="106">
        <f t="shared" si="0"/>
        <v>34</v>
      </c>
      <c r="AJ10" s="77" t="str">
        <f t="shared" si="16"/>
        <v>A-</v>
      </c>
      <c r="AK10" s="77" t="s">
        <v>13</v>
      </c>
      <c r="AL10" s="77" t="s">
        <v>1242</v>
      </c>
      <c r="AM10" s="77" t="s">
        <v>1243</v>
      </c>
      <c r="AN10" s="77" t="str">
        <f t="shared" si="17"/>
        <v>C</v>
      </c>
      <c r="AO10" s="77" t="str">
        <f t="shared" si="18"/>
        <v/>
      </c>
      <c r="AP10" s="77" t="str">
        <f t="shared" si="19"/>
        <v/>
      </c>
      <c r="AQ10" s="77" t="str">
        <f t="shared" si="20"/>
        <v>O</v>
      </c>
      <c r="AR10" s="77" t="str">
        <f t="shared" si="21"/>
        <v>O</v>
      </c>
      <c r="AS10" s="77" t="s">
        <v>2</v>
      </c>
      <c r="AT10" s="77" t="str">
        <f t="shared" si="22"/>
        <v>O</v>
      </c>
      <c r="AU10" s="77" t="str">
        <f t="shared" si="23"/>
        <v>O</v>
      </c>
      <c r="AV10" s="77" t="str">
        <f t="shared" si="24"/>
        <v/>
      </c>
    </row>
    <row r="11" spans="1:48" x14ac:dyDescent="0.3">
      <c r="A11" s="9" t="s">
        <v>621</v>
      </c>
      <c r="B11" s="10" t="s">
        <v>1295</v>
      </c>
      <c r="C11" s="107">
        <v>950</v>
      </c>
      <c r="D11" s="104">
        <v>146.5</v>
      </c>
      <c r="E11" s="106">
        <v>44</v>
      </c>
      <c r="F11" s="104">
        <v>113.5</v>
      </c>
      <c r="G11" s="17">
        <v>34</v>
      </c>
      <c r="H11" s="107">
        <v>114</v>
      </c>
      <c r="I11" s="108">
        <v>32000</v>
      </c>
      <c r="J11" s="108" t="s">
        <v>1262</v>
      </c>
      <c r="K11" s="108"/>
      <c r="L11" s="108"/>
      <c r="M11" s="109">
        <f t="shared" si="2"/>
        <v>32000</v>
      </c>
      <c r="N11" s="4">
        <f t="shared" si="3"/>
        <v>0</v>
      </c>
      <c r="O11" s="105">
        <f t="shared" si="4"/>
        <v>727.27272727272725</v>
      </c>
      <c r="P11" s="105">
        <f t="shared" si="5"/>
        <v>0</v>
      </c>
      <c r="Q11" s="77">
        <v>3</v>
      </c>
      <c r="R11" s="77">
        <v>2</v>
      </c>
      <c r="S11" s="77" t="s">
        <v>1241</v>
      </c>
      <c r="T11" s="5">
        <v>146</v>
      </c>
      <c r="U11" s="9"/>
      <c r="W11" s="104">
        <f t="shared" si="6"/>
        <v>146.5</v>
      </c>
      <c r="X11" s="106">
        <f t="shared" si="7"/>
        <v>44</v>
      </c>
      <c r="Y11" s="102">
        <f t="shared" si="8"/>
        <v>114</v>
      </c>
      <c r="Z11" s="109">
        <f t="shared" si="9"/>
        <v>32000</v>
      </c>
      <c r="AA11" s="109">
        <f t="shared" si="10"/>
        <v>0</v>
      </c>
      <c r="AB11" s="109">
        <f t="shared" si="11"/>
        <v>32000</v>
      </c>
      <c r="AC11" s="4">
        <f t="shared" si="12"/>
        <v>0</v>
      </c>
      <c r="AD11" s="105">
        <f t="shared" si="13"/>
        <v>727.27272727272725</v>
      </c>
      <c r="AE11" s="77" t="str">
        <f t="shared" si="14"/>
        <v>복</v>
      </c>
      <c r="AF11" s="77" t="str">
        <f t="shared" si="15"/>
        <v>3/2</v>
      </c>
      <c r="AH11" s="20" t="str">
        <f t="shared" si="1"/>
        <v>금광베네스타</v>
      </c>
      <c r="AI11" s="106">
        <f t="shared" si="0"/>
        <v>44</v>
      </c>
      <c r="AJ11" s="77" t="str">
        <f t="shared" si="16"/>
        <v>A-</v>
      </c>
      <c r="AK11" s="77" t="s">
        <v>13</v>
      </c>
      <c r="AL11" s="77" t="s">
        <v>1242</v>
      </c>
      <c r="AM11" s="77" t="s">
        <v>1243</v>
      </c>
      <c r="AN11" s="77" t="str">
        <f t="shared" si="17"/>
        <v>C</v>
      </c>
      <c r="AO11" s="77" t="str">
        <f t="shared" si="18"/>
        <v>X</v>
      </c>
      <c r="AP11" s="77" t="str">
        <f t="shared" si="19"/>
        <v>O</v>
      </c>
      <c r="AQ11" s="77" t="str">
        <f t="shared" si="20"/>
        <v>O</v>
      </c>
      <c r="AR11" s="77" t="str">
        <f t="shared" si="21"/>
        <v>X</v>
      </c>
      <c r="AS11" s="77" t="s">
        <v>2</v>
      </c>
      <c r="AT11" s="77" t="str">
        <f t="shared" si="22"/>
        <v>X</v>
      </c>
      <c r="AU11" s="77" t="str">
        <f t="shared" si="23"/>
        <v>O</v>
      </c>
      <c r="AV11" s="77" t="str">
        <f t="shared" si="24"/>
        <v>X</v>
      </c>
    </row>
    <row r="12" spans="1:48" x14ac:dyDescent="0.3">
      <c r="A12" s="9" t="s">
        <v>621</v>
      </c>
      <c r="B12" s="10" t="s">
        <v>1295</v>
      </c>
      <c r="C12" s="107">
        <v>950</v>
      </c>
      <c r="D12" s="104">
        <v>160</v>
      </c>
      <c r="E12" s="106">
        <v>48</v>
      </c>
      <c r="F12" s="104">
        <v>130.80000000000001</v>
      </c>
      <c r="G12" s="17">
        <v>40</v>
      </c>
      <c r="H12" s="107">
        <v>320</v>
      </c>
      <c r="I12" s="108">
        <v>34000</v>
      </c>
      <c r="J12" s="108" t="s">
        <v>1268</v>
      </c>
      <c r="K12" s="108"/>
      <c r="L12" s="108"/>
      <c r="M12" s="109">
        <f t="shared" si="2"/>
        <v>34000</v>
      </c>
      <c r="N12" s="4">
        <f t="shared" si="3"/>
        <v>0</v>
      </c>
      <c r="O12" s="105">
        <f t="shared" si="4"/>
        <v>708.33333333333337</v>
      </c>
      <c r="P12" s="105">
        <f t="shared" si="5"/>
        <v>0</v>
      </c>
      <c r="Q12" s="77">
        <v>4</v>
      </c>
      <c r="R12" s="77">
        <v>2</v>
      </c>
      <c r="S12" s="77" t="s">
        <v>1241</v>
      </c>
      <c r="T12" s="5" t="s">
        <v>626</v>
      </c>
      <c r="U12" s="9"/>
      <c r="W12" s="104">
        <f t="shared" si="6"/>
        <v>160</v>
      </c>
      <c r="X12" s="106">
        <f t="shared" si="7"/>
        <v>48</v>
      </c>
      <c r="Y12" s="102">
        <f t="shared" si="8"/>
        <v>320</v>
      </c>
      <c r="Z12" s="109">
        <f t="shared" si="9"/>
        <v>34000</v>
      </c>
      <c r="AA12" s="109">
        <f t="shared" si="10"/>
        <v>0</v>
      </c>
      <c r="AB12" s="109">
        <f t="shared" si="11"/>
        <v>34000</v>
      </c>
      <c r="AC12" s="4">
        <f t="shared" si="12"/>
        <v>0</v>
      </c>
      <c r="AD12" s="105">
        <f t="shared" si="13"/>
        <v>708.33333333333337</v>
      </c>
      <c r="AE12" s="77" t="str">
        <f t="shared" si="14"/>
        <v>복</v>
      </c>
      <c r="AF12" s="77" t="str">
        <f t="shared" si="15"/>
        <v>4/2</v>
      </c>
      <c r="AH12" s="20" t="str">
        <f t="shared" si="1"/>
        <v>금광베네스타</v>
      </c>
      <c r="AI12" s="106">
        <f t="shared" si="0"/>
        <v>48</v>
      </c>
      <c r="AJ12" s="77" t="str">
        <f t="shared" si="16"/>
        <v>A-</v>
      </c>
      <c r="AK12" s="77" t="s">
        <v>13</v>
      </c>
      <c r="AL12" s="77" t="s">
        <v>1242</v>
      </c>
      <c r="AM12" s="77" t="s">
        <v>1243</v>
      </c>
      <c r="AN12" s="77" t="str">
        <f t="shared" si="17"/>
        <v>C</v>
      </c>
      <c r="AO12" s="77" t="str">
        <f t="shared" si="18"/>
        <v>X</v>
      </c>
      <c r="AP12" s="77" t="str">
        <f t="shared" si="19"/>
        <v>O</v>
      </c>
      <c r="AQ12" s="77" t="str">
        <f t="shared" si="20"/>
        <v>O</v>
      </c>
      <c r="AR12" s="77" t="str">
        <f t="shared" si="21"/>
        <v>X</v>
      </c>
      <c r="AS12" s="77" t="s">
        <v>2</v>
      </c>
      <c r="AT12" s="77" t="str">
        <f t="shared" si="22"/>
        <v>X</v>
      </c>
      <c r="AU12" s="77" t="str">
        <f t="shared" si="23"/>
        <v>O</v>
      </c>
      <c r="AV12" s="77" t="str">
        <f t="shared" si="24"/>
        <v>X</v>
      </c>
    </row>
    <row r="13" spans="1:48" x14ac:dyDescent="0.3">
      <c r="A13" s="9" t="s">
        <v>621</v>
      </c>
      <c r="B13" s="10" t="s">
        <v>1295</v>
      </c>
      <c r="C13" s="107">
        <v>950</v>
      </c>
      <c r="D13" s="104">
        <v>160</v>
      </c>
      <c r="E13" s="106">
        <v>48</v>
      </c>
      <c r="F13" s="104">
        <v>130.80000000000001</v>
      </c>
      <c r="G13" s="17">
        <v>40</v>
      </c>
      <c r="H13" s="107">
        <v>78</v>
      </c>
      <c r="I13" s="108">
        <v>34000</v>
      </c>
      <c r="J13" s="108" t="s">
        <v>1268</v>
      </c>
      <c r="K13" s="108"/>
      <c r="L13" s="108"/>
      <c r="M13" s="109">
        <f t="shared" si="2"/>
        <v>34000</v>
      </c>
      <c r="N13" s="4">
        <f t="shared" si="3"/>
        <v>0</v>
      </c>
      <c r="O13" s="105">
        <f t="shared" si="4"/>
        <v>708.33333333333337</v>
      </c>
      <c r="P13" s="105">
        <f t="shared" si="5"/>
        <v>0</v>
      </c>
      <c r="Q13" s="77">
        <v>4</v>
      </c>
      <c r="R13" s="77">
        <v>2</v>
      </c>
      <c r="S13" s="77" t="s">
        <v>1241</v>
      </c>
      <c r="T13" s="5" t="s">
        <v>627</v>
      </c>
      <c r="U13" s="9"/>
      <c r="W13" s="104">
        <f t="shared" si="6"/>
        <v>160</v>
      </c>
      <c r="X13" s="106">
        <f t="shared" si="7"/>
        <v>48</v>
      </c>
      <c r="Y13" s="102">
        <f t="shared" si="8"/>
        <v>78</v>
      </c>
      <c r="Z13" s="109">
        <f t="shared" si="9"/>
        <v>34000</v>
      </c>
      <c r="AA13" s="109">
        <f t="shared" si="10"/>
        <v>0</v>
      </c>
      <c r="AB13" s="109">
        <f t="shared" si="11"/>
        <v>34000</v>
      </c>
      <c r="AC13" s="4">
        <f t="shared" si="12"/>
        <v>0</v>
      </c>
      <c r="AD13" s="105">
        <f t="shared" si="13"/>
        <v>708.33333333333337</v>
      </c>
      <c r="AE13" s="77" t="str">
        <f t="shared" si="14"/>
        <v>복</v>
      </c>
      <c r="AF13" s="77" t="str">
        <f t="shared" si="15"/>
        <v>4/2</v>
      </c>
      <c r="AH13" s="20" t="str">
        <f t="shared" si="1"/>
        <v>금광베네스타</v>
      </c>
      <c r="AI13" s="106">
        <f t="shared" si="0"/>
        <v>48</v>
      </c>
      <c r="AJ13" s="77" t="str">
        <f t="shared" si="16"/>
        <v>A-</v>
      </c>
      <c r="AK13" s="77" t="s">
        <v>13</v>
      </c>
      <c r="AL13" s="77" t="s">
        <v>1242</v>
      </c>
      <c r="AM13" s="77" t="s">
        <v>1243</v>
      </c>
      <c r="AN13" s="77" t="str">
        <f t="shared" si="17"/>
        <v>C</v>
      </c>
      <c r="AO13" s="77" t="str">
        <f t="shared" si="18"/>
        <v>X</v>
      </c>
      <c r="AP13" s="77" t="str">
        <f t="shared" si="19"/>
        <v>O</v>
      </c>
      <c r="AQ13" s="77" t="str">
        <f t="shared" si="20"/>
        <v>O</v>
      </c>
      <c r="AR13" s="77" t="str">
        <f t="shared" si="21"/>
        <v>X</v>
      </c>
      <c r="AS13" s="77" t="s">
        <v>2</v>
      </c>
      <c r="AT13" s="77" t="str">
        <f t="shared" si="22"/>
        <v>X</v>
      </c>
      <c r="AU13" s="77" t="str">
        <f t="shared" si="23"/>
        <v>O</v>
      </c>
      <c r="AV13" s="77" t="str">
        <f t="shared" si="24"/>
        <v>X</v>
      </c>
    </row>
    <row r="14" spans="1:48" x14ac:dyDescent="0.3">
      <c r="A14" s="9" t="s">
        <v>621</v>
      </c>
      <c r="B14" s="10" t="s">
        <v>1295</v>
      </c>
      <c r="C14" s="107">
        <v>950</v>
      </c>
      <c r="D14" s="104">
        <v>176.6</v>
      </c>
      <c r="E14" s="106">
        <v>53</v>
      </c>
      <c r="F14" s="104">
        <v>139.80000000000001</v>
      </c>
      <c r="G14" s="17">
        <v>42</v>
      </c>
      <c r="H14" s="107">
        <v>160</v>
      </c>
      <c r="I14" s="108">
        <v>35000</v>
      </c>
      <c r="J14" s="108" t="s">
        <v>1272</v>
      </c>
      <c r="K14" s="108"/>
      <c r="L14" s="108"/>
      <c r="M14" s="109">
        <f t="shared" si="2"/>
        <v>35000</v>
      </c>
      <c r="N14" s="4">
        <f t="shared" si="3"/>
        <v>0</v>
      </c>
      <c r="O14" s="105">
        <f t="shared" si="4"/>
        <v>660.37735849056605</v>
      </c>
      <c r="P14" s="105">
        <f t="shared" si="5"/>
        <v>0</v>
      </c>
      <c r="Q14" s="77">
        <v>4</v>
      </c>
      <c r="R14" s="77">
        <v>2</v>
      </c>
      <c r="S14" s="77" t="s">
        <v>1241</v>
      </c>
      <c r="T14" s="5">
        <v>176</v>
      </c>
      <c r="U14" s="9"/>
      <c r="W14" s="104">
        <f t="shared" si="6"/>
        <v>176.6</v>
      </c>
      <c r="X14" s="106">
        <f t="shared" si="7"/>
        <v>53</v>
      </c>
      <c r="Y14" s="102">
        <f t="shared" si="8"/>
        <v>160</v>
      </c>
      <c r="Z14" s="109">
        <f t="shared" si="9"/>
        <v>35000</v>
      </c>
      <c r="AA14" s="109">
        <f t="shared" si="10"/>
        <v>0</v>
      </c>
      <c r="AB14" s="109">
        <f t="shared" si="11"/>
        <v>35000</v>
      </c>
      <c r="AC14" s="4">
        <f t="shared" si="12"/>
        <v>0</v>
      </c>
      <c r="AD14" s="105">
        <f t="shared" si="13"/>
        <v>660.37735849056605</v>
      </c>
      <c r="AE14" s="77" t="str">
        <f t="shared" si="14"/>
        <v>복</v>
      </c>
      <c r="AF14" s="77" t="str">
        <f t="shared" si="15"/>
        <v>4/2</v>
      </c>
      <c r="AH14" s="20" t="str">
        <f t="shared" si="1"/>
        <v>금광베네스타</v>
      </c>
      <c r="AI14" s="106">
        <f t="shared" si="0"/>
        <v>53</v>
      </c>
      <c r="AJ14" s="77" t="str">
        <f t="shared" si="16"/>
        <v>A-</v>
      </c>
      <c r="AK14" s="77" t="s">
        <v>13</v>
      </c>
      <c r="AL14" s="77" t="s">
        <v>1242</v>
      </c>
      <c r="AM14" s="77" t="s">
        <v>1243</v>
      </c>
      <c r="AN14" s="77" t="str">
        <f t="shared" si="17"/>
        <v>C</v>
      </c>
      <c r="AO14" s="77" t="str">
        <f t="shared" si="18"/>
        <v>X</v>
      </c>
      <c r="AP14" s="77" t="str">
        <f t="shared" si="19"/>
        <v>O</v>
      </c>
      <c r="AQ14" s="77" t="str">
        <f t="shared" si="20"/>
        <v>O</v>
      </c>
      <c r="AR14" s="77" t="str">
        <f t="shared" si="21"/>
        <v>X</v>
      </c>
      <c r="AS14" s="77" t="s">
        <v>2</v>
      </c>
      <c r="AT14" s="77" t="str">
        <f t="shared" si="22"/>
        <v>X</v>
      </c>
      <c r="AU14" s="77" t="str">
        <f t="shared" si="23"/>
        <v>O</v>
      </c>
      <c r="AV14" s="77" t="str">
        <f t="shared" si="24"/>
        <v>X</v>
      </c>
    </row>
    <row r="15" spans="1:48" x14ac:dyDescent="0.3">
      <c r="A15" s="9" t="s">
        <v>621</v>
      </c>
      <c r="B15" s="10" t="s">
        <v>1295</v>
      </c>
      <c r="C15" s="107">
        <v>950</v>
      </c>
      <c r="D15" s="104">
        <v>203.2</v>
      </c>
      <c r="E15" s="106">
        <v>61</v>
      </c>
      <c r="F15" s="104">
        <v>172.2</v>
      </c>
      <c r="G15" s="17">
        <v>52</v>
      </c>
      <c r="H15" s="107">
        <v>40</v>
      </c>
      <c r="I15" s="108">
        <v>45000</v>
      </c>
      <c r="J15" s="108" t="s">
        <v>1248</v>
      </c>
      <c r="K15" s="108"/>
      <c r="L15" s="108"/>
      <c r="M15" s="109">
        <f t="shared" si="2"/>
        <v>45000</v>
      </c>
      <c r="N15" s="4">
        <f t="shared" si="3"/>
        <v>0</v>
      </c>
      <c r="O15" s="105">
        <f t="shared" si="4"/>
        <v>737.70491803278685</v>
      </c>
      <c r="P15" s="105">
        <f t="shared" si="5"/>
        <v>0</v>
      </c>
      <c r="Q15" s="77">
        <v>4</v>
      </c>
      <c r="R15" s="77">
        <v>2</v>
      </c>
      <c r="S15" s="77" t="s">
        <v>1241</v>
      </c>
      <c r="T15" s="5" t="s">
        <v>628</v>
      </c>
      <c r="U15" s="9"/>
      <c r="W15" s="104">
        <f t="shared" si="6"/>
        <v>203.2</v>
      </c>
      <c r="X15" s="106">
        <f t="shared" si="7"/>
        <v>61</v>
      </c>
      <c r="Y15" s="102">
        <f t="shared" si="8"/>
        <v>40</v>
      </c>
      <c r="Z15" s="109">
        <f t="shared" si="9"/>
        <v>45000</v>
      </c>
      <c r="AA15" s="109">
        <f t="shared" si="10"/>
        <v>0</v>
      </c>
      <c r="AB15" s="109">
        <f t="shared" si="11"/>
        <v>45000</v>
      </c>
      <c r="AC15" s="4">
        <f t="shared" si="12"/>
        <v>0</v>
      </c>
      <c r="AD15" s="105">
        <f t="shared" si="13"/>
        <v>737.70491803278685</v>
      </c>
      <c r="AE15" s="77" t="str">
        <f t="shared" si="14"/>
        <v>복</v>
      </c>
      <c r="AF15" s="77" t="str">
        <f t="shared" si="15"/>
        <v>4/2</v>
      </c>
      <c r="AH15" s="20" t="str">
        <f t="shared" si="1"/>
        <v>금광베네스타</v>
      </c>
      <c r="AI15" s="106">
        <f t="shared" si="0"/>
        <v>61</v>
      </c>
      <c r="AJ15" s="77" t="str">
        <f t="shared" si="16"/>
        <v>A-</v>
      </c>
      <c r="AK15" s="77" t="s">
        <v>13</v>
      </c>
      <c r="AL15" s="77" t="s">
        <v>1242</v>
      </c>
      <c r="AM15" s="77" t="s">
        <v>1243</v>
      </c>
      <c r="AN15" s="77" t="str">
        <f t="shared" si="17"/>
        <v>C</v>
      </c>
      <c r="AO15" s="77" t="str">
        <f t="shared" si="18"/>
        <v>X</v>
      </c>
      <c r="AP15" s="77" t="str">
        <f t="shared" si="19"/>
        <v>O</v>
      </c>
      <c r="AQ15" s="77" t="str">
        <f t="shared" si="20"/>
        <v>O</v>
      </c>
      <c r="AR15" s="77" t="str">
        <f t="shared" si="21"/>
        <v>X</v>
      </c>
      <c r="AS15" s="77" t="s">
        <v>2</v>
      </c>
      <c r="AT15" s="77" t="str">
        <f t="shared" si="22"/>
        <v>X</v>
      </c>
      <c r="AU15" s="77" t="str">
        <f t="shared" si="23"/>
        <v>O</v>
      </c>
      <c r="AV15" s="77" t="str">
        <f t="shared" si="24"/>
        <v>X</v>
      </c>
    </row>
    <row r="16" spans="1:48" x14ac:dyDescent="0.3">
      <c r="A16" s="9" t="s">
        <v>621</v>
      </c>
      <c r="B16" s="10" t="s">
        <v>1295</v>
      </c>
      <c r="C16" s="107">
        <v>950</v>
      </c>
      <c r="D16" s="104">
        <v>204.9</v>
      </c>
      <c r="E16" s="106">
        <v>62</v>
      </c>
      <c r="F16" s="104">
        <v>170.7</v>
      </c>
      <c r="G16" s="17">
        <v>52</v>
      </c>
      <c r="H16" s="107">
        <v>39</v>
      </c>
      <c r="I16" s="108">
        <v>45000</v>
      </c>
      <c r="J16" s="108" t="s">
        <v>1294</v>
      </c>
      <c r="K16" s="108">
        <v>35000</v>
      </c>
      <c r="L16" s="108" t="s">
        <v>1294</v>
      </c>
      <c r="M16" s="109">
        <f t="shared" si="2"/>
        <v>10000</v>
      </c>
      <c r="N16" s="4">
        <f t="shared" si="3"/>
        <v>0.77777777777777779</v>
      </c>
      <c r="O16" s="105">
        <f t="shared" si="4"/>
        <v>725.80645161290317</v>
      </c>
      <c r="P16" s="105">
        <f t="shared" si="5"/>
        <v>564.51612903225805</v>
      </c>
      <c r="Q16" s="77">
        <v>5</v>
      </c>
      <c r="R16" s="77">
        <v>2</v>
      </c>
      <c r="S16" s="77" t="s">
        <v>1241</v>
      </c>
      <c r="T16" s="5" t="s">
        <v>629</v>
      </c>
      <c r="U16" s="9"/>
      <c r="W16" s="104">
        <f t="shared" si="6"/>
        <v>204.9</v>
      </c>
      <c r="X16" s="106">
        <f t="shared" si="7"/>
        <v>62</v>
      </c>
      <c r="Y16" s="102">
        <f t="shared" si="8"/>
        <v>39</v>
      </c>
      <c r="Z16" s="109">
        <f t="shared" si="9"/>
        <v>45000</v>
      </c>
      <c r="AA16" s="109">
        <f t="shared" si="10"/>
        <v>35000</v>
      </c>
      <c r="AB16" s="109">
        <f t="shared" si="11"/>
        <v>10000</v>
      </c>
      <c r="AC16" s="4">
        <f t="shared" si="12"/>
        <v>0.77777777777777779</v>
      </c>
      <c r="AD16" s="105">
        <f t="shared" si="13"/>
        <v>725.80645161290317</v>
      </c>
      <c r="AE16" s="77" t="str">
        <f t="shared" si="14"/>
        <v>복</v>
      </c>
      <c r="AF16" s="77" t="str">
        <f t="shared" si="15"/>
        <v>5/2</v>
      </c>
      <c r="AH16" s="20" t="str">
        <f t="shared" si="1"/>
        <v>금광베네스타</v>
      </c>
      <c r="AI16" s="106">
        <f t="shared" si="0"/>
        <v>62</v>
      </c>
      <c r="AJ16" s="77" t="str">
        <f t="shared" si="16"/>
        <v>A-</v>
      </c>
      <c r="AK16" s="77" t="s">
        <v>13</v>
      </c>
      <c r="AL16" s="77" t="s">
        <v>1242</v>
      </c>
      <c r="AM16" s="77" t="s">
        <v>1243</v>
      </c>
      <c r="AN16" s="77" t="str">
        <f t="shared" si="17"/>
        <v>C</v>
      </c>
      <c r="AO16" s="77" t="str">
        <f t="shared" si="18"/>
        <v>X</v>
      </c>
      <c r="AP16" s="77" t="str">
        <f t="shared" si="19"/>
        <v>O</v>
      </c>
      <c r="AQ16" s="77" t="str">
        <f t="shared" si="20"/>
        <v>O</v>
      </c>
      <c r="AR16" s="77" t="str">
        <f t="shared" si="21"/>
        <v>X</v>
      </c>
      <c r="AS16" s="77" t="s">
        <v>2</v>
      </c>
      <c r="AT16" s="77" t="str">
        <f t="shared" si="22"/>
        <v>X</v>
      </c>
      <c r="AU16" s="77" t="str">
        <f t="shared" si="23"/>
        <v>O</v>
      </c>
      <c r="AV16" s="77" t="str">
        <f t="shared" si="24"/>
        <v>X</v>
      </c>
    </row>
    <row r="17" spans="1:48" x14ac:dyDescent="0.3">
      <c r="A17" s="9"/>
      <c r="B17" s="77"/>
      <c r="C17" s="6"/>
      <c r="D17" s="9"/>
      <c r="E17" s="14"/>
      <c r="F17" s="104"/>
      <c r="G17" s="9"/>
      <c r="H17" s="9"/>
      <c r="I17" s="9"/>
      <c r="J17" s="9"/>
      <c r="K17" s="9"/>
      <c r="L17" s="9"/>
      <c r="M17" s="9"/>
      <c r="N17" s="9"/>
      <c r="O17" s="105"/>
      <c r="P17" s="105"/>
      <c r="Q17" s="106"/>
      <c r="R17" s="106"/>
      <c r="S17" s="9"/>
      <c r="T17" s="47"/>
      <c r="U17" s="9"/>
      <c r="W17" s="67" t="str">
        <f>$A$4&amp;" "&amp;A18&amp;"("&amp;B18&amp;","&amp;C18&amp;"^)"</f>
        <v>미룡동 은파롯데캐슬('07.09.,307^)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3" t="str">
        <f t="shared" si="0"/>
        <v/>
      </c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</row>
    <row r="18" spans="1:48" x14ac:dyDescent="0.3">
      <c r="A18" s="9" t="s">
        <v>635</v>
      </c>
      <c r="B18" s="10" t="s">
        <v>1296</v>
      </c>
      <c r="C18" s="107">
        <v>307</v>
      </c>
      <c r="D18" s="104">
        <v>109.8</v>
      </c>
      <c r="E18" s="106">
        <v>33</v>
      </c>
      <c r="F18" s="104">
        <v>85</v>
      </c>
      <c r="G18" s="17">
        <v>26</v>
      </c>
      <c r="H18" s="107">
        <v>50</v>
      </c>
      <c r="I18" s="108"/>
      <c r="J18" s="108"/>
      <c r="K18" s="108"/>
      <c r="L18" s="108"/>
      <c r="M18" s="109">
        <f t="shared" ref="M18:M24" si="25">I18-K18</f>
        <v>0</v>
      </c>
      <c r="N18" s="4" t="str">
        <f t="shared" ref="N18:N24" si="26">IF(ISERROR(K18/I18),"",K18/I18)</f>
        <v/>
      </c>
      <c r="O18" s="105">
        <f t="shared" ref="O18:O24" si="27">I18/E18</f>
        <v>0</v>
      </c>
      <c r="P18" s="105">
        <f t="shared" ref="P18:P24" si="28">K18/E18</f>
        <v>0</v>
      </c>
      <c r="Q18" s="77">
        <v>3</v>
      </c>
      <c r="R18" s="77">
        <v>2</v>
      </c>
      <c r="S18" s="77" t="s">
        <v>1241</v>
      </c>
      <c r="T18" s="5">
        <v>109</v>
      </c>
      <c r="U18" s="9"/>
      <c r="W18" s="104">
        <f t="shared" ref="W18:X24" si="29">D18</f>
        <v>109.8</v>
      </c>
      <c r="X18" s="106">
        <f t="shared" si="29"/>
        <v>33</v>
      </c>
      <c r="Y18" s="102">
        <f t="shared" ref="Y18:Z24" si="30">H18</f>
        <v>50</v>
      </c>
      <c r="Z18" s="109">
        <f t="shared" si="30"/>
        <v>0</v>
      </c>
      <c r="AA18" s="109">
        <f t="shared" ref="AA18:AA24" si="31">K18</f>
        <v>0</v>
      </c>
      <c r="AB18" s="109">
        <f t="shared" ref="AB18:AD24" si="32">M18</f>
        <v>0</v>
      </c>
      <c r="AC18" s="4" t="str">
        <f t="shared" si="32"/>
        <v/>
      </c>
      <c r="AD18" s="105">
        <f t="shared" si="32"/>
        <v>0</v>
      </c>
      <c r="AE18" s="77" t="str">
        <f t="shared" ref="AE18:AE24" si="33">S18</f>
        <v>복</v>
      </c>
      <c r="AF18" s="77" t="str">
        <f t="shared" ref="AF18:AF24" si="34">Q18&amp;"/"&amp;R18</f>
        <v>3/2</v>
      </c>
      <c r="AH18" s="20" t="str">
        <f t="shared" si="1"/>
        <v>은파롯데캐슬</v>
      </c>
      <c r="AI18" s="106">
        <f t="shared" si="0"/>
        <v>33</v>
      </c>
      <c r="AJ18" s="77" t="str">
        <f t="shared" ref="AJ18:AJ24" si="35">IF(AI18="","",$AJ$2)</f>
        <v>A-</v>
      </c>
      <c r="AK18" s="77" t="s">
        <v>13</v>
      </c>
      <c r="AL18" s="77" t="s">
        <v>1242</v>
      </c>
      <c r="AM18" s="77" t="s">
        <v>1243</v>
      </c>
      <c r="AN18" s="77" t="str">
        <f t="shared" ref="AN18:AN24" si="36">IF(AI18="","",$AN$2)</f>
        <v>C</v>
      </c>
      <c r="AO18" s="77" t="str">
        <f t="shared" ref="AO18:AO24" si="37">IF(N18="","",IF(N18&gt;=$AO$1/100,"O","X"))</f>
        <v/>
      </c>
      <c r="AP18" s="77" t="str">
        <f t="shared" ref="AP18:AP24" si="38">IF(I18="","",IF(I18&lt;=$AP$1,"O","X"))</f>
        <v/>
      </c>
      <c r="AQ18" s="77" t="str">
        <f t="shared" ref="AQ18:AQ24" si="39">IF(O18="","",IF(O18&lt;=$AQ$1,"O","X"))</f>
        <v>O</v>
      </c>
      <c r="AR18" s="77" t="str">
        <f t="shared" ref="AR18:AR24" si="40">IF(M18="","",IF(M18&lt;=$AR$1,"O","X"))</f>
        <v>O</v>
      </c>
      <c r="AS18" s="77" t="s">
        <v>2</v>
      </c>
      <c r="AT18" s="77" t="str">
        <f t="shared" ref="AT18:AT24" si="41">IF(OR(F18="",AI18=""),"",IF(AND((F18&lt;=85),(AI18&gt;=15)),"O","X"))</f>
        <v>O</v>
      </c>
      <c r="AU18" s="77" t="str">
        <f t="shared" ref="AU18:AU24" si="42">IF(C18="","",IF(C18&gt;=$AU$1,"O","X"))</f>
        <v>O</v>
      </c>
      <c r="AV18" s="77" t="str">
        <f t="shared" ref="AV18:AV24" si="43">IF(AO18="","",IF(AND(AO18="O",AP18="O",AR18="O",AT18="O",AU18="O"),"후보","X"))</f>
        <v/>
      </c>
    </row>
    <row r="19" spans="1:48" x14ac:dyDescent="0.3">
      <c r="A19" s="9" t="s">
        <v>635</v>
      </c>
      <c r="B19" s="10" t="s">
        <v>1296</v>
      </c>
      <c r="C19" s="107">
        <v>307</v>
      </c>
      <c r="D19" s="104">
        <v>129.9</v>
      </c>
      <c r="E19" s="106">
        <v>39</v>
      </c>
      <c r="F19" s="104">
        <v>102.8</v>
      </c>
      <c r="G19" s="17">
        <v>31</v>
      </c>
      <c r="H19" s="107">
        <v>52</v>
      </c>
      <c r="I19" s="108"/>
      <c r="J19" s="108"/>
      <c r="K19" s="108"/>
      <c r="L19" s="108"/>
      <c r="M19" s="109">
        <f t="shared" si="25"/>
        <v>0</v>
      </c>
      <c r="N19" s="4" t="str">
        <f t="shared" si="26"/>
        <v/>
      </c>
      <c r="O19" s="105">
        <f t="shared" si="27"/>
        <v>0</v>
      </c>
      <c r="P19" s="105">
        <f t="shared" si="28"/>
        <v>0</v>
      </c>
      <c r="Q19" s="77">
        <v>3</v>
      </c>
      <c r="R19" s="77">
        <v>2</v>
      </c>
      <c r="S19" s="77" t="s">
        <v>1241</v>
      </c>
      <c r="T19" s="5" t="s">
        <v>209</v>
      </c>
      <c r="U19" s="9"/>
      <c r="W19" s="104">
        <f t="shared" si="29"/>
        <v>129.9</v>
      </c>
      <c r="X19" s="106">
        <f t="shared" si="29"/>
        <v>39</v>
      </c>
      <c r="Y19" s="102">
        <f t="shared" si="30"/>
        <v>52</v>
      </c>
      <c r="Z19" s="109">
        <f t="shared" si="30"/>
        <v>0</v>
      </c>
      <c r="AA19" s="109">
        <f t="shared" si="31"/>
        <v>0</v>
      </c>
      <c r="AB19" s="109">
        <f t="shared" si="32"/>
        <v>0</v>
      </c>
      <c r="AC19" s="4" t="str">
        <f t="shared" si="32"/>
        <v/>
      </c>
      <c r="AD19" s="105">
        <f t="shared" si="32"/>
        <v>0</v>
      </c>
      <c r="AE19" s="77" t="str">
        <f t="shared" si="33"/>
        <v>복</v>
      </c>
      <c r="AF19" s="77" t="str">
        <f t="shared" si="34"/>
        <v>3/2</v>
      </c>
      <c r="AH19" s="20" t="str">
        <f t="shared" si="1"/>
        <v>은파롯데캐슬</v>
      </c>
      <c r="AI19" s="106">
        <f t="shared" si="0"/>
        <v>39</v>
      </c>
      <c r="AJ19" s="77" t="str">
        <f t="shared" si="35"/>
        <v>A-</v>
      </c>
      <c r="AK19" s="77" t="s">
        <v>13</v>
      </c>
      <c r="AL19" s="77" t="s">
        <v>1242</v>
      </c>
      <c r="AM19" s="77" t="s">
        <v>1243</v>
      </c>
      <c r="AN19" s="77" t="str">
        <f t="shared" si="36"/>
        <v>C</v>
      </c>
      <c r="AO19" s="77" t="str">
        <f t="shared" si="37"/>
        <v/>
      </c>
      <c r="AP19" s="77" t="str">
        <f t="shared" si="38"/>
        <v/>
      </c>
      <c r="AQ19" s="77" t="str">
        <f t="shared" si="39"/>
        <v>O</v>
      </c>
      <c r="AR19" s="77" t="str">
        <f t="shared" si="40"/>
        <v>O</v>
      </c>
      <c r="AS19" s="77" t="s">
        <v>2</v>
      </c>
      <c r="AT19" s="77" t="str">
        <f t="shared" si="41"/>
        <v>X</v>
      </c>
      <c r="AU19" s="77" t="str">
        <f t="shared" si="42"/>
        <v>O</v>
      </c>
      <c r="AV19" s="77" t="str">
        <f t="shared" si="43"/>
        <v/>
      </c>
    </row>
    <row r="20" spans="1:48" x14ac:dyDescent="0.3">
      <c r="A20" s="9" t="s">
        <v>635</v>
      </c>
      <c r="B20" s="10" t="s">
        <v>1296</v>
      </c>
      <c r="C20" s="107">
        <v>307</v>
      </c>
      <c r="D20" s="104">
        <v>131.5</v>
      </c>
      <c r="E20" s="106">
        <v>40</v>
      </c>
      <c r="F20" s="104">
        <v>104.6</v>
      </c>
      <c r="G20" s="17">
        <v>32</v>
      </c>
      <c r="H20" s="107">
        <v>79</v>
      </c>
      <c r="I20" s="108"/>
      <c r="J20" s="108"/>
      <c r="K20" s="108"/>
      <c r="L20" s="108"/>
      <c r="M20" s="109">
        <f t="shared" si="25"/>
        <v>0</v>
      </c>
      <c r="N20" s="4" t="str">
        <f t="shared" si="26"/>
        <v/>
      </c>
      <c r="O20" s="105">
        <f t="shared" si="27"/>
        <v>0</v>
      </c>
      <c r="P20" s="105">
        <f t="shared" si="28"/>
        <v>0</v>
      </c>
      <c r="Q20" s="77">
        <v>3</v>
      </c>
      <c r="R20" s="77">
        <v>2</v>
      </c>
      <c r="S20" s="77" t="s">
        <v>1241</v>
      </c>
      <c r="T20" s="5" t="s">
        <v>640</v>
      </c>
      <c r="U20" s="9"/>
      <c r="W20" s="104">
        <f t="shared" si="29"/>
        <v>131.5</v>
      </c>
      <c r="X20" s="106">
        <f t="shared" si="29"/>
        <v>40</v>
      </c>
      <c r="Y20" s="102">
        <f t="shared" si="30"/>
        <v>79</v>
      </c>
      <c r="Z20" s="109">
        <f t="shared" si="30"/>
        <v>0</v>
      </c>
      <c r="AA20" s="109">
        <f t="shared" si="31"/>
        <v>0</v>
      </c>
      <c r="AB20" s="109">
        <f t="shared" si="32"/>
        <v>0</v>
      </c>
      <c r="AC20" s="4" t="str">
        <f t="shared" si="32"/>
        <v/>
      </c>
      <c r="AD20" s="105">
        <f t="shared" si="32"/>
        <v>0</v>
      </c>
      <c r="AE20" s="77" t="str">
        <f t="shared" si="33"/>
        <v>복</v>
      </c>
      <c r="AF20" s="77" t="str">
        <f t="shared" si="34"/>
        <v>3/2</v>
      </c>
      <c r="AH20" s="20" t="str">
        <f t="shared" si="1"/>
        <v>은파롯데캐슬</v>
      </c>
      <c r="AI20" s="106">
        <f t="shared" si="0"/>
        <v>40</v>
      </c>
      <c r="AJ20" s="77" t="str">
        <f t="shared" si="35"/>
        <v>A-</v>
      </c>
      <c r="AK20" s="77" t="s">
        <v>13</v>
      </c>
      <c r="AL20" s="77" t="s">
        <v>1242</v>
      </c>
      <c r="AM20" s="77" t="s">
        <v>1243</v>
      </c>
      <c r="AN20" s="77" t="str">
        <f t="shared" si="36"/>
        <v>C</v>
      </c>
      <c r="AO20" s="77" t="str">
        <f t="shared" si="37"/>
        <v/>
      </c>
      <c r="AP20" s="77" t="str">
        <f t="shared" si="38"/>
        <v/>
      </c>
      <c r="AQ20" s="77" t="str">
        <f t="shared" si="39"/>
        <v>O</v>
      </c>
      <c r="AR20" s="77" t="str">
        <f t="shared" si="40"/>
        <v>O</v>
      </c>
      <c r="AS20" s="77" t="s">
        <v>2</v>
      </c>
      <c r="AT20" s="77" t="str">
        <f t="shared" si="41"/>
        <v>X</v>
      </c>
      <c r="AU20" s="77" t="str">
        <f t="shared" si="42"/>
        <v>O</v>
      </c>
      <c r="AV20" s="77" t="str">
        <f t="shared" si="43"/>
        <v/>
      </c>
    </row>
    <row r="21" spans="1:48" x14ac:dyDescent="0.3">
      <c r="A21" s="9" t="s">
        <v>635</v>
      </c>
      <c r="B21" s="10" t="s">
        <v>1296</v>
      </c>
      <c r="C21" s="107">
        <v>307</v>
      </c>
      <c r="D21" s="104">
        <v>158.30000000000001</v>
      </c>
      <c r="E21" s="106">
        <v>48</v>
      </c>
      <c r="F21" s="104">
        <v>127.2</v>
      </c>
      <c r="G21" s="17">
        <v>38</v>
      </c>
      <c r="H21" s="107">
        <v>77</v>
      </c>
      <c r="I21" s="108">
        <v>32000</v>
      </c>
      <c r="J21" s="108" t="s">
        <v>1245</v>
      </c>
      <c r="K21" s="108"/>
      <c r="L21" s="108"/>
      <c r="M21" s="109">
        <f t="shared" si="25"/>
        <v>32000</v>
      </c>
      <c r="N21" s="4">
        <f t="shared" si="26"/>
        <v>0</v>
      </c>
      <c r="O21" s="105">
        <f t="shared" si="27"/>
        <v>666.66666666666663</v>
      </c>
      <c r="P21" s="105">
        <f t="shared" si="28"/>
        <v>0</v>
      </c>
      <c r="Q21" s="77">
        <v>4</v>
      </c>
      <c r="R21" s="77">
        <v>2</v>
      </c>
      <c r="S21" s="77" t="s">
        <v>1241</v>
      </c>
      <c r="T21" s="5" t="s">
        <v>641</v>
      </c>
      <c r="U21" s="9"/>
      <c r="W21" s="104">
        <f t="shared" si="29"/>
        <v>158.30000000000001</v>
      </c>
      <c r="X21" s="106">
        <f t="shared" si="29"/>
        <v>48</v>
      </c>
      <c r="Y21" s="102">
        <f t="shared" si="30"/>
        <v>77</v>
      </c>
      <c r="Z21" s="109">
        <f t="shared" si="30"/>
        <v>32000</v>
      </c>
      <c r="AA21" s="109">
        <f t="shared" si="31"/>
        <v>0</v>
      </c>
      <c r="AB21" s="109">
        <f t="shared" si="32"/>
        <v>32000</v>
      </c>
      <c r="AC21" s="4">
        <f t="shared" si="32"/>
        <v>0</v>
      </c>
      <c r="AD21" s="105">
        <f t="shared" si="32"/>
        <v>666.66666666666663</v>
      </c>
      <c r="AE21" s="77" t="str">
        <f t="shared" si="33"/>
        <v>복</v>
      </c>
      <c r="AF21" s="77" t="str">
        <f t="shared" si="34"/>
        <v>4/2</v>
      </c>
      <c r="AH21" s="20" t="str">
        <f t="shared" si="1"/>
        <v>은파롯데캐슬</v>
      </c>
      <c r="AI21" s="106">
        <f t="shared" si="0"/>
        <v>48</v>
      </c>
      <c r="AJ21" s="77" t="str">
        <f t="shared" si="35"/>
        <v>A-</v>
      </c>
      <c r="AK21" s="77" t="s">
        <v>13</v>
      </c>
      <c r="AL21" s="77" t="s">
        <v>1242</v>
      </c>
      <c r="AM21" s="77" t="s">
        <v>1243</v>
      </c>
      <c r="AN21" s="77" t="str">
        <f t="shared" si="36"/>
        <v>C</v>
      </c>
      <c r="AO21" s="77" t="str">
        <f t="shared" si="37"/>
        <v>X</v>
      </c>
      <c r="AP21" s="77" t="str">
        <f t="shared" si="38"/>
        <v>O</v>
      </c>
      <c r="AQ21" s="77" t="str">
        <f t="shared" si="39"/>
        <v>O</v>
      </c>
      <c r="AR21" s="77" t="str">
        <f t="shared" si="40"/>
        <v>X</v>
      </c>
      <c r="AS21" s="77" t="s">
        <v>2</v>
      </c>
      <c r="AT21" s="77" t="str">
        <f t="shared" si="41"/>
        <v>X</v>
      </c>
      <c r="AU21" s="77" t="str">
        <f t="shared" si="42"/>
        <v>O</v>
      </c>
      <c r="AV21" s="77" t="str">
        <f t="shared" si="43"/>
        <v>X</v>
      </c>
    </row>
    <row r="22" spans="1:48" x14ac:dyDescent="0.3">
      <c r="A22" s="9" t="s">
        <v>635</v>
      </c>
      <c r="B22" s="10" t="s">
        <v>1296</v>
      </c>
      <c r="C22" s="107">
        <v>307</v>
      </c>
      <c r="D22" s="104">
        <v>158.30000000000001</v>
      </c>
      <c r="E22" s="106">
        <v>48</v>
      </c>
      <c r="F22" s="104">
        <v>125.8</v>
      </c>
      <c r="G22" s="17">
        <v>38</v>
      </c>
      <c r="H22" s="107">
        <v>22</v>
      </c>
      <c r="I22" s="108"/>
      <c r="J22" s="108"/>
      <c r="K22" s="108"/>
      <c r="L22" s="108"/>
      <c r="M22" s="109">
        <f t="shared" si="25"/>
        <v>0</v>
      </c>
      <c r="N22" s="4" t="str">
        <f t="shared" si="26"/>
        <v/>
      </c>
      <c r="O22" s="105">
        <f t="shared" si="27"/>
        <v>0</v>
      </c>
      <c r="P22" s="105">
        <f t="shared" si="28"/>
        <v>0</v>
      </c>
      <c r="Q22" s="77">
        <v>4</v>
      </c>
      <c r="R22" s="77">
        <v>2</v>
      </c>
      <c r="S22" s="77" t="s">
        <v>1241</v>
      </c>
      <c r="T22" s="5" t="s">
        <v>642</v>
      </c>
      <c r="U22" s="9"/>
      <c r="W22" s="104">
        <f t="shared" si="29"/>
        <v>158.30000000000001</v>
      </c>
      <c r="X22" s="106">
        <f t="shared" si="29"/>
        <v>48</v>
      </c>
      <c r="Y22" s="102">
        <f t="shared" si="30"/>
        <v>22</v>
      </c>
      <c r="Z22" s="109">
        <f t="shared" si="30"/>
        <v>0</v>
      </c>
      <c r="AA22" s="109">
        <f t="shared" si="31"/>
        <v>0</v>
      </c>
      <c r="AB22" s="109">
        <f t="shared" si="32"/>
        <v>0</v>
      </c>
      <c r="AC22" s="4" t="str">
        <f t="shared" si="32"/>
        <v/>
      </c>
      <c r="AD22" s="105">
        <f t="shared" si="32"/>
        <v>0</v>
      </c>
      <c r="AE22" s="77" t="str">
        <f t="shared" si="33"/>
        <v>복</v>
      </c>
      <c r="AF22" s="77" t="str">
        <f t="shared" si="34"/>
        <v>4/2</v>
      </c>
      <c r="AH22" s="20" t="str">
        <f t="shared" si="1"/>
        <v>은파롯데캐슬</v>
      </c>
      <c r="AI22" s="106">
        <f t="shared" si="0"/>
        <v>48</v>
      </c>
      <c r="AJ22" s="77" t="str">
        <f t="shared" si="35"/>
        <v>A-</v>
      </c>
      <c r="AK22" s="77" t="s">
        <v>13</v>
      </c>
      <c r="AL22" s="77" t="s">
        <v>1242</v>
      </c>
      <c r="AM22" s="77" t="s">
        <v>1243</v>
      </c>
      <c r="AN22" s="77" t="str">
        <f t="shared" si="36"/>
        <v>C</v>
      </c>
      <c r="AO22" s="77" t="str">
        <f t="shared" si="37"/>
        <v/>
      </c>
      <c r="AP22" s="77" t="str">
        <f t="shared" si="38"/>
        <v/>
      </c>
      <c r="AQ22" s="77" t="str">
        <f t="shared" si="39"/>
        <v>O</v>
      </c>
      <c r="AR22" s="77" t="str">
        <f t="shared" si="40"/>
        <v>O</v>
      </c>
      <c r="AS22" s="77" t="s">
        <v>2</v>
      </c>
      <c r="AT22" s="77" t="str">
        <f t="shared" si="41"/>
        <v>X</v>
      </c>
      <c r="AU22" s="77" t="str">
        <f t="shared" si="42"/>
        <v>O</v>
      </c>
      <c r="AV22" s="77" t="str">
        <f t="shared" si="43"/>
        <v/>
      </c>
    </row>
    <row r="23" spans="1:48" x14ac:dyDescent="0.3">
      <c r="A23" s="9" t="s">
        <v>635</v>
      </c>
      <c r="B23" s="10" t="s">
        <v>1296</v>
      </c>
      <c r="C23" s="107">
        <v>307</v>
      </c>
      <c r="D23" s="104">
        <v>189.5</v>
      </c>
      <c r="E23" s="106">
        <v>57</v>
      </c>
      <c r="F23" s="104">
        <v>149.5</v>
      </c>
      <c r="G23" s="17">
        <v>45</v>
      </c>
      <c r="H23" s="107">
        <v>26</v>
      </c>
      <c r="I23" s="108"/>
      <c r="J23" s="108"/>
      <c r="K23" s="108"/>
      <c r="L23" s="108"/>
      <c r="M23" s="109">
        <f t="shared" si="25"/>
        <v>0</v>
      </c>
      <c r="N23" s="4" t="str">
        <f t="shared" si="26"/>
        <v/>
      </c>
      <c r="O23" s="105">
        <f t="shared" si="27"/>
        <v>0</v>
      </c>
      <c r="P23" s="105">
        <f t="shared" si="28"/>
        <v>0</v>
      </c>
      <c r="Q23" s="77">
        <v>4</v>
      </c>
      <c r="R23" s="77">
        <v>2</v>
      </c>
      <c r="S23" s="77" t="s">
        <v>1241</v>
      </c>
      <c r="T23" s="5">
        <v>189</v>
      </c>
      <c r="U23" s="9"/>
      <c r="W23" s="104">
        <f t="shared" si="29"/>
        <v>189.5</v>
      </c>
      <c r="X23" s="106">
        <f t="shared" si="29"/>
        <v>57</v>
      </c>
      <c r="Y23" s="102">
        <f t="shared" si="30"/>
        <v>26</v>
      </c>
      <c r="Z23" s="109">
        <f t="shared" si="30"/>
        <v>0</v>
      </c>
      <c r="AA23" s="109">
        <f t="shared" si="31"/>
        <v>0</v>
      </c>
      <c r="AB23" s="109">
        <f t="shared" si="32"/>
        <v>0</v>
      </c>
      <c r="AC23" s="4" t="str">
        <f t="shared" si="32"/>
        <v/>
      </c>
      <c r="AD23" s="105">
        <f t="shared" si="32"/>
        <v>0</v>
      </c>
      <c r="AE23" s="77" t="str">
        <f t="shared" si="33"/>
        <v>복</v>
      </c>
      <c r="AF23" s="77" t="str">
        <f t="shared" si="34"/>
        <v>4/2</v>
      </c>
      <c r="AH23" s="20" t="str">
        <f t="shared" si="1"/>
        <v>은파롯데캐슬</v>
      </c>
      <c r="AI23" s="106">
        <f t="shared" si="0"/>
        <v>57</v>
      </c>
      <c r="AJ23" s="77" t="str">
        <f t="shared" si="35"/>
        <v>A-</v>
      </c>
      <c r="AK23" s="77" t="s">
        <v>13</v>
      </c>
      <c r="AL23" s="77" t="s">
        <v>1242</v>
      </c>
      <c r="AM23" s="77" t="s">
        <v>1243</v>
      </c>
      <c r="AN23" s="77" t="str">
        <f t="shared" si="36"/>
        <v>C</v>
      </c>
      <c r="AO23" s="77" t="str">
        <f t="shared" si="37"/>
        <v/>
      </c>
      <c r="AP23" s="77" t="str">
        <f t="shared" si="38"/>
        <v/>
      </c>
      <c r="AQ23" s="77" t="str">
        <f t="shared" si="39"/>
        <v>O</v>
      </c>
      <c r="AR23" s="77" t="str">
        <f t="shared" si="40"/>
        <v>O</v>
      </c>
      <c r="AS23" s="77" t="s">
        <v>2</v>
      </c>
      <c r="AT23" s="77" t="str">
        <f t="shared" si="41"/>
        <v>X</v>
      </c>
      <c r="AU23" s="77" t="str">
        <f t="shared" si="42"/>
        <v>O</v>
      </c>
      <c r="AV23" s="77" t="str">
        <f t="shared" si="43"/>
        <v/>
      </c>
    </row>
    <row r="24" spans="1:48" x14ac:dyDescent="0.3">
      <c r="A24" s="9" t="s">
        <v>635</v>
      </c>
      <c r="B24" s="10" t="s">
        <v>1296</v>
      </c>
      <c r="C24" s="107">
        <v>307</v>
      </c>
      <c r="D24" s="104">
        <v>241.3</v>
      </c>
      <c r="E24" s="106">
        <v>73</v>
      </c>
      <c r="F24" s="104">
        <v>194.7</v>
      </c>
      <c r="G24" s="17">
        <v>59</v>
      </c>
      <c r="H24" s="107">
        <v>1</v>
      </c>
      <c r="I24" s="108"/>
      <c r="J24" s="108"/>
      <c r="K24" s="108"/>
      <c r="L24" s="108"/>
      <c r="M24" s="109">
        <f t="shared" si="25"/>
        <v>0</v>
      </c>
      <c r="N24" s="4" t="str">
        <f t="shared" si="26"/>
        <v/>
      </c>
      <c r="O24" s="105">
        <f t="shared" si="27"/>
        <v>0</v>
      </c>
      <c r="P24" s="105">
        <f t="shared" si="28"/>
        <v>0</v>
      </c>
      <c r="Q24" s="77">
        <v>4</v>
      </c>
      <c r="R24" s="77">
        <v>2</v>
      </c>
      <c r="S24" s="77" t="s">
        <v>1241</v>
      </c>
      <c r="T24" s="5">
        <v>241</v>
      </c>
      <c r="U24" s="9"/>
      <c r="W24" s="104">
        <f t="shared" si="29"/>
        <v>241.3</v>
      </c>
      <c r="X24" s="106">
        <f t="shared" si="29"/>
        <v>73</v>
      </c>
      <c r="Y24" s="102">
        <f t="shared" si="30"/>
        <v>1</v>
      </c>
      <c r="Z24" s="109">
        <f t="shared" si="30"/>
        <v>0</v>
      </c>
      <c r="AA24" s="109">
        <f t="shared" si="31"/>
        <v>0</v>
      </c>
      <c r="AB24" s="109">
        <f t="shared" si="32"/>
        <v>0</v>
      </c>
      <c r="AC24" s="4" t="str">
        <f t="shared" si="32"/>
        <v/>
      </c>
      <c r="AD24" s="105">
        <f t="shared" si="32"/>
        <v>0</v>
      </c>
      <c r="AE24" s="77" t="str">
        <f t="shared" si="33"/>
        <v>복</v>
      </c>
      <c r="AF24" s="77" t="str">
        <f t="shared" si="34"/>
        <v>4/2</v>
      </c>
      <c r="AH24" s="20" t="str">
        <f t="shared" si="1"/>
        <v>은파롯데캐슬</v>
      </c>
      <c r="AI24" s="106">
        <f t="shared" si="0"/>
        <v>73</v>
      </c>
      <c r="AJ24" s="77" t="str">
        <f t="shared" si="35"/>
        <v>A-</v>
      </c>
      <c r="AK24" s="77" t="s">
        <v>13</v>
      </c>
      <c r="AL24" s="77" t="s">
        <v>1242</v>
      </c>
      <c r="AM24" s="77" t="s">
        <v>1243</v>
      </c>
      <c r="AN24" s="77" t="str">
        <f t="shared" si="36"/>
        <v>C</v>
      </c>
      <c r="AO24" s="77" t="str">
        <f t="shared" si="37"/>
        <v/>
      </c>
      <c r="AP24" s="77" t="str">
        <f t="shared" si="38"/>
        <v/>
      </c>
      <c r="AQ24" s="77" t="str">
        <f t="shared" si="39"/>
        <v>O</v>
      </c>
      <c r="AR24" s="77" t="str">
        <f t="shared" si="40"/>
        <v>O</v>
      </c>
      <c r="AS24" s="77" t="s">
        <v>2</v>
      </c>
      <c r="AT24" s="77" t="str">
        <f t="shared" si="41"/>
        <v>X</v>
      </c>
      <c r="AU24" s="77" t="str">
        <f t="shared" si="42"/>
        <v>O</v>
      </c>
      <c r="AV24" s="77" t="str">
        <f t="shared" si="43"/>
        <v/>
      </c>
    </row>
    <row r="25" spans="1:48" x14ac:dyDescent="0.3">
      <c r="A25" s="9"/>
      <c r="B25" s="77"/>
      <c r="C25" s="6"/>
      <c r="D25" s="9"/>
      <c r="E25" s="14"/>
      <c r="F25" s="104"/>
      <c r="G25" s="9"/>
      <c r="H25" s="9"/>
      <c r="I25" s="9"/>
      <c r="J25" s="9"/>
      <c r="K25" s="9"/>
      <c r="L25" s="9"/>
      <c r="M25" s="9"/>
      <c r="N25" s="9"/>
      <c r="O25" s="105"/>
      <c r="P25" s="105"/>
      <c r="Q25" s="106"/>
      <c r="R25" s="106"/>
      <c r="S25" s="9"/>
      <c r="T25" s="47"/>
      <c r="U25" s="9"/>
      <c r="W25" s="67" t="str">
        <f>$A$4&amp;" "&amp;A26&amp;"("&amp;B26&amp;","&amp;C26&amp;"^)"</f>
        <v>미룡동 미룡주공3단지('01.06.,1460^)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3" t="str">
        <f t="shared" si="0"/>
        <v/>
      </c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</row>
    <row r="26" spans="1:48" x14ac:dyDescent="0.3">
      <c r="A26" s="9" t="s">
        <v>648</v>
      </c>
      <c r="B26" s="10" t="s">
        <v>1297</v>
      </c>
      <c r="C26" s="107">
        <v>1460</v>
      </c>
      <c r="D26" s="104">
        <v>64.3</v>
      </c>
      <c r="E26" s="106">
        <v>19</v>
      </c>
      <c r="F26" s="104">
        <v>49</v>
      </c>
      <c r="G26" s="17">
        <v>15</v>
      </c>
      <c r="H26" s="107">
        <v>36</v>
      </c>
      <c r="I26" s="108"/>
      <c r="J26" s="108"/>
      <c r="K26" s="108"/>
      <c r="L26" s="108"/>
      <c r="M26" s="109">
        <f>I26-K26</f>
        <v>0</v>
      </c>
      <c r="N26" s="4" t="str">
        <f>IF(ISERROR(K26/I26),"",K26/I26)</f>
        <v/>
      </c>
      <c r="O26" s="105">
        <f>I26/E26</f>
        <v>0</v>
      </c>
      <c r="P26" s="105">
        <f>K26/E26</f>
        <v>0</v>
      </c>
      <c r="Q26" s="77">
        <v>2</v>
      </c>
      <c r="R26" s="77">
        <v>1</v>
      </c>
      <c r="S26" s="77" t="s">
        <v>1244</v>
      </c>
      <c r="T26" s="5" t="s">
        <v>391</v>
      </c>
      <c r="U26" s="9"/>
      <c r="W26" s="104">
        <f t="shared" ref="W26:X30" si="44">D26</f>
        <v>64.3</v>
      </c>
      <c r="X26" s="106">
        <f t="shared" si="44"/>
        <v>19</v>
      </c>
      <c r="Y26" s="102">
        <f t="shared" ref="Y26:Z30" si="45">H26</f>
        <v>36</v>
      </c>
      <c r="Z26" s="109">
        <f t="shared" si="45"/>
        <v>0</v>
      </c>
      <c r="AA26" s="109">
        <f>K26</f>
        <v>0</v>
      </c>
      <c r="AB26" s="109">
        <f t="shared" ref="AB26:AD30" si="46">M26</f>
        <v>0</v>
      </c>
      <c r="AC26" s="4" t="str">
        <f t="shared" si="46"/>
        <v/>
      </c>
      <c r="AD26" s="105">
        <f t="shared" si="46"/>
        <v>0</v>
      </c>
      <c r="AE26" s="77" t="str">
        <f>S26</f>
        <v>계</v>
      </c>
      <c r="AF26" s="77" t="str">
        <f>Q26&amp;"/"&amp;R26</f>
        <v>2/1</v>
      </c>
      <c r="AH26" s="20" t="str">
        <f t="shared" si="1"/>
        <v>미룡주공3단지</v>
      </c>
      <c r="AI26" s="106">
        <f t="shared" si="0"/>
        <v>19</v>
      </c>
      <c r="AJ26" s="77" t="str">
        <f>IF(AI26="","",$AJ$2)</f>
        <v>A-</v>
      </c>
      <c r="AK26" s="77" t="s">
        <v>13</v>
      </c>
      <c r="AL26" s="77" t="s">
        <v>1242</v>
      </c>
      <c r="AM26" s="77" t="s">
        <v>1243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O</v>
      </c>
      <c r="AV26" s="77" t="str">
        <f>IF(AO26="","",IF(AND(AO26="O",AP26="O",AR26="O",AT26="O",AU26="O"),"후보","X"))</f>
        <v/>
      </c>
    </row>
    <row r="27" spans="1:48" x14ac:dyDescent="0.3">
      <c r="A27" s="9" t="s">
        <v>648</v>
      </c>
      <c r="B27" s="10" t="s">
        <v>1297</v>
      </c>
      <c r="C27" s="107">
        <v>1460</v>
      </c>
      <c r="D27" s="104">
        <v>65.400000000000006</v>
      </c>
      <c r="E27" s="106">
        <v>20</v>
      </c>
      <c r="F27" s="104">
        <v>49.9</v>
      </c>
      <c r="G27" s="17">
        <v>15</v>
      </c>
      <c r="H27" s="107">
        <v>529</v>
      </c>
      <c r="I27" s="108">
        <v>8000</v>
      </c>
      <c r="J27" s="108" t="s">
        <v>1255</v>
      </c>
      <c r="K27" s="108">
        <v>7500</v>
      </c>
      <c r="L27" s="108" t="s">
        <v>1294</v>
      </c>
      <c r="M27" s="109">
        <f>I27-K27</f>
        <v>500</v>
      </c>
      <c r="N27" s="4">
        <f>IF(ISERROR(K27/I27),"",K27/I27)</f>
        <v>0.9375</v>
      </c>
      <c r="O27" s="105">
        <f>I27/E27</f>
        <v>400</v>
      </c>
      <c r="P27" s="105">
        <f>K27/E27</f>
        <v>375</v>
      </c>
      <c r="Q27" s="77">
        <v>2</v>
      </c>
      <c r="R27" s="77">
        <v>1</v>
      </c>
      <c r="S27" s="77" t="s">
        <v>1244</v>
      </c>
      <c r="T27" s="5" t="s">
        <v>653</v>
      </c>
      <c r="U27" s="9"/>
      <c r="W27" s="104">
        <f t="shared" si="44"/>
        <v>65.400000000000006</v>
      </c>
      <c r="X27" s="106">
        <f t="shared" si="44"/>
        <v>20</v>
      </c>
      <c r="Y27" s="102">
        <f t="shared" si="45"/>
        <v>529</v>
      </c>
      <c r="Z27" s="109">
        <f t="shared" si="45"/>
        <v>8000</v>
      </c>
      <c r="AA27" s="109">
        <f>K27</f>
        <v>7500</v>
      </c>
      <c r="AB27" s="109">
        <f t="shared" si="46"/>
        <v>500</v>
      </c>
      <c r="AC27" s="4">
        <f t="shared" si="46"/>
        <v>0.9375</v>
      </c>
      <c r="AD27" s="105">
        <f t="shared" si="46"/>
        <v>400</v>
      </c>
      <c r="AE27" s="77" t="str">
        <f>S27</f>
        <v>계</v>
      </c>
      <c r="AF27" s="77" t="str">
        <f>Q27&amp;"/"&amp;R27</f>
        <v>2/1</v>
      </c>
      <c r="AH27" s="20" t="str">
        <f t="shared" si="1"/>
        <v>미룡주공3단지</v>
      </c>
      <c r="AI27" s="106">
        <f t="shared" si="0"/>
        <v>20</v>
      </c>
      <c r="AJ27" s="77" t="str">
        <f>IF(AI27="","",$AJ$2)</f>
        <v>A-</v>
      </c>
      <c r="AK27" s="77" t="s">
        <v>13</v>
      </c>
      <c r="AL27" s="77" t="s">
        <v>1242</v>
      </c>
      <c r="AM27" s="77" t="s">
        <v>1243</v>
      </c>
      <c r="AN27" s="77" t="str">
        <f>IF(AI27="","",$AN$2)</f>
        <v>C</v>
      </c>
      <c r="AO27" s="77" t="str">
        <f>IF(N27="","",IF(N27&gt;=$AO$1/100,"O","X"))</f>
        <v>O</v>
      </c>
      <c r="AP27" s="77" t="str">
        <f>IF(I27="","",IF(I27&lt;=$AP$1,"O","X"))</f>
        <v>O</v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O</v>
      </c>
      <c r="AV27" s="77" t="str">
        <f>IF(AO27="","",IF(AND(AO27="O",AP27="O",AR27="O",AT27="O",AU27="O"),"후보","X"))</f>
        <v>후보</v>
      </c>
    </row>
    <row r="28" spans="1:48" x14ac:dyDescent="0.3">
      <c r="A28" s="9" t="s">
        <v>648</v>
      </c>
      <c r="B28" s="10" t="s">
        <v>1297</v>
      </c>
      <c r="C28" s="107">
        <v>1460</v>
      </c>
      <c r="D28" s="104">
        <v>65</v>
      </c>
      <c r="E28" s="106">
        <v>20</v>
      </c>
      <c r="F28" s="104">
        <v>49.6</v>
      </c>
      <c r="G28" s="17">
        <v>15</v>
      </c>
      <c r="H28" s="107">
        <v>55</v>
      </c>
      <c r="I28" s="108">
        <v>8500</v>
      </c>
      <c r="J28" s="108" t="s">
        <v>1262</v>
      </c>
      <c r="K28" s="108"/>
      <c r="L28" s="108"/>
      <c r="M28" s="109">
        <f>I28-K28</f>
        <v>8500</v>
      </c>
      <c r="N28" s="4">
        <f>IF(ISERROR(K28/I28),"",K28/I28)</f>
        <v>0</v>
      </c>
      <c r="O28" s="105">
        <f>I28/E28</f>
        <v>425</v>
      </c>
      <c r="P28" s="105">
        <f>K28/E28</f>
        <v>0</v>
      </c>
      <c r="Q28" s="77">
        <v>2</v>
      </c>
      <c r="R28" s="77">
        <v>1</v>
      </c>
      <c r="S28" s="77" t="s">
        <v>1244</v>
      </c>
      <c r="T28" s="5" t="s">
        <v>228</v>
      </c>
      <c r="U28" s="9"/>
      <c r="W28" s="104">
        <f t="shared" si="44"/>
        <v>65</v>
      </c>
      <c r="X28" s="106">
        <f t="shared" si="44"/>
        <v>20</v>
      </c>
      <c r="Y28" s="102">
        <f t="shared" si="45"/>
        <v>55</v>
      </c>
      <c r="Z28" s="109">
        <f t="shared" si="45"/>
        <v>8500</v>
      </c>
      <c r="AA28" s="109">
        <f>K28</f>
        <v>0</v>
      </c>
      <c r="AB28" s="109">
        <f t="shared" si="46"/>
        <v>8500</v>
      </c>
      <c r="AC28" s="4">
        <f t="shared" si="46"/>
        <v>0</v>
      </c>
      <c r="AD28" s="105">
        <f t="shared" si="46"/>
        <v>425</v>
      </c>
      <c r="AE28" s="77" t="str">
        <f>S28</f>
        <v>계</v>
      </c>
      <c r="AF28" s="77" t="str">
        <f>Q28&amp;"/"&amp;R28</f>
        <v>2/1</v>
      </c>
      <c r="AH28" s="20" t="str">
        <f t="shared" si="1"/>
        <v>미룡주공3단지</v>
      </c>
      <c r="AI28" s="106">
        <f t="shared" si="0"/>
        <v>20</v>
      </c>
      <c r="AJ28" s="77" t="str">
        <f>IF(AI28="","",$AJ$2)</f>
        <v>A-</v>
      </c>
      <c r="AK28" s="77" t="s">
        <v>13</v>
      </c>
      <c r="AL28" s="77" t="s">
        <v>1242</v>
      </c>
      <c r="AM28" s="77" t="s">
        <v>1243</v>
      </c>
      <c r="AN28" s="77" t="str">
        <f>IF(AI28="","",$AN$2)</f>
        <v>C</v>
      </c>
      <c r="AO28" s="77" t="str">
        <f>IF(N28="","",IF(N28&gt;=$AO$1/100,"O","X"))</f>
        <v>X</v>
      </c>
      <c r="AP28" s="77" t="str">
        <f>IF(I28="","",IF(I28&lt;=$AP$1,"O","X"))</f>
        <v>O</v>
      </c>
      <c r="AQ28" s="77" t="str">
        <f>IF(O28="","",IF(O28&lt;=$AQ$1,"O","X"))</f>
        <v>O</v>
      </c>
      <c r="AR28" s="77" t="str">
        <f>IF(M28="","",IF(M28&lt;=$AR$1,"O","X"))</f>
        <v>X</v>
      </c>
      <c r="AS28" s="77" t="s">
        <v>2</v>
      </c>
      <c r="AT28" s="77" t="str">
        <f>IF(OR(F28="",AI28=""),"",IF(AND((F28&lt;=85),(AI28&gt;=15)),"O","X"))</f>
        <v>O</v>
      </c>
      <c r="AU28" s="77" t="str">
        <f>IF(C28="","",IF(C28&gt;=$AU$1,"O","X"))</f>
        <v>O</v>
      </c>
      <c r="AV28" s="77" t="str">
        <f>IF(AO28="","",IF(AND(AO28="O",AP28="O",AR28="O",AT28="O",AU28="O"),"후보","X"))</f>
        <v>X</v>
      </c>
    </row>
    <row r="29" spans="1:48" x14ac:dyDescent="0.3">
      <c r="A29" s="9" t="s">
        <v>648</v>
      </c>
      <c r="B29" s="10" t="s">
        <v>1297</v>
      </c>
      <c r="C29" s="107">
        <v>1460</v>
      </c>
      <c r="D29" s="104">
        <v>77.900000000000006</v>
      </c>
      <c r="E29" s="106">
        <v>24</v>
      </c>
      <c r="F29" s="104">
        <v>59.4</v>
      </c>
      <c r="G29" s="17">
        <v>18</v>
      </c>
      <c r="H29" s="107">
        <v>759</v>
      </c>
      <c r="I29" s="108">
        <v>11400</v>
      </c>
      <c r="J29" s="108" t="s">
        <v>1294</v>
      </c>
      <c r="K29" s="108">
        <v>12000</v>
      </c>
      <c r="L29" s="108" t="s">
        <v>1280</v>
      </c>
      <c r="M29" s="109">
        <f>I29-K29</f>
        <v>-600</v>
      </c>
      <c r="N29" s="4">
        <f>IF(ISERROR(K29/I29),"",K29/I29)</f>
        <v>1.0526315789473684</v>
      </c>
      <c r="O29" s="105">
        <f>I29/E29</f>
        <v>475</v>
      </c>
      <c r="P29" s="105">
        <f>K29/E29</f>
        <v>500</v>
      </c>
      <c r="Q29" s="77">
        <v>3</v>
      </c>
      <c r="R29" s="77">
        <v>1</v>
      </c>
      <c r="S29" s="77" t="s">
        <v>1244</v>
      </c>
      <c r="T29" s="5" t="s">
        <v>654</v>
      </c>
      <c r="U29" s="9"/>
      <c r="W29" s="104">
        <f t="shared" si="44"/>
        <v>77.900000000000006</v>
      </c>
      <c r="X29" s="106">
        <f t="shared" si="44"/>
        <v>24</v>
      </c>
      <c r="Y29" s="102">
        <f t="shared" si="45"/>
        <v>759</v>
      </c>
      <c r="Z29" s="109">
        <f t="shared" si="45"/>
        <v>11400</v>
      </c>
      <c r="AA29" s="109">
        <f>K29</f>
        <v>12000</v>
      </c>
      <c r="AB29" s="109">
        <f t="shared" si="46"/>
        <v>-600</v>
      </c>
      <c r="AC29" s="4">
        <f t="shared" si="46"/>
        <v>1.0526315789473684</v>
      </c>
      <c r="AD29" s="105">
        <f t="shared" si="46"/>
        <v>475</v>
      </c>
      <c r="AE29" s="77" t="str">
        <f>S29</f>
        <v>계</v>
      </c>
      <c r="AF29" s="77" t="str">
        <f>Q29&amp;"/"&amp;R29</f>
        <v>3/1</v>
      </c>
      <c r="AH29" s="20" t="str">
        <f t="shared" si="1"/>
        <v>미룡주공3단지</v>
      </c>
      <c r="AI29" s="106">
        <f t="shared" si="0"/>
        <v>24</v>
      </c>
      <c r="AJ29" s="77" t="str">
        <f>IF(AI29="","",$AJ$2)</f>
        <v>A-</v>
      </c>
      <c r="AK29" s="77" t="s">
        <v>13</v>
      </c>
      <c r="AL29" s="77" t="s">
        <v>1242</v>
      </c>
      <c r="AM29" s="77" t="s">
        <v>1243</v>
      </c>
      <c r="AN29" s="77" t="str">
        <f>IF(AI29="","",$AN$2)</f>
        <v>C</v>
      </c>
      <c r="AO29" s="77" t="str">
        <f>IF(N29="","",IF(N29&gt;=$AO$1/100,"O","X"))</f>
        <v>O</v>
      </c>
      <c r="AP29" s="77" t="str">
        <f>IF(I29="","",IF(I29&lt;=$AP$1,"O","X"))</f>
        <v>O</v>
      </c>
      <c r="AQ29" s="77" t="str">
        <f>IF(O29="","",IF(O29&lt;=$AQ$1,"O","X"))</f>
        <v>O</v>
      </c>
      <c r="AR29" s="77" t="str">
        <f>IF(M29="","",IF(M29&lt;=$AR$1,"O","X"))</f>
        <v>O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>후보</v>
      </c>
    </row>
    <row r="30" spans="1:48" x14ac:dyDescent="0.3">
      <c r="A30" s="9" t="s">
        <v>648</v>
      </c>
      <c r="B30" s="10" t="s">
        <v>1297</v>
      </c>
      <c r="C30" s="107">
        <v>1460</v>
      </c>
      <c r="D30" s="104">
        <v>77.599999999999994</v>
      </c>
      <c r="E30" s="106">
        <v>23</v>
      </c>
      <c r="F30" s="104">
        <v>59.2</v>
      </c>
      <c r="G30" s="17">
        <v>18</v>
      </c>
      <c r="H30" s="107">
        <v>81</v>
      </c>
      <c r="I30" s="108"/>
      <c r="J30" s="108"/>
      <c r="K30" s="108"/>
      <c r="L30" s="108"/>
      <c r="M30" s="109">
        <f>I30-K30</f>
        <v>0</v>
      </c>
      <c r="N30" s="4" t="str">
        <f>IF(ISERROR(K30/I30),"",K30/I30)</f>
        <v/>
      </c>
      <c r="O30" s="105">
        <f>I30/E30</f>
        <v>0</v>
      </c>
      <c r="P30" s="105">
        <f>K30/E30</f>
        <v>0</v>
      </c>
      <c r="Q30" s="77">
        <v>3</v>
      </c>
      <c r="R30" s="77">
        <v>1</v>
      </c>
      <c r="S30" s="77" t="s">
        <v>1244</v>
      </c>
      <c r="T30" s="5" t="s">
        <v>655</v>
      </c>
      <c r="U30" s="9"/>
      <c r="W30" s="104">
        <f t="shared" si="44"/>
        <v>77.599999999999994</v>
      </c>
      <c r="X30" s="106">
        <f t="shared" si="44"/>
        <v>23</v>
      </c>
      <c r="Y30" s="102">
        <f t="shared" si="45"/>
        <v>81</v>
      </c>
      <c r="Z30" s="109">
        <f t="shared" si="45"/>
        <v>0</v>
      </c>
      <c r="AA30" s="109">
        <f>K30</f>
        <v>0</v>
      </c>
      <c r="AB30" s="109">
        <f t="shared" si="46"/>
        <v>0</v>
      </c>
      <c r="AC30" s="4" t="str">
        <f t="shared" si="46"/>
        <v/>
      </c>
      <c r="AD30" s="105">
        <f t="shared" si="46"/>
        <v>0</v>
      </c>
      <c r="AE30" s="77" t="str">
        <f>S30</f>
        <v>계</v>
      </c>
      <c r="AF30" s="77" t="str">
        <f>Q30&amp;"/"&amp;R30</f>
        <v>3/1</v>
      </c>
      <c r="AH30" s="20" t="str">
        <f t="shared" si="1"/>
        <v>미룡주공3단지</v>
      </c>
      <c r="AI30" s="106">
        <f t="shared" si="0"/>
        <v>23</v>
      </c>
      <c r="AJ30" s="77" t="str">
        <f>IF(AI30="","",$AJ$2)</f>
        <v>A-</v>
      </c>
      <c r="AK30" s="77" t="s">
        <v>13</v>
      </c>
      <c r="AL30" s="77" t="s">
        <v>1242</v>
      </c>
      <c r="AM30" s="77" t="s">
        <v>1243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/>
      </c>
    </row>
    <row r="31" spans="1:48" x14ac:dyDescent="0.3">
      <c r="A31" s="9"/>
      <c r="B31" s="77"/>
      <c r="C31" s="6"/>
      <c r="D31" s="9"/>
      <c r="E31" s="14"/>
      <c r="F31" s="104"/>
      <c r="G31" s="9"/>
      <c r="H31" s="9"/>
      <c r="I31" s="9"/>
      <c r="J31" s="9"/>
      <c r="K31" s="9"/>
      <c r="L31" s="9"/>
      <c r="M31" s="9"/>
      <c r="N31" s="9"/>
      <c r="O31" s="105"/>
      <c r="P31" s="105"/>
      <c r="Q31" s="106"/>
      <c r="R31" s="106"/>
      <c r="S31" s="9"/>
      <c r="T31" s="47"/>
      <c r="U31" s="9"/>
      <c r="W31" s="67" t="str">
        <f>$A$4&amp;" "&amp;A32&amp;"("&amp;B32&amp;","&amp;C32&amp;"^)"</f>
        <v>미룡동 산북부향하나로3차('98.04.,346^)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3" t="str">
        <f t="shared" si="0"/>
        <v/>
      </c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</row>
    <row r="32" spans="1:48" x14ac:dyDescent="0.3">
      <c r="A32" s="9" t="s">
        <v>656</v>
      </c>
      <c r="B32" s="10" t="s">
        <v>1298</v>
      </c>
      <c r="C32" s="107">
        <v>346</v>
      </c>
      <c r="D32" s="104">
        <v>45.2</v>
      </c>
      <c r="E32" s="106">
        <v>14</v>
      </c>
      <c r="F32" s="104">
        <v>32.799999999999997</v>
      </c>
      <c r="G32" s="17">
        <v>10</v>
      </c>
      <c r="H32" s="107">
        <v>12</v>
      </c>
      <c r="I32" s="108"/>
      <c r="J32" s="108"/>
      <c r="K32" s="108"/>
      <c r="L32" s="108"/>
      <c r="M32" s="109">
        <f>I32-K32</f>
        <v>0</v>
      </c>
      <c r="N32" s="4" t="str">
        <f>IF(ISERROR(K32/I32),"",K32/I32)</f>
        <v/>
      </c>
      <c r="O32" s="105">
        <f>I32/E32</f>
        <v>0</v>
      </c>
      <c r="P32" s="105">
        <f>K32/E32</f>
        <v>0</v>
      </c>
      <c r="Q32" s="77">
        <v>2</v>
      </c>
      <c r="R32" s="77">
        <v>1</v>
      </c>
      <c r="S32" s="77" t="s">
        <v>1244</v>
      </c>
      <c r="T32" s="5">
        <v>45</v>
      </c>
      <c r="U32" s="9"/>
      <c r="W32" s="104">
        <f>D32</f>
        <v>45.2</v>
      </c>
      <c r="X32" s="106">
        <f>E32</f>
        <v>14</v>
      </c>
      <c r="Y32" s="102">
        <f>H32</f>
        <v>12</v>
      </c>
      <c r="Z32" s="109">
        <f>I32</f>
        <v>0</v>
      </c>
      <c r="AA32" s="109">
        <f>K32</f>
        <v>0</v>
      </c>
      <c r="AB32" s="109">
        <f t="shared" ref="AB32:AD33" si="47">M32</f>
        <v>0</v>
      </c>
      <c r="AC32" s="4" t="str">
        <f t="shared" si="47"/>
        <v/>
      </c>
      <c r="AD32" s="105">
        <f t="shared" si="47"/>
        <v>0</v>
      </c>
      <c r="AE32" s="77" t="str">
        <f>S32</f>
        <v>계</v>
      </c>
      <c r="AF32" s="77" t="str">
        <f>Q32&amp;"/"&amp;R32</f>
        <v>2/1</v>
      </c>
      <c r="AH32" s="20" t="str">
        <f t="shared" si="1"/>
        <v>산북부향하나로3차</v>
      </c>
      <c r="AI32" s="106">
        <f t="shared" si="0"/>
        <v>14</v>
      </c>
      <c r="AJ32" s="77" t="str">
        <f>IF(AI32="","",$AJ$2)</f>
        <v>A-</v>
      </c>
      <c r="AK32" s="77" t="s">
        <v>13</v>
      </c>
      <c r="AL32" s="77" t="s">
        <v>1242</v>
      </c>
      <c r="AM32" s="77" t="s">
        <v>1243</v>
      </c>
      <c r="AN32" s="77" t="str">
        <f>IF(AI32="","",$AN$2)</f>
        <v>C</v>
      </c>
      <c r="AO32" s="77" t="str">
        <f>IF(N32="","",IF(N32&gt;=$AO$1/100,"O","X"))</f>
        <v/>
      </c>
      <c r="AP32" s="77" t="str">
        <f>IF(I32="","",IF(I32&lt;=$AP$1,"O","X"))</f>
        <v/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X</v>
      </c>
      <c r="AU32" s="77" t="str">
        <f>IF(C32="","",IF(C32&gt;=$AU$1,"O","X"))</f>
        <v>O</v>
      </c>
      <c r="AV32" s="77" t="str">
        <f>IF(AO32="","",IF(AND(AO32="O",AP32="O",AR32="O",AT32="O",AU32="O"),"후보","X"))</f>
        <v/>
      </c>
    </row>
    <row r="33" spans="1:48" x14ac:dyDescent="0.3">
      <c r="A33" s="9" t="s">
        <v>656</v>
      </c>
      <c r="B33" s="10" t="s">
        <v>1298</v>
      </c>
      <c r="C33" s="107">
        <v>346</v>
      </c>
      <c r="D33" s="104">
        <v>55.1</v>
      </c>
      <c r="E33" s="106">
        <v>17</v>
      </c>
      <c r="F33" s="104">
        <v>40</v>
      </c>
      <c r="G33" s="17">
        <v>12</v>
      </c>
      <c r="H33" s="107">
        <v>334</v>
      </c>
      <c r="I33" s="108"/>
      <c r="J33" s="108"/>
      <c r="K33" s="108"/>
      <c r="L33" s="108"/>
      <c r="M33" s="109">
        <f>I33-K33</f>
        <v>0</v>
      </c>
      <c r="N33" s="4" t="str">
        <f>IF(ISERROR(K33/I33),"",K33/I33)</f>
        <v/>
      </c>
      <c r="O33" s="105">
        <f>I33/E33</f>
        <v>0</v>
      </c>
      <c r="P33" s="105">
        <f>K33/E33</f>
        <v>0</v>
      </c>
      <c r="Q33" s="77">
        <v>2</v>
      </c>
      <c r="R33" s="77">
        <v>1</v>
      </c>
      <c r="S33" s="77" t="s">
        <v>1244</v>
      </c>
      <c r="T33" s="5">
        <v>55</v>
      </c>
      <c r="U33" s="9"/>
      <c r="W33" s="104">
        <f>D33</f>
        <v>55.1</v>
      </c>
      <c r="X33" s="106">
        <f>E33</f>
        <v>17</v>
      </c>
      <c r="Y33" s="102">
        <f>H33</f>
        <v>334</v>
      </c>
      <c r="Z33" s="109">
        <f>I33</f>
        <v>0</v>
      </c>
      <c r="AA33" s="109">
        <f>K33</f>
        <v>0</v>
      </c>
      <c r="AB33" s="109">
        <f t="shared" si="47"/>
        <v>0</v>
      </c>
      <c r="AC33" s="4" t="str">
        <f t="shared" si="47"/>
        <v/>
      </c>
      <c r="AD33" s="105">
        <f t="shared" si="47"/>
        <v>0</v>
      </c>
      <c r="AE33" s="77" t="str">
        <f>S33</f>
        <v>계</v>
      </c>
      <c r="AF33" s="77" t="str">
        <f>Q33&amp;"/"&amp;R33</f>
        <v>2/1</v>
      </c>
      <c r="AH33" s="20" t="str">
        <f t="shared" si="1"/>
        <v>산북부향하나로3차</v>
      </c>
      <c r="AI33" s="106">
        <f t="shared" si="0"/>
        <v>17</v>
      </c>
      <c r="AJ33" s="77" t="str">
        <f>IF(AI33="","",$AJ$2)</f>
        <v>A-</v>
      </c>
      <c r="AK33" s="77" t="s">
        <v>13</v>
      </c>
      <c r="AL33" s="77" t="s">
        <v>1242</v>
      </c>
      <c r="AM33" s="77" t="s">
        <v>1243</v>
      </c>
      <c r="AN33" s="77" t="str">
        <f>IF(AI33="","",$AN$2)</f>
        <v>C</v>
      </c>
      <c r="AO33" s="77" t="str">
        <f>IF(N33="","",IF(N33&gt;=$AO$1/100,"O","X"))</f>
        <v/>
      </c>
      <c r="AP33" s="77" t="str">
        <f>IF(I33="","",IF(I33&lt;=$AP$1,"O","X"))</f>
        <v/>
      </c>
      <c r="AQ33" s="77" t="str">
        <f>IF(O33="","",IF(O33&lt;=$AQ$1,"O","X"))</f>
        <v>O</v>
      </c>
      <c r="AR33" s="77" t="str">
        <f>IF(M33="","",IF(M33&lt;=$AR$1,"O","X"))</f>
        <v>O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/>
      </c>
    </row>
    <row r="34" spans="1:48" x14ac:dyDescent="0.3">
      <c r="A34" s="9"/>
      <c r="B34" s="77"/>
      <c r="C34" s="6"/>
      <c r="D34" s="9"/>
      <c r="E34" s="14"/>
      <c r="F34" s="104"/>
      <c r="G34" s="9"/>
      <c r="H34" s="9"/>
      <c r="I34" s="9"/>
      <c r="J34" s="9"/>
      <c r="K34" s="9"/>
      <c r="L34" s="9"/>
      <c r="M34" s="9"/>
      <c r="N34" s="9"/>
      <c r="O34" s="105"/>
      <c r="P34" s="105"/>
      <c r="Q34" s="106"/>
      <c r="R34" s="106"/>
      <c r="S34" s="9"/>
      <c r="T34" s="47"/>
      <c r="U34" s="9"/>
      <c r="W34" s="67" t="str">
        <f>$A$4&amp;" "&amp;A35&amp;"("&amp;B35&amp;","&amp;C35&amp;"^)"</f>
        <v>미룡동 은파리젠시빌파크('07.02.,317^)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3" t="str">
        <f t="shared" si="0"/>
        <v/>
      </c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</row>
    <row r="35" spans="1:48" x14ac:dyDescent="0.3">
      <c r="A35" s="9" t="s">
        <v>661</v>
      </c>
      <c r="B35" s="10" t="s">
        <v>1299</v>
      </c>
      <c r="C35" s="107">
        <v>317</v>
      </c>
      <c r="D35" s="104">
        <v>115.9</v>
      </c>
      <c r="E35" s="106">
        <v>35</v>
      </c>
      <c r="F35" s="104">
        <v>84.9</v>
      </c>
      <c r="G35" s="17">
        <v>26</v>
      </c>
      <c r="H35" s="107">
        <v>233</v>
      </c>
      <c r="I35" s="108"/>
      <c r="J35" s="108"/>
      <c r="K35" s="108"/>
      <c r="L35" s="108"/>
      <c r="M35" s="109">
        <f>I35-K35</f>
        <v>0</v>
      </c>
      <c r="N35" s="4" t="str">
        <f>IF(ISERROR(K35/I35),"",K35/I35)</f>
        <v/>
      </c>
      <c r="O35" s="105">
        <f>I35/E35</f>
        <v>0</v>
      </c>
      <c r="P35" s="105">
        <f>K35/E35</f>
        <v>0</v>
      </c>
      <c r="Q35" s="77">
        <v>3</v>
      </c>
      <c r="R35" s="77">
        <v>2</v>
      </c>
      <c r="S35" s="77" t="s">
        <v>1244</v>
      </c>
      <c r="T35" s="5">
        <v>115</v>
      </c>
      <c r="U35" s="9"/>
      <c r="W35" s="104">
        <f>D35</f>
        <v>115.9</v>
      </c>
      <c r="X35" s="106">
        <f>E35</f>
        <v>35</v>
      </c>
      <c r="Y35" s="102">
        <f>H35</f>
        <v>233</v>
      </c>
      <c r="Z35" s="109">
        <f>I35</f>
        <v>0</v>
      </c>
      <c r="AA35" s="109">
        <f>K35</f>
        <v>0</v>
      </c>
      <c r="AB35" s="109">
        <f t="shared" ref="AB35:AD36" si="48">M35</f>
        <v>0</v>
      </c>
      <c r="AC35" s="4" t="str">
        <f t="shared" si="48"/>
        <v/>
      </c>
      <c r="AD35" s="105">
        <f t="shared" si="48"/>
        <v>0</v>
      </c>
      <c r="AE35" s="77" t="str">
        <f>S35</f>
        <v>계</v>
      </c>
      <c r="AF35" s="77" t="str">
        <f>Q35&amp;"/"&amp;R35</f>
        <v>3/2</v>
      </c>
      <c r="AH35" s="20" t="str">
        <f t="shared" si="1"/>
        <v>은파리젠시빌파크</v>
      </c>
      <c r="AI35" s="106">
        <f t="shared" si="0"/>
        <v>35</v>
      </c>
      <c r="AJ35" s="77" t="str">
        <f>IF(AI35="","",$AJ$2)</f>
        <v>A-</v>
      </c>
      <c r="AK35" s="77" t="s">
        <v>13</v>
      </c>
      <c r="AL35" s="77" t="s">
        <v>1242</v>
      </c>
      <c r="AM35" s="77" t="s">
        <v>1243</v>
      </c>
      <c r="AN35" s="77" t="str">
        <f>IF(AI35="","",$AN$2)</f>
        <v>C</v>
      </c>
      <c r="AO35" s="77" t="str">
        <f>IF(N35="","",IF(N35&gt;=$AO$1/100,"O","X"))</f>
        <v/>
      </c>
      <c r="AP35" s="77" t="str">
        <f>IF(I35="","",IF(I35&lt;=$AP$1,"O","X"))</f>
        <v/>
      </c>
      <c r="AQ35" s="77" t="str">
        <f>IF(O35="","",IF(O35&lt;=$AQ$1,"O","X"))</f>
        <v>O</v>
      </c>
      <c r="AR35" s="77" t="str">
        <f>IF(M35="","",IF(M35&lt;=$AR$1,"O","X"))</f>
        <v>O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O</v>
      </c>
      <c r="AV35" s="77" t="str">
        <f>IF(AO35="","",IF(AND(AO35="O",AP35="O",AR35="O",AT35="O",AU35="O"),"후보","X"))</f>
        <v/>
      </c>
    </row>
    <row r="36" spans="1:48" x14ac:dyDescent="0.3">
      <c r="A36" s="9" t="s">
        <v>661</v>
      </c>
      <c r="B36" s="10" t="s">
        <v>1299</v>
      </c>
      <c r="C36" s="107">
        <v>317</v>
      </c>
      <c r="D36" s="104">
        <v>159.69999999999999</v>
      </c>
      <c r="E36" s="106">
        <v>48</v>
      </c>
      <c r="F36" s="104">
        <v>132.4</v>
      </c>
      <c r="G36" s="17">
        <v>40</v>
      </c>
      <c r="H36" s="107">
        <v>84</v>
      </c>
      <c r="I36" s="108">
        <v>33500</v>
      </c>
      <c r="J36" s="108" t="s">
        <v>1287</v>
      </c>
      <c r="K36" s="108"/>
      <c r="L36" s="108"/>
      <c r="M36" s="109">
        <f>I36-K36</f>
        <v>33500</v>
      </c>
      <c r="N36" s="4">
        <f>IF(ISERROR(K36/I36),"",K36/I36)</f>
        <v>0</v>
      </c>
      <c r="O36" s="105">
        <f>I36/E36</f>
        <v>697.91666666666663</v>
      </c>
      <c r="P36" s="105">
        <f>K36/E36</f>
        <v>0</v>
      </c>
      <c r="Q36" s="77">
        <v>4</v>
      </c>
      <c r="R36" s="77">
        <v>2</v>
      </c>
      <c r="S36" s="77" t="s">
        <v>1244</v>
      </c>
      <c r="T36" s="5">
        <v>159</v>
      </c>
      <c r="U36" s="9"/>
      <c r="W36" s="104">
        <f>D36</f>
        <v>159.69999999999999</v>
      </c>
      <c r="X36" s="106">
        <f>E36</f>
        <v>48</v>
      </c>
      <c r="Y36" s="102">
        <f>H36</f>
        <v>84</v>
      </c>
      <c r="Z36" s="109">
        <f>I36</f>
        <v>33500</v>
      </c>
      <c r="AA36" s="109">
        <f>K36</f>
        <v>0</v>
      </c>
      <c r="AB36" s="109">
        <f t="shared" si="48"/>
        <v>33500</v>
      </c>
      <c r="AC36" s="4">
        <f t="shared" si="48"/>
        <v>0</v>
      </c>
      <c r="AD36" s="105">
        <f t="shared" si="48"/>
        <v>697.91666666666663</v>
      </c>
      <c r="AE36" s="77" t="str">
        <f>S36</f>
        <v>계</v>
      </c>
      <c r="AF36" s="77" t="str">
        <f>Q36&amp;"/"&amp;R36</f>
        <v>4/2</v>
      </c>
      <c r="AH36" s="20" t="str">
        <f t="shared" si="1"/>
        <v>은파리젠시빌파크</v>
      </c>
      <c r="AI36" s="106">
        <f t="shared" si="0"/>
        <v>48</v>
      </c>
      <c r="AJ36" s="77" t="str">
        <f>IF(AI36="","",$AJ$2)</f>
        <v>A-</v>
      </c>
      <c r="AK36" s="77" t="s">
        <v>13</v>
      </c>
      <c r="AL36" s="77" t="s">
        <v>1242</v>
      </c>
      <c r="AM36" s="77" t="s">
        <v>1243</v>
      </c>
      <c r="AN36" s="77" t="str">
        <f>IF(AI36="","",$AN$2)</f>
        <v>C</v>
      </c>
      <c r="AO36" s="77" t="str">
        <f>IF(N36="","",IF(N36&gt;=$AO$1/100,"O","X"))</f>
        <v>X</v>
      </c>
      <c r="AP36" s="77" t="str">
        <f>IF(I36="","",IF(I36&lt;=$AP$1,"O","X"))</f>
        <v>O</v>
      </c>
      <c r="AQ36" s="77" t="str">
        <f>IF(O36="","",IF(O36&lt;=$AQ$1,"O","X"))</f>
        <v>O</v>
      </c>
      <c r="AR36" s="77" t="str">
        <f>IF(M36="","",IF(M36&lt;=$AR$1,"O","X"))</f>
        <v>X</v>
      </c>
      <c r="AS36" s="77" t="s">
        <v>2</v>
      </c>
      <c r="AT36" s="77" t="str">
        <f>IF(OR(F36="",AI36=""),"",IF(AND((F36&lt;=85),(AI36&gt;=15)),"O","X"))</f>
        <v>X</v>
      </c>
      <c r="AU36" s="77" t="str">
        <f>IF(C36="","",IF(C36&gt;=$AU$1,"O","X"))</f>
        <v>O</v>
      </c>
      <c r="AV36" s="77" t="str">
        <f>IF(AO36="","",IF(AND(AO36="O",AP36="O",AR36="O",AT36="O",AU36="O"),"후보","X"))</f>
        <v>X</v>
      </c>
    </row>
    <row r="37" spans="1:48" x14ac:dyDescent="0.3">
      <c r="A37" s="9"/>
      <c r="B37" s="77"/>
      <c r="C37" s="6"/>
      <c r="D37" s="9"/>
      <c r="E37" s="14"/>
      <c r="F37" s="104"/>
      <c r="G37" s="9"/>
      <c r="H37" s="9"/>
      <c r="I37" s="9"/>
      <c r="J37" s="9"/>
      <c r="K37" s="9"/>
      <c r="L37" s="9"/>
      <c r="M37" s="9"/>
      <c r="N37" s="9"/>
      <c r="O37" s="105"/>
      <c r="P37" s="105"/>
      <c r="Q37" s="106"/>
      <c r="R37" s="106"/>
      <c r="S37" s="9"/>
      <c r="T37" s="47"/>
      <c r="U37" s="9"/>
      <c r="W37" s="67" t="str">
        <f>$A$4&amp;" "&amp;A38&amp;"("&amp;B38&amp;","&amp;C38&amp;"^)"</f>
        <v>미룡동 미룡대명2차('02.05.,276^)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si="1"/>
        <v/>
      </c>
      <c r="AI37" s="103" t="str">
        <f t="shared" si="0"/>
        <v/>
      </c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</row>
    <row r="38" spans="1:48" x14ac:dyDescent="0.3">
      <c r="A38" s="9" t="s">
        <v>666</v>
      </c>
      <c r="B38" s="10" t="s">
        <v>1300</v>
      </c>
      <c r="C38" s="107">
        <v>276</v>
      </c>
      <c r="D38" s="104">
        <v>68.900000000000006</v>
      </c>
      <c r="E38" s="106">
        <v>21</v>
      </c>
      <c r="F38" s="104">
        <v>48.9</v>
      </c>
      <c r="G38" s="17">
        <v>15</v>
      </c>
      <c r="H38" s="107">
        <v>78</v>
      </c>
      <c r="I38" s="108"/>
      <c r="J38" s="108"/>
      <c r="K38" s="108"/>
      <c r="L38" s="108"/>
      <c r="M38" s="109">
        <f>I38-K38</f>
        <v>0</v>
      </c>
      <c r="N38" s="4" t="str">
        <f>IF(ISERROR(K38/I38),"",K38/I38)</f>
        <v/>
      </c>
      <c r="O38" s="105">
        <f>I38/E38</f>
        <v>0</v>
      </c>
      <c r="P38" s="105">
        <f>K38/E38</f>
        <v>0</v>
      </c>
      <c r="Q38" s="77">
        <v>2</v>
      </c>
      <c r="R38" s="77">
        <v>1</v>
      </c>
      <c r="S38" s="77" t="s">
        <v>1244</v>
      </c>
      <c r="T38" s="5" t="s">
        <v>667</v>
      </c>
      <c r="U38" s="9"/>
      <c r="W38" s="104">
        <f>D38</f>
        <v>68.900000000000006</v>
      </c>
      <c r="X38" s="106">
        <f>E38</f>
        <v>21</v>
      </c>
      <c r="Y38" s="102">
        <f>H38</f>
        <v>78</v>
      </c>
      <c r="Z38" s="109">
        <f>I38</f>
        <v>0</v>
      </c>
      <c r="AA38" s="109">
        <f>K38</f>
        <v>0</v>
      </c>
      <c r="AB38" s="109">
        <f t="shared" ref="AB38:AD39" si="49">M38</f>
        <v>0</v>
      </c>
      <c r="AC38" s="4" t="str">
        <f t="shared" si="49"/>
        <v/>
      </c>
      <c r="AD38" s="105">
        <f t="shared" si="49"/>
        <v>0</v>
      </c>
      <c r="AE38" s="77" t="str">
        <f>S38</f>
        <v>계</v>
      </c>
      <c r="AF38" s="77" t="str">
        <f>Q38&amp;"/"&amp;R38</f>
        <v>2/1</v>
      </c>
      <c r="AH38" s="20" t="str">
        <f t="shared" si="1"/>
        <v>미룡대명2차</v>
      </c>
      <c r="AI38" s="106">
        <f t="shared" si="0"/>
        <v>21</v>
      </c>
      <c r="AJ38" s="77" t="str">
        <f>IF(AI38="","",$AJ$2)</f>
        <v>A-</v>
      </c>
      <c r="AK38" s="77" t="s">
        <v>13</v>
      </c>
      <c r="AL38" s="77" t="s">
        <v>1242</v>
      </c>
      <c r="AM38" s="77" t="s">
        <v>1243</v>
      </c>
      <c r="AN38" s="77" t="str">
        <f>IF(AI38="","",$AN$2)</f>
        <v>C</v>
      </c>
      <c r="AO38" s="77" t="str">
        <f>IF(N38="","",IF(N38&gt;=$AO$1/100,"O","X"))</f>
        <v/>
      </c>
      <c r="AP38" s="77" t="str">
        <f>IF(I38="","",IF(I38&lt;=$AP$1,"O","X"))</f>
        <v/>
      </c>
      <c r="AQ38" s="77" t="str">
        <f>IF(O38="","",IF(O38&lt;=$AQ$1,"O","X"))</f>
        <v>O</v>
      </c>
      <c r="AR38" s="77" t="str">
        <f>IF(M38="","",IF(M38&lt;=$AR$1,"O","X"))</f>
        <v>O</v>
      </c>
      <c r="AS38" s="77" t="s">
        <v>2</v>
      </c>
      <c r="AT38" s="77" t="str">
        <f>IF(OR(F38="",AI38=""),"",IF(AND((F38&lt;=85),(AI38&gt;=15)),"O","X"))</f>
        <v>O</v>
      </c>
      <c r="AU38" s="77" t="str">
        <f>IF(C38="","",IF(C38&gt;=$AU$1,"O","X"))</f>
        <v>X</v>
      </c>
      <c r="AV38" s="77" t="str">
        <f>IF(AO38="","",IF(AND(AO38="O",AP38="O",AR38="O",AT38="O",AU38="O"),"후보","X"))</f>
        <v/>
      </c>
    </row>
    <row r="39" spans="1:48" x14ac:dyDescent="0.3">
      <c r="A39" s="9" t="s">
        <v>666</v>
      </c>
      <c r="B39" s="10" t="s">
        <v>1300</v>
      </c>
      <c r="C39" s="107">
        <v>276</v>
      </c>
      <c r="D39" s="104">
        <v>69.3</v>
      </c>
      <c r="E39" s="106">
        <v>21</v>
      </c>
      <c r="F39" s="104">
        <v>49.1</v>
      </c>
      <c r="G39" s="17">
        <v>15</v>
      </c>
      <c r="H39" s="107">
        <v>198</v>
      </c>
      <c r="I39" s="108"/>
      <c r="J39" s="108"/>
      <c r="K39" s="108"/>
      <c r="L39" s="108"/>
      <c r="M39" s="109">
        <f>I39-K39</f>
        <v>0</v>
      </c>
      <c r="N39" s="4" t="str">
        <f>IF(ISERROR(K39/I39),"",K39/I39)</f>
        <v/>
      </c>
      <c r="O39" s="105">
        <f>I39/E39</f>
        <v>0</v>
      </c>
      <c r="P39" s="105">
        <f>K39/E39</f>
        <v>0</v>
      </c>
      <c r="Q39" s="77">
        <v>2</v>
      </c>
      <c r="R39" s="77">
        <v>1</v>
      </c>
      <c r="S39" s="77" t="s">
        <v>1244</v>
      </c>
      <c r="T39" s="5" t="s">
        <v>528</v>
      </c>
      <c r="U39" s="9"/>
      <c r="W39" s="104">
        <f>D39</f>
        <v>69.3</v>
      </c>
      <c r="X39" s="106">
        <f>E39</f>
        <v>21</v>
      </c>
      <c r="Y39" s="102">
        <f>H39</f>
        <v>198</v>
      </c>
      <c r="Z39" s="109">
        <f>I39</f>
        <v>0</v>
      </c>
      <c r="AA39" s="109">
        <f>K39</f>
        <v>0</v>
      </c>
      <c r="AB39" s="109">
        <f t="shared" si="49"/>
        <v>0</v>
      </c>
      <c r="AC39" s="4" t="str">
        <f t="shared" si="49"/>
        <v/>
      </c>
      <c r="AD39" s="105">
        <f t="shared" si="49"/>
        <v>0</v>
      </c>
      <c r="AE39" s="77" t="str">
        <f>S39</f>
        <v>계</v>
      </c>
      <c r="AF39" s="77" t="str">
        <f>Q39&amp;"/"&amp;R39</f>
        <v>2/1</v>
      </c>
      <c r="AH39" s="20" t="str">
        <f t="shared" si="1"/>
        <v>미룡대명2차</v>
      </c>
      <c r="AI39" s="106">
        <f t="shared" si="0"/>
        <v>21</v>
      </c>
      <c r="AJ39" s="77" t="str">
        <f>IF(AI39="","",$AJ$2)</f>
        <v>A-</v>
      </c>
      <c r="AK39" s="77" t="s">
        <v>13</v>
      </c>
      <c r="AL39" s="77" t="s">
        <v>1242</v>
      </c>
      <c r="AM39" s="77" t="s">
        <v>1243</v>
      </c>
      <c r="AN39" s="77" t="str">
        <f>IF(AI39="","",$AN$2)</f>
        <v>C</v>
      </c>
      <c r="AO39" s="77" t="str">
        <f>IF(N39="","",IF(N39&gt;=$AO$1/100,"O","X"))</f>
        <v/>
      </c>
      <c r="AP39" s="77" t="str">
        <f>IF(I39="","",IF(I39&lt;=$AP$1,"O","X"))</f>
        <v/>
      </c>
      <c r="AQ39" s="77" t="str">
        <f>IF(O39="","",IF(O39&lt;=$AQ$1,"O","X"))</f>
        <v>O</v>
      </c>
      <c r="AR39" s="77" t="str">
        <f>IF(M39="","",IF(M39&lt;=$AR$1,"O","X"))</f>
        <v>O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X</v>
      </c>
      <c r="AV39" s="77" t="str">
        <f>IF(AO39="","",IF(AND(AO39="O",AP39="O",AR39="O",AT39="O",AU39="O"),"후보","X"))</f>
        <v/>
      </c>
    </row>
    <row r="40" spans="1:48" x14ac:dyDescent="0.3">
      <c r="A40" s="9"/>
      <c r="B40" s="77"/>
      <c r="C40" s="6"/>
      <c r="D40" s="9"/>
      <c r="E40" s="14"/>
      <c r="F40" s="104"/>
      <c r="G40" s="9"/>
      <c r="H40" s="9"/>
      <c r="I40" s="9"/>
      <c r="J40" s="9"/>
      <c r="K40" s="9"/>
      <c r="L40" s="9"/>
      <c r="M40" s="9"/>
      <c r="N40" s="9"/>
      <c r="O40" s="105"/>
      <c r="P40" s="105"/>
      <c r="Q40" s="106"/>
      <c r="R40" s="106"/>
      <c r="S40" s="9"/>
      <c r="T40" s="47"/>
      <c r="U40" s="9"/>
      <c r="W40" s="67" t="str">
        <f>$A$4&amp;" "&amp;A41&amp;"("&amp;B41&amp;","&amp;C41&amp;"^)"</f>
        <v>미룡동 미룡주공2단지('01.03.,874^)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1"/>
        <v/>
      </c>
      <c r="AI40" s="103" t="str">
        <f t="shared" si="0"/>
        <v/>
      </c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</row>
    <row r="41" spans="1:48" x14ac:dyDescent="0.3">
      <c r="A41" s="9" t="s">
        <v>676</v>
      </c>
      <c r="B41" s="10" t="s">
        <v>1301</v>
      </c>
      <c r="C41" s="107">
        <v>874</v>
      </c>
      <c r="D41" s="104">
        <v>68.3</v>
      </c>
      <c r="E41" s="106">
        <v>21</v>
      </c>
      <c r="F41" s="104">
        <v>50.3</v>
      </c>
      <c r="G41" s="17">
        <v>15</v>
      </c>
      <c r="H41" s="107">
        <v>288</v>
      </c>
      <c r="I41" s="108">
        <v>8000</v>
      </c>
      <c r="J41" s="108" t="s">
        <v>1272</v>
      </c>
      <c r="K41" s="108"/>
      <c r="L41" s="108"/>
      <c r="M41" s="109">
        <f t="shared" ref="M41:M46" si="50">I41-K41</f>
        <v>8000</v>
      </c>
      <c r="N41" s="4">
        <f t="shared" ref="N41:N46" si="51">IF(ISERROR(K41/I41),"",K41/I41)</f>
        <v>0</v>
      </c>
      <c r="O41" s="105">
        <f t="shared" ref="O41:O46" si="52">I41/E41</f>
        <v>380.95238095238096</v>
      </c>
      <c r="P41" s="105">
        <f t="shared" ref="P41:P46" si="53">K41/E41</f>
        <v>0</v>
      </c>
      <c r="Q41" s="77">
        <v>2</v>
      </c>
      <c r="R41" s="77">
        <v>1</v>
      </c>
      <c r="S41" s="77" t="s">
        <v>1241</v>
      </c>
      <c r="T41" s="5" t="s">
        <v>678</v>
      </c>
      <c r="U41" s="9"/>
      <c r="W41" s="104">
        <f t="shared" ref="W41:X46" si="54">D41</f>
        <v>68.3</v>
      </c>
      <c r="X41" s="106">
        <f t="shared" si="54"/>
        <v>21</v>
      </c>
      <c r="Y41" s="102">
        <f t="shared" ref="Y41:Z46" si="55">H41</f>
        <v>288</v>
      </c>
      <c r="Z41" s="109">
        <f t="shared" si="55"/>
        <v>8000</v>
      </c>
      <c r="AA41" s="109">
        <f t="shared" ref="AA41:AA46" si="56">K41</f>
        <v>0</v>
      </c>
      <c r="AB41" s="109">
        <f t="shared" ref="AB41:AD46" si="57">M41</f>
        <v>8000</v>
      </c>
      <c r="AC41" s="4">
        <f t="shared" si="57"/>
        <v>0</v>
      </c>
      <c r="AD41" s="105">
        <f t="shared" si="57"/>
        <v>380.95238095238096</v>
      </c>
      <c r="AE41" s="77" t="str">
        <f t="shared" ref="AE41:AE46" si="58">S41</f>
        <v>복</v>
      </c>
      <c r="AF41" s="77" t="str">
        <f t="shared" ref="AF41:AF46" si="59">Q41&amp;"/"&amp;R41</f>
        <v>2/1</v>
      </c>
      <c r="AH41" s="20" t="str">
        <f t="shared" si="1"/>
        <v>미룡주공2단지</v>
      </c>
      <c r="AI41" s="106">
        <f t="shared" si="0"/>
        <v>21</v>
      </c>
      <c r="AJ41" s="77" t="str">
        <f t="shared" ref="AJ41:AJ46" si="60">IF(AI41="","",$AJ$2)</f>
        <v>A-</v>
      </c>
      <c r="AK41" s="77" t="s">
        <v>13</v>
      </c>
      <c r="AL41" s="77" t="s">
        <v>1242</v>
      </c>
      <c r="AM41" s="77" t="s">
        <v>1243</v>
      </c>
      <c r="AN41" s="77" t="str">
        <f t="shared" ref="AN41:AN46" si="61">IF(AI41="","",$AN$2)</f>
        <v>C</v>
      </c>
      <c r="AO41" s="77" t="str">
        <f t="shared" ref="AO41:AO46" si="62">IF(N41="","",IF(N41&gt;=$AO$1/100,"O","X"))</f>
        <v>X</v>
      </c>
      <c r="AP41" s="77" t="str">
        <f t="shared" ref="AP41:AP46" si="63">IF(I41="","",IF(I41&lt;=$AP$1,"O","X"))</f>
        <v>O</v>
      </c>
      <c r="AQ41" s="77" t="str">
        <f t="shared" ref="AQ41:AQ46" si="64">IF(O41="","",IF(O41&lt;=$AQ$1,"O","X"))</f>
        <v>O</v>
      </c>
      <c r="AR41" s="77" t="str">
        <f t="shared" ref="AR41:AR46" si="65">IF(M41="","",IF(M41&lt;=$AR$1,"O","X"))</f>
        <v>X</v>
      </c>
      <c r="AS41" s="77" t="s">
        <v>2</v>
      </c>
      <c r="AT41" s="77" t="str">
        <f t="shared" ref="AT41:AT46" si="66">IF(OR(F41="",AI41=""),"",IF(AND((F41&lt;=85),(AI41&gt;=15)),"O","X"))</f>
        <v>O</v>
      </c>
      <c r="AU41" s="77" t="str">
        <f t="shared" ref="AU41:AU46" si="67">IF(C41="","",IF(C41&gt;=$AU$1,"O","X"))</f>
        <v>O</v>
      </c>
      <c r="AV41" s="77" t="str">
        <f t="shared" ref="AV41:AV46" si="68">IF(AO41="","",IF(AND(AO41="O",AP41="O",AR41="O",AT41="O",AU41="O"),"후보","X"))</f>
        <v>X</v>
      </c>
    </row>
    <row r="42" spans="1:48" x14ac:dyDescent="0.3">
      <c r="A42" s="9" t="s">
        <v>676</v>
      </c>
      <c r="B42" s="10" t="s">
        <v>1301</v>
      </c>
      <c r="C42" s="107">
        <v>874</v>
      </c>
      <c r="D42" s="104">
        <v>70.599999999999994</v>
      </c>
      <c r="E42" s="106">
        <v>21</v>
      </c>
      <c r="F42" s="104">
        <v>51.9</v>
      </c>
      <c r="G42" s="17">
        <v>16</v>
      </c>
      <c r="H42" s="107">
        <v>4</v>
      </c>
      <c r="I42" s="108"/>
      <c r="J42" s="108"/>
      <c r="K42" s="108"/>
      <c r="L42" s="108"/>
      <c r="M42" s="109">
        <f t="shared" si="50"/>
        <v>0</v>
      </c>
      <c r="N42" s="4" t="str">
        <f t="shared" si="51"/>
        <v/>
      </c>
      <c r="O42" s="105">
        <f t="shared" si="52"/>
        <v>0</v>
      </c>
      <c r="P42" s="105">
        <f t="shared" si="53"/>
        <v>0</v>
      </c>
      <c r="Q42" s="77">
        <v>2</v>
      </c>
      <c r="R42" s="77">
        <v>1</v>
      </c>
      <c r="S42" s="77" t="s">
        <v>1244</v>
      </c>
      <c r="T42" s="5" t="s">
        <v>682</v>
      </c>
      <c r="U42" s="9"/>
      <c r="W42" s="104">
        <f t="shared" si="54"/>
        <v>70.599999999999994</v>
      </c>
      <c r="X42" s="106">
        <f t="shared" si="54"/>
        <v>21</v>
      </c>
      <c r="Y42" s="102">
        <f t="shared" si="55"/>
        <v>4</v>
      </c>
      <c r="Z42" s="109">
        <f t="shared" si="55"/>
        <v>0</v>
      </c>
      <c r="AA42" s="109">
        <f t="shared" si="56"/>
        <v>0</v>
      </c>
      <c r="AB42" s="109">
        <f t="shared" si="57"/>
        <v>0</v>
      </c>
      <c r="AC42" s="4" t="str">
        <f t="shared" si="57"/>
        <v/>
      </c>
      <c r="AD42" s="105">
        <f t="shared" si="57"/>
        <v>0</v>
      </c>
      <c r="AE42" s="77" t="str">
        <f t="shared" si="58"/>
        <v>계</v>
      </c>
      <c r="AF42" s="77" t="str">
        <f t="shared" si="59"/>
        <v>2/1</v>
      </c>
      <c r="AH42" s="20" t="str">
        <f t="shared" si="1"/>
        <v>미룡주공2단지</v>
      </c>
      <c r="AI42" s="106">
        <f t="shared" si="0"/>
        <v>21</v>
      </c>
      <c r="AJ42" s="77" t="str">
        <f t="shared" si="60"/>
        <v>A-</v>
      </c>
      <c r="AK42" s="77" t="s">
        <v>13</v>
      </c>
      <c r="AL42" s="77" t="s">
        <v>1242</v>
      </c>
      <c r="AM42" s="77" t="s">
        <v>1243</v>
      </c>
      <c r="AN42" s="77" t="str">
        <f t="shared" si="61"/>
        <v>C</v>
      </c>
      <c r="AO42" s="77" t="str">
        <f t="shared" si="62"/>
        <v/>
      </c>
      <c r="AP42" s="77" t="str">
        <f t="shared" si="63"/>
        <v/>
      </c>
      <c r="AQ42" s="77" t="str">
        <f t="shared" si="64"/>
        <v>O</v>
      </c>
      <c r="AR42" s="77" t="str">
        <f t="shared" si="65"/>
        <v>O</v>
      </c>
      <c r="AS42" s="77" t="s">
        <v>2</v>
      </c>
      <c r="AT42" s="77" t="str">
        <f t="shared" si="66"/>
        <v>O</v>
      </c>
      <c r="AU42" s="77" t="str">
        <f t="shared" si="67"/>
        <v>O</v>
      </c>
      <c r="AV42" s="77" t="str">
        <f t="shared" si="68"/>
        <v/>
      </c>
    </row>
    <row r="43" spans="1:48" x14ac:dyDescent="0.3">
      <c r="A43" s="9" t="s">
        <v>676</v>
      </c>
      <c r="B43" s="10" t="s">
        <v>1301</v>
      </c>
      <c r="C43" s="107">
        <v>874</v>
      </c>
      <c r="D43" s="104">
        <v>80.7</v>
      </c>
      <c r="E43" s="106">
        <v>24</v>
      </c>
      <c r="F43" s="104">
        <v>59.4</v>
      </c>
      <c r="G43" s="17">
        <v>18</v>
      </c>
      <c r="H43" s="107">
        <v>267</v>
      </c>
      <c r="I43" s="108">
        <v>11500</v>
      </c>
      <c r="J43" s="108" t="s">
        <v>1250</v>
      </c>
      <c r="K43" s="108">
        <v>12500</v>
      </c>
      <c r="L43" s="108" t="s">
        <v>1245</v>
      </c>
      <c r="M43" s="109">
        <f t="shared" si="50"/>
        <v>-1000</v>
      </c>
      <c r="N43" s="4">
        <f t="shared" si="51"/>
        <v>1.0869565217391304</v>
      </c>
      <c r="O43" s="105">
        <f t="shared" si="52"/>
        <v>479.16666666666669</v>
      </c>
      <c r="P43" s="105">
        <f t="shared" si="53"/>
        <v>520.83333333333337</v>
      </c>
      <c r="Q43" s="77">
        <v>3</v>
      </c>
      <c r="R43" s="77">
        <v>1</v>
      </c>
      <c r="S43" s="77" t="s">
        <v>1244</v>
      </c>
      <c r="T43" s="5" t="s">
        <v>176</v>
      </c>
      <c r="U43" s="9"/>
      <c r="W43" s="104">
        <f t="shared" si="54"/>
        <v>80.7</v>
      </c>
      <c r="X43" s="106">
        <f t="shared" si="54"/>
        <v>24</v>
      </c>
      <c r="Y43" s="102">
        <f t="shared" si="55"/>
        <v>267</v>
      </c>
      <c r="Z43" s="109">
        <f t="shared" si="55"/>
        <v>11500</v>
      </c>
      <c r="AA43" s="109">
        <f t="shared" si="56"/>
        <v>12500</v>
      </c>
      <c r="AB43" s="109">
        <f t="shared" si="57"/>
        <v>-1000</v>
      </c>
      <c r="AC43" s="4">
        <f t="shared" si="57"/>
        <v>1.0869565217391304</v>
      </c>
      <c r="AD43" s="105">
        <f t="shared" si="57"/>
        <v>479.16666666666669</v>
      </c>
      <c r="AE43" s="77" t="str">
        <f t="shared" si="58"/>
        <v>계</v>
      </c>
      <c r="AF43" s="77" t="str">
        <f t="shared" si="59"/>
        <v>3/1</v>
      </c>
      <c r="AH43" s="20" t="str">
        <f t="shared" si="1"/>
        <v>미룡주공2단지</v>
      </c>
      <c r="AI43" s="106">
        <f t="shared" si="0"/>
        <v>24</v>
      </c>
      <c r="AJ43" s="77" t="str">
        <f t="shared" si="60"/>
        <v>A-</v>
      </c>
      <c r="AK43" s="77" t="s">
        <v>13</v>
      </c>
      <c r="AL43" s="77" t="s">
        <v>1242</v>
      </c>
      <c r="AM43" s="77" t="s">
        <v>1243</v>
      </c>
      <c r="AN43" s="77" t="str">
        <f t="shared" si="61"/>
        <v>C</v>
      </c>
      <c r="AO43" s="77" t="str">
        <f t="shared" si="62"/>
        <v>O</v>
      </c>
      <c r="AP43" s="77" t="str">
        <f t="shared" si="63"/>
        <v>O</v>
      </c>
      <c r="AQ43" s="77" t="str">
        <f t="shared" si="64"/>
        <v>O</v>
      </c>
      <c r="AR43" s="77" t="str">
        <f t="shared" si="65"/>
        <v>O</v>
      </c>
      <c r="AS43" s="77" t="s">
        <v>2</v>
      </c>
      <c r="AT43" s="77" t="str">
        <f t="shared" si="66"/>
        <v>O</v>
      </c>
      <c r="AU43" s="77" t="str">
        <f t="shared" si="67"/>
        <v>O</v>
      </c>
      <c r="AV43" s="77" t="str">
        <f t="shared" si="68"/>
        <v>후보</v>
      </c>
    </row>
    <row r="44" spans="1:48" x14ac:dyDescent="0.3">
      <c r="A44" s="9" t="s">
        <v>676</v>
      </c>
      <c r="B44" s="10" t="s">
        <v>1301</v>
      </c>
      <c r="C44" s="107">
        <v>874</v>
      </c>
      <c r="D44" s="104">
        <v>80.7</v>
      </c>
      <c r="E44" s="106">
        <v>24</v>
      </c>
      <c r="F44" s="104">
        <v>59.4</v>
      </c>
      <c r="G44" s="17">
        <v>18</v>
      </c>
      <c r="H44" s="107">
        <v>76</v>
      </c>
      <c r="I44" s="108">
        <v>11500</v>
      </c>
      <c r="J44" s="108" t="s">
        <v>1250</v>
      </c>
      <c r="K44" s="108">
        <v>12500</v>
      </c>
      <c r="L44" s="108" t="s">
        <v>1245</v>
      </c>
      <c r="M44" s="109">
        <f t="shared" si="50"/>
        <v>-1000</v>
      </c>
      <c r="N44" s="4">
        <f t="shared" si="51"/>
        <v>1.0869565217391304</v>
      </c>
      <c r="O44" s="105">
        <f t="shared" si="52"/>
        <v>479.16666666666669</v>
      </c>
      <c r="P44" s="105">
        <f t="shared" si="53"/>
        <v>520.83333333333337</v>
      </c>
      <c r="Q44" s="77">
        <v>3</v>
      </c>
      <c r="R44" s="77">
        <v>1</v>
      </c>
      <c r="S44" s="77" t="s">
        <v>1244</v>
      </c>
      <c r="T44" s="5" t="s">
        <v>683</v>
      </c>
      <c r="U44" s="9"/>
      <c r="W44" s="104">
        <f t="shared" si="54"/>
        <v>80.7</v>
      </c>
      <c r="X44" s="106">
        <f t="shared" si="54"/>
        <v>24</v>
      </c>
      <c r="Y44" s="102">
        <f t="shared" si="55"/>
        <v>76</v>
      </c>
      <c r="Z44" s="109">
        <f t="shared" si="55"/>
        <v>11500</v>
      </c>
      <c r="AA44" s="109">
        <f t="shared" si="56"/>
        <v>12500</v>
      </c>
      <c r="AB44" s="109">
        <f t="shared" si="57"/>
        <v>-1000</v>
      </c>
      <c r="AC44" s="4">
        <f t="shared" si="57"/>
        <v>1.0869565217391304</v>
      </c>
      <c r="AD44" s="105">
        <f t="shared" si="57"/>
        <v>479.16666666666669</v>
      </c>
      <c r="AE44" s="77" t="str">
        <f t="shared" si="58"/>
        <v>계</v>
      </c>
      <c r="AF44" s="77" t="str">
        <f t="shared" si="59"/>
        <v>3/1</v>
      </c>
      <c r="AH44" s="20" t="str">
        <f t="shared" si="1"/>
        <v>미룡주공2단지</v>
      </c>
      <c r="AI44" s="106">
        <f t="shared" si="0"/>
        <v>24</v>
      </c>
      <c r="AJ44" s="77" t="str">
        <f t="shared" si="60"/>
        <v>A-</v>
      </c>
      <c r="AK44" s="77" t="s">
        <v>13</v>
      </c>
      <c r="AL44" s="77" t="s">
        <v>1242</v>
      </c>
      <c r="AM44" s="77" t="s">
        <v>1243</v>
      </c>
      <c r="AN44" s="77" t="str">
        <f t="shared" si="61"/>
        <v>C</v>
      </c>
      <c r="AO44" s="77" t="str">
        <f t="shared" si="62"/>
        <v>O</v>
      </c>
      <c r="AP44" s="77" t="str">
        <f t="shared" si="63"/>
        <v>O</v>
      </c>
      <c r="AQ44" s="77" t="str">
        <f t="shared" si="64"/>
        <v>O</v>
      </c>
      <c r="AR44" s="77" t="str">
        <f t="shared" si="65"/>
        <v>O</v>
      </c>
      <c r="AS44" s="77" t="s">
        <v>2</v>
      </c>
      <c r="AT44" s="77" t="str">
        <f t="shared" si="66"/>
        <v>O</v>
      </c>
      <c r="AU44" s="77" t="str">
        <f t="shared" si="67"/>
        <v>O</v>
      </c>
      <c r="AV44" s="77" t="str">
        <f t="shared" si="68"/>
        <v>후보</v>
      </c>
    </row>
    <row r="45" spans="1:48" x14ac:dyDescent="0.3">
      <c r="A45" s="9" t="s">
        <v>676</v>
      </c>
      <c r="B45" s="10" t="s">
        <v>1301</v>
      </c>
      <c r="C45" s="107">
        <v>874</v>
      </c>
      <c r="D45" s="104">
        <v>80.599999999999994</v>
      </c>
      <c r="E45" s="106">
        <v>24</v>
      </c>
      <c r="F45" s="104">
        <v>59.3</v>
      </c>
      <c r="G45" s="17">
        <v>18</v>
      </c>
      <c r="H45" s="107">
        <v>15</v>
      </c>
      <c r="I45" s="108">
        <v>11000</v>
      </c>
      <c r="J45" s="108" t="s">
        <v>1250</v>
      </c>
      <c r="K45" s="108">
        <v>11000</v>
      </c>
      <c r="L45" s="108" t="s">
        <v>1248</v>
      </c>
      <c r="M45" s="109">
        <f t="shared" si="50"/>
        <v>0</v>
      </c>
      <c r="N45" s="4">
        <f t="shared" si="51"/>
        <v>1</v>
      </c>
      <c r="O45" s="105">
        <f t="shared" si="52"/>
        <v>458.33333333333331</v>
      </c>
      <c r="P45" s="105">
        <f t="shared" si="53"/>
        <v>458.33333333333331</v>
      </c>
      <c r="Q45" s="77">
        <v>3</v>
      </c>
      <c r="R45" s="77">
        <v>1</v>
      </c>
      <c r="S45" s="77" t="s">
        <v>1244</v>
      </c>
      <c r="T45" s="5" t="s">
        <v>171</v>
      </c>
      <c r="U45" s="9"/>
      <c r="W45" s="104">
        <f t="shared" si="54"/>
        <v>80.599999999999994</v>
      </c>
      <c r="X45" s="106">
        <f t="shared" si="54"/>
        <v>24</v>
      </c>
      <c r="Y45" s="102">
        <f t="shared" si="55"/>
        <v>15</v>
      </c>
      <c r="Z45" s="109">
        <f t="shared" si="55"/>
        <v>11000</v>
      </c>
      <c r="AA45" s="109">
        <f t="shared" si="56"/>
        <v>11000</v>
      </c>
      <c r="AB45" s="109">
        <f t="shared" si="57"/>
        <v>0</v>
      </c>
      <c r="AC45" s="4">
        <f t="shared" si="57"/>
        <v>1</v>
      </c>
      <c r="AD45" s="105">
        <f t="shared" si="57"/>
        <v>458.33333333333331</v>
      </c>
      <c r="AE45" s="77" t="str">
        <f t="shared" si="58"/>
        <v>계</v>
      </c>
      <c r="AF45" s="77" t="str">
        <f t="shared" si="59"/>
        <v>3/1</v>
      </c>
      <c r="AH45" s="20" t="str">
        <f t="shared" si="1"/>
        <v>미룡주공2단지</v>
      </c>
      <c r="AI45" s="106">
        <f t="shared" si="0"/>
        <v>24</v>
      </c>
      <c r="AJ45" s="77" t="str">
        <f t="shared" si="60"/>
        <v>A-</v>
      </c>
      <c r="AK45" s="77" t="s">
        <v>13</v>
      </c>
      <c r="AL45" s="77" t="s">
        <v>1242</v>
      </c>
      <c r="AM45" s="77" t="s">
        <v>1243</v>
      </c>
      <c r="AN45" s="77" t="str">
        <f t="shared" si="61"/>
        <v>C</v>
      </c>
      <c r="AO45" s="77" t="str">
        <f t="shared" si="62"/>
        <v>O</v>
      </c>
      <c r="AP45" s="77" t="str">
        <f t="shared" si="63"/>
        <v>O</v>
      </c>
      <c r="AQ45" s="77" t="str">
        <f t="shared" si="64"/>
        <v>O</v>
      </c>
      <c r="AR45" s="77" t="str">
        <f t="shared" si="65"/>
        <v>O</v>
      </c>
      <c r="AS45" s="77" t="s">
        <v>2</v>
      </c>
      <c r="AT45" s="77" t="str">
        <f t="shared" si="66"/>
        <v>O</v>
      </c>
      <c r="AU45" s="77" t="str">
        <f t="shared" si="67"/>
        <v>O</v>
      </c>
      <c r="AV45" s="77" t="str">
        <f t="shared" si="68"/>
        <v>후보</v>
      </c>
    </row>
    <row r="46" spans="1:48" x14ac:dyDescent="0.3">
      <c r="A46" s="9" t="s">
        <v>676</v>
      </c>
      <c r="B46" s="10" t="s">
        <v>1301</v>
      </c>
      <c r="C46" s="107">
        <v>874</v>
      </c>
      <c r="D46" s="104">
        <v>114.6</v>
      </c>
      <c r="E46" s="106">
        <v>35</v>
      </c>
      <c r="F46" s="104">
        <v>84.3</v>
      </c>
      <c r="G46" s="17">
        <v>26</v>
      </c>
      <c r="H46" s="107">
        <v>224</v>
      </c>
      <c r="I46" s="108"/>
      <c r="J46" s="108"/>
      <c r="K46" s="108"/>
      <c r="L46" s="108"/>
      <c r="M46" s="109">
        <f t="shared" si="50"/>
        <v>0</v>
      </c>
      <c r="N46" s="4" t="str">
        <f t="shared" si="51"/>
        <v/>
      </c>
      <c r="O46" s="105">
        <f t="shared" si="52"/>
        <v>0</v>
      </c>
      <c r="P46" s="105">
        <f t="shared" si="53"/>
        <v>0</v>
      </c>
      <c r="Q46" s="77">
        <v>3</v>
      </c>
      <c r="R46" s="77">
        <v>1</v>
      </c>
      <c r="S46" s="77" t="s">
        <v>1244</v>
      </c>
      <c r="T46" s="5">
        <v>114</v>
      </c>
      <c r="U46" s="9"/>
      <c r="W46" s="104">
        <f t="shared" si="54"/>
        <v>114.6</v>
      </c>
      <c r="X46" s="106">
        <f t="shared" si="54"/>
        <v>35</v>
      </c>
      <c r="Y46" s="102">
        <f t="shared" si="55"/>
        <v>224</v>
      </c>
      <c r="Z46" s="109">
        <f t="shared" si="55"/>
        <v>0</v>
      </c>
      <c r="AA46" s="109">
        <f t="shared" si="56"/>
        <v>0</v>
      </c>
      <c r="AB46" s="109">
        <f t="shared" si="57"/>
        <v>0</v>
      </c>
      <c r="AC46" s="4" t="str">
        <f t="shared" si="57"/>
        <v/>
      </c>
      <c r="AD46" s="105">
        <f t="shared" si="57"/>
        <v>0</v>
      </c>
      <c r="AE46" s="77" t="str">
        <f t="shared" si="58"/>
        <v>계</v>
      </c>
      <c r="AF46" s="77" t="str">
        <f t="shared" si="59"/>
        <v>3/1</v>
      </c>
      <c r="AH46" s="20" t="str">
        <f t="shared" si="1"/>
        <v>미룡주공2단지</v>
      </c>
      <c r="AI46" s="106">
        <f t="shared" si="0"/>
        <v>35</v>
      </c>
      <c r="AJ46" s="77" t="str">
        <f t="shared" si="60"/>
        <v>A-</v>
      </c>
      <c r="AK46" s="77" t="s">
        <v>13</v>
      </c>
      <c r="AL46" s="77" t="s">
        <v>1242</v>
      </c>
      <c r="AM46" s="77" t="s">
        <v>1243</v>
      </c>
      <c r="AN46" s="77" t="str">
        <f t="shared" si="61"/>
        <v>C</v>
      </c>
      <c r="AO46" s="77" t="str">
        <f t="shared" si="62"/>
        <v/>
      </c>
      <c r="AP46" s="77" t="str">
        <f t="shared" si="63"/>
        <v/>
      </c>
      <c r="AQ46" s="77" t="str">
        <f t="shared" si="64"/>
        <v>O</v>
      </c>
      <c r="AR46" s="77" t="str">
        <f t="shared" si="65"/>
        <v>O</v>
      </c>
      <c r="AS46" s="77" t="s">
        <v>2</v>
      </c>
      <c r="AT46" s="77" t="str">
        <f t="shared" si="66"/>
        <v>O</v>
      </c>
      <c r="AU46" s="77" t="str">
        <f t="shared" si="67"/>
        <v>O</v>
      </c>
      <c r="AV46" s="77" t="str">
        <f t="shared" si="68"/>
        <v/>
      </c>
    </row>
  </sheetData>
  <mergeCells count="1">
    <mergeCell ref="AJ1:AN1"/>
  </mergeCells>
  <phoneticPr fontId="2" type="noConversion"/>
  <conditionalFormatting sqref="AV4:AV6">
    <cfRule type="expression" dxfId="20685" priority="641">
      <formula>AV4="X"</formula>
    </cfRule>
    <cfRule type="expression" dxfId="20684" priority="642">
      <formula>AV4="후보"</formula>
    </cfRule>
  </conditionalFormatting>
  <conditionalFormatting sqref="AC1:AC2 AC4:AC6 N4:N5">
    <cfRule type="cellIs" dxfId="20683" priority="639" operator="greaterThan">
      <formula>0.9</formula>
    </cfRule>
    <cfRule type="cellIs" dxfId="20682" priority="640" operator="greaterThan">
      <formula>0.85</formula>
    </cfRule>
  </conditionalFormatting>
  <conditionalFormatting sqref="N1:N2">
    <cfRule type="cellIs" dxfId="20681" priority="637" operator="greaterThan">
      <formula>0.9</formula>
    </cfRule>
    <cfRule type="cellIs" dxfId="20680" priority="638" operator="greaterThan">
      <formula>0.85</formula>
    </cfRule>
  </conditionalFormatting>
  <conditionalFormatting sqref="N6">
    <cfRule type="cellIs" dxfId="20679" priority="635" operator="greaterThan">
      <formula>0.9</formula>
    </cfRule>
    <cfRule type="cellIs" dxfId="20678" priority="636" operator="greaterThan">
      <formula>0.85</formula>
    </cfRule>
  </conditionalFormatting>
  <conditionalFormatting sqref="E6">
    <cfRule type="expression" dxfId="20677" priority="631">
      <formula>AND(IF(OR($Q6=1,$Q6=2),1,0),IF($X6&lt;=20,1,0))</formula>
    </cfRule>
    <cfRule type="expression" dxfId="20676" priority="632">
      <formula>AND(IF($Q6=2,1,0),IF($X6&lt;30,1,0))</formula>
    </cfRule>
    <cfRule type="expression" dxfId="20675" priority="633">
      <formula>AND(IF($Q6=3,1,0),IF($X6&lt;30,1,0))</formula>
    </cfRule>
    <cfRule type="expression" dxfId="20674" priority="634">
      <formula>AND(IF($Q6=3,1,IF($Q6=4,1,0)),IF($F6&lt;=85,1,0))</formula>
    </cfRule>
  </conditionalFormatting>
  <conditionalFormatting sqref="X6">
    <cfRule type="expression" dxfId="20673" priority="627">
      <formula>AND(IF(OR($Q6=1,$Q6=2),1,0),IF($X6&lt;=20,1,0))</formula>
    </cfRule>
    <cfRule type="expression" dxfId="20672" priority="628">
      <formula>AND(IF($Q6=2,1,0),IF($X6&lt;30,1,0))</formula>
    </cfRule>
    <cfRule type="expression" dxfId="20671" priority="629">
      <formula>AND(IF($Q6=3,1,0),IF($X6&lt;30,1,0))</formula>
    </cfRule>
    <cfRule type="expression" dxfId="20670" priority="630">
      <formula>AND(IF($Q6=3,1,IF($Q6=4,1,0)),IF($F6&lt;=85,1,0))</formula>
    </cfRule>
  </conditionalFormatting>
  <conditionalFormatting sqref="AI6">
    <cfRule type="expression" dxfId="20669" priority="623">
      <formula>AND(IF(OR($Q6=1,$Q6=2),1,0),IF($X6&lt;=20,1,0))</formula>
    </cfRule>
    <cfRule type="expression" dxfId="20668" priority="624">
      <formula>AND(IF($Q6=2,1,0),IF($X6&lt;30,1,0))</formula>
    </cfRule>
    <cfRule type="expression" dxfId="20667" priority="625">
      <formula>AND(IF($Q6=3,1,0),IF($X6&lt;30,1,0))</formula>
    </cfRule>
    <cfRule type="expression" dxfId="20666" priority="626">
      <formula>AND(IF($Q6=3,1,IF($Q6=4,1,0)),IF($F6&lt;=85,1,0))</formula>
    </cfRule>
  </conditionalFormatting>
  <conditionalFormatting sqref="AV7">
    <cfRule type="expression" dxfId="20665" priority="621">
      <formula>AV7="X"</formula>
    </cfRule>
    <cfRule type="expression" dxfId="20664" priority="622">
      <formula>AV7="후보"</formula>
    </cfRule>
  </conditionalFormatting>
  <conditionalFormatting sqref="AC7 N7">
    <cfRule type="cellIs" dxfId="20663" priority="619" operator="greaterThan">
      <formula>0.9</formula>
    </cfRule>
    <cfRule type="cellIs" dxfId="20662" priority="620" operator="greaterThan">
      <formula>0.85</formula>
    </cfRule>
  </conditionalFormatting>
  <conditionalFormatting sqref="AV8">
    <cfRule type="expression" dxfId="20661" priority="617">
      <formula>AV8="X"</formula>
    </cfRule>
    <cfRule type="expression" dxfId="20660" priority="618">
      <formula>AV8="후보"</formula>
    </cfRule>
  </conditionalFormatting>
  <conditionalFormatting sqref="AC8">
    <cfRule type="cellIs" dxfId="20659" priority="615" operator="greaterThan">
      <formula>0.9</formula>
    </cfRule>
    <cfRule type="cellIs" dxfId="20658" priority="616" operator="greaterThan">
      <formula>0.85</formula>
    </cfRule>
  </conditionalFormatting>
  <conditionalFormatting sqref="N8">
    <cfRule type="cellIs" dxfId="20657" priority="613" operator="greaterThan">
      <formula>0.9</formula>
    </cfRule>
    <cfRule type="cellIs" dxfId="20656" priority="614" operator="greaterThan">
      <formula>0.85</formula>
    </cfRule>
  </conditionalFormatting>
  <conditionalFormatting sqref="E8">
    <cfRule type="expression" dxfId="20655" priority="609">
      <formula>AND(IF(OR($Q8=1,$Q8=2),1,0),IF($X8&lt;=20,1,0))</formula>
    </cfRule>
    <cfRule type="expression" dxfId="20654" priority="610">
      <formula>AND(IF($Q8=2,1,0),IF($X8&lt;30,1,0))</formula>
    </cfRule>
    <cfRule type="expression" dxfId="20653" priority="611">
      <formula>AND(IF($Q8=3,1,0),IF($X8&lt;30,1,0))</formula>
    </cfRule>
    <cfRule type="expression" dxfId="20652" priority="612">
      <formula>AND(IF($Q8=3,1,IF($Q8=4,1,0)),IF($F8&lt;=85,1,0))</formula>
    </cfRule>
  </conditionalFormatting>
  <conditionalFormatting sqref="X8">
    <cfRule type="expression" dxfId="20651" priority="605">
      <formula>AND(IF(OR($Q8=1,$Q8=2),1,0),IF($X8&lt;=20,1,0))</formula>
    </cfRule>
    <cfRule type="expression" dxfId="20650" priority="606">
      <formula>AND(IF($Q8=2,1,0),IF($X8&lt;30,1,0))</formula>
    </cfRule>
    <cfRule type="expression" dxfId="20649" priority="607">
      <formula>AND(IF($Q8=3,1,0),IF($X8&lt;30,1,0))</formula>
    </cfRule>
    <cfRule type="expression" dxfId="20648" priority="608">
      <formula>AND(IF($Q8=3,1,IF($Q8=4,1,0)),IF($F8&lt;=85,1,0))</formula>
    </cfRule>
  </conditionalFormatting>
  <conditionalFormatting sqref="AI8">
    <cfRule type="expression" dxfId="20647" priority="601">
      <formula>AND(IF(OR($Q8=1,$Q8=2),1,0),IF($X8&lt;=20,1,0))</formula>
    </cfRule>
    <cfRule type="expression" dxfId="20646" priority="602">
      <formula>AND(IF($Q8=2,1,0),IF($X8&lt;30,1,0))</formula>
    </cfRule>
    <cfRule type="expression" dxfId="20645" priority="603">
      <formula>AND(IF($Q8=3,1,0),IF($X8&lt;30,1,0))</formula>
    </cfRule>
    <cfRule type="expression" dxfId="20644" priority="604">
      <formula>AND(IF($Q8=3,1,IF($Q8=4,1,0)),IF($F8&lt;=85,1,0))</formula>
    </cfRule>
  </conditionalFormatting>
  <conditionalFormatting sqref="AV9">
    <cfRule type="expression" dxfId="20643" priority="599">
      <formula>AV9="X"</formula>
    </cfRule>
    <cfRule type="expression" dxfId="20642" priority="600">
      <formula>AV9="후보"</formula>
    </cfRule>
  </conditionalFormatting>
  <conditionalFormatting sqref="AC9">
    <cfRule type="cellIs" dxfId="20641" priority="597" operator="greaterThan">
      <formula>0.9</formula>
    </cfRule>
    <cfRule type="cellIs" dxfId="20640" priority="598" operator="greaterThan">
      <formula>0.85</formula>
    </cfRule>
  </conditionalFormatting>
  <conditionalFormatting sqref="N9">
    <cfRule type="cellIs" dxfId="20639" priority="595" operator="greaterThan">
      <formula>0.9</formula>
    </cfRule>
    <cfRule type="cellIs" dxfId="20638" priority="596" operator="greaterThan">
      <formula>0.85</formula>
    </cfRule>
  </conditionalFormatting>
  <conditionalFormatting sqref="E9">
    <cfRule type="expression" dxfId="20637" priority="591">
      <formula>AND(IF(OR($Q9=1,$Q9=2),1,0),IF($X9&lt;=20,1,0))</formula>
    </cfRule>
    <cfRule type="expression" dxfId="20636" priority="592">
      <formula>AND(IF($Q9=2,1,0),IF($X9&lt;30,1,0))</formula>
    </cfRule>
    <cfRule type="expression" dxfId="20635" priority="593">
      <formula>AND(IF($Q9=3,1,0),IF($X9&lt;30,1,0))</formula>
    </cfRule>
    <cfRule type="expression" dxfId="20634" priority="594">
      <formula>AND(IF($Q9=3,1,IF($Q9=4,1,0)),IF($F9&lt;=85,1,0))</formula>
    </cfRule>
  </conditionalFormatting>
  <conditionalFormatting sqref="X9">
    <cfRule type="expression" dxfId="20633" priority="587">
      <formula>AND(IF(OR($Q9=1,$Q9=2),1,0),IF($X9&lt;=20,1,0))</formula>
    </cfRule>
    <cfRule type="expression" dxfId="20632" priority="588">
      <formula>AND(IF($Q9=2,1,0),IF($X9&lt;30,1,0))</formula>
    </cfRule>
    <cfRule type="expression" dxfId="20631" priority="589">
      <formula>AND(IF($Q9=3,1,0),IF($X9&lt;30,1,0))</formula>
    </cfRule>
    <cfRule type="expression" dxfId="20630" priority="590">
      <formula>AND(IF($Q9=3,1,IF($Q9=4,1,0)),IF($F9&lt;=85,1,0))</formula>
    </cfRule>
  </conditionalFormatting>
  <conditionalFormatting sqref="AI9">
    <cfRule type="expression" dxfId="20629" priority="583">
      <formula>AND(IF(OR($Q9=1,$Q9=2),1,0),IF($X9&lt;=20,1,0))</formula>
    </cfRule>
    <cfRule type="expression" dxfId="20628" priority="584">
      <formula>AND(IF($Q9=2,1,0),IF($X9&lt;30,1,0))</formula>
    </cfRule>
    <cfRule type="expression" dxfId="20627" priority="585">
      <formula>AND(IF($Q9=3,1,0),IF($X9&lt;30,1,0))</formula>
    </cfRule>
    <cfRule type="expression" dxfId="20626" priority="586">
      <formula>AND(IF($Q9=3,1,IF($Q9=4,1,0)),IF($F9&lt;=85,1,0))</formula>
    </cfRule>
  </conditionalFormatting>
  <conditionalFormatting sqref="AV10">
    <cfRule type="expression" dxfId="20625" priority="581">
      <formula>AV10="X"</formula>
    </cfRule>
    <cfRule type="expression" dxfId="20624" priority="582">
      <formula>AV10="후보"</formula>
    </cfRule>
  </conditionalFormatting>
  <conditionalFormatting sqref="AC10">
    <cfRule type="cellIs" dxfId="20623" priority="579" operator="greaterThan">
      <formula>0.9</formula>
    </cfRule>
    <cfRule type="cellIs" dxfId="20622" priority="580" operator="greaterThan">
      <formula>0.85</formula>
    </cfRule>
  </conditionalFormatting>
  <conditionalFormatting sqref="N10">
    <cfRule type="cellIs" dxfId="20621" priority="577" operator="greaterThan">
      <formula>0.9</formula>
    </cfRule>
    <cfRule type="cellIs" dxfId="20620" priority="578" operator="greaterThan">
      <formula>0.85</formula>
    </cfRule>
  </conditionalFormatting>
  <conditionalFormatting sqref="E10">
    <cfRule type="expression" dxfId="20619" priority="573">
      <formula>AND(IF(OR($Q10=1,$Q10=2),1,0),IF($X10&lt;=20,1,0))</formula>
    </cfRule>
    <cfRule type="expression" dxfId="20618" priority="574">
      <formula>AND(IF($Q10=2,1,0),IF($X10&lt;30,1,0))</formula>
    </cfRule>
    <cfRule type="expression" dxfId="20617" priority="575">
      <formula>AND(IF($Q10=3,1,0),IF($X10&lt;30,1,0))</formula>
    </cfRule>
    <cfRule type="expression" dxfId="20616" priority="576">
      <formula>AND(IF($Q10=3,1,IF($Q10=4,1,0)),IF($F10&lt;=85,1,0))</formula>
    </cfRule>
  </conditionalFormatting>
  <conditionalFormatting sqref="X10">
    <cfRule type="expression" dxfId="20615" priority="569">
      <formula>AND(IF(OR($Q10=1,$Q10=2),1,0),IF($X10&lt;=20,1,0))</formula>
    </cfRule>
    <cfRule type="expression" dxfId="20614" priority="570">
      <formula>AND(IF($Q10=2,1,0),IF($X10&lt;30,1,0))</formula>
    </cfRule>
    <cfRule type="expression" dxfId="20613" priority="571">
      <formula>AND(IF($Q10=3,1,0),IF($X10&lt;30,1,0))</formula>
    </cfRule>
    <cfRule type="expression" dxfId="20612" priority="572">
      <formula>AND(IF($Q10=3,1,IF($Q10=4,1,0)),IF($F10&lt;=85,1,0))</formula>
    </cfRule>
  </conditionalFormatting>
  <conditionalFormatting sqref="AI10">
    <cfRule type="expression" dxfId="20611" priority="565">
      <formula>AND(IF(OR($Q10=1,$Q10=2),1,0),IF($X10&lt;=20,1,0))</formula>
    </cfRule>
    <cfRule type="expression" dxfId="20610" priority="566">
      <formula>AND(IF($Q10=2,1,0),IF($X10&lt;30,1,0))</formula>
    </cfRule>
    <cfRule type="expression" dxfId="20609" priority="567">
      <formula>AND(IF($Q10=3,1,0),IF($X10&lt;30,1,0))</formula>
    </cfRule>
    <cfRule type="expression" dxfId="20608" priority="568">
      <formula>AND(IF($Q10=3,1,IF($Q10=4,1,0)),IF($F10&lt;=85,1,0))</formula>
    </cfRule>
  </conditionalFormatting>
  <conditionalFormatting sqref="AV11">
    <cfRule type="expression" dxfId="20607" priority="563">
      <formula>AV11="X"</formula>
    </cfRule>
    <cfRule type="expression" dxfId="20606" priority="564">
      <formula>AV11="후보"</formula>
    </cfRule>
  </conditionalFormatting>
  <conditionalFormatting sqref="AC11">
    <cfRule type="cellIs" dxfId="20605" priority="561" operator="greaterThan">
      <formula>0.9</formula>
    </cfRule>
    <cfRule type="cellIs" dxfId="20604" priority="562" operator="greaterThan">
      <formula>0.85</formula>
    </cfRule>
  </conditionalFormatting>
  <conditionalFormatting sqref="N11">
    <cfRule type="cellIs" dxfId="20603" priority="559" operator="greaterThan">
      <formula>0.9</formula>
    </cfRule>
    <cfRule type="cellIs" dxfId="20602" priority="560" operator="greaterThan">
      <formula>0.85</formula>
    </cfRule>
  </conditionalFormatting>
  <conditionalFormatting sqref="E11">
    <cfRule type="expression" dxfId="20601" priority="555">
      <formula>AND(IF(OR($Q11=1,$Q11=2),1,0),IF($X11&lt;=20,1,0))</formula>
    </cfRule>
    <cfRule type="expression" dxfId="20600" priority="556">
      <formula>AND(IF($Q11=2,1,0),IF($X11&lt;30,1,0))</formula>
    </cfRule>
    <cfRule type="expression" dxfId="20599" priority="557">
      <formula>AND(IF($Q11=3,1,0),IF($X11&lt;30,1,0))</formula>
    </cfRule>
    <cfRule type="expression" dxfId="20598" priority="558">
      <formula>AND(IF($Q11=3,1,IF($Q11=4,1,0)),IF($F11&lt;=85,1,0))</formula>
    </cfRule>
  </conditionalFormatting>
  <conditionalFormatting sqref="X11">
    <cfRule type="expression" dxfId="20597" priority="551">
      <formula>AND(IF(OR($Q11=1,$Q11=2),1,0),IF($X11&lt;=20,1,0))</formula>
    </cfRule>
    <cfRule type="expression" dxfId="20596" priority="552">
      <formula>AND(IF($Q11=2,1,0),IF($X11&lt;30,1,0))</formula>
    </cfRule>
    <cfRule type="expression" dxfId="20595" priority="553">
      <formula>AND(IF($Q11=3,1,0),IF($X11&lt;30,1,0))</formula>
    </cfRule>
    <cfRule type="expression" dxfId="20594" priority="554">
      <formula>AND(IF($Q11=3,1,IF($Q11=4,1,0)),IF($F11&lt;=85,1,0))</formula>
    </cfRule>
  </conditionalFormatting>
  <conditionalFormatting sqref="AI11">
    <cfRule type="expression" dxfId="20593" priority="547">
      <formula>AND(IF(OR($Q11=1,$Q11=2),1,0),IF($X11&lt;=20,1,0))</formula>
    </cfRule>
    <cfRule type="expression" dxfId="20592" priority="548">
      <formula>AND(IF($Q11=2,1,0),IF($X11&lt;30,1,0))</formula>
    </cfRule>
    <cfRule type="expression" dxfId="20591" priority="549">
      <formula>AND(IF($Q11=3,1,0),IF($X11&lt;30,1,0))</formula>
    </cfRule>
    <cfRule type="expression" dxfId="20590" priority="550">
      <formula>AND(IF($Q11=3,1,IF($Q11=4,1,0)),IF($F11&lt;=85,1,0))</formula>
    </cfRule>
  </conditionalFormatting>
  <conditionalFormatting sqref="AV12">
    <cfRule type="expression" dxfId="20589" priority="545">
      <formula>AV12="X"</formula>
    </cfRule>
    <cfRule type="expression" dxfId="20588" priority="546">
      <formula>AV12="후보"</formula>
    </cfRule>
  </conditionalFormatting>
  <conditionalFormatting sqref="AC12">
    <cfRule type="cellIs" dxfId="20587" priority="543" operator="greaterThan">
      <formula>0.9</formula>
    </cfRule>
    <cfRule type="cellIs" dxfId="20586" priority="544" operator="greaterThan">
      <formula>0.85</formula>
    </cfRule>
  </conditionalFormatting>
  <conditionalFormatting sqref="N12">
    <cfRule type="cellIs" dxfId="20585" priority="541" operator="greaterThan">
      <formula>0.9</formula>
    </cfRule>
    <cfRule type="cellIs" dxfId="20584" priority="542" operator="greaterThan">
      <formula>0.85</formula>
    </cfRule>
  </conditionalFormatting>
  <conditionalFormatting sqref="E12">
    <cfRule type="expression" dxfId="20583" priority="537">
      <formula>AND(IF(OR($Q12=1,$Q12=2),1,0),IF($X12&lt;=20,1,0))</formula>
    </cfRule>
    <cfRule type="expression" dxfId="20582" priority="538">
      <formula>AND(IF($Q12=2,1,0),IF($X12&lt;30,1,0))</formula>
    </cfRule>
    <cfRule type="expression" dxfId="20581" priority="539">
      <formula>AND(IF($Q12=3,1,0),IF($X12&lt;30,1,0))</formula>
    </cfRule>
    <cfRule type="expression" dxfId="20580" priority="540">
      <formula>AND(IF($Q12=3,1,IF($Q12=4,1,0)),IF($F12&lt;=85,1,0))</formula>
    </cfRule>
  </conditionalFormatting>
  <conditionalFormatting sqref="X12">
    <cfRule type="expression" dxfId="20579" priority="533">
      <formula>AND(IF(OR($Q12=1,$Q12=2),1,0),IF($X12&lt;=20,1,0))</formula>
    </cfRule>
    <cfRule type="expression" dxfId="20578" priority="534">
      <formula>AND(IF($Q12=2,1,0),IF($X12&lt;30,1,0))</formula>
    </cfRule>
    <cfRule type="expression" dxfId="20577" priority="535">
      <formula>AND(IF($Q12=3,1,0),IF($X12&lt;30,1,0))</formula>
    </cfRule>
    <cfRule type="expression" dxfId="20576" priority="536">
      <formula>AND(IF($Q12=3,1,IF($Q12=4,1,0)),IF($F12&lt;=85,1,0))</formula>
    </cfRule>
  </conditionalFormatting>
  <conditionalFormatting sqref="AI12">
    <cfRule type="expression" dxfId="20575" priority="529">
      <formula>AND(IF(OR($Q12=1,$Q12=2),1,0),IF($X12&lt;=20,1,0))</formula>
    </cfRule>
    <cfRule type="expression" dxfId="20574" priority="530">
      <formula>AND(IF($Q12=2,1,0),IF($X12&lt;30,1,0))</formula>
    </cfRule>
    <cfRule type="expression" dxfId="20573" priority="531">
      <formula>AND(IF($Q12=3,1,0),IF($X12&lt;30,1,0))</formula>
    </cfRule>
    <cfRule type="expression" dxfId="20572" priority="532">
      <formula>AND(IF($Q12=3,1,IF($Q12=4,1,0)),IF($F12&lt;=85,1,0))</formula>
    </cfRule>
  </conditionalFormatting>
  <conditionalFormatting sqref="AV13">
    <cfRule type="expression" dxfId="20571" priority="527">
      <formula>AV13="X"</formula>
    </cfRule>
    <cfRule type="expression" dxfId="20570" priority="528">
      <formula>AV13="후보"</formula>
    </cfRule>
  </conditionalFormatting>
  <conditionalFormatting sqref="AC13">
    <cfRule type="cellIs" dxfId="20569" priority="525" operator="greaterThan">
      <formula>0.9</formula>
    </cfRule>
    <cfRule type="cellIs" dxfId="20568" priority="526" operator="greaterThan">
      <formula>0.85</formula>
    </cfRule>
  </conditionalFormatting>
  <conditionalFormatting sqref="N13">
    <cfRule type="cellIs" dxfId="20567" priority="523" operator="greaterThan">
      <formula>0.9</formula>
    </cfRule>
    <cfRule type="cellIs" dxfId="20566" priority="524" operator="greaterThan">
      <formula>0.85</formula>
    </cfRule>
  </conditionalFormatting>
  <conditionalFormatting sqref="E13">
    <cfRule type="expression" dxfId="20565" priority="519">
      <formula>AND(IF(OR($Q13=1,$Q13=2),1,0),IF($X13&lt;=20,1,0))</formula>
    </cfRule>
    <cfRule type="expression" dxfId="20564" priority="520">
      <formula>AND(IF($Q13=2,1,0),IF($X13&lt;30,1,0))</formula>
    </cfRule>
    <cfRule type="expression" dxfId="20563" priority="521">
      <formula>AND(IF($Q13=3,1,0),IF($X13&lt;30,1,0))</formula>
    </cfRule>
    <cfRule type="expression" dxfId="20562" priority="522">
      <formula>AND(IF($Q13=3,1,IF($Q13=4,1,0)),IF($F13&lt;=85,1,0))</formula>
    </cfRule>
  </conditionalFormatting>
  <conditionalFormatting sqref="X13">
    <cfRule type="expression" dxfId="20561" priority="515">
      <formula>AND(IF(OR($Q13=1,$Q13=2),1,0),IF($X13&lt;=20,1,0))</formula>
    </cfRule>
    <cfRule type="expression" dxfId="20560" priority="516">
      <formula>AND(IF($Q13=2,1,0),IF($X13&lt;30,1,0))</formula>
    </cfRule>
    <cfRule type="expression" dxfId="20559" priority="517">
      <formula>AND(IF($Q13=3,1,0),IF($X13&lt;30,1,0))</formula>
    </cfRule>
    <cfRule type="expression" dxfId="20558" priority="518">
      <formula>AND(IF($Q13=3,1,IF($Q13=4,1,0)),IF($F13&lt;=85,1,0))</formula>
    </cfRule>
  </conditionalFormatting>
  <conditionalFormatting sqref="AI13">
    <cfRule type="expression" dxfId="20557" priority="511">
      <formula>AND(IF(OR($Q13=1,$Q13=2),1,0),IF($X13&lt;=20,1,0))</formula>
    </cfRule>
    <cfRule type="expression" dxfId="20556" priority="512">
      <formula>AND(IF($Q13=2,1,0),IF($X13&lt;30,1,0))</formula>
    </cfRule>
    <cfRule type="expression" dxfId="20555" priority="513">
      <formula>AND(IF($Q13=3,1,0),IF($X13&lt;30,1,0))</formula>
    </cfRule>
    <cfRule type="expression" dxfId="20554" priority="514">
      <formula>AND(IF($Q13=3,1,IF($Q13=4,1,0)),IF($F13&lt;=85,1,0))</formula>
    </cfRule>
  </conditionalFormatting>
  <conditionalFormatting sqref="AV14">
    <cfRule type="expression" dxfId="20553" priority="509">
      <formula>AV14="X"</formula>
    </cfRule>
    <cfRule type="expression" dxfId="20552" priority="510">
      <formula>AV14="후보"</formula>
    </cfRule>
  </conditionalFormatting>
  <conditionalFormatting sqref="AC14">
    <cfRule type="cellIs" dxfId="20551" priority="507" operator="greaterThan">
      <formula>0.9</formula>
    </cfRule>
    <cfRule type="cellIs" dxfId="20550" priority="508" operator="greaterThan">
      <formula>0.85</formula>
    </cfRule>
  </conditionalFormatting>
  <conditionalFormatting sqref="N14">
    <cfRule type="cellIs" dxfId="20549" priority="505" operator="greaterThan">
      <formula>0.9</formula>
    </cfRule>
    <cfRule type="cellIs" dxfId="20548" priority="506" operator="greaterThan">
      <formula>0.85</formula>
    </cfRule>
  </conditionalFormatting>
  <conditionalFormatting sqref="E14">
    <cfRule type="expression" dxfId="20547" priority="501">
      <formula>AND(IF(OR($Q14=1,$Q14=2),1,0),IF($X14&lt;=20,1,0))</formula>
    </cfRule>
    <cfRule type="expression" dxfId="20546" priority="502">
      <formula>AND(IF($Q14=2,1,0),IF($X14&lt;30,1,0))</formula>
    </cfRule>
    <cfRule type="expression" dxfId="20545" priority="503">
      <formula>AND(IF($Q14=3,1,0),IF($X14&lt;30,1,0))</formula>
    </cfRule>
    <cfRule type="expression" dxfId="20544" priority="504">
      <formula>AND(IF($Q14=3,1,IF($Q14=4,1,0)),IF($F14&lt;=85,1,0))</formula>
    </cfRule>
  </conditionalFormatting>
  <conditionalFormatting sqref="X14">
    <cfRule type="expression" dxfId="20543" priority="497">
      <formula>AND(IF(OR($Q14=1,$Q14=2),1,0),IF($X14&lt;=20,1,0))</formula>
    </cfRule>
    <cfRule type="expression" dxfId="20542" priority="498">
      <formula>AND(IF($Q14=2,1,0),IF($X14&lt;30,1,0))</formula>
    </cfRule>
    <cfRule type="expression" dxfId="20541" priority="499">
      <formula>AND(IF($Q14=3,1,0),IF($X14&lt;30,1,0))</formula>
    </cfRule>
    <cfRule type="expression" dxfId="20540" priority="500">
      <formula>AND(IF($Q14=3,1,IF($Q14=4,1,0)),IF($F14&lt;=85,1,0))</formula>
    </cfRule>
  </conditionalFormatting>
  <conditionalFormatting sqref="AI14">
    <cfRule type="expression" dxfId="20539" priority="493">
      <formula>AND(IF(OR($Q14=1,$Q14=2),1,0),IF($X14&lt;=20,1,0))</formula>
    </cfRule>
    <cfRule type="expression" dxfId="20538" priority="494">
      <formula>AND(IF($Q14=2,1,0),IF($X14&lt;30,1,0))</formula>
    </cfRule>
    <cfRule type="expression" dxfId="20537" priority="495">
      <formula>AND(IF($Q14=3,1,0),IF($X14&lt;30,1,0))</formula>
    </cfRule>
    <cfRule type="expression" dxfId="20536" priority="496">
      <formula>AND(IF($Q14=3,1,IF($Q14=4,1,0)),IF($F14&lt;=85,1,0))</formula>
    </cfRule>
  </conditionalFormatting>
  <conditionalFormatting sqref="AV15">
    <cfRule type="expression" dxfId="20535" priority="491">
      <formula>AV15="X"</formula>
    </cfRule>
    <cfRule type="expression" dxfId="20534" priority="492">
      <formula>AV15="후보"</formula>
    </cfRule>
  </conditionalFormatting>
  <conditionalFormatting sqref="AC15">
    <cfRule type="cellIs" dxfId="20533" priority="489" operator="greaterThan">
      <formula>0.9</formula>
    </cfRule>
    <cfRule type="cellIs" dxfId="20532" priority="490" operator="greaterThan">
      <formula>0.85</formula>
    </cfRule>
  </conditionalFormatting>
  <conditionalFormatting sqref="N15">
    <cfRule type="cellIs" dxfId="20531" priority="487" operator="greaterThan">
      <formula>0.9</formula>
    </cfRule>
    <cfRule type="cellIs" dxfId="20530" priority="488" operator="greaterThan">
      <formula>0.85</formula>
    </cfRule>
  </conditionalFormatting>
  <conditionalFormatting sqref="E15">
    <cfRule type="expression" dxfId="20529" priority="483">
      <formula>AND(IF(OR($Q15=1,$Q15=2),1,0),IF($X15&lt;=20,1,0))</formula>
    </cfRule>
    <cfRule type="expression" dxfId="20528" priority="484">
      <formula>AND(IF($Q15=2,1,0),IF($X15&lt;30,1,0))</formula>
    </cfRule>
    <cfRule type="expression" dxfId="20527" priority="485">
      <formula>AND(IF($Q15=3,1,0),IF($X15&lt;30,1,0))</formula>
    </cfRule>
    <cfRule type="expression" dxfId="20526" priority="486">
      <formula>AND(IF($Q15=3,1,IF($Q15=4,1,0)),IF($F15&lt;=85,1,0))</formula>
    </cfRule>
  </conditionalFormatting>
  <conditionalFormatting sqref="X15">
    <cfRule type="expression" dxfId="20525" priority="479">
      <formula>AND(IF(OR($Q15=1,$Q15=2),1,0),IF($X15&lt;=20,1,0))</formula>
    </cfRule>
    <cfRule type="expression" dxfId="20524" priority="480">
      <formula>AND(IF($Q15=2,1,0),IF($X15&lt;30,1,0))</formula>
    </cfRule>
    <cfRule type="expression" dxfId="20523" priority="481">
      <formula>AND(IF($Q15=3,1,0),IF($X15&lt;30,1,0))</formula>
    </cfRule>
    <cfRule type="expression" dxfId="20522" priority="482">
      <formula>AND(IF($Q15=3,1,IF($Q15=4,1,0)),IF($F15&lt;=85,1,0))</formula>
    </cfRule>
  </conditionalFormatting>
  <conditionalFormatting sqref="AI15">
    <cfRule type="expression" dxfId="20521" priority="475">
      <formula>AND(IF(OR($Q15=1,$Q15=2),1,0),IF($X15&lt;=20,1,0))</formula>
    </cfRule>
    <cfRule type="expression" dxfId="20520" priority="476">
      <formula>AND(IF($Q15=2,1,0),IF($X15&lt;30,1,0))</formula>
    </cfRule>
    <cfRule type="expression" dxfId="20519" priority="477">
      <formula>AND(IF($Q15=3,1,0),IF($X15&lt;30,1,0))</formula>
    </cfRule>
    <cfRule type="expression" dxfId="20518" priority="478">
      <formula>AND(IF($Q15=3,1,IF($Q15=4,1,0)),IF($F15&lt;=85,1,0))</formula>
    </cfRule>
  </conditionalFormatting>
  <conditionalFormatting sqref="AV16">
    <cfRule type="expression" dxfId="20517" priority="473">
      <formula>AV16="X"</formula>
    </cfRule>
    <cfRule type="expression" dxfId="20516" priority="474">
      <formula>AV16="후보"</formula>
    </cfRule>
  </conditionalFormatting>
  <conditionalFormatting sqref="AC16">
    <cfRule type="cellIs" dxfId="20515" priority="471" operator="greaterThan">
      <formula>0.9</formula>
    </cfRule>
    <cfRule type="cellIs" dxfId="20514" priority="472" operator="greaterThan">
      <formula>0.85</formula>
    </cfRule>
  </conditionalFormatting>
  <conditionalFormatting sqref="N16">
    <cfRule type="cellIs" dxfId="20513" priority="469" operator="greaterThan">
      <formula>0.9</formula>
    </cfRule>
    <cfRule type="cellIs" dxfId="20512" priority="470" operator="greaterThan">
      <formula>0.85</formula>
    </cfRule>
  </conditionalFormatting>
  <conditionalFormatting sqref="E16">
    <cfRule type="expression" dxfId="20511" priority="465">
      <formula>AND(IF(OR($Q16=1,$Q16=2),1,0),IF($X16&lt;=20,1,0))</formula>
    </cfRule>
    <cfRule type="expression" dxfId="20510" priority="466">
      <formula>AND(IF($Q16=2,1,0),IF($X16&lt;30,1,0))</formula>
    </cfRule>
    <cfRule type="expression" dxfId="20509" priority="467">
      <formula>AND(IF($Q16=3,1,0),IF($X16&lt;30,1,0))</formula>
    </cfRule>
    <cfRule type="expression" dxfId="20508" priority="468">
      <formula>AND(IF($Q16=3,1,IF($Q16=4,1,0)),IF($F16&lt;=85,1,0))</formula>
    </cfRule>
  </conditionalFormatting>
  <conditionalFormatting sqref="X16">
    <cfRule type="expression" dxfId="20507" priority="461">
      <formula>AND(IF(OR($Q16=1,$Q16=2),1,0),IF($X16&lt;=20,1,0))</formula>
    </cfRule>
    <cfRule type="expression" dxfId="20506" priority="462">
      <formula>AND(IF($Q16=2,1,0),IF($X16&lt;30,1,0))</formula>
    </cfRule>
    <cfRule type="expression" dxfId="20505" priority="463">
      <formula>AND(IF($Q16=3,1,0),IF($X16&lt;30,1,0))</formula>
    </cfRule>
    <cfRule type="expression" dxfId="20504" priority="464">
      <formula>AND(IF($Q16=3,1,IF($Q16=4,1,0)),IF($F16&lt;=85,1,0))</formula>
    </cfRule>
  </conditionalFormatting>
  <conditionalFormatting sqref="AI16">
    <cfRule type="expression" dxfId="20503" priority="457">
      <formula>AND(IF(OR($Q16=1,$Q16=2),1,0),IF($X16&lt;=20,1,0))</formula>
    </cfRule>
    <cfRule type="expression" dxfId="20502" priority="458">
      <formula>AND(IF($Q16=2,1,0),IF($X16&lt;30,1,0))</formula>
    </cfRule>
    <cfRule type="expression" dxfId="20501" priority="459">
      <formula>AND(IF($Q16=3,1,0),IF($X16&lt;30,1,0))</formula>
    </cfRule>
    <cfRule type="expression" dxfId="20500" priority="460">
      <formula>AND(IF($Q16=3,1,IF($Q16=4,1,0)),IF($F16&lt;=85,1,0))</formula>
    </cfRule>
  </conditionalFormatting>
  <conditionalFormatting sqref="AV17">
    <cfRule type="expression" dxfId="20499" priority="455">
      <formula>AV17="X"</formula>
    </cfRule>
    <cfRule type="expression" dxfId="20498" priority="456">
      <formula>AV17="후보"</formula>
    </cfRule>
  </conditionalFormatting>
  <conditionalFormatting sqref="AC17 N17">
    <cfRule type="cellIs" dxfId="20497" priority="453" operator="greaterThan">
      <formula>0.9</formula>
    </cfRule>
    <cfRule type="cellIs" dxfId="20496" priority="454" operator="greaterThan">
      <formula>0.85</formula>
    </cfRule>
  </conditionalFormatting>
  <conditionalFormatting sqref="AV18">
    <cfRule type="expression" dxfId="20495" priority="451">
      <formula>AV18="X"</formula>
    </cfRule>
    <cfRule type="expression" dxfId="20494" priority="452">
      <formula>AV18="후보"</formula>
    </cfRule>
  </conditionalFormatting>
  <conditionalFormatting sqref="AC18">
    <cfRule type="cellIs" dxfId="20493" priority="449" operator="greaterThan">
      <formula>0.9</formula>
    </cfRule>
    <cfRule type="cellIs" dxfId="20492" priority="450" operator="greaterThan">
      <formula>0.85</formula>
    </cfRule>
  </conditionalFormatting>
  <conditionalFormatting sqref="N18">
    <cfRule type="cellIs" dxfId="20491" priority="447" operator="greaterThan">
      <formula>0.9</formula>
    </cfRule>
    <cfRule type="cellIs" dxfId="20490" priority="448" operator="greaterThan">
      <formula>0.85</formula>
    </cfRule>
  </conditionalFormatting>
  <conditionalFormatting sqref="E18">
    <cfRule type="expression" dxfId="20489" priority="443">
      <formula>AND(IF(OR($Q18=1,$Q18=2),1,0),IF($X18&lt;=20,1,0))</formula>
    </cfRule>
    <cfRule type="expression" dxfId="20488" priority="444">
      <formula>AND(IF($Q18=2,1,0),IF($X18&lt;30,1,0))</formula>
    </cfRule>
    <cfRule type="expression" dxfId="20487" priority="445">
      <formula>AND(IF($Q18=3,1,0),IF($X18&lt;30,1,0))</formula>
    </cfRule>
    <cfRule type="expression" dxfId="20486" priority="446">
      <formula>AND(IF($Q18=3,1,IF($Q18=4,1,0)),IF($F18&lt;=85,1,0))</formula>
    </cfRule>
  </conditionalFormatting>
  <conditionalFormatting sqref="X18">
    <cfRule type="expression" dxfId="20485" priority="439">
      <formula>AND(IF(OR($Q18=1,$Q18=2),1,0),IF($X18&lt;=20,1,0))</formula>
    </cfRule>
    <cfRule type="expression" dxfId="20484" priority="440">
      <formula>AND(IF($Q18=2,1,0),IF($X18&lt;30,1,0))</formula>
    </cfRule>
    <cfRule type="expression" dxfId="20483" priority="441">
      <formula>AND(IF($Q18=3,1,0),IF($X18&lt;30,1,0))</formula>
    </cfRule>
    <cfRule type="expression" dxfId="20482" priority="442">
      <formula>AND(IF($Q18=3,1,IF($Q18=4,1,0)),IF($F18&lt;=85,1,0))</formula>
    </cfRule>
  </conditionalFormatting>
  <conditionalFormatting sqref="AI18">
    <cfRule type="expression" dxfId="20481" priority="435">
      <formula>AND(IF(OR($Q18=1,$Q18=2),1,0),IF($X18&lt;=20,1,0))</formula>
    </cfRule>
    <cfRule type="expression" dxfId="20480" priority="436">
      <formula>AND(IF($Q18=2,1,0),IF($X18&lt;30,1,0))</formula>
    </cfRule>
    <cfRule type="expression" dxfId="20479" priority="437">
      <formula>AND(IF($Q18=3,1,0),IF($X18&lt;30,1,0))</formula>
    </cfRule>
    <cfRule type="expression" dxfId="20478" priority="438">
      <formula>AND(IF($Q18=3,1,IF($Q18=4,1,0)),IF($F18&lt;=85,1,0))</formula>
    </cfRule>
  </conditionalFormatting>
  <conditionalFormatting sqref="AV19">
    <cfRule type="expression" dxfId="20477" priority="433">
      <formula>AV19="X"</formula>
    </cfRule>
    <cfRule type="expression" dxfId="20476" priority="434">
      <formula>AV19="후보"</formula>
    </cfRule>
  </conditionalFormatting>
  <conditionalFormatting sqref="AC19">
    <cfRule type="cellIs" dxfId="20475" priority="431" operator="greaterThan">
      <formula>0.9</formula>
    </cfRule>
    <cfRule type="cellIs" dxfId="20474" priority="432" operator="greaterThan">
      <formula>0.85</formula>
    </cfRule>
  </conditionalFormatting>
  <conditionalFormatting sqref="N19">
    <cfRule type="cellIs" dxfId="20473" priority="429" operator="greaterThan">
      <formula>0.9</formula>
    </cfRule>
    <cfRule type="cellIs" dxfId="20472" priority="430" operator="greaterThan">
      <formula>0.85</formula>
    </cfRule>
  </conditionalFormatting>
  <conditionalFormatting sqref="E19">
    <cfRule type="expression" dxfId="20471" priority="425">
      <formula>AND(IF(OR($Q19=1,$Q19=2),1,0),IF($X19&lt;=20,1,0))</formula>
    </cfRule>
    <cfRule type="expression" dxfId="20470" priority="426">
      <formula>AND(IF($Q19=2,1,0),IF($X19&lt;30,1,0))</formula>
    </cfRule>
    <cfRule type="expression" dxfId="20469" priority="427">
      <formula>AND(IF($Q19=3,1,0),IF($X19&lt;30,1,0))</formula>
    </cfRule>
    <cfRule type="expression" dxfId="20468" priority="428">
      <formula>AND(IF($Q19=3,1,IF($Q19=4,1,0)),IF($F19&lt;=85,1,0))</formula>
    </cfRule>
  </conditionalFormatting>
  <conditionalFormatting sqref="X19">
    <cfRule type="expression" dxfId="20467" priority="421">
      <formula>AND(IF(OR($Q19=1,$Q19=2),1,0),IF($X19&lt;=20,1,0))</formula>
    </cfRule>
    <cfRule type="expression" dxfId="20466" priority="422">
      <formula>AND(IF($Q19=2,1,0),IF($X19&lt;30,1,0))</formula>
    </cfRule>
    <cfRule type="expression" dxfId="20465" priority="423">
      <formula>AND(IF($Q19=3,1,0),IF($X19&lt;30,1,0))</formula>
    </cfRule>
    <cfRule type="expression" dxfId="20464" priority="424">
      <formula>AND(IF($Q19=3,1,IF($Q19=4,1,0)),IF($F19&lt;=85,1,0))</formula>
    </cfRule>
  </conditionalFormatting>
  <conditionalFormatting sqref="AI19">
    <cfRule type="expression" dxfId="20463" priority="417">
      <formula>AND(IF(OR($Q19=1,$Q19=2),1,0),IF($X19&lt;=20,1,0))</formula>
    </cfRule>
    <cfRule type="expression" dxfId="20462" priority="418">
      <formula>AND(IF($Q19=2,1,0),IF($X19&lt;30,1,0))</formula>
    </cfRule>
    <cfRule type="expression" dxfId="20461" priority="419">
      <formula>AND(IF($Q19=3,1,0),IF($X19&lt;30,1,0))</formula>
    </cfRule>
    <cfRule type="expression" dxfId="20460" priority="420">
      <formula>AND(IF($Q19=3,1,IF($Q19=4,1,0)),IF($F19&lt;=85,1,0))</formula>
    </cfRule>
  </conditionalFormatting>
  <conditionalFormatting sqref="AV20">
    <cfRule type="expression" dxfId="20459" priority="415">
      <formula>AV20="X"</formula>
    </cfRule>
    <cfRule type="expression" dxfId="20458" priority="416">
      <formula>AV20="후보"</formula>
    </cfRule>
  </conditionalFormatting>
  <conditionalFormatting sqref="AC20">
    <cfRule type="cellIs" dxfId="20457" priority="413" operator="greaterThan">
      <formula>0.9</formula>
    </cfRule>
    <cfRule type="cellIs" dxfId="20456" priority="414" operator="greaterThan">
      <formula>0.85</formula>
    </cfRule>
  </conditionalFormatting>
  <conditionalFormatting sqref="N20">
    <cfRule type="cellIs" dxfId="20455" priority="411" operator="greaterThan">
      <formula>0.9</formula>
    </cfRule>
    <cfRule type="cellIs" dxfId="20454" priority="412" operator="greaterThan">
      <formula>0.85</formula>
    </cfRule>
  </conditionalFormatting>
  <conditionalFormatting sqref="E20">
    <cfRule type="expression" dxfId="20453" priority="407">
      <formula>AND(IF(OR($Q20=1,$Q20=2),1,0),IF($X20&lt;=20,1,0))</formula>
    </cfRule>
    <cfRule type="expression" dxfId="20452" priority="408">
      <formula>AND(IF($Q20=2,1,0),IF($X20&lt;30,1,0))</formula>
    </cfRule>
    <cfRule type="expression" dxfId="20451" priority="409">
      <formula>AND(IF($Q20=3,1,0),IF($X20&lt;30,1,0))</formula>
    </cfRule>
    <cfRule type="expression" dxfId="20450" priority="410">
      <formula>AND(IF($Q20=3,1,IF($Q20=4,1,0)),IF($F20&lt;=85,1,0))</formula>
    </cfRule>
  </conditionalFormatting>
  <conditionalFormatting sqref="X20">
    <cfRule type="expression" dxfId="20449" priority="403">
      <formula>AND(IF(OR($Q20=1,$Q20=2),1,0),IF($X20&lt;=20,1,0))</formula>
    </cfRule>
    <cfRule type="expression" dxfId="20448" priority="404">
      <formula>AND(IF($Q20=2,1,0),IF($X20&lt;30,1,0))</formula>
    </cfRule>
    <cfRule type="expression" dxfId="20447" priority="405">
      <formula>AND(IF($Q20=3,1,0),IF($X20&lt;30,1,0))</formula>
    </cfRule>
    <cfRule type="expression" dxfId="20446" priority="406">
      <formula>AND(IF($Q20=3,1,IF($Q20=4,1,0)),IF($F20&lt;=85,1,0))</formula>
    </cfRule>
  </conditionalFormatting>
  <conditionalFormatting sqref="AI20">
    <cfRule type="expression" dxfId="20445" priority="399">
      <formula>AND(IF(OR($Q20=1,$Q20=2),1,0),IF($X20&lt;=20,1,0))</formula>
    </cfRule>
    <cfRule type="expression" dxfId="20444" priority="400">
      <formula>AND(IF($Q20=2,1,0),IF($X20&lt;30,1,0))</formula>
    </cfRule>
    <cfRule type="expression" dxfId="20443" priority="401">
      <formula>AND(IF($Q20=3,1,0),IF($X20&lt;30,1,0))</formula>
    </cfRule>
    <cfRule type="expression" dxfId="20442" priority="402">
      <formula>AND(IF($Q20=3,1,IF($Q20=4,1,0)),IF($F20&lt;=85,1,0))</formula>
    </cfRule>
  </conditionalFormatting>
  <conditionalFormatting sqref="AV21">
    <cfRule type="expression" dxfId="20441" priority="397">
      <formula>AV21="X"</formula>
    </cfRule>
    <cfRule type="expression" dxfId="20440" priority="398">
      <formula>AV21="후보"</formula>
    </cfRule>
  </conditionalFormatting>
  <conditionalFormatting sqref="AC21">
    <cfRule type="cellIs" dxfId="20439" priority="395" operator="greaterThan">
      <formula>0.9</formula>
    </cfRule>
    <cfRule type="cellIs" dxfId="20438" priority="396" operator="greaterThan">
      <formula>0.85</formula>
    </cfRule>
  </conditionalFormatting>
  <conditionalFormatting sqref="N21">
    <cfRule type="cellIs" dxfId="20437" priority="393" operator="greaterThan">
      <formula>0.9</formula>
    </cfRule>
    <cfRule type="cellIs" dxfId="20436" priority="394" operator="greaterThan">
      <formula>0.85</formula>
    </cfRule>
  </conditionalFormatting>
  <conditionalFormatting sqref="E21">
    <cfRule type="expression" dxfId="20435" priority="389">
      <formula>AND(IF(OR($Q21=1,$Q21=2),1,0),IF($X21&lt;=20,1,0))</formula>
    </cfRule>
    <cfRule type="expression" dxfId="20434" priority="390">
      <formula>AND(IF($Q21=2,1,0),IF($X21&lt;30,1,0))</formula>
    </cfRule>
    <cfRule type="expression" dxfId="20433" priority="391">
      <formula>AND(IF($Q21=3,1,0),IF($X21&lt;30,1,0))</formula>
    </cfRule>
    <cfRule type="expression" dxfId="20432" priority="392">
      <formula>AND(IF($Q21=3,1,IF($Q21=4,1,0)),IF($F21&lt;=85,1,0))</formula>
    </cfRule>
  </conditionalFormatting>
  <conditionalFormatting sqref="X21">
    <cfRule type="expression" dxfId="20431" priority="385">
      <formula>AND(IF(OR($Q21=1,$Q21=2),1,0),IF($X21&lt;=20,1,0))</formula>
    </cfRule>
    <cfRule type="expression" dxfId="20430" priority="386">
      <formula>AND(IF($Q21=2,1,0),IF($X21&lt;30,1,0))</formula>
    </cfRule>
    <cfRule type="expression" dxfId="20429" priority="387">
      <formula>AND(IF($Q21=3,1,0),IF($X21&lt;30,1,0))</formula>
    </cfRule>
    <cfRule type="expression" dxfId="20428" priority="388">
      <formula>AND(IF($Q21=3,1,IF($Q21=4,1,0)),IF($F21&lt;=85,1,0))</formula>
    </cfRule>
  </conditionalFormatting>
  <conditionalFormatting sqref="AI21">
    <cfRule type="expression" dxfId="20427" priority="381">
      <formula>AND(IF(OR($Q21=1,$Q21=2),1,0),IF($X21&lt;=20,1,0))</formula>
    </cfRule>
    <cfRule type="expression" dxfId="20426" priority="382">
      <formula>AND(IF($Q21=2,1,0),IF($X21&lt;30,1,0))</formula>
    </cfRule>
    <cfRule type="expression" dxfId="20425" priority="383">
      <formula>AND(IF($Q21=3,1,0),IF($X21&lt;30,1,0))</formula>
    </cfRule>
    <cfRule type="expression" dxfId="20424" priority="384">
      <formula>AND(IF($Q21=3,1,IF($Q21=4,1,0)),IF($F21&lt;=85,1,0))</formula>
    </cfRule>
  </conditionalFormatting>
  <conditionalFormatting sqref="AV22">
    <cfRule type="expression" dxfId="20423" priority="379">
      <formula>AV22="X"</formula>
    </cfRule>
    <cfRule type="expression" dxfId="20422" priority="380">
      <formula>AV22="후보"</formula>
    </cfRule>
  </conditionalFormatting>
  <conditionalFormatting sqref="AC22">
    <cfRule type="cellIs" dxfId="20421" priority="377" operator="greaterThan">
      <formula>0.9</formula>
    </cfRule>
    <cfRule type="cellIs" dxfId="20420" priority="378" operator="greaterThan">
      <formula>0.85</formula>
    </cfRule>
  </conditionalFormatting>
  <conditionalFormatting sqref="N22">
    <cfRule type="cellIs" dxfId="20419" priority="375" operator="greaterThan">
      <formula>0.9</formula>
    </cfRule>
    <cfRule type="cellIs" dxfId="20418" priority="376" operator="greaterThan">
      <formula>0.85</formula>
    </cfRule>
  </conditionalFormatting>
  <conditionalFormatting sqref="E22">
    <cfRule type="expression" dxfId="20417" priority="371">
      <formula>AND(IF(OR($Q22=1,$Q22=2),1,0),IF($X22&lt;=20,1,0))</formula>
    </cfRule>
    <cfRule type="expression" dxfId="20416" priority="372">
      <formula>AND(IF($Q22=2,1,0),IF($X22&lt;30,1,0))</formula>
    </cfRule>
    <cfRule type="expression" dxfId="20415" priority="373">
      <formula>AND(IF($Q22=3,1,0),IF($X22&lt;30,1,0))</formula>
    </cfRule>
    <cfRule type="expression" dxfId="20414" priority="374">
      <formula>AND(IF($Q22=3,1,IF($Q22=4,1,0)),IF($F22&lt;=85,1,0))</formula>
    </cfRule>
  </conditionalFormatting>
  <conditionalFormatting sqref="X22">
    <cfRule type="expression" dxfId="20413" priority="367">
      <formula>AND(IF(OR($Q22=1,$Q22=2),1,0),IF($X22&lt;=20,1,0))</formula>
    </cfRule>
    <cfRule type="expression" dxfId="20412" priority="368">
      <formula>AND(IF($Q22=2,1,0),IF($X22&lt;30,1,0))</formula>
    </cfRule>
    <cfRule type="expression" dxfId="20411" priority="369">
      <formula>AND(IF($Q22=3,1,0),IF($X22&lt;30,1,0))</formula>
    </cfRule>
    <cfRule type="expression" dxfId="20410" priority="370">
      <formula>AND(IF($Q22=3,1,IF($Q22=4,1,0)),IF($F22&lt;=85,1,0))</formula>
    </cfRule>
  </conditionalFormatting>
  <conditionalFormatting sqref="AI22">
    <cfRule type="expression" dxfId="20409" priority="363">
      <formula>AND(IF(OR($Q22=1,$Q22=2),1,0),IF($X22&lt;=20,1,0))</formula>
    </cfRule>
    <cfRule type="expression" dxfId="20408" priority="364">
      <formula>AND(IF($Q22=2,1,0),IF($X22&lt;30,1,0))</formula>
    </cfRule>
    <cfRule type="expression" dxfId="20407" priority="365">
      <formula>AND(IF($Q22=3,1,0),IF($X22&lt;30,1,0))</formula>
    </cfRule>
    <cfRule type="expression" dxfId="20406" priority="366">
      <formula>AND(IF($Q22=3,1,IF($Q22=4,1,0)),IF($F22&lt;=85,1,0))</formula>
    </cfRule>
  </conditionalFormatting>
  <conditionalFormatting sqref="AV23">
    <cfRule type="expression" dxfId="20405" priority="361">
      <formula>AV23="X"</formula>
    </cfRule>
    <cfRule type="expression" dxfId="20404" priority="362">
      <formula>AV23="후보"</formula>
    </cfRule>
  </conditionalFormatting>
  <conditionalFormatting sqref="AC23">
    <cfRule type="cellIs" dxfId="20403" priority="359" operator="greaterThan">
      <formula>0.9</formula>
    </cfRule>
    <cfRule type="cellIs" dxfId="20402" priority="360" operator="greaterThan">
      <formula>0.85</formula>
    </cfRule>
  </conditionalFormatting>
  <conditionalFormatting sqref="N23">
    <cfRule type="cellIs" dxfId="20401" priority="357" operator="greaterThan">
      <formula>0.9</formula>
    </cfRule>
    <cfRule type="cellIs" dxfId="20400" priority="358" operator="greaterThan">
      <formula>0.85</formula>
    </cfRule>
  </conditionalFormatting>
  <conditionalFormatting sqref="E23">
    <cfRule type="expression" dxfId="20399" priority="353">
      <formula>AND(IF(OR($Q23=1,$Q23=2),1,0),IF($X23&lt;=20,1,0))</formula>
    </cfRule>
    <cfRule type="expression" dxfId="20398" priority="354">
      <formula>AND(IF($Q23=2,1,0),IF($X23&lt;30,1,0))</formula>
    </cfRule>
    <cfRule type="expression" dxfId="20397" priority="355">
      <formula>AND(IF($Q23=3,1,0),IF($X23&lt;30,1,0))</formula>
    </cfRule>
    <cfRule type="expression" dxfId="20396" priority="356">
      <formula>AND(IF($Q23=3,1,IF($Q23=4,1,0)),IF($F23&lt;=85,1,0))</formula>
    </cfRule>
  </conditionalFormatting>
  <conditionalFormatting sqref="X23">
    <cfRule type="expression" dxfId="20395" priority="349">
      <formula>AND(IF(OR($Q23=1,$Q23=2),1,0),IF($X23&lt;=20,1,0))</formula>
    </cfRule>
    <cfRule type="expression" dxfId="20394" priority="350">
      <formula>AND(IF($Q23=2,1,0),IF($X23&lt;30,1,0))</formula>
    </cfRule>
    <cfRule type="expression" dxfId="20393" priority="351">
      <formula>AND(IF($Q23=3,1,0),IF($X23&lt;30,1,0))</formula>
    </cfRule>
    <cfRule type="expression" dxfId="20392" priority="352">
      <formula>AND(IF($Q23=3,1,IF($Q23=4,1,0)),IF($F23&lt;=85,1,0))</formula>
    </cfRule>
  </conditionalFormatting>
  <conditionalFormatting sqref="AI23">
    <cfRule type="expression" dxfId="20391" priority="345">
      <formula>AND(IF(OR($Q23=1,$Q23=2),1,0),IF($X23&lt;=20,1,0))</formula>
    </cfRule>
    <cfRule type="expression" dxfId="20390" priority="346">
      <formula>AND(IF($Q23=2,1,0),IF($X23&lt;30,1,0))</formula>
    </cfRule>
    <cfRule type="expression" dxfId="20389" priority="347">
      <formula>AND(IF($Q23=3,1,0),IF($X23&lt;30,1,0))</formula>
    </cfRule>
    <cfRule type="expression" dxfId="20388" priority="348">
      <formula>AND(IF($Q23=3,1,IF($Q23=4,1,0)),IF($F23&lt;=85,1,0))</formula>
    </cfRule>
  </conditionalFormatting>
  <conditionalFormatting sqref="AV24">
    <cfRule type="expression" dxfId="20387" priority="343">
      <formula>AV24="X"</formula>
    </cfRule>
    <cfRule type="expression" dxfId="20386" priority="344">
      <formula>AV24="후보"</formula>
    </cfRule>
  </conditionalFormatting>
  <conditionalFormatting sqref="AC24">
    <cfRule type="cellIs" dxfId="20385" priority="341" operator="greaterThan">
      <formula>0.9</formula>
    </cfRule>
    <cfRule type="cellIs" dxfId="20384" priority="342" operator="greaterThan">
      <formula>0.85</formula>
    </cfRule>
  </conditionalFormatting>
  <conditionalFormatting sqref="N24">
    <cfRule type="cellIs" dxfId="20383" priority="339" operator="greaterThan">
      <formula>0.9</formula>
    </cfRule>
    <cfRule type="cellIs" dxfId="20382" priority="340" operator="greaterThan">
      <formula>0.85</formula>
    </cfRule>
  </conditionalFormatting>
  <conditionalFormatting sqref="E24">
    <cfRule type="expression" dxfId="20381" priority="335">
      <formula>AND(IF(OR($Q24=1,$Q24=2),1,0),IF($X24&lt;=20,1,0))</formula>
    </cfRule>
    <cfRule type="expression" dxfId="20380" priority="336">
      <formula>AND(IF($Q24=2,1,0),IF($X24&lt;30,1,0))</formula>
    </cfRule>
    <cfRule type="expression" dxfId="20379" priority="337">
      <formula>AND(IF($Q24=3,1,0),IF($X24&lt;30,1,0))</formula>
    </cfRule>
    <cfRule type="expression" dxfId="20378" priority="338">
      <formula>AND(IF($Q24=3,1,IF($Q24=4,1,0)),IF($F24&lt;=85,1,0))</formula>
    </cfRule>
  </conditionalFormatting>
  <conditionalFormatting sqref="X24">
    <cfRule type="expression" dxfId="20377" priority="331">
      <formula>AND(IF(OR($Q24=1,$Q24=2),1,0),IF($X24&lt;=20,1,0))</formula>
    </cfRule>
    <cfRule type="expression" dxfId="20376" priority="332">
      <formula>AND(IF($Q24=2,1,0),IF($X24&lt;30,1,0))</formula>
    </cfRule>
    <cfRule type="expression" dxfId="20375" priority="333">
      <formula>AND(IF($Q24=3,1,0),IF($X24&lt;30,1,0))</formula>
    </cfRule>
    <cfRule type="expression" dxfId="20374" priority="334">
      <formula>AND(IF($Q24=3,1,IF($Q24=4,1,0)),IF($F24&lt;=85,1,0))</formula>
    </cfRule>
  </conditionalFormatting>
  <conditionalFormatting sqref="AI24">
    <cfRule type="expression" dxfId="20373" priority="327">
      <formula>AND(IF(OR($Q24=1,$Q24=2),1,0),IF($X24&lt;=20,1,0))</formula>
    </cfRule>
    <cfRule type="expression" dxfId="20372" priority="328">
      <formula>AND(IF($Q24=2,1,0),IF($X24&lt;30,1,0))</formula>
    </cfRule>
    <cfRule type="expression" dxfId="20371" priority="329">
      <formula>AND(IF($Q24=3,1,0),IF($X24&lt;30,1,0))</formula>
    </cfRule>
    <cfRule type="expression" dxfId="20370" priority="330">
      <formula>AND(IF($Q24=3,1,IF($Q24=4,1,0)),IF($F24&lt;=85,1,0))</formula>
    </cfRule>
  </conditionalFormatting>
  <conditionalFormatting sqref="AV25">
    <cfRule type="expression" dxfId="20369" priority="325">
      <formula>AV25="X"</formula>
    </cfRule>
    <cfRule type="expression" dxfId="20368" priority="326">
      <formula>AV25="후보"</formula>
    </cfRule>
  </conditionalFormatting>
  <conditionalFormatting sqref="AC25 N25">
    <cfRule type="cellIs" dxfId="20367" priority="323" operator="greaterThan">
      <formula>0.9</formula>
    </cfRule>
    <cfRule type="cellIs" dxfId="20366" priority="324" operator="greaterThan">
      <formula>0.85</formula>
    </cfRule>
  </conditionalFormatting>
  <conditionalFormatting sqref="AV26">
    <cfRule type="expression" dxfId="20365" priority="321">
      <formula>AV26="X"</formula>
    </cfRule>
    <cfRule type="expression" dxfId="20364" priority="322">
      <formula>AV26="후보"</formula>
    </cfRule>
  </conditionalFormatting>
  <conditionalFormatting sqref="AC26">
    <cfRule type="cellIs" dxfId="20363" priority="319" operator="greaterThan">
      <formula>0.9</formula>
    </cfRule>
    <cfRule type="cellIs" dxfId="20362" priority="320" operator="greaterThan">
      <formula>0.85</formula>
    </cfRule>
  </conditionalFormatting>
  <conditionalFormatting sqref="N26">
    <cfRule type="cellIs" dxfId="20361" priority="317" operator="greaterThan">
      <formula>0.9</formula>
    </cfRule>
    <cfRule type="cellIs" dxfId="20360" priority="318" operator="greaterThan">
      <formula>0.85</formula>
    </cfRule>
  </conditionalFormatting>
  <conditionalFormatting sqref="E26">
    <cfRule type="expression" dxfId="20359" priority="313">
      <formula>AND(IF(OR($Q26=1,$Q26=2),1,0),IF($X26&lt;=20,1,0))</formula>
    </cfRule>
    <cfRule type="expression" dxfId="20358" priority="314">
      <formula>AND(IF($Q26=2,1,0),IF($X26&lt;30,1,0))</formula>
    </cfRule>
    <cfRule type="expression" dxfId="20357" priority="315">
      <formula>AND(IF($Q26=3,1,0),IF($X26&lt;30,1,0))</formula>
    </cfRule>
    <cfRule type="expression" dxfId="20356" priority="316">
      <formula>AND(IF($Q26=3,1,IF($Q26=4,1,0)),IF($F26&lt;=85,1,0))</formula>
    </cfRule>
  </conditionalFormatting>
  <conditionalFormatting sqref="X26">
    <cfRule type="expression" dxfId="20355" priority="309">
      <formula>AND(IF(OR($Q26=1,$Q26=2),1,0),IF($X26&lt;=20,1,0))</formula>
    </cfRule>
    <cfRule type="expression" dxfId="20354" priority="310">
      <formula>AND(IF($Q26=2,1,0),IF($X26&lt;30,1,0))</formula>
    </cfRule>
    <cfRule type="expression" dxfId="20353" priority="311">
      <formula>AND(IF($Q26=3,1,0),IF($X26&lt;30,1,0))</formula>
    </cfRule>
    <cfRule type="expression" dxfId="20352" priority="312">
      <formula>AND(IF($Q26=3,1,IF($Q26=4,1,0)),IF($F26&lt;=85,1,0))</formula>
    </cfRule>
  </conditionalFormatting>
  <conditionalFormatting sqref="AI26">
    <cfRule type="expression" dxfId="20351" priority="305">
      <formula>AND(IF(OR($Q26=1,$Q26=2),1,0),IF($X26&lt;=20,1,0))</formula>
    </cfRule>
    <cfRule type="expression" dxfId="20350" priority="306">
      <formula>AND(IF($Q26=2,1,0),IF($X26&lt;30,1,0))</formula>
    </cfRule>
    <cfRule type="expression" dxfId="20349" priority="307">
      <formula>AND(IF($Q26=3,1,0),IF($X26&lt;30,1,0))</formula>
    </cfRule>
    <cfRule type="expression" dxfId="20348" priority="308">
      <formula>AND(IF($Q26=3,1,IF($Q26=4,1,0)),IF($F26&lt;=85,1,0))</formula>
    </cfRule>
  </conditionalFormatting>
  <conditionalFormatting sqref="AV27">
    <cfRule type="expression" dxfId="20347" priority="303">
      <formula>AV27="X"</formula>
    </cfRule>
    <cfRule type="expression" dxfId="20346" priority="304">
      <formula>AV27="후보"</formula>
    </cfRule>
  </conditionalFormatting>
  <conditionalFormatting sqref="AC27">
    <cfRule type="cellIs" dxfId="20345" priority="301" operator="greaterThan">
      <formula>0.9</formula>
    </cfRule>
    <cfRule type="cellIs" dxfId="20344" priority="302" operator="greaterThan">
      <formula>0.85</formula>
    </cfRule>
  </conditionalFormatting>
  <conditionalFormatting sqref="N27">
    <cfRule type="cellIs" dxfId="20343" priority="299" operator="greaterThan">
      <formula>0.9</formula>
    </cfRule>
    <cfRule type="cellIs" dxfId="20342" priority="300" operator="greaterThan">
      <formula>0.85</formula>
    </cfRule>
  </conditionalFormatting>
  <conditionalFormatting sqref="E27">
    <cfRule type="expression" dxfId="20341" priority="295">
      <formula>AND(IF(OR($Q27=1,$Q27=2),1,0),IF($X27&lt;=20,1,0))</formula>
    </cfRule>
    <cfRule type="expression" dxfId="20340" priority="296">
      <formula>AND(IF($Q27=2,1,0),IF($X27&lt;30,1,0))</formula>
    </cfRule>
    <cfRule type="expression" dxfId="20339" priority="297">
      <formula>AND(IF($Q27=3,1,0),IF($X27&lt;30,1,0))</formula>
    </cfRule>
    <cfRule type="expression" dxfId="20338" priority="298">
      <formula>AND(IF($Q27=3,1,IF($Q27=4,1,0)),IF($F27&lt;=85,1,0))</formula>
    </cfRule>
  </conditionalFormatting>
  <conditionalFormatting sqref="X27">
    <cfRule type="expression" dxfId="20337" priority="291">
      <formula>AND(IF(OR($Q27=1,$Q27=2),1,0),IF($X27&lt;=20,1,0))</formula>
    </cfRule>
    <cfRule type="expression" dxfId="20336" priority="292">
      <formula>AND(IF($Q27=2,1,0),IF($X27&lt;30,1,0))</formula>
    </cfRule>
    <cfRule type="expression" dxfId="20335" priority="293">
      <formula>AND(IF($Q27=3,1,0),IF($X27&lt;30,1,0))</formula>
    </cfRule>
    <cfRule type="expression" dxfId="20334" priority="294">
      <formula>AND(IF($Q27=3,1,IF($Q27=4,1,0)),IF($F27&lt;=85,1,0))</formula>
    </cfRule>
  </conditionalFormatting>
  <conditionalFormatting sqref="AI27">
    <cfRule type="expression" dxfId="20333" priority="287">
      <formula>AND(IF(OR($Q27=1,$Q27=2),1,0),IF($X27&lt;=20,1,0))</formula>
    </cfRule>
    <cfRule type="expression" dxfId="20332" priority="288">
      <formula>AND(IF($Q27=2,1,0),IF($X27&lt;30,1,0))</formula>
    </cfRule>
    <cfRule type="expression" dxfId="20331" priority="289">
      <formula>AND(IF($Q27=3,1,0),IF($X27&lt;30,1,0))</formula>
    </cfRule>
    <cfRule type="expression" dxfId="20330" priority="290">
      <formula>AND(IF($Q27=3,1,IF($Q27=4,1,0)),IF($F27&lt;=85,1,0))</formula>
    </cfRule>
  </conditionalFormatting>
  <conditionalFormatting sqref="AV28">
    <cfRule type="expression" dxfId="20329" priority="285">
      <formula>AV28="X"</formula>
    </cfRule>
    <cfRule type="expression" dxfId="20328" priority="286">
      <formula>AV28="후보"</formula>
    </cfRule>
  </conditionalFormatting>
  <conditionalFormatting sqref="AC28">
    <cfRule type="cellIs" dxfId="20327" priority="283" operator="greaterThan">
      <formula>0.9</formula>
    </cfRule>
    <cfRule type="cellIs" dxfId="20326" priority="284" operator="greaterThan">
      <formula>0.85</formula>
    </cfRule>
  </conditionalFormatting>
  <conditionalFormatting sqref="N28">
    <cfRule type="cellIs" dxfId="20325" priority="281" operator="greaterThan">
      <formula>0.9</formula>
    </cfRule>
    <cfRule type="cellIs" dxfId="20324" priority="282" operator="greaterThan">
      <formula>0.85</formula>
    </cfRule>
  </conditionalFormatting>
  <conditionalFormatting sqref="E28">
    <cfRule type="expression" dxfId="20323" priority="277">
      <formula>AND(IF(OR($Q28=1,$Q28=2),1,0),IF($X28&lt;=20,1,0))</formula>
    </cfRule>
    <cfRule type="expression" dxfId="20322" priority="278">
      <formula>AND(IF($Q28=2,1,0),IF($X28&lt;30,1,0))</formula>
    </cfRule>
    <cfRule type="expression" dxfId="20321" priority="279">
      <formula>AND(IF($Q28=3,1,0),IF($X28&lt;30,1,0))</formula>
    </cfRule>
    <cfRule type="expression" dxfId="20320" priority="280">
      <formula>AND(IF($Q28=3,1,IF($Q28=4,1,0)),IF($F28&lt;=85,1,0))</formula>
    </cfRule>
  </conditionalFormatting>
  <conditionalFormatting sqref="X28">
    <cfRule type="expression" dxfId="20319" priority="273">
      <formula>AND(IF(OR($Q28=1,$Q28=2),1,0),IF($X28&lt;=20,1,0))</formula>
    </cfRule>
    <cfRule type="expression" dxfId="20318" priority="274">
      <formula>AND(IF($Q28=2,1,0),IF($X28&lt;30,1,0))</formula>
    </cfRule>
    <cfRule type="expression" dxfId="20317" priority="275">
      <formula>AND(IF($Q28=3,1,0),IF($X28&lt;30,1,0))</formula>
    </cfRule>
    <cfRule type="expression" dxfId="20316" priority="276">
      <formula>AND(IF($Q28=3,1,IF($Q28=4,1,0)),IF($F28&lt;=85,1,0))</formula>
    </cfRule>
  </conditionalFormatting>
  <conditionalFormatting sqref="AI28">
    <cfRule type="expression" dxfId="20315" priority="269">
      <formula>AND(IF(OR($Q28=1,$Q28=2),1,0),IF($X28&lt;=20,1,0))</formula>
    </cfRule>
    <cfRule type="expression" dxfId="20314" priority="270">
      <formula>AND(IF($Q28=2,1,0),IF($X28&lt;30,1,0))</formula>
    </cfRule>
    <cfRule type="expression" dxfId="20313" priority="271">
      <formula>AND(IF($Q28=3,1,0),IF($X28&lt;30,1,0))</formula>
    </cfRule>
    <cfRule type="expression" dxfId="20312" priority="272">
      <formula>AND(IF($Q28=3,1,IF($Q28=4,1,0)),IF($F28&lt;=85,1,0))</formula>
    </cfRule>
  </conditionalFormatting>
  <conditionalFormatting sqref="AV29">
    <cfRule type="expression" dxfId="20311" priority="267">
      <formula>AV29="X"</formula>
    </cfRule>
    <cfRule type="expression" dxfId="20310" priority="268">
      <formula>AV29="후보"</formula>
    </cfRule>
  </conditionalFormatting>
  <conditionalFormatting sqref="AC29">
    <cfRule type="cellIs" dxfId="20309" priority="265" operator="greaterThan">
      <formula>0.9</formula>
    </cfRule>
    <cfRule type="cellIs" dxfId="20308" priority="266" operator="greaterThan">
      <formula>0.85</formula>
    </cfRule>
  </conditionalFormatting>
  <conditionalFormatting sqref="N29">
    <cfRule type="cellIs" dxfId="20307" priority="263" operator="greaterThan">
      <formula>0.9</formula>
    </cfRule>
    <cfRule type="cellIs" dxfId="20306" priority="264" operator="greaterThan">
      <formula>0.85</formula>
    </cfRule>
  </conditionalFormatting>
  <conditionalFormatting sqref="E29">
    <cfRule type="expression" dxfId="20305" priority="259">
      <formula>AND(IF(OR($Q29=1,$Q29=2),1,0),IF($X29&lt;=20,1,0))</formula>
    </cfRule>
    <cfRule type="expression" dxfId="20304" priority="260">
      <formula>AND(IF($Q29=2,1,0),IF($X29&lt;30,1,0))</formula>
    </cfRule>
    <cfRule type="expression" dxfId="20303" priority="261">
      <formula>AND(IF($Q29=3,1,0),IF($X29&lt;30,1,0))</formula>
    </cfRule>
    <cfRule type="expression" dxfId="20302" priority="262">
      <formula>AND(IF($Q29=3,1,IF($Q29=4,1,0)),IF($F29&lt;=85,1,0))</formula>
    </cfRule>
  </conditionalFormatting>
  <conditionalFormatting sqref="X29">
    <cfRule type="expression" dxfId="20301" priority="255">
      <formula>AND(IF(OR($Q29=1,$Q29=2),1,0),IF($X29&lt;=20,1,0))</formula>
    </cfRule>
    <cfRule type="expression" dxfId="20300" priority="256">
      <formula>AND(IF($Q29=2,1,0),IF($X29&lt;30,1,0))</formula>
    </cfRule>
    <cfRule type="expression" dxfId="20299" priority="257">
      <formula>AND(IF($Q29=3,1,0),IF($X29&lt;30,1,0))</formula>
    </cfRule>
    <cfRule type="expression" dxfId="20298" priority="258">
      <formula>AND(IF($Q29=3,1,IF($Q29=4,1,0)),IF($F29&lt;=85,1,0))</formula>
    </cfRule>
  </conditionalFormatting>
  <conditionalFormatting sqref="AI29">
    <cfRule type="expression" dxfId="20297" priority="251">
      <formula>AND(IF(OR($Q29=1,$Q29=2),1,0),IF($X29&lt;=20,1,0))</formula>
    </cfRule>
    <cfRule type="expression" dxfId="20296" priority="252">
      <formula>AND(IF($Q29=2,1,0),IF($X29&lt;30,1,0))</formula>
    </cfRule>
    <cfRule type="expression" dxfId="20295" priority="253">
      <formula>AND(IF($Q29=3,1,0),IF($X29&lt;30,1,0))</formula>
    </cfRule>
    <cfRule type="expression" dxfId="20294" priority="254">
      <formula>AND(IF($Q29=3,1,IF($Q29=4,1,0)),IF($F29&lt;=85,1,0))</formula>
    </cfRule>
  </conditionalFormatting>
  <conditionalFormatting sqref="AV30">
    <cfRule type="expression" dxfId="20293" priority="249">
      <formula>AV30="X"</formula>
    </cfRule>
    <cfRule type="expression" dxfId="20292" priority="250">
      <formula>AV30="후보"</formula>
    </cfRule>
  </conditionalFormatting>
  <conditionalFormatting sqref="AC30">
    <cfRule type="cellIs" dxfId="20291" priority="247" operator="greaterThan">
      <formula>0.9</formula>
    </cfRule>
    <cfRule type="cellIs" dxfId="20290" priority="248" operator="greaterThan">
      <formula>0.85</formula>
    </cfRule>
  </conditionalFormatting>
  <conditionalFormatting sqref="N30">
    <cfRule type="cellIs" dxfId="20289" priority="245" operator="greaterThan">
      <formula>0.9</formula>
    </cfRule>
    <cfRule type="cellIs" dxfId="20288" priority="246" operator="greaterThan">
      <formula>0.85</formula>
    </cfRule>
  </conditionalFormatting>
  <conditionalFormatting sqref="E30">
    <cfRule type="expression" dxfId="20287" priority="241">
      <formula>AND(IF(OR($Q30=1,$Q30=2),1,0),IF($X30&lt;=20,1,0))</formula>
    </cfRule>
    <cfRule type="expression" dxfId="20286" priority="242">
      <formula>AND(IF($Q30=2,1,0),IF($X30&lt;30,1,0))</formula>
    </cfRule>
    <cfRule type="expression" dxfId="20285" priority="243">
      <formula>AND(IF($Q30=3,1,0),IF($X30&lt;30,1,0))</formula>
    </cfRule>
    <cfRule type="expression" dxfId="20284" priority="244">
      <formula>AND(IF($Q30=3,1,IF($Q30=4,1,0)),IF($F30&lt;=85,1,0))</formula>
    </cfRule>
  </conditionalFormatting>
  <conditionalFormatting sqref="X30">
    <cfRule type="expression" dxfId="20283" priority="237">
      <formula>AND(IF(OR($Q30=1,$Q30=2),1,0),IF($X30&lt;=20,1,0))</formula>
    </cfRule>
    <cfRule type="expression" dxfId="20282" priority="238">
      <formula>AND(IF($Q30=2,1,0),IF($X30&lt;30,1,0))</formula>
    </cfRule>
    <cfRule type="expression" dxfId="20281" priority="239">
      <formula>AND(IF($Q30=3,1,0),IF($X30&lt;30,1,0))</formula>
    </cfRule>
    <cfRule type="expression" dxfId="20280" priority="240">
      <formula>AND(IF($Q30=3,1,IF($Q30=4,1,0)),IF($F30&lt;=85,1,0))</formula>
    </cfRule>
  </conditionalFormatting>
  <conditionalFormatting sqref="AI30">
    <cfRule type="expression" dxfId="20279" priority="233">
      <formula>AND(IF(OR($Q30=1,$Q30=2),1,0),IF($X30&lt;=20,1,0))</formula>
    </cfRule>
    <cfRule type="expression" dxfId="20278" priority="234">
      <formula>AND(IF($Q30=2,1,0),IF($X30&lt;30,1,0))</formula>
    </cfRule>
    <cfRule type="expression" dxfId="20277" priority="235">
      <formula>AND(IF($Q30=3,1,0),IF($X30&lt;30,1,0))</formula>
    </cfRule>
    <cfRule type="expression" dxfId="20276" priority="236">
      <formula>AND(IF($Q30=3,1,IF($Q30=4,1,0)),IF($F30&lt;=85,1,0))</formula>
    </cfRule>
  </conditionalFormatting>
  <conditionalFormatting sqref="AV31">
    <cfRule type="expression" dxfId="20275" priority="231">
      <formula>AV31="X"</formula>
    </cfRule>
    <cfRule type="expression" dxfId="20274" priority="232">
      <formula>AV31="후보"</formula>
    </cfRule>
  </conditionalFormatting>
  <conditionalFormatting sqref="AC31 N31">
    <cfRule type="cellIs" dxfId="20273" priority="229" operator="greaterThan">
      <formula>0.9</formula>
    </cfRule>
    <cfRule type="cellIs" dxfId="20272" priority="230" operator="greaterThan">
      <formula>0.85</formula>
    </cfRule>
  </conditionalFormatting>
  <conditionalFormatting sqref="AV32">
    <cfRule type="expression" dxfId="20271" priority="227">
      <formula>AV32="X"</formula>
    </cfRule>
    <cfRule type="expression" dxfId="20270" priority="228">
      <formula>AV32="후보"</formula>
    </cfRule>
  </conditionalFormatting>
  <conditionalFormatting sqref="AC32">
    <cfRule type="cellIs" dxfId="20269" priority="225" operator="greaterThan">
      <formula>0.9</formula>
    </cfRule>
    <cfRule type="cellIs" dxfId="20268" priority="226" operator="greaterThan">
      <formula>0.85</formula>
    </cfRule>
  </conditionalFormatting>
  <conditionalFormatting sqref="N32">
    <cfRule type="cellIs" dxfId="20267" priority="223" operator="greaterThan">
      <formula>0.9</formula>
    </cfRule>
    <cfRule type="cellIs" dxfId="20266" priority="224" operator="greaterThan">
      <formula>0.85</formula>
    </cfRule>
  </conditionalFormatting>
  <conditionalFormatting sqref="E32">
    <cfRule type="expression" dxfId="20265" priority="219">
      <formula>AND(IF(OR($Q32=1,$Q32=2),1,0),IF($X32&lt;=20,1,0))</formula>
    </cfRule>
    <cfRule type="expression" dxfId="20264" priority="220">
      <formula>AND(IF($Q32=2,1,0),IF($X32&lt;30,1,0))</formula>
    </cfRule>
    <cfRule type="expression" dxfId="20263" priority="221">
      <formula>AND(IF($Q32=3,1,0),IF($X32&lt;30,1,0))</formula>
    </cfRule>
    <cfRule type="expression" dxfId="20262" priority="222">
      <formula>AND(IF($Q32=3,1,IF($Q32=4,1,0)),IF($F32&lt;=85,1,0))</formula>
    </cfRule>
  </conditionalFormatting>
  <conditionalFormatting sqref="X32">
    <cfRule type="expression" dxfId="20261" priority="215">
      <formula>AND(IF(OR($Q32=1,$Q32=2),1,0),IF($X32&lt;=20,1,0))</formula>
    </cfRule>
    <cfRule type="expression" dxfId="20260" priority="216">
      <formula>AND(IF($Q32=2,1,0),IF($X32&lt;30,1,0))</formula>
    </cfRule>
    <cfRule type="expression" dxfId="20259" priority="217">
      <formula>AND(IF($Q32=3,1,0),IF($X32&lt;30,1,0))</formula>
    </cfRule>
    <cfRule type="expression" dxfId="20258" priority="218">
      <formula>AND(IF($Q32=3,1,IF($Q32=4,1,0)),IF($F32&lt;=85,1,0))</formula>
    </cfRule>
  </conditionalFormatting>
  <conditionalFormatting sqref="AI32">
    <cfRule type="expression" dxfId="20257" priority="211">
      <formula>AND(IF(OR($Q32=1,$Q32=2),1,0),IF($X32&lt;=20,1,0))</formula>
    </cfRule>
    <cfRule type="expression" dxfId="20256" priority="212">
      <formula>AND(IF($Q32=2,1,0),IF($X32&lt;30,1,0))</formula>
    </cfRule>
    <cfRule type="expression" dxfId="20255" priority="213">
      <formula>AND(IF($Q32=3,1,0),IF($X32&lt;30,1,0))</formula>
    </cfRule>
    <cfRule type="expression" dxfId="20254" priority="214">
      <formula>AND(IF($Q32=3,1,IF($Q32=4,1,0)),IF($F32&lt;=85,1,0))</formula>
    </cfRule>
  </conditionalFormatting>
  <conditionalFormatting sqref="AV33">
    <cfRule type="expression" dxfId="20253" priority="209">
      <formula>AV33="X"</formula>
    </cfRule>
    <cfRule type="expression" dxfId="20252" priority="210">
      <formula>AV33="후보"</formula>
    </cfRule>
  </conditionalFormatting>
  <conditionalFormatting sqref="AC33">
    <cfRule type="cellIs" dxfId="20251" priority="207" operator="greaterThan">
      <formula>0.9</formula>
    </cfRule>
    <cfRule type="cellIs" dxfId="20250" priority="208" operator="greaterThan">
      <formula>0.85</formula>
    </cfRule>
  </conditionalFormatting>
  <conditionalFormatting sqref="N33">
    <cfRule type="cellIs" dxfId="20249" priority="205" operator="greaterThan">
      <formula>0.9</formula>
    </cfRule>
    <cfRule type="cellIs" dxfId="20248" priority="206" operator="greaterThan">
      <formula>0.85</formula>
    </cfRule>
  </conditionalFormatting>
  <conditionalFormatting sqref="E33">
    <cfRule type="expression" dxfId="20247" priority="201">
      <formula>AND(IF(OR($Q33=1,$Q33=2),1,0),IF($X33&lt;=20,1,0))</formula>
    </cfRule>
    <cfRule type="expression" dxfId="20246" priority="202">
      <formula>AND(IF($Q33=2,1,0),IF($X33&lt;30,1,0))</formula>
    </cfRule>
    <cfRule type="expression" dxfId="20245" priority="203">
      <formula>AND(IF($Q33=3,1,0),IF($X33&lt;30,1,0))</formula>
    </cfRule>
    <cfRule type="expression" dxfId="20244" priority="204">
      <formula>AND(IF($Q33=3,1,IF($Q33=4,1,0)),IF($F33&lt;=85,1,0))</formula>
    </cfRule>
  </conditionalFormatting>
  <conditionalFormatting sqref="X33">
    <cfRule type="expression" dxfId="20243" priority="197">
      <formula>AND(IF(OR($Q33=1,$Q33=2),1,0),IF($X33&lt;=20,1,0))</formula>
    </cfRule>
    <cfRule type="expression" dxfId="20242" priority="198">
      <formula>AND(IF($Q33=2,1,0),IF($X33&lt;30,1,0))</formula>
    </cfRule>
    <cfRule type="expression" dxfId="20241" priority="199">
      <formula>AND(IF($Q33=3,1,0),IF($X33&lt;30,1,0))</formula>
    </cfRule>
    <cfRule type="expression" dxfId="20240" priority="200">
      <formula>AND(IF($Q33=3,1,IF($Q33=4,1,0)),IF($F33&lt;=85,1,0))</formula>
    </cfRule>
  </conditionalFormatting>
  <conditionalFormatting sqref="AI33">
    <cfRule type="expression" dxfId="20239" priority="193">
      <formula>AND(IF(OR($Q33=1,$Q33=2),1,0),IF($X33&lt;=20,1,0))</formula>
    </cfRule>
    <cfRule type="expression" dxfId="20238" priority="194">
      <formula>AND(IF($Q33=2,1,0),IF($X33&lt;30,1,0))</formula>
    </cfRule>
    <cfRule type="expression" dxfId="20237" priority="195">
      <formula>AND(IF($Q33=3,1,0),IF($X33&lt;30,1,0))</formula>
    </cfRule>
    <cfRule type="expression" dxfId="20236" priority="196">
      <formula>AND(IF($Q33=3,1,IF($Q33=4,1,0)),IF($F33&lt;=85,1,0))</formula>
    </cfRule>
  </conditionalFormatting>
  <conditionalFormatting sqref="AV34">
    <cfRule type="expression" dxfId="20235" priority="191">
      <formula>AV34="X"</formula>
    </cfRule>
    <cfRule type="expression" dxfId="20234" priority="192">
      <formula>AV34="후보"</formula>
    </cfRule>
  </conditionalFormatting>
  <conditionalFormatting sqref="AC34 N34">
    <cfRule type="cellIs" dxfId="20233" priority="189" operator="greaterThan">
      <formula>0.9</formula>
    </cfRule>
    <cfRule type="cellIs" dxfId="20232" priority="190" operator="greaterThan">
      <formula>0.85</formula>
    </cfRule>
  </conditionalFormatting>
  <conditionalFormatting sqref="AV35">
    <cfRule type="expression" dxfId="20231" priority="187">
      <formula>AV35="X"</formula>
    </cfRule>
    <cfRule type="expression" dxfId="20230" priority="188">
      <formula>AV35="후보"</formula>
    </cfRule>
  </conditionalFormatting>
  <conditionalFormatting sqref="AC35">
    <cfRule type="cellIs" dxfId="20229" priority="185" operator="greaterThan">
      <formula>0.9</formula>
    </cfRule>
    <cfRule type="cellIs" dxfId="20228" priority="186" operator="greaterThan">
      <formula>0.85</formula>
    </cfRule>
  </conditionalFormatting>
  <conditionalFormatting sqref="N35">
    <cfRule type="cellIs" dxfId="20227" priority="183" operator="greaterThan">
      <formula>0.9</formula>
    </cfRule>
    <cfRule type="cellIs" dxfId="20226" priority="184" operator="greaterThan">
      <formula>0.85</formula>
    </cfRule>
  </conditionalFormatting>
  <conditionalFormatting sqref="E35">
    <cfRule type="expression" dxfId="20225" priority="179">
      <formula>AND(IF(OR($Q35=1,$Q35=2),1,0),IF($X35&lt;=20,1,0))</formula>
    </cfRule>
    <cfRule type="expression" dxfId="20224" priority="180">
      <formula>AND(IF($Q35=2,1,0),IF($X35&lt;30,1,0))</formula>
    </cfRule>
    <cfRule type="expression" dxfId="20223" priority="181">
      <formula>AND(IF($Q35=3,1,0),IF($X35&lt;30,1,0))</formula>
    </cfRule>
    <cfRule type="expression" dxfId="20222" priority="182">
      <formula>AND(IF($Q35=3,1,IF($Q35=4,1,0)),IF($F35&lt;=85,1,0))</formula>
    </cfRule>
  </conditionalFormatting>
  <conditionalFormatting sqref="X35">
    <cfRule type="expression" dxfId="20221" priority="175">
      <formula>AND(IF(OR($Q35=1,$Q35=2),1,0),IF($X35&lt;=20,1,0))</formula>
    </cfRule>
    <cfRule type="expression" dxfId="20220" priority="176">
      <formula>AND(IF($Q35=2,1,0),IF($X35&lt;30,1,0))</formula>
    </cfRule>
    <cfRule type="expression" dxfId="20219" priority="177">
      <formula>AND(IF($Q35=3,1,0),IF($X35&lt;30,1,0))</formula>
    </cfRule>
    <cfRule type="expression" dxfId="20218" priority="178">
      <formula>AND(IF($Q35=3,1,IF($Q35=4,1,0)),IF($F35&lt;=85,1,0))</formula>
    </cfRule>
  </conditionalFormatting>
  <conditionalFormatting sqref="AI35">
    <cfRule type="expression" dxfId="20217" priority="171">
      <formula>AND(IF(OR($Q35=1,$Q35=2),1,0),IF($X35&lt;=20,1,0))</formula>
    </cfRule>
    <cfRule type="expression" dxfId="20216" priority="172">
      <formula>AND(IF($Q35=2,1,0),IF($X35&lt;30,1,0))</formula>
    </cfRule>
    <cfRule type="expression" dxfId="20215" priority="173">
      <formula>AND(IF($Q35=3,1,0),IF($X35&lt;30,1,0))</formula>
    </cfRule>
    <cfRule type="expression" dxfId="20214" priority="174">
      <formula>AND(IF($Q35=3,1,IF($Q35=4,1,0)),IF($F35&lt;=85,1,0))</formula>
    </cfRule>
  </conditionalFormatting>
  <conditionalFormatting sqref="AV36">
    <cfRule type="expression" dxfId="20213" priority="169">
      <formula>AV36="X"</formula>
    </cfRule>
    <cfRule type="expression" dxfId="20212" priority="170">
      <formula>AV36="후보"</formula>
    </cfRule>
  </conditionalFormatting>
  <conditionalFormatting sqref="AC36">
    <cfRule type="cellIs" dxfId="20211" priority="167" operator="greaterThan">
      <formula>0.9</formula>
    </cfRule>
    <cfRule type="cellIs" dxfId="20210" priority="168" operator="greaterThan">
      <formula>0.85</formula>
    </cfRule>
  </conditionalFormatting>
  <conditionalFormatting sqref="N36">
    <cfRule type="cellIs" dxfId="20209" priority="165" operator="greaterThan">
      <formula>0.9</formula>
    </cfRule>
    <cfRule type="cellIs" dxfId="20208" priority="166" operator="greaterThan">
      <formula>0.85</formula>
    </cfRule>
  </conditionalFormatting>
  <conditionalFormatting sqref="E36">
    <cfRule type="expression" dxfId="20207" priority="161">
      <formula>AND(IF(OR($Q36=1,$Q36=2),1,0),IF($X36&lt;=20,1,0))</formula>
    </cfRule>
    <cfRule type="expression" dxfId="20206" priority="162">
      <formula>AND(IF($Q36=2,1,0),IF($X36&lt;30,1,0))</formula>
    </cfRule>
    <cfRule type="expression" dxfId="20205" priority="163">
      <formula>AND(IF($Q36=3,1,0),IF($X36&lt;30,1,0))</formula>
    </cfRule>
    <cfRule type="expression" dxfId="20204" priority="164">
      <formula>AND(IF($Q36=3,1,IF($Q36=4,1,0)),IF($F36&lt;=85,1,0))</formula>
    </cfRule>
  </conditionalFormatting>
  <conditionalFormatting sqref="X36">
    <cfRule type="expression" dxfId="20203" priority="157">
      <formula>AND(IF(OR($Q36=1,$Q36=2),1,0),IF($X36&lt;=20,1,0))</formula>
    </cfRule>
    <cfRule type="expression" dxfId="20202" priority="158">
      <formula>AND(IF($Q36=2,1,0),IF($X36&lt;30,1,0))</formula>
    </cfRule>
    <cfRule type="expression" dxfId="20201" priority="159">
      <formula>AND(IF($Q36=3,1,0),IF($X36&lt;30,1,0))</formula>
    </cfRule>
    <cfRule type="expression" dxfId="20200" priority="160">
      <formula>AND(IF($Q36=3,1,IF($Q36=4,1,0)),IF($F36&lt;=85,1,0))</formula>
    </cfRule>
  </conditionalFormatting>
  <conditionalFormatting sqref="AI36">
    <cfRule type="expression" dxfId="20199" priority="153">
      <formula>AND(IF(OR($Q36=1,$Q36=2),1,0),IF($X36&lt;=20,1,0))</formula>
    </cfRule>
    <cfRule type="expression" dxfId="20198" priority="154">
      <formula>AND(IF($Q36=2,1,0),IF($X36&lt;30,1,0))</formula>
    </cfRule>
    <cfRule type="expression" dxfId="20197" priority="155">
      <formula>AND(IF($Q36=3,1,0),IF($X36&lt;30,1,0))</formula>
    </cfRule>
    <cfRule type="expression" dxfId="20196" priority="156">
      <formula>AND(IF($Q36=3,1,IF($Q36=4,1,0)),IF($F36&lt;=85,1,0))</formula>
    </cfRule>
  </conditionalFormatting>
  <conditionalFormatting sqref="AV37">
    <cfRule type="expression" dxfId="20195" priority="151">
      <formula>AV37="X"</formula>
    </cfRule>
    <cfRule type="expression" dxfId="20194" priority="152">
      <formula>AV37="후보"</formula>
    </cfRule>
  </conditionalFormatting>
  <conditionalFormatting sqref="AC37 N37">
    <cfRule type="cellIs" dxfId="20193" priority="149" operator="greaterThan">
      <formula>0.9</formula>
    </cfRule>
    <cfRule type="cellIs" dxfId="20192" priority="150" operator="greaterThan">
      <formula>0.85</formula>
    </cfRule>
  </conditionalFormatting>
  <conditionalFormatting sqref="AV38">
    <cfRule type="expression" dxfId="20191" priority="147">
      <formula>AV38="X"</formula>
    </cfRule>
    <cfRule type="expression" dxfId="20190" priority="148">
      <formula>AV38="후보"</formula>
    </cfRule>
  </conditionalFormatting>
  <conditionalFormatting sqref="AC38">
    <cfRule type="cellIs" dxfId="20189" priority="145" operator="greaterThan">
      <formula>0.9</formula>
    </cfRule>
    <cfRule type="cellIs" dxfId="20188" priority="146" operator="greaterThan">
      <formula>0.85</formula>
    </cfRule>
  </conditionalFormatting>
  <conditionalFormatting sqref="N38">
    <cfRule type="cellIs" dxfId="20187" priority="143" operator="greaterThan">
      <formula>0.9</formula>
    </cfRule>
    <cfRule type="cellIs" dxfId="20186" priority="144" operator="greaterThan">
      <formula>0.85</formula>
    </cfRule>
  </conditionalFormatting>
  <conditionalFormatting sqref="E38">
    <cfRule type="expression" dxfId="20185" priority="139">
      <formula>AND(IF(OR($Q38=1,$Q38=2),1,0),IF($X38&lt;=20,1,0))</formula>
    </cfRule>
    <cfRule type="expression" dxfId="20184" priority="140">
      <formula>AND(IF($Q38=2,1,0),IF($X38&lt;30,1,0))</formula>
    </cfRule>
    <cfRule type="expression" dxfId="20183" priority="141">
      <formula>AND(IF($Q38=3,1,0),IF($X38&lt;30,1,0))</formula>
    </cfRule>
    <cfRule type="expression" dxfId="20182" priority="142">
      <formula>AND(IF($Q38=3,1,IF($Q38=4,1,0)),IF($F38&lt;=85,1,0))</formula>
    </cfRule>
  </conditionalFormatting>
  <conditionalFormatting sqref="X38">
    <cfRule type="expression" dxfId="20181" priority="135">
      <formula>AND(IF(OR($Q38=1,$Q38=2),1,0),IF($X38&lt;=20,1,0))</formula>
    </cfRule>
    <cfRule type="expression" dxfId="20180" priority="136">
      <formula>AND(IF($Q38=2,1,0),IF($X38&lt;30,1,0))</formula>
    </cfRule>
    <cfRule type="expression" dxfId="20179" priority="137">
      <formula>AND(IF($Q38=3,1,0),IF($X38&lt;30,1,0))</formula>
    </cfRule>
    <cfRule type="expression" dxfId="20178" priority="138">
      <formula>AND(IF($Q38=3,1,IF($Q38=4,1,0)),IF($F38&lt;=85,1,0))</formula>
    </cfRule>
  </conditionalFormatting>
  <conditionalFormatting sqref="AI38">
    <cfRule type="expression" dxfId="20177" priority="131">
      <formula>AND(IF(OR($Q38=1,$Q38=2),1,0),IF($X38&lt;=20,1,0))</formula>
    </cfRule>
    <cfRule type="expression" dxfId="20176" priority="132">
      <formula>AND(IF($Q38=2,1,0),IF($X38&lt;30,1,0))</formula>
    </cfRule>
    <cfRule type="expression" dxfId="20175" priority="133">
      <formula>AND(IF($Q38=3,1,0),IF($X38&lt;30,1,0))</formula>
    </cfRule>
    <cfRule type="expression" dxfId="20174" priority="134">
      <formula>AND(IF($Q38=3,1,IF($Q38=4,1,0)),IF($F38&lt;=85,1,0))</formula>
    </cfRule>
  </conditionalFormatting>
  <conditionalFormatting sqref="AV39">
    <cfRule type="expression" dxfId="20173" priority="129">
      <formula>AV39="X"</formula>
    </cfRule>
    <cfRule type="expression" dxfId="20172" priority="130">
      <formula>AV39="후보"</formula>
    </cfRule>
  </conditionalFormatting>
  <conditionalFormatting sqref="AC39">
    <cfRule type="cellIs" dxfId="20171" priority="127" operator="greaterThan">
      <formula>0.9</formula>
    </cfRule>
    <cfRule type="cellIs" dxfId="20170" priority="128" operator="greaterThan">
      <formula>0.85</formula>
    </cfRule>
  </conditionalFormatting>
  <conditionalFormatting sqref="N39">
    <cfRule type="cellIs" dxfId="20169" priority="125" operator="greaterThan">
      <formula>0.9</formula>
    </cfRule>
    <cfRule type="cellIs" dxfId="20168" priority="126" operator="greaterThan">
      <formula>0.85</formula>
    </cfRule>
  </conditionalFormatting>
  <conditionalFormatting sqref="E39">
    <cfRule type="expression" dxfId="20167" priority="121">
      <formula>AND(IF(OR($Q39=1,$Q39=2),1,0),IF($X39&lt;=20,1,0))</formula>
    </cfRule>
    <cfRule type="expression" dxfId="20166" priority="122">
      <formula>AND(IF($Q39=2,1,0),IF($X39&lt;30,1,0))</formula>
    </cfRule>
    <cfRule type="expression" dxfId="20165" priority="123">
      <formula>AND(IF($Q39=3,1,0),IF($X39&lt;30,1,0))</formula>
    </cfRule>
    <cfRule type="expression" dxfId="20164" priority="124">
      <formula>AND(IF($Q39=3,1,IF($Q39=4,1,0)),IF($F39&lt;=85,1,0))</formula>
    </cfRule>
  </conditionalFormatting>
  <conditionalFormatting sqref="X39">
    <cfRule type="expression" dxfId="20163" priority="117">
      <formula>AND(IF(OR($Q39=1,$Q39=2),1,0),IF($X39&lt;=20,1,0))</formula>
    </cfRule>
    <cfRule type="expression" dxfId="20162" priority="118">
      <formula>AND(IF($Q39=2,1,0),IF($X39&lt;30,1,0))</formula>
    </cfRule>
    <cfRule type="expression" dxfId="20161" priority="119">
      <formula>AND(IF($Q39=3,1,0),IF($X39&lt;30,1,0))</formula>
    </cfRule>
    <cfRule type="expression" dxfId="20160" priority="120">
      <formula>AND(IF($Q39=3,1,IF($Q39=4,1,0)),IF($F39&lt;=85,1,0))</formula>
    </cfRule>
  </conditionalFormatting>
  <conditionalFormatting sqref="AI39">
    <cfRule type="expression" dxfId="20159" priority="113">
      <formula>AND(IF(OR($Q39=1,$Q39=2),1,0),IF($X39&lt;=20,1,0))</formula>
    </cfRule>
    <cfRule type="expression" dxfId="20158" priority="114">
      <formula>AND(IF($Q39=2,1,0),IF($X39&lt;30,1,0))</formula>
    </cfRule>
    <cfRule type="expression" dxfId="20157" priority="115">
      <formula>AND(IF($Q39=3,1,0),IF($X39&lt;30,1,0))</formula>
    </cfRule>
    <cfRule type="expression" dxfId="20156" priority="116">
      <formula>AND(IF($Q39=3,1,IF($Q39=4,1,0)),IF($F39&lt;=85,1,0))</formula>
    </cfRule>
  </conditionalFormatting>
  <conditionalFormatting sqref="AV40">
    <cfRule type="expression" dxfId="20155" priority="111">
      <formula>AV40="X"</formula>
    </cfRule>
    <cfRule type="expression" dxfId="20154" priority="112">
      <formula>AV40="후보"</formula>
    </cfRule>
  </conditionalFormatting>
  <conditionalFormatting sqref="AC40 N40">
    <cfRule type="cellIs" dxfId="20153" priority="109" operator="greaterThan">
      <formula>0.9</formula>
    </cfRule>
    <cfRule type="cellIs" dxfId="20152" priority="110" operator="greaterThan">
      <formula>0.85</formula>
    </cfRule>
  </conditionalFormatting>
  <conditionalFormatting sqref="AV41">
    <cfRule type="expression" dxfId="20151" priority="107">
      <formula>AV41="X"</formula>
    </cfRule>
    <cfRule type="expression" dxfId="20150" priority="108">
      <formula>AV41="후보"</formula>
    </cfRule>
  </conditionalFormatting>
  <conditionalFormatting sqref="AC41">
    <cfRule type="cellIs" dxfId="20149" priority="105" operator="greaterThan">
      <formula>0.9</formula>
    </cfRule>
    <cfRule type="cellIs" dxfId="20148" priority="106" operator="greaterThan">
      <formula>0.85</formula>
    </cfRule>
  </conditionalFormatting>
  <conditionalFormatting sqref="N41">
    <cfRule type="cellIs" dxfId="20147" priority="103" operator="greaterThan">
      <formula>0.9</formula>
    </cfRule>
    <cfRule type="cellIs" dxfId="20146" priority="104" operator="greaterThan">
      <formula>0.85</formula>
    </cfRule>
  </conditionalFormatting>
  <conditionalFormatting sqref="E41">
    <cfRule type="expression" dxfId="20145" priority="99">
      <formula>AND(IF(OR($Q41=1,$Q41=2),1,0),IF($X41&lt;=20,1,0))</formula>
    </cfRule>
    <cfRule type="expression" dxfId="20144" priority="100">
      <formula>AND(IF($Q41=2,1,0),IF($X41&lt;30,1,0))</formula>
    </cfRule>
    <cfRule type="expression" dxfId="20143" priority="101">
      <formula>AND(IF($Q41=3,1,0),IF($X41&lt;30,1,0))</formula>
    </cfRule>
    <cfRule type="expression" dxfId="20142" priority="102">
      <formula>AND(IF($Q41=3,1,IF($Q41=4,1,0)),IF($F41&lt;=85,1,0))</formula>
    </cfRule>
  </conditionalFormatting>
  <conditionalFormatting sqref="X41">
    <cfRule type="expression" dxfId="20141" priority="95">
      <formula>AND(IF(OR($Q41=1,$Q41=2),1,0),IF($X41&lt;=20,1,0))</formula>
    </cfRule>
    <cfRule type="expression" dxfId="20140" priority="96">
      <formula>AND(IF($Q41=2,1,0),IF($X41&lt;30,1,0))</formula>
    </cfRule>
    <cfRule type="expression" dxfId="20139" priority="97">
      <formula>AND(IF($Q41=3,1,0),IF($X41&lt;30,1,0))</formula>
    </cfRule>
    <cfRule type="expression" dxfId="20138" priority="98">
      <formula>AND(IF($Q41=3,1,IF($Q41=4,1,0)),IF($F41&lt;=85,1,0))</formula>
    </cfRule>
  </conditionalFormatting>
  <conditionalFormatting sqref="AI41">
    <cfRule type="expression" dxfId="20137" priority="91">
      <formula>AND(IF(OR($Q41=1,$Q41=2),1,0),IF($X41&lt;=20,1,0))</formula>
    </cfRule>
    <cfRule type="expression" dxfId="20136" priority="92">
      <formula>AND(IF($Q41=2,1,0),IF($X41&lt;30,1,0))</formula>
    </cfRule>
    <cfRule type="expression" dxfId="20135" priority="93">
      <formula>AND(IF($Q41=3,1,0),IF($X41&lt;30,1,0))</formula>
    </cfRule>
    <cfRule type="expression" dxfId="20134" priority="94">
      <formula>AND(IF($Q41=3,1,IF($Q41=4,1,0)),IF($F41&lt;=85,1,0))</formula>
    </cfRule>
  </conditionalFormatting>
  <conditionalFormatting sqref="AV42">
    <cfRule type="expression" dxfId="20133" priority="89">
      <formula>AV42="X"</formula>
    </cfRule>
    <cfRule type="expression" dxfId="20132" priority="90">
      <formula>AV42="후보"</formula>
    </cfRule>
  </conditionalFormatting>
  <conditionalFormatting sqref="AC42">
    <cfRule type="cellIs" dxfId="20131" priority="87" operator="greaterThan">
      <formula>0.9</formula>
    </cfRule>
    <cfRule type="cellIs" dxfId="20130" priority="88" operator="greaterThan">
      <formula>0.85</formula>
    </cfRule>
  </conditionalFormatting>
  <conditionalFormatting sqref="N42">
    <cfRule type="cellIs" dxfId="20129" priority="85" operator="greaterThan">
      <formula>0.9</formula>
    </cfRule>
    <cfRule type="cellIs" dxfId="20128" priority="86" operator="greaterThan">
      <formula>0.85</formula>
    </cfRule>
  </conditionalFormatting>
  <conditionalFormatting sqref="E42">
    <cfRule type="expression" dxfId="20127" priority="81">
      <formula>AND(IF(OR($Q42=1,$Q42=2),1,0),IF($X42&lt;=20,1,0))</formula>
    </cfRule>
    <cfRule type="expression" dxfId="20126" priority="82">
      <formula>AND(IF($Q42=2,1,0),IF($X42&lt;30,1,0))</formula>
    </cfRule>
    <cfRule type="expression" dxfId="20125" priority="83">
      <formula>AND(IF($Q42=3,1,0),IF($X42&lt;30,1,0))</formula>
    </cfRule>
    <cfRule type="expression" dxfId="20124" priority="84">
      <formula>AND(IF($Q42=3,1,IF($Q42=4,1,0)),IF($F42&lt;=85,1,0))</formula>
    </cfRule>
  </conditionalFormatting>
  <conditionalFormatting sqref="X42">
    <cfRule type="expression" dxfId="20123" priority="77">
      <formula>AND(IF(OR($Q42=1,$Q42=2),1,0),IF($X42&lt;=20,1,0))</formula>
    </cfRule>
    <cfRule type="expression" dxfId="20122" priority="78">
      <formula>AND(IF($Q42=2,1,0),IF($X42&lt;30,1,0))</formula>
    </cfRule>
    <cfRule type="expression" dxfId="20121" priority="79">
      <formula>AND(IF($Q42=3,1,0),IF($X42&lt;30,1,0))</formula>
    </cfRule>
    <cfRule type="expression" dxfId="20120" priority="80">
      <formula>AND(IF($Q42=3,1,IF($Q42=4,1,0)),IF($F42&lt;=85,1,0))</formula>
    </cfRule>
  </conditionalFormatting>
  <conditionalFormatting sqref="AI42">
    <cfRule type="expression" dxfId="20119" priority="73">
      <formula>AND(IF(OR($Q42=1,$Q42=2),1,0),IF($X42&lt;=20,1,0))</formula>
    </cfRule>
    <cfRule type="expression" dxfId="20118" priority="74">
      <formula>AND(IF($Q42=2,1,0),IF($X42&lt;30,1,0))</formula>
    </cfRule>
    <cfRule type="expression" dxfId="20117" priority="75">
      <formula>AND(IF($Q42=3,1,0),IF($X42&lt;30,1,0))</formula>
    </cfRule>
    <cfRule type="expression" dxfId="20116" priority="76">
      <formula>AND(IF($Q42=3,1,IF($Q42=4,1,0)),IF($F42&lt;=85,1,0))</formula>
    </cfRule>
  </conditionalFormatting>
  <conditionalFormatting sqref="AV43">
    <cfRule type="expression" dxfId="20115" priority="71">
      <formula>AV43="X"</formula>
    </cfRule>
    <cfRule type="expression" dxfId="20114" priority="72">
      <formula>AV43="후보"</formula>
    </cfRule>
  </conditionalFormatting>
  <conditionalFormatting sqref="AC43">
    <cfRule type="cellIs" dxfId="20113" priority="69" operator="greaterThan">
      <formula>0.9</formula>
    </cfRule>
    <cfRule type="cellIs" dxfId="20112" priority="70" operator="greaterThan">
      <formula>0.85</formula>
    </cfRule>
  </conditionalFormatting>
  <conditionalFormatting sqref="N43">
    <cfRule type="cellIs" dxfId="20111" priority="67" operator="greaterThan">
      <formula>0.9</formula>
    </cfRule>
    <cfRule type="cellIs" dxfId="20110" priority="68" operator="greaterThan">
      <formula>0.85</formula>
    </cfRule>
  </conditionalFormatting>
  <conditionalFormatting sqref="E43">
    <cfRule type="expression" dxfId="20109" priority="63">
      <formula>AND(IF(OR($Q43=1,$Q43=2),1,0),IF($X43&lt;=20,1,0))</formula>
    </cfRule>
    <cfRule type="expression" dxfId="20108" priority="64">
      <formula>AND(IF($Q43=2,1,0),IF($X43&lt;30,1,0))</formula>
    </cfRule>
    <cfRule type="expression" dxfId="20107" priority="65">
      <formula>AND(IF($Q43=3,1,0),IF($X43&lt;30,1,0))</formula>
    </cfRule>
    <cfRule type="expression" dxfId="20106" priority="66">
      <formula>AND(IF($Q43=3,1,IF($Q43=4,1,0)),IF($F43&lt;=85,1,0))</formula>
    </cfRule>
  </conditionalFormatting>
  <conditionalFormatting sqref="X43">
    <cfRule type="expression" dxfId="20105" priority="59">
      <formula>AND(IF(OR($Q43=1,$Q43=2),1,0),IF($X43&lt;=20,1,0))</formula>
    </cfRule>
    <cfRule type="expression" dxfId="20104" priority="60">
      <formula>AND(IF($Q43=2,1,0),IF($X43&lt;30,1,0))</formula>
    </cfRule>
    <cfRule type="expression" dxfId="20103" priority="61">
      <formula>AND(IF($Q43=3,1,0),IF($X43&lt;30,1,0))</formula>
    </cfRule>
    <cfRule type="expression" dxfId="20102" priority="62">
      <formula>AND(IF($Q43=3,1,IF($Q43=4,1,0)),IF($F43&lt;=85,1,0))</formula>
    </cfRule>
  </conditionalFormatting>
  <conditionalFormatting sqref="AI43">
    <cfRule type="expression" dxfId="20101" priority="55">
      <formula>AND(IF(OR($Q43=1,$Q43=2),1,0),IF($X43&lt;=20,1,0))</formula>
    </cfRule>
    <cfRule type="expression" dxfId="20100" priority="56">
      <formula>AND(IF($Q43=2,1,0),IF($X43&lt;30,1,0))</formula>
    </cfRule>
    <cfRule type="expression" dxfId="20099" priority="57">
      <formula>AND(IF($Q43=3,1,0),IF($X43&lt;30,1,0))</formula>
    </cfRule>
    <cfRule type="expression" dxfId="20098" priority="58">
      <formula>AND(IF($Q43=3,1,IF($Q43=4,1,0)),IF($F43&lt;=85,1,0))</formula>
    </cfRule>
  </conditionalFormatting>
  <conditionalFormatting sqref="AV44">
    <cfRule type="expression" dxfId="20097" priority="53">
      <formula>AV44="X"</formula>
    </cfRule>
    <cfRule type="expression" dxfId="20096" priority="54">
      <formula>AV44="후보"</formula>
    </cfRule>
  </conditionalFormatting>
  <conditionalFormatting sqref="AC44">
    <cfRule type="cellIs" dxfId="20095" priority="51" operator="greaterThan">
      <formula>0.9</formula>
    </cfRule>
    <cfRule type="cellIs" dxfId="20094" priority="52" operator="greaterThan">
      <formula>0.85</formula>
    </cfRule>
  </conditionalFormatting>
  <conditionalFormatting sqref="N44">
    <cfRule type="cellIs" dxfId="20093" priority="49" operator="greaterThan">
      <formula>0.9</formula>
    </cfRule>
    <cfRule type="cellIs" dxfId="20092" priority="50" operator="greaterThan">
      <formula>0.85</formula>
    </cfRule>
  </conditionalFormatting>
  <conditionalFormatting sqref="E44">
    <cfRule type="expression" dxfId="20091" priority="45">
      <formula>AND(IF(OR($Q44=1,$Q44=2),1,0),IF($X44&lt;=20,1,0))</formula>
    </cfRule>
    <cfRule type="expression" dxfId="20090" priority="46">
      <formula>AND(IF($Q44=2,1,0),IF($X44&lt;30,1,0))</formula>
    </cfRule>
    <cfRule type="expression" dxfId="20089" priority="47">
      <formula>AND(IF($Q44=3,1,0),IF($X44&lt;30,1,0))</formula>
    </cfRule>
    <cfRule type="expression" dxfId="20088" priority="48">
      <formula>AND(IF($Q44=3,1,IF($Q44=4,1,0)),IF($F44&lt;=85,1,0))</formula>
    </cfRule>
  </conditionalFormatting>
  <conditionalFormatting sqref="X44">
    <cfRule type="expression" dxfId="20087" priority="41">
      <formula>AND(IF(OR($Q44=1,$Q44=2),1,0),IF($X44&lt;=20,1,0))</formula>
    </cfRule>
    <cfRule type="expression" dxfId="20086" priority="42">
      <formula>AND(IF($Q44=2,1,0),IF($X44&lt;30,1,0))</formula>
    </cfRule>
    <cfRule type="expression" dxfId="20085" priority="43">
      <formula>AND(IF($Q44=3,1,0),IF($X44&lt;30,1,0))</formula>
    </cfRule>
    <cfRule type="expression" dxfId="20084" priority="44">
      <formula>AND(IF($Q44=3,1,IF($Q44=4,1,0)),IF($F44&lt;=85,1,0))</formula>
    </cfRule>
  </conditionalFormatting>
  <conditionalFormatting sqref="AI44">
    <cfRule type="expression" dxfId="20083" priority="37">
      <formula>AND(IF(OR($Q44=1,$Q44=2),1,0),IF($X44&lt;=20,1,0))</formula>
    </cfRule>
    <cfRule type="expression" dxfId="20082" priority="38">
      <formula>AND(IF($Q44=2,1,0),IF($X44&lt;30,1,0))</formula>
    </cfRule>
    <cfRule type="expression" dxfId="20081" priority="39">
      <formula>AND(IF($Q44=3,1,0),IF($X44&lt;30,1,0))</formula>
    </cfRule>
    <cfRule type="expression" dxfId="20080" priority="40">
      <formula>AND(IF($Q44=3,1,IF($Q44=4,1,0)),IF($F44&lt;=85,1,0))</formula>
    </cfRule>
  </conditionalFormatting>
  <conditionalFormatting sqref="AV45">
    <cfRule type="expression" dxfId="20079" priority="35">
      <formula>AV45="X"</formula>
    </cfRule>
    <cfRule type="expression" dxfId="20078" priority="36">
      <formula>AV45="후보"</formula>
    </cfRule>
  </conditionalFormatting>
  <conditionalFormatting sqref="AC45">
    <cfRule type="cellIs" dxfId="20077" priority="33" operator="greaterThan">
      <formula>0.9</formula>
    </cfRule>
    <cfRule type="cellIs" dxfId="20076" priority="34" operator="greaterThan">
      <formula>0.85</formula>
    </cfRule>
  </conditionalFormatting>
  <conditionalFormatting sqref="N45">
    <cfRule type="cellIs" dxfId="20075" priority="31" operator="greaterThan">
      <formula>0.9</formula>
    </cfRule>
    <cfRule type="cellIs" dxfId="20074" priority="32" operator="greaterThan">
      <formula>0.85</formula>
    </cfRule>
  </conditionalFormatting>
  <conditionalFormatting sqref="E45">
    <cfRule type="expression" dxfId="20073" priority="27">
      <formula>AND(IF(OR($Q45=1,$Q45=2),1,0),IF($X45&lt;=20,1,0))</formula>
    </cfRule>
    <cfRule type="expression" dxfId="20072" priority="28">
      <formula>AND(IF($Q45=2,1,0),IF($X45&lt;30,1,0))</formula>
    </cfRule>
    <cfRule type="expression" dxfId="20071" priority="29">
      <formula>AND(IF($Q45=3,1,0),IF($X45&lt;30,1,0))</formula>
    </cfRule>
    <cfRule type="expression" dxfId="20070" priority="30">
      <formula>AND(IF($Q45=3,1,IF($Q45=4,1,0)),IF($F45&lt;=85,1,0))</formula>
    </cfRule>
  </conditionalFormatting>
  <conditionalFormatting sqref="X45">
    <cfRule type="expression" dxfId="20069" priority="23">
      <formula>AND(IF(OR($Q45=1,$Q45=2),1,0),IF($X45&lt;=20,1,0))</formula>
    </cfRule>
    <cfRule type="expression" dxfId="20068" priority="24">
      <formula>AND(IF($Q45=2,1,0),IF($X45&lt;30,1,0))</formula>
    </cfRule>
    <cfRule type="expression" dxfId="20067" priority="25">
      <formula>AND(IF($Q45=3,1,0),IF($X45&lt;30,1,0))</formula>
    </cfRule>
    <cfRule type="expression" dxfId="20066" priority="26">
      <formula>AND(IF($Q45=3,1,IF($Q45=4,1,0)),IF($F45&lt;=85,1,0))</formula>
    </cfRule>
  </conditionalFormatting>
  <conditionalFormatting sqref="AI45">
    <cfRule type="expression" dxfId="20065" priority="19">
      <formula>AND(IF(OR($Q45=1,$Q45=2),1,0),IF($X45&lt;=20,1,0))</formula>
    </cfRule>
    <cfRule type="expression" dxfId="20064" priority="20">
      <formula>AND(IF($Q45=2,1,0),IF($X45&lt;30,1,0))</formula>
    </cfRule>
    <cfRule type="expression" dxfId="20063" priority="21">
      <formula>AND(IF($Q45=3,1,0),IF($X45&lt;30,1,0))</formula>
    </cfRule>
    <cfRule type="expression" dxfId="20062" priority="22">
      <formula>AND(IF($Q45=3,1,IF($Q45=4,1,0)),IF($F45&lt;=85,1,0))</formula>
    </cfRule>
  </conditionalFormatting>
  <conditionalFormatting sqref="AV46">
    <cfRule type="expression" dxfId="20061" priority="17">
      <formula>AV46="X"</formula>
    </cfRule>
    <cfRule type="expression" dxfId="20060" priority="18">
      <formula>AV46="후보"</formula>
    </cfRule>
  </conditionalFormatting>
  <conditionalFormatting sqref="AC46">
    <cfRule type="cellIs" dxfId="20059" priority="15" operator="greaterThan">
      <formula>0.9</formula>
    </cfRule>
    <cfRule type="cellIs" dxfId="20058" priority="16" operator="greaterThan">
      <formula>0.85</formula>
    </cfRule>
  </conditionalFormatting>
  <conditionalFormatting sqref="N46">
    <cfRule type="cellIs" dxfId="20057" priority="13" operator="greaterThan">
      <formula>0.9</formula>
    </cfRule>
    <cfRule type="cellIs" dxfId="20056" priority="14" operator="greaterThan">
      <formula>0.85</formula>
    </cfRule>
  </conditionalFormatting>
  <conditionalFormatting sqref="E46">
    <cfRule type="expression" dxfId="20055" priority="9">
      <formula>AND(IF(OR($Q46=1,$Q46=2),1,0),IF($X46&lt;=20,1,0))</formula>
    </cfRule>
    <cfRule type="expression" dxfId="20054" priority="10">
      <formula>AND(IF($Q46=2,1,0),IF($X46&lt;30,1,0))</formula>
    </cfRule>
    <cfRule type="expression" dxfId="20053" priority="11">
      <formula>AND(IF($Q46=3,1,0),IF($X46&lt;30,1,0))</formula>
    </cfRule>
    <cfRule type="expression" dxfId="20052" priority="12">
      <formula>AND(IF($Q46=3,1,IF($Q46=4,1,0)),IF($F46&lt;=85,1,0))</formula>
    </cfRule>
  </conditionalFormatting>
  <conditionalFormatting sqref="X46">
    <cfRule type="expression" dxfId="20051" priority="5">
      <formula>AND(IF(OR($Q46=1,$Q46=2),1,0),IF($X46&lt;=20,1,0))</formula>
    </cfRule>
    <cfRule type="expression" dxfId="20050" priority="6">
      <formula>AND(IF($Q46=2,1,0),IF($X46&lt;30,1,0))</formula>
    </cfRule>
    <cfRule type="expression" dxfId="20049" priority="7">
      <formula>AND(IF($Q46=3,1,0),IF($X46&lt;30,1,0))</formula>
    </cfRule>
    <cfRule type="expression" dxfId="20048" priority="8">
      <formula>AND(IF($Q46=3,1,IF($Q46=4,1,0)),IF($F46&lt;=85,1,0))</formula>
    </cfRule>
  </conditionalFormatting>
  <conditionalFormatting sqref="AI46">
    <cfRule type="expression" dxfId="20047" priority="1">
      <formula>AND(IF(OR($Q46=1,$Q46=2),1,0),IF($X46&lt;=20,1,0))</formula>
    </cfRule>
    <cfRule type="expression" dxfId="20046" priority="2">
      <formula>AND(IF($Q46=2,1,0),IF($X46&lt;30,1,0))</formula>
    </cfRule>
    <cfRule type="expression" dxfId="20045" priority="3">
      <formula>AND(IF($Q46=3,1,0),IF($X46&lt;30,1,0))</formula>
    </cfRule>
    <cfRule type="expression" dxfId="20044" priority="4">
      <formula>AND(IF($Q46=3,1,IF($Q46=4,1,0)),IF($F46&lt;=85,1,0))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미장동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689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미장동 파인빌2차('06.06.,351^)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8" si="1"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685</v>
      </c>
      <c r="B6" s="10" t="s">
        <v>1302</v>
      </c>
      <c r="C6" s="107">
        <v>351</v>
      </c>
      <c r="D6" s="104">
        <v>80.599999999999994</v>
      </c>
      <c r="E6" s="106">
        <v>24</v>
      </c>
      <c r="F6" s="104">
        <v>59.9</v>
      </c>
      <c r="G6" s="17">
        <v>18</v>
      </c>
      <c r="H6" s="107">
        <v>149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7">
        <v>3</v>
      </c>
      <c r="R6" s="77">
        <v>2</v>
      </c>
      <c r="S6" s="77" t="s">
        <v>1244</v>
      </c>
      <c r="T6" s="5">
        <v>80</v>
      </c>
      <c r="U6" s="9"/>
      <c r="W6" s="104">
        <f>D6</f>
        <v>80.599999999999994</v>
      </c>
      <c r="X6" s="106">
        <f>E6</f>
        <v>24</v>
      </c>
      <c r="Y6" s="102">
        <f>H6</f>
        <v>149</v>
      </c>
      <c r="Z6" s="109">
        <f>I6</f>
        <v>0</v>
      </c>
      <c r="AA6" s="109">
        <f>K6</f>
        <v>0</v>
      </c>
      <c r="AB6" s="109">
        <f t="shared" ref="AB6:AD7" si="2">M6</f>
        <v>0</v>
      </c>
      <c r="AC6" s="4" t="str">
        <f t="shared" si="2"/>
        <v/>
      </c>
      <c r="AD6" s="105">
        <f t="shared" si="2"/>
        <v>0</v>
      </c>
      <c r="AE6" s="77" t="str">
        <f>S6</f>
        <v>계</v>
      </c>
      <c r="AF6" s="77" t="str">
        <f>Q6&amp;"/"&amp;R6</f>
        <v>3/2</v>
      </c>
      <c r="AH6" s="20" t="str">
        <f t="shared" si="1"/>
        <v>파인빌2차</v>
      </c>
      <c r="AI6" s="106">
        <f t="shared" si="0"/>
        <v>24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685</v>
      </c>
      <c r="B7" s="10" t="s">
        <v>1302</v>
      </c>
      <c r="C7" s="107">
        <v>351</v>
      </c>
      <c r="D7" s="104">
        <v>119.9</v>
      </c>
      <c r="E7" s="106">
        <v>36</v>
      </c>
      <c r="F7" s="104">
        <v>85</v>
      </c>
      <c r="G7" s="17">
        <v>26</v>
      </c>
      <c r="H7" s="107">
        <v>202</v>
      </c>
      <c r="I7" s="108">
        <v>20500</v>
      </c>
      <c r="J7" s="108" t="s">
        <v>1248</v>
      </c>
      <c r="K7" s="108">
        <v>19000</v>
      </c>
      <c r="L7" s="108" t="s">
        <v>1250</v>
      </c>
      <c r="M7" s="109">
        <f>I7-K7</f>
        <v>1500</v>
      </c>
      <c r="N7" s="4">
        <f>IF(ISERROR(K7/I7),"",K7/I7)</f>
        <v>0.92682926829268297</v>
      </c>
      <c r="O7" s="105">
        <f>I7/E7</f>
        <v>569.44444444444446</v>
      </c>
      <c r="P7" s="105">
        <f>K7/E7</f>
        <v>527.77777777777783</v>
      </c>
      <c r="Q7" s="77">
        <v>3</v>
      </c>
      <c r="R7" s="77">
        <v>2</v>
      </c>
      <c r="S7" s="77" t="s">
        <v>1241</v>
      </c>
      <c r="T7" s="5">
        <v>119</v>
      </c>
      <c r="U7" s="9"/>
      <c r="W7" s="104">
        <f>D7</f>
        <v>119.9</v>
      </c>
      <c r="X7" s="106">
        <f>E7</f>
        <v>36</v>
      </c>
      <c r="Y7" s="102">
        <f>H7</f>
        <v>202</v>
      </c>
      <c r="Z7" s="109">
        <f>I7</f>
        <v>20500</v>
      </c>
      <c r="AA7" s="109">
        <f>K7</f>
        <v>19000</v>
      </c>
      <c r="AB7" s="109">
        <f t="shared" si="2"/>
        <v>1500</v>
      </c>
      <c r="AC7" s="4">
        <f t="shared" si="2"/>
        <v>0.92682926829268297</v>
      </c>
      <c r="AD7" s="105">
        <f t="shared" si="2"/>
        <v>569.44444444444446</v>
      </c>
      <c r="AE7" s="77" t="str">
        <f>S7</f>
        <v>복</v>
      </c>
      <c r="AF7" s="77" t="str">
        <f>Q7&amp;"/"&amp;R7</f>
        <v>3/2</v>
      </c>
      <c r="AH7" s="20" t="str">
        <f t="shared" si="1"/>
        <v>파인빌2차</v>
      </c>
      <c r="AI7" s="106">
        <f t="shared" si="0"/>
        <v>36</v>
      </c>
      <c r="AJ7" s="77" t="str">
        <f>IF(AI7="","",$AJ$2)</f>
        <v>A-</v>
      </c>
      <c r="AK7" s="77" t="s">
        <v>13</v>
      </c>
      <c r="AL7" s="77" t="s">
        <v>1242</v>
      </c>
      <c r="AM7" s="77" t="s">
        <v>1243</v>
      </c>
      <c r="AN7" s="77" t="str">
        <f>IF(AI7="","",$AN$2)</f>
        <v>C</v>
      </c>
      <c r="AO7" s="77" t="str">
        <f>IF(N7="","",IF(N7&gt;=$AO$1/100,"O","X"))</f>
        <v>O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후보</v>
      </c>
    </row>
    <row r="8" spans="1:48" x14ac:dyDescent="0.3">
      <c r="A8" s="9"/>
      <c r="B8" s="77"/>
      <c r="C8" s="6"/>
      <c r="D8" s="9"/>
      <c r="E8" s="14"/>
      <c r="F8" s="104"/>
      <c r="G8" s="9"/>
      <c r="H8" s="9"/>
      <c r="I8" s="9"/>
      <c r="J8" s="9"/>
      <c r="K8" s="9"/>
      <c r="L8" s="9"/>
      <c r="M8" s="9"/>
      <c r="N8" s="9"/>
      <c r="O8" s="105"/>
      <c r="P8" s="105"/>
      <c r="Q8" s="106"/>
      <c r="R8" s="106"/>
      <c r="S8" s="9"/>
      <c r="T8" s="47"/>
      <c r="U8" s="9"/>
      <c r="W8" s="67" t="str">
        <f>$A$4&amp;" "&amp;A9&amp;"("&amp;B9&amp;","&amp;C9&amp;"^)"</f>
        <v>미장동 파인빌1차('04.11.,499^)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3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691</v>
      </c>
      <c r="B9" s="10" t="s">
        <v>1303</v>
      </c>
      <c r="C9" s="107">
        <v>499</v>
      </c>
      <c r="D9" s="104">
        <v>80.099999999999994</v>
      </c>
      <c r="E9" s="106">
        <v>24</v>
      </c>
      <c r="F9" s="104">
        <v>60</v>
      </c>
      <c r="G9" s="17">
        <v>18</v>
      </c>
      <c r="H9" s="107">
        <v>139</v>
      </c>
      <c r="I9" s="108">
        <v>15500</v>
      </c>
      <c r="J9" s="108" t="s">
        <v>1272</v>
      </c>
      <c r="K9" s="108">
        <v>14000</v>
      </c>
      <c r="L9" s="108" t="s">
        <v>1253</v>
      </c>
      <c r="M9" s="109">
        <f>I9-K9</f>
        <v>1500</v>
      </c>
      <c r="N9" s="4">
        <f>IF(ISERROR(K9/I9),"",K9/I9)</f>
        <v>0.90322580645161288</v>
      </c>
      <c r="O9" s="105">
        <f>I9/E9</f>
        <v>645.83333333333337</v>
      </c>
      <c r="P9" s="105">
        <f>K9/E9</f>
        <v>583.33333333333337</v>
      </c>
      <c r="Q9" s="77">
        <v>3</v>
      </c>
      <c r="R9" s="77">
        <v>1</v>
      </c>
      <c r="S9" s="77" t="s">
        <v>1244</v>
      </c>
      <c r="T9" s="5">
        <v>80</v>
      </c>
      <c r="U9" s="9"/>
      <c r="W9" s="104">
        <f>D9</f>
        <v>80.099999999999994</v>
      </c>
      <c r="X9" s="106">
        <f>E9</f>
        <v>24</v>
      </c>
      <c r="Y9" s="102">
        <f>H9</f>
        <v>139</v>
      </c>
      <c r="Z9" s="109">
        <f>I9</f>
        <v>15500</v>
      </c>
      <c r="AA9" s="109">
        <f>K9</f>
        <v>14000</v>
      </c>
      <c r="AB9" s="109">
        <f t="shared" ref="AB9:AD10" si="3">M9</f>
        <v>1500</v>
      </c>
      <c r="AC9" s="4">
        <f t="shared" si="3"/>
        <v>0.90322580645161288</v>
      </c>
      <c r="AD9" s="105">
        <f t="shared" si="3"/>
        <v>645.83333333333337</v>
      </c>
      <c r="AE9" s="77" t="str">
        <f>S9</f>
        <v>계</v>
      </c>
      <c r="AF9" s="77" t="str">
        <f>Q9&amp;"/"&amp;R9</f>
        <v>3/1</v>
      </c>
      <c r="AH9" s="20" t="str">
        <f t="shared" si="1"/>
        <v>파인빌1차</v>
      </c>
      <c r="AI9" s="106">
        <f t="shared" si="0"/>
        <v>24</v>
      </c>
      <c r="AJ9" s="77" t="str">
        <f>IF(AI9="","",$AJ$2)</f>
        <v>A-</v>
      </c>
      <c r="AK9" s="77" t="s">
        <v>13</v>
      </c>
      <c r="AL9" s="77" t="s">
        <v>1242</v>
      </c>
      <c r="AM9" s="77" t="s">
        <v>1243</v>
      </c>
      <c r="AN9" s="77" t="str">
        <f>IF(AI9="","",$AN$2)</f>
        <v>C</v>
      </c>
      <c r="AO9" s="77" t="str">
        <f>IF(N9="","",IF(N9&gt;=$AO$1/100,"O","X"))</f>
        <v>O</v>
      </c>
      <c r="AP9" s="77" t="str">
        <f>IF(I9="","",IF(I9&lt;=$AP$1,"O","X"))</f>
        <v>O</v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>후보</v>
      </c>
    </row>
    <row r="10" spans="1:48" x14ac:dyDescent="0.3">
      <c r="A10" s="9" t="s">
        <v>691</v>
      </c>
      <c r="B10" s="10" t="s">
        <v>1303</v>
      </c>
      <c r="C10" s="107">
        <v>499</v>
      </c>
      <c r="D10" s="104">
        <v>110.9</v>
      </c>
      <c r="E10" s="106">
        <v>34</v>
      </c>
      <c r="F10" s="104">
        <v>85</v>
      </c>
      <c r="G10" s="17">
        <v>26</v>
      </c>
      <c r="H10" s="107">
        <v>360</v>
      </c>
      <c r="I10" s="108"/>
      <c r="J10" s="108"/>
      <c r="K10" s="108"/>
      <c r="L10" s="108"/>
      <c r="M10" s="109">
        <f>I10-K10</f>
        <v>0</v>
      </c>
      <c r="N10" s="4" t="str">
        <f>IF(ISERROR(K10/I10),"",K10/I10)</f>
        <v/>
      </c>
      <c r="O10" s="105">
        <f>I10/E10</f>
        <v>0</v>
      </c>
      <c r="P10" s="105">
        <f>K10/E10</f>
        <v>0</v>
      </c>
      <c r="Q10" s="77">
        <v>3</v>
      </c>
      <c r="R10" s="77">
        <v>2</v>
      </c>
      <c r="S10" s="77" t="s">
        <v>1244</v>
      </c>
      <c r="T10" s="5">
        <v>110</v>
      </c>
      <c r="U10" s="9"/>
      <c r="W10" s="104">
        <f>D10</f>
        <v>110.9</v>
      </c>
      <c r="X10" s="106">
        <f>E10</f>
        <v>34</v>
      </c>
      <c r="Y10" s="102">
        <f>H10</f>
        <v>360</v>
      </c>
      <c r="Z10" s="109">
        <f>I10</f>
        <v>0</v>
      </c>
      <c r="AA10" s="109">
        <f>K10</f>
        <v>0</v>
      </c>
      <c r="AB10" s="109">
        <f t="shared" si="3"/>
        <v>0</v>
      </c>
      <c r="AC10" s="4" t="str">
        <f t="shared" si="3"/>
        <v/>
      </c>
      <c r="AD10" s="105">
        <f t="shared" si="3"/>
        <v>0</v>
      </c>
      <c r="AE10" s="77" t="str">
        <f>S10</f>
        <v>계</v>
      </c>
      <c r="AF10" s="77" t="str">
        <f>Q10&amp;"/"&amp;R10</f>
        <v>3/2</v>
      </c>
      <c r="AH10" s="20" t="str">
        <f t="shared" si="1"/>
        <v>파인빌1차</v>
      </c>
      <c r="AI10" s="106">
        <f t="shared" si="0"/>
        <v>34</v>
      </c>
      <c r="AJ10" s="77" t="str">
        <f>IF(AI10="","",$AJ$2)</f>
        <v>A-</v>
      </c>
      <c r="AK10" s="77" t="s">
        <v>13</v>
      </c>
      <c r="AL10" s="77" t="s">
        <v>1242</v>
      </c>
      <c r="AM10" s="77" t="s">
        <v>1243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/>
      </c>
    </row>
    <row r="11" spans="1:48" x14ac:dyDescent="0.3">
      <c r="A11" s="9"/>
      <c r="B11" s="77"/>
      <c r="C11" s="6"/>
      <c r="D11" s="9"/>
      <c r="E11" s="14"/>
      <c r="F11" s="104"/>
      <c r="G11" s="9"/>
      <c r="H11" s="9"/>
      <c r="I11" s="9"/>
      <c r="J11" s="9"/>
      <c r="K11" s="9"/>
      <c r="L11" s="9"/>
      <c r="M11" s="9"/>
      <c r="N11" s="9"/>
      <c r="O11" s="105"/>
      <c r="P11" s="105"/>
      <c r="Q11" s="106"/>
      <c r="R11" s="106"/>
      <c r="S11" s="9"/>
      <c r="T11" s="47"/>
      <c r="U11" s="9"/>
      <c r="W11" s="67" t="str">
        <f>$A$4&amp;" "&amp;A12&amp;"("&amp;B12&amp;","&amp;C12&amp;"^)"</f>
        <v>미장동 군산미장2차아이파크('17.06.,540^)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3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696</v>
      </c>
      <c r="B12" s="10" t="s">
        <v>1304</v>
      </c>
      <c r="C12" s="107">
        <v>540</v>
      </c>
      <c r="D12" s="104">
        <v>99.8</v>
      </c>
      <c r="E12" s="106">
        <v>30</v>
      </c>
      <c r="F12" s="104">
        <v>75</v>
      </c>
      <c r="G12" s="17">
        <v>23</v>
      </c>
      <c r="H12" s="107">
        <v>72</v>
      </c>
      <c r="I12" s="108">
        <v>37000</v>
      </c>
      <c r="J12" s="108" t="s">
        <v>1287</v>
      </c>
      <c r="K12" s="108">
        <v>34000</v>
      </c>
      <c r="L12" s="108" t="s">
        <v>1305</v>
      </c>
      <c r="M12" s="109">
        <f t="shared" ref="M12:M17" si="4">I12-K12</f>
        <v>3000</v>
      </c>
      <c r="N12" s="4">
        <f t="shared" ref="N12:N17" si="5">IF(ISERROR(K12/I12),"",K12/I12)</f>
        <v>0.91891891891891897</v>
      </c>
      <c r="O12" s="105">
        <f t="shared" ref="O12:O17" si="6">I12/E12</f>
        <v>1233.3333333333333</v>
      </c>
      <c r="P12" s="105">
        <f t="shared" ref="P12:P17" si="7">K12/E12</f>
        <v>1133.3333333333333</v>
      </c>
      <c r="Q12" s="77">
        <v>3</v>
      </c>
      <c r="R12" s="77">
        <v>2</v>
      </c>
      <c r="S12" s="77" t="s">
        <v>1244</v>
      </c>
      <c r="T12" s="5" t="s">
        <v>465</v>
      </c>
      <c r="U12" s="9"/>
      <c r="W12" s="104">
        <f t="shared" ref="W12:X17" si="8">D12</f>
        <v>99.8</v>
      </c>
      <c r="X12" s="106">
        <f t="shared" si="8"/>
        <v>30</v>
      </c>
      <c r="Y12" s="102">
        <f t="shared" ref="Y12:Z17" si="9">H12</f>
        <v>72</v>
      </c>
      <c r="Z12" s="109">
        <f t="shared" si="9"/>
        <v>37000</v>
      </c>
      <c r="AA12" s="109">
        <f t="shared" ref="AA12:AA17" si="10">K12</f>
        <v>34000</v>
      </c>
      <c r="AB12" s="109">
        <f t="shared" ref="AB12:AD17" si="11">M12</f>
        <v>3000</v>
      </c>
      <c r="AC12" s="4">
        <f t="shared" si="11"/>
        <v>0.91891891891891897</v>
      </c>
      <c r="AD12" s="105">
        <f t="shared" si="11"/>
        <v>1233.3333333333333</v>
      </c>
      <c r="AE12" s="77" t="str">
        <f t="shared" ref="AE12:AE17" si="12">S12</f>
        <v>계</v>
      </c>
      <c r="AF12" s="77" t="str">
        <f t="shared" ref="AF12:AF17" si="13">Q12&amp;"/"&amp;R12</f>
        <v>3/2</v>
      </c>
      <c r="AH12" s="20" t="str">
        <f t="shared" si="1"/>
        <v>군산미장2차아이파크</v>
      </c>
      <c r="AI12" s="106">
        <f t="shared" si="0"/>
        <v>30</v>
      </c>
      <c r="AJ12" s="77" t="str">
        <f t="shared" ref="AJ12:AJ17" si="14">IF(AI12="","",$AJ$2)</f>
        <v>A-</v>
      </c>
      <c r="AK12" s="77" t="s">
        <v>13</v>
      </c>
      <c r="AL12" s="77" t="s">
        <v>1242</v>
      </c>
      <c r="AM12" s="77" t="s">
        <v>1243</v>
      </c>
      <c r="AN12" s="77" t="str">
        <f t="shared" ref="AN12:AN17" si="15">IF(AI12="","",$AN$2)</f>
        <v>C</v>
      </c>
      <c r="AO12" s="77" t="str">
        <f t="shared" ref="AO12:AO17" si="16">IF(N12="","",IF(N12&gt;=$AO$1/100,"O","X"))</f>
        <v>O</v>
      </c>
      <c r="AP12" s="77" t="str">
        <f t="shared" ref="AP12:AP17" si="17">IF(I12="","",IF(I12&lt;=$AP$1,"O","X"))</f>
        <v>O</v>
      </c>
      <c r="AQ12" s="77" t="str">
        <f t="shared" ref="AQ12:AQ17" si="18">IF(O12="","",IF(O12&lt;=$AQ$1,"O","X"))</f>
        <v>X</v>
      </c>
      <c r="AR12" s="77" t="str">
        <f t="shared" ref="AR12:AR17" si="19">IF(M12="","",IF(M12&lt;=$AR$1,"O","X"))</f>
        <v>O</v>
      </c>
      <c r="AS12" s="77" t="s">
        <v>2</v>
      </c>
      <c r="AT12" s="77" t="str">
        <f t="shared" ref="AT12:AT17" si="20">IF(OR(F12="",AI12=""),"",IF(AND((F12&lt;=85),(AI12&gt;=15)),"O","X"))</f>
        <v>O</v>
      </c>
      <c r="AU12" s="77" t="str">
        <f t="shared" ref="AU12:AU17" si="21">IF(C12="","",IF(C12&gt;=$AU$1,"O","X"))</f>
        <v>O</v>
      </c>
      <c r="AV12" s="77" t="str">
        <f t="shared" ref="AV12:AV17" si="22">IF(AO12="","",IF(AND(AO12="O",AP12="O",AR12="O",AT12="O",AU12="O"),"후보","X"))</f>
        <v>후보</v>
      </c>
    </row>
    <row r="13" spans="1:48" x14ac:dyDescent="0.3">
      <c r="A13" s="9" t="s">
        <v>696</v>
      </c>
      <c r="B13" s="10" t="s">
        <v>1304</v>
      </c>
      <c r="C13" s="107">
        <v>540</v>
      </c>
      <c r="D13" s="104">
        <v>100</v>
      </c>
      <c r="E13" s="106">
        <v>30</v>
      </c>
      <c r="F13" s="104">
        <v>75</v>
      </c>
      <c r="G13" s="17">
        <v>23</v>
      </c>
      <c r="H13" s="107">
        <v>49</v>
      </c>
      <c r="I13" s="108">
        <v>37000</v>
      </c>
      <c r="J13" s="108" t="s">
        <v>1265</v>
      </c>
      <c r="K13" s="108"/>
      <c r="L13" s="108"/>
      <c r="M13" s="109">
        <f t="shared" si="4"/>
        <v>37000</v>
      </c>
      <c r="N13" s="4">
        <f t="shared" si="5"/>
        <v>0</v>
      </c>
      <c r="O13" s="105">
        <f t="shared" si="6"/>
        <v>1233.3333333333333</v>
      </c>
      <c r="P13" s="105">
        <f t="shared" si="7"/>
        <v>0</v>
      </c>
      <c r="Q13" s="77">
        <v>3</v>
      </c>
      <c r="R13" s="77">
        <v>2</v>
      </c>
      <c r="S13" s="77" t="s">
        <v>1244</v>
      </c>
      <c r="T13" s="5" t="s">
        <v>701</v>
      </c>
      <c r="U13" s="9"/>
      <c r="W13" s="104">
        <f t="shared" si="8"/>
        <v>100</v>
      </c>
      <c r="X13" s="106">
        <f t="shared" si="8"/>
        <v>30</v>
      </c>
      <c r="Y13" s="102">
        <f t="shared" si="9"/>
        <v>49</v>
      </c>
      <c r="Z13" s="109">
        <f t="shared" si="9"/>
        <v>37000</v>
      </c>
      <c r="AA13" s="109">
        <f t="shared" si="10"/>
        <v>0</v>
      </c>
      <c r="AB13" s="109">
        <f t="shared" si="11"/>
        <v>37000</v>
      </c>
      <c r="AC13" s="4">
        <f t="shared" si="11"/>
        <v>0</v>
      </c>
      <c r="AD13" s="105">
        <f t="shared" si="11"/>
        <v>1233.3333333333333</v>
      </c>
      <c r="AE13" s="77" t="str">
        <f t="shared" si="12"/>
        <v>계</v>
      </c>
      <c r="AF13" s="77" t="str">
        <f t="shared" si="13"/>
        <v>3/2</v>
      </c>
      <c r="AH13" s="20" t="str">
        <f t="shared" si="1"/>
        <v>군산미장2차아이파크</v>
      </c>
      <c r="AI13" s="106">
        <f t="shared" si="0"/>
        <v>30</v>
      </c>
      <c r="AJ13" s="77" t="str">
        <f t="shared" si="14"/>
        <v>A-</v>
      </c>
      <c r="AK13" s="77" t="s">
        <v>13</v>
      </c>
      <c r="AL13" s="77" t="s">
        <v>1242</v>
      </c>
      <c r="AM13" s="77" t="s">
        <v>1243</v>
      </c>
      <c r="AN13" s="77" t="str">
        <f t="shared" si="15"/>
        <v>C</v>
      </c>
      <c r="AO13" s="77" t="str">
        <f t="shared" si="16"/>
        <v>X</v>
      </c>
      <c r="AP13" s="77" t="str">
        <f t="shared" si="17"/>
        <v>O</v>
      </c>
      <c r="AQ13" s="77" t="str">
        <f t="shared" si="18"/>
        <v>X</v>
      </c>
      <c r="AR13" s="77" t="str">
        <f t="shared" si="19"/>
        <v>X</v>
      </c>
      <c r="AS13" s="77" t="s">
        <v>2</v>
      </c>
      <c r="AT13" s="77" t="str">
        <f t="shared" si="20"/>
        <v>O</v>
      </c>
      <c r="AU13" s="77" t="str">
        <f t="shared" si="21"/>
        <v>O</v>
      </c>
      <c r="AV13" s="77" t="str">
        <f t="shared" si="22"/>
        <v>X</v>
      </c>
    </row>
    <row r="14" spans="1:48" x14ac:dyDescent="0.3">
      <c r="A14" s="9" t="s">
        <v>696</v>
      </c>
      <c r="B14" s="10" t="s">
        <v>1304</v>
      </c>
      <c r="C14" s="107">
        <v>540</v>
      </c>
      <c r="D14" s="104">
        <v>100.5</v>
      </c>
      <c r="E14" s="106">
        <v>30</v>
      </c>
      <c r="F14" s="104">
        <v>75</v>
      </c>
      <c r="G14" s="17">
        <v>23</v>
      </c>
      <c r="H14" s="107">
        <v>188</v>
      </c>
      <c r="I14" s="108">
        <v>40000</v>
      </c>
      <c r="J14" s="108" t="s">
        <v>1265</v>
      </c>
      <c r="K14" s="108"/>
      <c r="L14" s="108"/>
      <c r="M14" s="109">
        <f t="shared" si="4"/>
        <v>40000</v>
      </c>
      <c r="N14" s="4">
        <f t="shared" si="5"/>
        <v>0</v>
      </c>
      <c r="O14" s="105">
        <f t="shared" si="6"/>
        <v>1333.3333333333333</v>
      </c>
      <c r="P14" s="105">
        <f t="shared" si="7"/>
        <v>0</v>
      </c>
      <c r="Q14" s="77">
        <v>3</v>
      </c>
      <c r="R14" s="77">
        <v>2</v>
      </c>
      <c r="S14" s="77" t="s">
        <v>1244</v>
      </c>
      <c r="T14" s="5" t="s">
        <v>702</v>
      </c>
      <c r="U14" s="9"/>
      <c r="W14" s="104">
        <f t="shared" si="8"/>
        <v>100.5</v>
      </c>
      <c r="X14" s="106">
        <f t="shared" si="8"/>
        <v>30</v>
      </c>
      <c r="Y14" s="102">
        <f t="shared" si="9"/>
        <v>188</v>
      </c>
      <c r="Z14" s="109">
        <f t="shared" si="9"/>
        <v>40000</v>
      </c>
      <c r="AA14" s="109">
        <f t="shared" si="10"/>
        <v>0</v>
      </c>
      <c r="AB14" s="109">
        <f t="shared" si="11"/>
        <v>40000</v>
      </c>
      <c r="AC14" s="4">
        <f t="shared" si="11"/>
        <v>0</v>
      </c>
      <c r="AD14" s="105">
        <f t="shared" si="11"/>
        <v>1333.3333333333333</v>
      </c>
      <c r="AE14" s="77" t="str">
        <f t="shared" si="12"/>
        <v>계</v>
      </c>
      <c r="AF14" s="77" t="str">
        <f t="shared" si="13"/>
        <v>3/2</v>
      </c>
      <c r="AH14" s="20" t="str">
        <f t="shared" si="1"/>
        <v>군산미장2차아이파크</v>
      </c>
      <c r="AI14" s="106">
        <f t="shared" si="0"/>
        <v>30</v>
      </c>
      <c r="AJ14" s="77" t="str">
        <f t="shared" si="14"/>
        <v>A-</v>
      </c>
      <c r="AK14" s="77" t="s">
        <v>13</v>
      </c>
      <c r="AL14" s="77" t="s">
        <v>1242</v>
      </c>
      <c r="AM14" s="77" t="s">
        <v>1243</v>
      </c>
      <c r="AN14" s="77" t="str">
        <f t="shared" si="15"/>
        <v>C</v>
      </c>
      <c r="AO14" s="77" t="str">
        <f t="shared" si="16"/>
        <v>X</v>
      </c>
      <c r="AP14" s="77" t="str">
        <f t="shared" si="17"/>
        <v>O</v>
      </c>
      <c r="AQ14" s="77" t="str">
        <f t="shared" si="18"/>
        <v>X</v>
      </c>
      <c r="AR14" s="77" t="str">
        <f t="shared" si="19"/>
        <v>X</v>
      </c>
      <c r="AS14" s="77" t="s">
        <v>2</v>
      </c>
      <c r="AT14" s="77" t="str">
        <f t="shared" si="20"/>
        <v>O</v>
      </c>
      <c r="AU14" s="77" t="str">
        <f t="shared" si="21"/>
        <v>O</v>
      </c>
      <c r="AV14" s="77" t="str">
        <f t="shared" si="22"/>
        <v>X</v>
      </c>
    </row>
    <row r="15" spans="1:48" x14ac:dyDescent="0.3">
      <c r="A15" s="9" t="s">
        <v>696</v>
      </c>
      <c r="B15" s="10" t="s">
        <v>1304</v>
      </c>
      <c r="C15" s="107">
        <v>540</v>
      </c>
      <c r="D15" s="104">
        <v>100</v>
      </c>
      <c r="E15" s="106">
        <v>30</v>
      </c>
      <c r="F15" s="104">
        <v>75</v>
      </c>
      <c r="G15" s="17">
        <v>23</v>
      </c>
      <c r="H15" s="107">
        <v>50</v>
      </c>
      <c r="I15" s="108">
        <v>37000</v>
      </c>
      <c r="J15" s="108" t="s">
        <v>1265</v>
      </c>
      <c r="K15" s="108"/>
      <c r="L15" s="108"/>
      <c r="M15" s="109">
        <f t="shared" si="4"/>
        <v>37000</v>
      </c>
      <c r="N15" s="4">
        <f t="shared" si="5"/>
        <v>0</v>
      </c>
      <c r="O15" s="105">
        <f t="shared" si="6"/>
        <v>1233.3333333333333</v>
      </c>
      <c r="P15" s="105">
        <f t="shared" si="7"/>
        <v>0</v>
      </c>
      <c r="Q15" s="77">
        <v>3</v>
      </c>
      <c r="R15" s="77">
        <v>2</v>
      </c>
      <c r="S15" s="77" t="s">
        <v>1244</v>
      </c>
      <c r="T15" s="5" t="s">
        <v>703</v>
      </c>
      <c r="U15" s="9"/>
      <c r="W15" s="104">
        <f t="shared" si="8"/>
        <v>100</v>
      </c>
      <c r="X15" s="106">
        <f t="shared" si="8"/>
        <v>30</v>
      </c>
      <c r="Y15" s="102">
        <f t="shared" si="9"/>
        <v>50</v>
      </c>
      <c r="Z15" s="109">
        <f t="shared" si="9"/>
        <v>37000</v>
      </c>
      <c r="AA15" s="109">
        <f t="shared" si="10"/>
        <v>0</v>
      </c>
      <c r="AB15" s="109">
        <f t="shared" si="11"/>
        <v>37000</v>
      </c>
      <c r="AC15" s="4">
        <f t="shared" si="11"/>
        <v>0</v>
      </c>
      <c r="AD15" s="105">
        <f t="shared" si="11"/>
        <v>1233.3333333333333</v>
      </c>
      <c r="AE15" s="77" t="str">
        <f t="shared" si="12"/>
        <v>계</v>
      </c>
      <c r="AF15" s="77" t="str">
        <f t="shared" si="13"/>
        <v>3/2</v>
      </c>
      <c r="AH15" s="20" t="str">
        <f t="shared" si="1"/>
        <v>군산미장2차아이파크</v>
      </c>
      <c r="AI15" s="106">
        <f t="shared" si="0"/>
        <v>30</v>
      </c>
      <c r="AJ15" s="77" t="str">
        <f t="shared" si="14"/>
        <v>A-</v>
      </c>
      <c r="AK15" s="77" t="s">
        <v>13</v>
      </c>
      <c r="AL15" s="77" t="s">
        <v>1242</v>
      </c>
      <c r="AM15" s="77" t="s">
        <v>1243</v>
      </c>
      <c r="AN15" s="77" t="str">
        <f t="shared" si="15"/>
        <v>C</v>
      </c>
      <c r="AO15" s="77" t="str">
        <f t="shared" si="16"/>
        <v>X</v>
      </c>
      <c r="AP15" s="77" t="str">
        <f t="shared" si="17"/>
        <v>O</v>
      </c>
      <c r="AQ15" s="77" t="str">
        <f t="shared" si="18"/>
        <v>X</v>
      </c>
      <c r="AR15" s="77" t="str">
        <f t="shared" si="19"/>
        <v>X</v>
      </c>
      <c r="AS15" s="77" t="s">
        <v>2</v>
      </c>
      <c r="AT15" s="77" t="str">
        <f t="shared" si="20"/>
        <v>O</v>
      </c>
      <c r="AU15" s="77" t="str">
        <f t="shared" si="21"/>
        <v>O</v>
      </c>
      <c r="AV15" s="77" t="str">
        <f t="shared" si="22"/>
        <v>X</v>
      </c>
    </row>
    <row r="16" spans="1:48" x14ac:dyDescent="0.3">
      <c r="A16" s="9" t="s">
        <v>696</v>
      </c>
      <c r="B16" s="10" t="s">
        <v>1304</v>
      </c>
      <c r="C16" s="107">
        <v>540</v>
      </c>
      <c r="D16" s="104">
        <v>100.8</v>
      </c>
      <c r="E16" s="106">
        <v>30</v>
      </c>
      <c r="F16" s="104">
        <v>75</v>
      </c>
      <c r="G16" s="17">
        <v>23</v>
      </c>
      <c r="H16" s="107">
        <v>15</v>
      </c>
      <c r="I16" s="108"/>
      <c r="J16" s="108"/>
      <c r="K16" s="108"/>
      <c r="L16" s="108"/>
      <c r="M16" s="109">
        <f t="shared" si="4"/>
        <v>0</v>
      </c>
      <c r="N16" s="4" t="str">
        <f t="shared" si="5"/>
        <v/>
      </c>
      <c r="O16" s="105">
        <f t="shared" si="6"/>
        <v>0</v>
      </c>
      <c r="P16" s="105">
        <f t="shared" si="7"/>
        <v>0</v>
      </c>
      <c r="Q16" s="77">
        <v>3</v>
      </c>
      <c r="R16" s="77">
        <v>2</v>
      </c>
      <c r="S16" s="77" t="s">
        <v>1244</v>
      </c>
      <c r="T16" s="5" t="s">
        <v>467</v>
      </c>
      <c r="U16" s="9"/>
      <c r="W16" s="104">
        <f t="shared" si="8"/>
        <v>100.8</v>
      </c>
      <c r="X16" s="106">
        <f t="shared" si="8"/>
        <v>30</v>
      </c>
      <c r="Y16" s="102">
        <f t="shared" si="9"/>
        <v>15</v>
      </c>
      <c r="Z16" s="109">
        <f t="shared" si="9"/>
        <v>0</v>
      </c>
      <c r="AA16" s="109">
        <f t="shared" si="10"/>
        <v>0</v>
      </c>
      <c r="AB16" s="109">
        <f t="shared" si="11"/>
        <v>0</v>
      </c>
      <c r="AC16" s="4" t="str">
        <f t="shared" si="11"/>
        <v/>
      </c>
      <c r="AD16" s="105">
        <f t="shared" si="11"/>
        <v>0</v>
      </c>
      <c r="AE16" s="77" t="str">
        <f t="shared" si="12"/>
        <v>계</v>
      </c>
      <c r="AF16" s="77" t="str">
        <f t="shared" si="13"/>
        <v>3/2</v>
      </c>
      <c r="AH16" s="20" t="str">
        <f t="shared" si="1"/>
        <v>군산미장2차아이파크</v>
      </c>
      <c r="AI16" s="106">
        <f t="shared" si="0"/>
        <v>30</v>
      </c>
      <c r="AJ16" s="77" t="str">
        <f t="shared" si="14"/>
        <v>A-</v>
      </c>
      <c r="AK16" s="77" t="s">
        <v>13</v>
      </c>
      <c r="AL16" s="77" t="s">
        <v>1242</v>
      </c>
      <c r="AM16" s="77" t="s">
        <v>1243</v>
      </c>
      <c r="AN16" s="77" t="str">
        <f t="shared" si="15"/>
        <v>C</v>
      </c>
      <c r="AO16" s="77" t="str">
        <f t="shared" si="16"/>
        <v/>
      </c>
      <c r="AP16" s="77" t="str">
        <f t="shared" si="17"/>
        <v/>
      </c>
      <c r="AQ16" s="77" t="str">
        <f t="shared" si="18"/>
        <v>O</v>
      </c>
      <c r="AR16" s="77" t="str">
        <f t="shared" si="19"/>
        <v>O</v>
      </c>
      <c r="AS16" s="77" t="s">
        <v>2</v>
      </c>
      <c r="AT16" s="77" t="str">
        <f t="shared" si="20"/>
        <v>O</v>
      </c>
      <c r="AU16" s="77" t="str">
        <f t="shared" si="21"/>
        <v>O</v>
      </c>
      <c r="AV16" s="77" t="str">
        <f t="shared" si="22"/>
        <v/>
      </c>
    </row>
    <row r="17" spans="1:48" x14ac:dyDescent="0.3">
      <c r="A17" s="9" t="s">
        <v>696</v>
      </c>
      <c r="B17" s="10" t="s">
        <v>1304</v>
      </c>
      <c r="C17" s="107">
        <v>540</v>
      </c>
      <c r="D17" s="104">
        <v>130.4</v>
      </c>
      <c r="E17" s="106">
        <v>39</v>
      </c>
      <c r="F17" s="104">
        <v>101.8</v>
      </c>
      <c r="G17" s="17">
        <v>31</v>
      </c>
      <c r="H17" s="107">
        <v>166</v>
      </c>
      <c r="I17" s="108">
        <v>49000</v>
      </c>
      <c r="J17" s="108" t="s">
        <v>1280</v>
      </c>
      <c r="K17" s="108">
        <v>39000</v>
      </c>
      <c r="L17" s="108" t="s">
        <v>1271</v>
      </c>
      <c r="M17" s="109">
        <f t="shared" si="4"/>
        <v>10000</v>
      </c>
      <c r="N17" s="4">
        <f t="shared" si="5"/>
        <v>0.79591836734693877</v>
      </c>
      <c r="O17" s="105">
        <f t="shared" si="6"/>
        <v>1256.4102564102564</v>
      </c>
      <c r="P17" s="105">
        <f t="shared" si="7"/>
        <v>1000</v>
      </c>
      <c r="Q17" s="77">
        <v>3</v>
      </c>
      <c r="R17" s="77">
        <v>2</v>
      </c>
      <c r="S17" s="77" t="s">
        <v>1244</v>
      </c>
      <c r="T17" s="5">
        <v>130</v>
      </c>
      <c r="U17" s="9"/>
      <c r="W17" s="104">
        <f t="shared" si="8"/>
        <v>130.4</v>
      </c>
      <c r="X17" s="106">
        <f t="shared" si="8"/>
        <v>39</v>
      </c>
      <c r="Y17" s="102">
        <f t="shared" si="9"/>
        <v>166</v>
      </c>
      <c r="Z17" s="109">
        <f t="shared" si="9"/>
        <v>49000</v>
      </c>
      <c r="AA17" s="109">
        <f t="shared" si="10"/>
        <v>39000</v>
      </c>
      <c r="AB17" s="109">
        <f t="shared" si="11"/>
        <v>10000</v>
      </c>
      <c r="AC17" s="4">
        <f t="shared" si="11"/>
        <v>0.79591836734693877</v>
      </c>
      <c r="AD17" s="105">
        <f t="shared" si="11"/>
        <v>1256.4102564102564</v>
      </c>
      <c r="AE17" s="77" t="str">
        <f t="shared" si="12"/>
        <v>계</v>
      </c>
      <c r="AF17" s="77" t="str">
        <f t="shared" si="13"/>
        <v>3/2</v>
      </c>
      <c r="AH17" s="20" t="str">
        <f t="shared" si="1"/>
        <v>군산미장2차아이파크</v>
      </c>
      <c r="AI17" s="106">
        <f t="shared" si="0"/>
        <v>39</v>
      </c>
      <c r="AJ17" s="77" t="str">
        <f t="shared" si="14"/>
        <v>A-</v>
      </c>
      <c r="AK17" s="77" t="s">
        <v>13</v>
      </c>
      <c r="AL17" s="77" t="s">
        <v>1242</v>
      </c>
      <c r="AM17" s="77" t="s">
        <v>1243</v>
      </c>
      <c r="AN17" s="77" t="str">
        <f t="shared" si="15"/>
        <v>C</v>
      </c>
      <c r="AO17" s="77" t="str">
        <f t="shared" si="16"/>
        <v>X</v>
      </c>
      <c r="AP17" s="77" t="str">
        <f t="shared" si="17"/>
        <v>X</v>
      </c>
      <c r="AQ17" s="77" t="str">
        <f t="shared" si="18"/>
        <v>X</v>
      </c>
      <c r="AR17" s="77" t="str">
        <f t="shared" si="19"/>
        <v>X</v>
      </c>
      <c r="AS17" s="77" t="s">
        <v>2</v>
      </c>
      <c r="AT17" s="77" t="str">
        <f t="shared" si="20"/>
        <v>X</v>
      </c>
      <c r="AU17" s="77" t="str">
        <f t="shared" si="21"/>
        <v>O</v>
      </c>
      <c r="AV17" s="77" t="str">
        <f t="shared" si="22"/>
        <v>X</v>
      </c>
    </row>
    <row r="18" spans="1:48" x14ac:dyDescent="0.3">
      <c r="A18" s="9"/>
      <c r="B18" s="77"/>
      <c r="C18" s="6"/>
      <c r="D18" s="9"/>
      <c r="E18" s="14"/>
      <c r="F18" s="104"/>
      <c r="G18" s="9"/>
      <c r="H18" s="9"/>
      <c r="I18" s="9"/>
      <c r="J18" s="9"/>
      <c r="K18" s="9"/>
      <c r="L18" s="9"/>
      <c r="M18" s="9"/>
      <c r="N18" s="9"/>
      <c r="O18" s="105"/>
      <c r="P18" s="105"/>
      <c r="Q18" s="106"/>
      <c r="R18" s="106"/>
      <c r="S18" s="9"/>
      <c r="T18" s="47"/>
      <c r="U18" s="9"/>
      <c r="W18" s="67" t="str">
        <f>$A$4&amp;" "&amp;A19&amp;"("&amp;B19&amp;","&amp;C19&amp;"^)"</f>
        <v>미장동 군산미장아이파크('15.01.,1078^)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3" t="str">
        <f t="shared" si="0"/>
        <v/>
      </c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</row>
    <row r="19" spans="1:48" x14ac:dyDescent="0.3">
      <c r="A19" s="9" t="s">
        <v>704</v>
      </c>
      <c r="B19" s="10" t="s">
        <v>1306</v>
      </c>
      <c r="C19" s="107">
        <v>1078</v>
      </c>
      <c r="D19" s="104">
        <v>80.3</v>
      </c>
      <c r="E19" s="106">
        <v>24</v>
      </c>
      <c r="F19" s="104">
        <v>60</v>
      </c>
      <c r="G19" s="17">
        <v>18</v>
      </c>
      <c r="H19" s="107">
        <v>141</v>
      </c>
      <c r="I19" s="108">
        <v>24000</v>
      </c>
      <c r="J19" s="108" t="s">
        <v>1268</v>
      </c>
      <c r="K19" s="108"/>
      <c r="L19" s="108"/>
      <c r="M19" s="109">
        <f t="shared" ref="M19:M25" si="23">I19-K19</f>
        <v>24000</v>
      </c>
      <c r="N19" s="4">
        <f t="shared" ref="N19:N25" si="24">IF(ISERROR(K19/I19),"",K19/I19)</f>
        <v>0</v>
      </c>
      <c r="O19" s="105">
        <f t="shared" ref="O19:O25" si="25">I19/E19</f>
        <v>1000</v>
      </c>
      <c r="P19" s="105">
        <f t="shared" ref="P19:P25" si="26">K19/E19</f>
        <v>0</v>
      </c>
      <c r="Q19" s="77">
        <v>3</v>
      </c>
      <c r="R19" s="77">
        <v>2</v>
      </c>
      <c r="S19" s="77" t="s">
        <v>1244</v>
      </c>
      <c r="T19" s="5">
        <v>80</v>
      </c>
      <c r="U19" s="9"/>
      <c r="W19" s="104">
        <f t="shared" ref="W19:X25" si="27">D19</f>
        <v>80.3</v>
      </c>
      <c r="X19" s="106">
        <f t="shared" si="27"/>
        <v>24</v>
      </c>
      <c r="Y19" s="102">
        <f t="shared" ref="Y19:Z25" si="28">H19</f>
        <v>141</v>
      </c>
      <c r="Z19" s="109">
        <f t="shared" si="28"/>
        <v>24000</v>
      </c>
      <c r="AA19" s="109">
        <f t="shared" ref="AA19:AA25" si="29">K19</f>
        <v>0</v>
      </c>
      <c r="AB19" s="109">
        <f t="shared" ref="AB19:AD25" si="30">M19</f>
        <v>24000</v>
      </c>
      <c r="AC19" s="4">
        <f t="shared" si="30"/>
        <v>0</v>
      </c>
      <c r="AD19" s="105">
        <f t="shared" si="30"/>
        <v>1000</v>
      </c>
      <c r="AE19" s="77" t="str">
        <f t="shared" ref="AE19:AE25" si="31">S19</f>
        <v>계</v>
      </c>
      <c r="AF19" s="77" t="str">
        <f t="shared" ref="AF19:AF25" si="32">Q19&amp;"/"&amp;R19</f>
        <v>3/2</v>
      </c>
      <c r="AH19" s="20" t="str">
        <f t="shared" si="1"/>
        <v>군산미장아이파크</v>
      </c>
      <c r="AI19" s="106">
        <f t="shared" si="0"/>
        <v>24</v>
      </c>
      <c r="AJ19" s="77" t="str">
        <f t="shared" ref="AJ19:AJ25" si="33">IF(AI19="","",$AJ$2)</f>
        <v>A-</v>
      </c>
      <c r="AK19" s="77" t="s">
        <v>13</v>
      </c>
      <c r="AL19" s="77" t="s">
        <v>1242</v>
      </c>
      <c r="AM19" s="77" t="s">
        <v>1243</v>
      </c>
      <c r="AN19" s="77" t="str">
        <f t="shared" ref="AN19:AN25" si="34">IF(AI19="","",$AN$2)</f>
        <v>C</v>
      </c>
      <c r="AO19" s="77" t="str">
        <f t="shared" ref="AO19:AO25" si="35">IF(N19="","",IF(N19&gt;=$AO$1/100,"O","X"))</f>
        <v>X</v>
      </c>
      <c r="AP19" s="77" t="str">
        <f t="shared" ref="AP19:AP25" si="36">IF(I19="","",IF(I19&lt;=$AP$1,"O","X"))</f>
        <v>O</v>
      </c>
      <c r="AQ19" s="77" t="str">
        <f t="shared" ref="AQ19:AQ25" si="37">IF(O19="","",IF(O19&lt;=$AQ$1,"O","X"))</f>
        <v>O</v>
      </c>
      <c r="AR19" s="77" t="str">
        <f t="shared" ref="AR19:AR25" si="38">IF(M19="","",IF(M19&lt;=$AR$1,"O","X"))</f>
        <v>X</v>
      </c>
      <c r="AS19" s="77" t="s">
        <v>2</v>
      </c>
      <c r="AT19" s="77" t="str">
        <f t="shared" ref="AT19:AT25" si="39">IF(OR(F19="",AI19=""),"",IF(AND((F19&lt;=85),(AI19&gt;=15)),"O","X"))</f>
        <v>O</v>
      </c>
      <c r="AU19" s="77" t="str">
        <f t="shared" ref="AU19:AU25" si="40">IF(C19="","",IF(C19&gt;=$AU$1,"O","X"))</f>
        <v>O</v>
      </c>
      <c r="AV19" s="77" t="str">
        <f t="shared" ref="AV19:AV25" si="41">IF(AO19="","",IF(AND(AO19="O",AP19="O",AR19="O",AT19="O",AU19="O"),"후보","X"))</f>
        <v>X</v>
      </c>
    </row>
    <row r="20" spans="1:48" x14ac:dyDescent="0.3">
      <c r="A20" s="9" t="s">
        <v>704</v>
      </c>
      <c r="B20" s="10" t="s">
        <v>1306</v>
      </c>
      <c r="C20" s="107">
        <v>1078</v>
      </c>
      <c r="D20" s="104">
        <v>111.3</v>
      </c>
      <c r="E20" s="106">
        <v>34</v>
      </c>
      <c r="F20" s="104">
        <v>85</v>
      </c>
      <c r="G20" s="17">
        <v>26</v>
      </c>
      <c r="H20" s="107">
        <v>435</v>
      </c>
      <c r="I20" s="108">
        <v>35500</v>
      </c>
      <c r="J20" s="108" t="s">
        <v>1245</v>
      </c>
      <c r="K20" s="108">
        <v>28000</v>
      </c>
      <c r="L20" s="108" t="s">
        <v>1248</v>
      </c>
      <c r="M20" s="109">
        <f t="shared" si="23"/>
        <v>7500</v>
      </c>
      <c r="N20" s="4">
        <f t="shared" si="24"/>
        <v>0.78873239436619713</v>
      </c>
      <c r="O20" s="105">
        <f t="shared" si="25"/>
        <v>1044.1176470588234</v>
      </c>
      <c r="P20" s="105">
        <f t="shared" si="26"/>
        <v>823.52941176470586</v>
      </c>
      <c r="Q20" s="77">
        <v>3</v>
      </c>
      <c r="R20" s="77">
        <v>2</v>
      </c>
      <c r="S20" s="77" t="s">
        <v>1244</v>
      </c>
      <c r="T20" s="5" t="s">
        <v>709</v>
      </c>
      <c r="U20" s="9"/>
      <c r="W20" s="104">
        <f t="shared" si="27"/>
        <v>111.3</v>
      </c>
      <c r="X20" s="106">
        <f t="shared" si="27"/>
        <v>34</v>
      </c>
      <c r="Y20" s="102">
        <f t="shared" si="28"/>
        <v>435</v>
      </c>
      <c r="Z20" s="109">
        <f t="shared" si="28"/>
        <v>35500</v>
      </c>
      <c r="AA20" s="109">
        <f t="shared" si="29"/>
        <v>28000</v>
      </c>
      <c r="AB20" s="109">
        <f t="shared" si="30"/>
        <v>7500</v>
      </c>
      <c r="AC20" s="4">
        <f t="shared" si="30"/>
        <v>0.78873239436619713</v>
      </c>
      <c r="AD20" s="105">
        <f t="shared" si="30"/>
        <v>1044.1176470588234</v>
      </c>
      <c r="AE20" s="77" t="str">
        <f t="shared" si="31"/>
        <v>계</v>
      </c>
      <c r="AF20" s="77" t="str">
        <f t="shared" si="32"/>
        <v>3/2</v>
      </c>
      <c r="AH20" s="20" t="str">
        <f t="shared" si="1"/>
        <v>군산미장아이파크</v>
      </c>
      <c r="AI20" s="106">
        <f t="shared" si="0"/>
        <v>34</v>
      </c>
      <c r="AJ20" s="77" t="str">
        <f t="shared" si="33"/>
        <v>A-</v>
      </c>
      <c r="AK20" s="77" t="s">
        <v>13</v>
      </c>
      <c r="AL20" s="77" t="s">
        <v>1242</v>
      </c>
      <c r="AM20" s="77" t="s">
        <v>1243</v>
      </c>
      <c r="AN20" s="77" t="str">
        <f t="shared" si="34"/>
        <v>C</v>
      </c>
      <c r="AO20" s="77" t="str">
        <f t="shared" si="35"/>
        <v>X</v>
      </c>
      <c r="AP20" s="77" t="str">
        <f t="shared" si="36"/>
        <v>O</v>
      </c>
      <c r="AQ20" s="77" t="str">
        <f t="shared" si="37"/>
        <v>O</v>
      </c>
      <c r="AR20" s="77" t="str">
        <f t="shared" si="38"/>
        <v>X</v>
      </c>
      <c r="AS20" s="77" t="s">
        <v>2</v>
      </c>
      <c r="AT20" s="77" t="str">
        <f t="shared" si="39"/>
        <v>O</v>
      </c>
      <c r="AU20" s="77" t="str">
        <f t="shared" si="40"/>
        <v>O</v>
      </c>
      <c r="AV20" s="77" t="str">
        <f t="shared" si="41"/>
        <v>X</v>
      </c>
    </row>
    <row r="21" spans="1:48" x14ac:dyDescent="0.3">
      <c r="A21" s="9" t="s">
        <v>704</v>
      </c>
      <c r="B21" s="10" t="s">
        <v>1306</v>
      </c>
      <c r="C21" s="107">
        <v>1078</v>
      </c>
      <c r="D21" s="104">
        <v>111.3</v>
      </c>
      <c r="E21" s="106">
        <v>34</v>
      </c>
      <c r="F21" s="104">
        <v>85</v>
      </c>
      <c r="G21" s="17">
        <v>26</v>
      </c>
      <c r="H21" s="107">
        <v>40</v>
      </c>
      <c r="I21" s="108">
        <v>35500</v>
      </c>
      <c r="J21" s="108" t="s">
        <v>1245</v>
      </c>
      <c r="K21" s="108">
        <v>28000</v>
      </c>
      <c r="L21" s="108" t="s">
        <v>1248</v>
      </c>
      <c r="M21" s="109">
        <f t="shared" si="23"/>
        <v>7500</v>
      </c>
      <c r="N21" s="4">
        <f t="shared" si="24"/>
        <v>0.78873239436619713</v>
      </c>
      <c r="O21" s="105">
        <f t="shared" si="25"/>
        <v>1044.1176470588234</v>
      </c>
      <c r="P21" s="105">
        <f t="shared" si="26"/>
        <v>823.52941176470586</v>
      </c>
      <c r="Q21" s="77">
        <v>3</v>
      </c>
      <c r="R21" s="77">
        <v>2</v>
      </c>
      <c r="S21" s="77" t="s">
        <v>1244</v>
      </c>
      <c r="T21" s="5" t="s">
        <v>710</v>
      </c>
      <c r="U21" s="9"/>
      <c r="W21" s="104">
        <f t="shared" si="27"/>
        <v>111.3</v>
      </c>
      <c r="X21" s="106">
        <f t="shared" si="27"/>
        <v>34</v>
      </c>
      <c r="Y21" s="102">
        <f t="shared" si="28"/>
        <v>40</v>
      </c>
      <c r="Z21" s="109">
        <f t="shared" si="28"/>
        <v>35500</v>
      </c>
      <c r="AA21" s="109">
        <f t="shared" si="29"/>
        <v>28000</v>
      </c>
      <c r="AB21" s="109">
        <f t="shared" si="30"/>
        <v>7500</v>
      </c>
      <c r="AC21" s="4">
        <f t="shared" si="30"/>
        <v>0.78873239436619713</v>
      </c>
      <c r="AD21" s="105">
        <f t="shared" si="30"/>
        <v>1044.1176470588234</v>
      </c>
      <c r="AE21" s="77" t="str">
        <f t="shared" si="31"/>
        <v>계</v>
      </c>
      <c r="AF21" s="77" t="str">
        <f t="shared" si="32"/>
        <v>3/2</v>
      </c>
      <c r="AH21" s="20" t="str">
        <f t="shared" si="1"/>
        <v>군산미장아이파크</v>
      </c>
      <c r="AI21" s="106">
        <f t="shared" si="0"/>
        <v>34</v>
      </c>
      <c r="AJ21" s="77" t="str">
        <f t="shared" si="33"/>
        <v>A-</v>
      </c>
      <c r="AK21" s="77" t="s">
        <v>13</v>
      </c>
      <c r="AL21" s="77" t="s">
        <v>1242</v>
      </c>
      <c r="AM21" s="77" t="s">
        <v>1243</v>
      </c>
      <c r="AN21" s="77" t="str">
        <f t="shared" si="34"/>
        <v>C</v>
      </c>
      <c r="AO21" s="77" t="str">
        <f t="shared" si="35"/>
        <v>X</v>
      </c>
      <c r="AP21" s="77" t="str">
        <f t="shared" si="36"/>
        <v>O</v>
      </c>
      <c r="AQ21" s="77" t="str">
        <f t="shared" si="37"/>
        <v>O</v>
      </c>
      <c r="AR21" s="77" t="str">
        <f t="shared" si="38"/>
        <v>X</v>
      </c>
      <c r="AS21" s="77" t="s">
        <v>2</v>
      </c>
      <c r="AT21" s="77" t="str">
        <f t="shared" si="39"/>
        <v>O</v>
      </c>
      <c r="AU21" s="77" t="str">
        <f t="shared" si="40"/>
        <v>O</v>
      </c>
      <c r="AV21" s="77" t="str">
        <f t="shared" si="41"/>
        <v>X</v>
      </c>
    </row>
    <row r="22" spans="1:48" x14ac:dyDescent="0.3">
      <c r="A22" s="9" t="s">
        <v>704</v>
      </c>
      <c r="B22" s="10" t="s">
        <v>1306</v>
      </c>
      <c r="C22" s="107">
        <v>1078</v>
      </c>
      <c r="D22" s="104">
        <v>113</v>
      </c>
      <c r="E22" s="106">
        <v>34</v>
      </c>
      <c r="F22" s="104">
        <v>85</v>
      </c>
      <c r="G22" s="17">
        <v>26</v>
      </c>
      <c r="H22" s="107">
        <v>200</v>
      </c>
      <c r="I22" s="108">
        <v>38000</v>
      </c>
      <c r="J22" s="108" t="s">
        <v>1248</v>
      </c>
      <c r="K22" s="108">
        <v>29000</v>
      </c>
      <c r="L22" s="108" t="s">
        <v>1287</v>
      </c>
      <c r="M22" s="109">
        <f t="shared" si="23"/>
        <v>9000</v>
      </c>
      <c r="N22" s="4">
        <f t="shared" si="24"/>
        <v>0.76315789473684215</v>
      </c>
      <c r="O22" s="105">
        <f t="shared" si="25"/>
        <v>1117.6470588235295</v>
      </c>
      <c r="P22" s="105">
        <f t="shared" si="26"/>
        <v>852.94117647058829</v>
      </c>
      <c r="Q22" s="77">
        <v>3</v>
      </c>
      <c r="R22" s="77">
        <v>2</v>
      </c>
      <c r="S22" s="77" t="s">
        <v>1244</v>
      </c>
      <c r="T22" s="5" t="s">
        <v>711</v>
      </c>
      <c r="U22" s="9"/>
      <c r="W22" s="104">
        <f t="shared" si="27"/>
        <v>113</v>
      </c>
      <c r="X22" s="106">
        <f t="shared" si="27"/>
        <v>34</v>
      </c>
      <c r="Y22" s="102">
        <f t="shared" si="28"/>
        <v>200</v>
      </c>
      <c r="Z22" s="109">
        <f t="shared" si="28"/>
        <v>38000</v>
      </c>
      <c r="AA22" s="109">
        <f t="shared" si="29"/>
        <v>29000</v>
      </c>
      <c r="AB22" s="109">
        <f t="shared" si="30"/>
        <v>9000</v>
      </c>
      <c r="AC22" s="4">
        <f t="shared" si="30"/>
        <v>0.76315789473684215</v>
      </c>
      <c r="AD22" s="105">
        <f t="shared" si="30"/>
        <v>1117.6470588235295</v>
      </c>
      <c r="AE22" s="77" t="str">
        <f t="shared" si="31"/>
        <v>계</v>
      </c>
      <c r="AF22" s="77" t="str">
        <f t="shared" si="32"/>
        <v>3/2</v>
      </c>
      <c r="AH22" s="20" t="str">
        <f t="shared" si="1"/>
        <v>군산미장아이파크</v>
      </c>
      <c r="AI22" s="106">
        <f t="shared" si="0"/>
        <v>34</v>
      </c>
      <c r="AJ22" s="77" t="str">
        <f t="shared" si="33"/>
        <v>A-</v>
      </c>
      <c r="AK22" s="77" t="s">
        <v>13</v>
      </c>
      <c r="AL22" s="77" t="s">
        <v>1242</v>
      </c>
      <c r="AM22" s="77" t="s">
        <v>1243</v>
      </c>
      <c r="AN22" s="77" t="str">
        <f t="shared" si="34"/>
        <v>C</v>
      </c>
      <c r="AO22" s="77" t="str">
        <f t="shared" si="35"/>
        <v>X</v>
      </c>
      <c r="AP22" s="77" t="str">
        <f t="shared" si="36"/>
        <v>O</v>
      </c>
      <c r="AQ22" s="77" t="str">
        <f t="shared" si="37"/>
        <v>O</v>
      </c>
      <c r="AR22" s="77" t="str">
        <f t="shared" si="38"/>
        <v>X</v>
      </c>
      <c r="AS22" s="77" t="s">
        <v>2</v>
      </c>
      <c r="AT22" s="77" t="str">
        <f t="shared" si="39"/>
        <v>O</v>
      </c>
      <c r="AU22" s="77" t="str">
        <f t="shared" si="40"/>
        <v>O</v>
      </c>
      <c r="AV22" s="77" t="str">
        <f t="shared" si="41"/>
        <v>X</v>
      </c>
    </row>
    <row r="23" spans="1:48" x14ac:dyDescent="0.3">
      <c r="A23" s="9" t="s">
        <v>704</v>
      </c>
      <c r="B23" s="10" t="s">
        <v>1306</v>
      </c>
      <c r="C23" s="107">
        <v>1078</v>
      </c>
      <c r="D23" s="104">
        <v>112.2</v>
      </c>
      <c r="E23" s="106">
        <v>34</v>
      </c>
      <c r="F23" s="104">
        <v>85</v>
      </c>
      <c r="G23" s="17">
        <v>26</v>
      </c>
      <c r="H23" s="107">
        <v>134</v>
      </c>
      <c r="I23" s="108">
        <v>38000</v>
      </c>
      <c r="J23" s="108" t="s">
        <v>1281</v>
      </c>
      <c r="K23" s="108"/>
      <c r="L23" s="108"/>
      <c r="M23" s="109">
        <f t="shared" si="23"/>
        <v>38000</v>
      </c>
      <c r="N23" s="4">
        <f t="shared" si="24"/>
        <v>0</v>
      </c>
      <c r="O23" s="105">
        <f t="shared" si="25"/>
        <v>1117.6470588235295</v>
      </c>
      <c r="P23" s="105">
        <f t="shared" si="26"/>
        <v>0</v>
      </c>
      <c r="Q23" s="77">
        <v>3</v>
      </c>
      <c r="R23" s="77">
        <v>2</v>
      </c>
      <c r="S23" s="77" t="s">
        <v>1244</v>
      </c>
      <c r="T23" s="5" t="s">
        <v>712</v>
      </c>
      <c r="U23" s="9"/>
      <c r="W23" s="104">
        <f t="shared" si="27"/>
        <v>112.2</v>
      </c>
      <c r="X23" s="106">
        <f t="shared" si="27"/>
        <v>34</v>
      </c>
      <c r="Y23" s="102">
        <f t="shared" si="28"/>
        <v>134</v>
      </c>
      <c r="Z23" s="109">
        <f t="shared" si="28"/>
        <v>38000</v>
      </c>
      <c r="AA23" s="109">
        <f t="shared" si="29"/>
        <v>0</v>
      </c>
      <c r="AB23" s="109">
        <f t="shared" si="30"/>
        <v>38000</v>
      </c>
      <c r="AC23" s="4">
        <f t="shared" si="30"/>
        <v>0</v>
      </c>
      <c r="AD23" s="105">
        <f t="shared" si="30"/>
        <v>1117.6470588235295</v>
      </c>
      <c r="AE23" s="77" t="str">
        <f t="shared" si="31"/>
        <v>계</v>
      </c>
      <c r="AF23" s="77" t="str">
        <f t="shared" si="32"/>
        <v>3/2</v>
      </c>
      <c r="AH23" s="20" t="str">
        <f t="shared" si="1"/>
        <v>군산미장아이파크</v>
      </c>
      <c r="AI23" s="106">
        <f t="shared" si="0"/>
        <v>34</v>
      </c>
      <c r="AJ23" s="77" t="str">
        <f t="shared" si="33"/>
        <v>A-</v>
      </c>
      <c r="AK23" s="77" t="s">
        <v>13</v>
      </c>
      <c r="AL23" s="77" t="s">
        <v>1242</v>
      </c>
      <c r="AM23" s="77" t="s">
        <v>1243</v>
      </c>
      <c r="AN23" s="77" t="str">
        <f t="shared" si="34"/>
        <v>C</v>
      </c>
      <c r="AO23" s="77" t="str">
        <f t="shared" si="35"/>
        <v>X</v>
      </c>
      <c r="AP23" s="77" t="str">
        <f t="shared" si="36"/>
        <v>O</v>
      </c>
      <c r="AQ23" s="77" t="str">
        <f t="shared" si="37"/>
        <v>O</v>
      </c>
      <c r="AR23" s="77" t="str">
        <f t="shared" si="38"/>
        <v>X</v>
      </c>
      <c r="AS23" s="77" t="s">
        <v>2</v>
      </c>
      <c r="AT23" s="77" t="str">
        <f t="shared" si="39"/>
        <v>O</v>
      </c>
      <c r="AU23" s="77" t="str">
        <f t="shared" si="40"/>
        <v>O</v>
      </c>
      <c r="AV23" s="77" t="str">
        <f t="shared" si="41"/>
        <v>X</v>
      </c>
    </row>
    <row r="24" spans="1:48" x14ac:dyDescent="0.3">
      <c r="A24" s="9" t="s">
        <v>704</v>
      </c>
      <c r="B24" s="10" t="s">
        <v>1306</v>
      </c>
      <c r="C24" s="107">
        <v>1078</v>
      </c>
      <c r="D24" s="104">
        <v>112.6</v>
      </c>
      <c r="E24" s="106">
        <v>34</v>
      </c>
      <c r="F24" s="104">
        <v>85</v>
      </c>
      <c r="G24" s="17">
        <v>26</v>
      </c>
      <c r="H24" s="107">
        <v>54</v>
      </c>
      <c r="I24" s="108">
        <v>37000</v>
      </c>
      <c r="J24" s="108" t="s">
        <v>1287</v>
      </c>
      <c r="K24" s="108"/>
      <c r="L24" s="108"/>
      <c r="M24" s="109">
        <f t="shared" si="23"/>
        <v>37000</v>
      </c>
      <c r="N24" s="4">
        <f t="shared" si="24"/>
        <v>0</v>
      </c>
      <c r="O24" s="105">
        <f t="shared" si="25"/>
        <v>1088.2352941176471</v>
      </c>
      <c r="P24" s="105">
        <f t="shared" si="26"/>
        <v>0</v>
      </c>
      <c r="Q24" s="77">
        <v>3</v>
      </c>
      <c r="R24" s="77">
        <v>2</v>
      </c>
      <c r="S24" s="77" t="s">
        <v>1244</v>
      </c>
      <c r="T24" s="5" t="s">
        <v>429</v>
      </c>
      <c r="U24" s="9"/>
      <c r="W24" s="104">
        <f t="shared" si="27"/>
        <v>112.6</v>
      </c>
      <c r="X24" s="106">
        <f t="shared" si="27"/>
        <v>34</v>
      </c>
      <c r="Y24" s="102">
        <f t="shared" si="28"/>
        <v>54</v>
      </c>
      <c r="Z24" s="109">
        <f t="shared" si="28"/>
        <v>37000</v>
      </c>
      <c r="AA24" s="109">
        <f t="shared" si="29"/>
        <v>0</v>
      </c>
      <c r="AB24" s="109">
        <f t="shared" si="30"/>
        <v>37000</v>
      </c>
      <c r="AC24" s="4">
        <f t="shared" si="30"/>
        <v>0</v>
      </c>
      <c r="AD24" s="105">
        <f t="shared" si="30"/>
        <v>1088.2352941176471</v>
      </c>
      <c r="AE24" s="77" t="str">
        <f t="shared" si="31"/>
        <v>계</v>
      </c>
      <c r="AF24" s="77" t="str">
        <f t="shared" si="32"/>
        <v>3/2</v>
      </c>
      <c r="AH24" s="20" t="str">
        <f t="shared" si="1"/>
        <v>군산미장아이파크</v>
      </c>
      <c r="AI24" s="106">
        <f t="shared" si="0"/>
        <v>34</v>
      </c>
      <c r="AJ24" s="77" t="str">
        <f t="shared" si="33"/>
        <v>A-</v>
      </c>
      <c r="AK24" s="77" t="s">
        <v>13</v>
      </c>
      <c r="AL24" s="77" t="s">
        <v>1242</v>
      </c>
      <c r="AM24" s="77" t="s">
        <v>1243</v>
      </c>
      <c r="AN24" s="77" t="str">
        <f t="shared" si="34"/>
        <v>C</v>
      </c>
      <c r="AO24" s="77" t="str">
        <f t="shared" si="35"/>
        <v>X</v>
      </c>
      <c r="AP24" s="77" t="str">
        <f t="shared" si="36"/>
        <v>O</v>
      </c>
      <c r="AQ24" s="77" t="str">
        <f t="shared" si="37"/>
        <v>O</v>
      </c>
      <c r="AR24" s="77" t="str">
        <f t="shared" si="38"/>
        <v>X</v>
      </c>
      <c r="AS24" s="77" t="s">
        <v>2</v>
      </c>
      <c r="AT24" s="77" t="str">
        <f t="shared" si="39"/>
        <v>O</v>
      </c>
      <c r="AU24" s="77" t="str">
        <f t="shared" si="40"/>
        <v>O</v>
      </c>
      <c r="AV24" s="77" t="str">
        <f t="shared" si="41"/>
        <v>X</v>
      </c>
    </row>
    <row r="25" spans="1:48" x14ac:dyDescent="0.3">
      <c r="A25" s="9" t="s">
        <v>704</v>
      </c>
      <c r="B25" s="10" t="s">
        <v>1306</v>
      </c>
      <c r="C25" s="107">
        <v>1078</v>
      </c>
      <c r="D25" s="104">
        <v>131.69999999999999</v>
      </c>
      <c r="E25" s="106">
        <v>40</v>
      </c>
      <c r="F25" s="104">
        <v>100.4</v>
      </c>
      <c r="G25" s="17">
        <v>30</v>
      </c>
      <c r="H25" s="107">
        <v>74</v>
      </c>
      <c r="I25" s="108"/>
      <c r="J25" s="108"/>
      <c r="K25" s="108">
        <v>35000</v>
      </c>
      <c r="L25" s="108" t="s">
        <v>1256</v>
      </c>
      <c r="M25" s="109">
        <f t="shared" si="23"/>
        <v>-35000</v>
      </c>
      <c r="N25" s="4" t="str">
        <f t="shared" si="24"/>
        <v/>
      </c>
      <c r="O25" s="105">
        <f t="shared" si="25"/>
        <v>0</v>
      </c>
      <c r="P25" s="105">
        <f t="shared" si="26"/>
        <v>875</v>
      </c>
      <c r="Q25" s="77">
        <v>4</v>
      </c>
      <c r="R25" s="77">
        <v>2</v>
      </c>
      <c r="S25" s="77" t="s">
        <v>1244</v>
      </c>
      <c r="T25" s="5">
        <v>131</v>
      </c>
      <c r="U25" s="9"/>
      <c r="W25" s="104">
        <f t="shared" si="27"/>
        <v>131.69999999999999</v>
      </c>
      <c r="X25" s="106">
        <f t="shared" si="27"/>
        <v>40</v>
      </c>
      <c r="Y25" s="102">
        <f t="shared" si="28"/>
        <v>74</v>
      </c>
      <c r="Z25" s="109">
        <f t="shared" si="28"/>
        <v>0</v>
      </c>
      <c r="AA25" s="109">
        <f t="shared" si="29"/>
        <v>35000</v>
      </c>
      <c r="AB25" s="109">
        <f t="shared" si="30"/>
        <v>-35000</v>
      </c>
      <c r="AC25" s="4" t="str">
        <f t="shared" si="30"/>
        <v/>
      </c>
      <c r="AD25" s="105">
        <f t="shared" si="30"/>
        <v>0</v>
      </c>
      <c r="AE25" s="77" t="str">
        <f t="shared" si="31"/>
        <v>계</v>
      </c>
      <c r="AF25" s="77" t="str">
        <f t="shared" si="32"/>
        <v>4/2</v>
      </c>
      <c r="AH25" s="20" t="str">
        <f t="shared" si="1"/>
        <v>군산미장아이파크</v>
      </c>
      <c r="AI25" s="106">
        <f t="shared" si="0"/>
        <v>40</v>
      </c>
      <c r="AJ25" s="77" t="str">
        <f t="shared" si="33"/>
        <v>A-</v>
      </c>
      <c r="AK25" s="77" t="s">
        <v>13</v>
      </c>
      <c r="AL25" s="77" t="s">
        <v>1242</v>
      </c>
      <c r="AM25" s="77" t="s">
        <v>1243</v>
      </c>
      <c r="AN25" s="77" t="str">
        <f t="shared" si="34"/>
        <v>C</v>
      </c>
      <c r="AO25" s="77" t="str">
        <f t="shared" si="35"/>
        <v/>
      </c>
      <c r="AP25" s="77" t="str">
        <f t="shared" si="36"/>
        <v/>
      </c>
      <c r="AQ25" s="77" t="str">
        <f t="shared" si="37"/>
        <v>O</v>
      </c>
      <c r="AR25" s="77" t="str">
        <f t="shared" si="38"/>
        <v>O</v>
      </c>
      <c r="AS25" s="77" t="s">
        <v>2</v>
      </c>
      <c r="AT25" s="77" t="str">
        <f t="shared" si="39"/>
        <v>X</v>
      </c>
      <c r="AU25" s="77" t="str">
        <f t="shared" si="40"/>
        <v>O</v>
      </c>
      <c r="AV25" s="77" t="str">
        <f t="shared" si="41"/>
        <v/>
      </c>
    </row>
    <row r="26" spans="1:48" x14ac:dyDescent="0.3">
      <c r="A26" s="9"/>
      <c r="B26" s="77"/>
      <c r="C26" s="6"/>
      <c r="D26" s="9"/>
      <c r="E26" s="14"/>
      <c r="F26" s="104"/>
      <c r="G26" s="9"/>
      <c r="H26" s="9"/>
      <c r="I26" s="9"/>
      <c r="J26" s="9"/>
      <c r="K26" s="9"/>
      <c r="L26" s="9"/>
      <c r="M26" s="9"/>
      <c r="N26" s="9"/>
      <c r="O26" s="105"/>
      <c r="P26" s="105"/>
      <c r="Q26" s="106"/>
      <c r="R26" s="106"/>
      <c r="S26" s="9"/>
      <c r="T26" s="47"/>
      <c r="U26" s="9"/>
      <c r="W26" s="67" t="str">
        <f>$A$4&amp;" "&amp;A27&amp;"("&amp;B27&amp;","&amp;C27&amp;"^)"</f>
        <v>미장동 미장코아루('07.06.,354^)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3" t="str">
        <f t="shared" si="0"/>
        <v/>
      </c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</row>
    <row r="27" spans="1:48" x14ac:dyDescent="0.3">
      <c r="A27" s="9" t="s">
        <v>713</v>
      </c>
      <c r="B27" s="10" t="s">
        <v>1307</v>
      </c>
      <c r="C27" s="107">
        <v>354</v>
      </c>
      <c r="D27" s="104">
        <v>160.80000000000001</v>
      </c>
      <c r="E27" s="106">
        <v>49</v>
      </c>
      <c r="F27" s="104">
        <v>129.19999999999999</v>
      </c>
      <c r="G27" s="17">
        <v>39</v>
      </c>
      <c r="H27" s="107">
        <v>174</v>
      </c>
      <c r="I27" s="108">
        <v>34000</v>
      </c>
      <c r="J27" s="108" t="s">
        <v>1268</v>
      </c>
      <c r="K27" s="108"/>
      <c r="L27" s="108"/>
      <c r="M27" s="109">
        <f>I27-K27</f>
        <v>34000</v>
      </c>
      <c r="N27" s="4">
        <f>IF(ISERROR(K27/I27),"",K27/I27)</f>
        <v>0</v>
      </c>
      <c r="O27" s="105">
        <f>I27/E27</f>
        <v>693.87755102040819</v>
      </c>
      <c r="P27" s="105">
        <f>K27/E27</f>
        <v>0</v>
      </c>
      <c r="Q27" s="77">
        <v>4</v>
      </c>
      <c r="R27" s="77">
        <v>2</v>
      </c>
      <c r="S27" s="77" t="s">
        <v>1244</v>
      </c>
      <c r="T27" s="5">
        <v>160</v>
      </c>
      <c r="U27" s="9"/>
      <c r="W27" s="104">
        <f t="shared" ref="W27:X29" si="42">D27</f>
        <v>160.80000000000001</v>
      </c>
      <c r="X27" s="106">
        <f t="shared" si="42"/>
        <v>49</v>
      </c>
      <c r="Y27" s="102">
        <f t="shared" ref="Y27:Z29" si="43">H27</f>
        <v>174</v>
      </c>
      <c r="Z27" s="109">
        <f t="shared" si="43"/>
        <v>34000</v>
      </c>
      <c r="AA27" s="109">
        <f>K27</f>
        <v>0</v>
      </c>
      <c r="AB27" s="109">
        <f t="shared" ref="AB27:AD29" si="44">M27</f>
        <v>34000</v>
      </c>
      <c r="AC27" s="4">
        <f t="shared" si="44"/>
        <v>0</v>
      </c>
      <c r="AD27" s="105">
        <f t="shared" si="44"/>
        <v>693.87755102040819</v>
      </c>
      <c r="AE27" s="77" t="str">
        <f>S27</f>
        <v>계</v>
      </c>
      <c r="AF27" s="77" t="str">
        <f>Q27&amp;"/"&amp;R27</f>
        <v>4/2</v>
      </c>
      <c r="AH27" s="20" t="str">
        <f t="shared" si="1"/>
        <v>미장코아루</v>
      </c>
      <c r="AI27" s="106">
        <f t="shared" si="0"/>
        <v>49</v>
      </c>
      <c r="AJ27" s="77" t="str">
        <f>IF(AI27="","",$AJ$2)</f>
        <v>A-</v>
      </c>
      <c r="AK27" s="77" t="s">
        <v>13</v>
      </c>
      <c r="AL27" s="77" t="s">
        <v>1242</v>
      </c>
      <c r="AM27" s="77" t="s">
        <v>1243</v>
      </c>
      <c r="AN27" s="77" t="str">
        <f>IF(AI27="","",$AN$2)</f>
        <v>C</v>
      </c>
      <c r="AO27" s="77" t="str">
        <f>IF(N27="","",IF(N27&gt;=$AO$1/100,"O","X"))</f>
        <v>X</v>
      </c>
      <c r="AP27" s="77" t="str">
        <f>IF(I27="","",IF(I27&lt;=$AP$1,"O","X"))</f>
        <v>O</v>
      </c>
      <c r="AQ27" s="77" t="str">
        <f>IF(O27="","",IF(O27&lt;=$AQ$1,"O","X"))</f>
        <v>O</v>
      </c>
      <c r="AR27" s="77" t="str">
        <f>IF(M27="","",IF(M27&lt;=$AR$1,"O","X"))</f>
        <v>X</v>
      </c>
      <c r="AS27" s="77" t="s">
        <v>2</v>
      </c>
      <c r="AT27" s="77" t="str">
        <f>IF(OR(F27="",AI27=""),"",IF(AND((F27&lt;=85),(AI27&gt;=15)),"O","X"))</f>
        <v>X</v>
      </c>
      <c r="AU27" s="77" t="str">
        <f>IF(C27="","",IF(C27&gt;=$AU$1,"O","X"))</f>
        <v>O</v>
      </c>
      <c r="AV27" s="77" t="str">
        <f>IF(AO27="","",IF(AND(AO27="O",AP27="O",AR27="O",AT27="O",AU27="O"),"후보","X"))</f>
        <v>X</v>
      </c>
    </row>
    <row r="28" spans="1:48" x14ac:dyDescent="0.3">
      <c r="A28" s="9" t="s">
        <v>713</v>
      </c>
      <c r="B28" s="10" t="s">
        <v>1307</v>
      </c>
      <c r="C28" s="107">
        <v>354</v>
      </c>
      <c r="D28" s="104">
        <v>185.7</v>
      </c>
      <c r="E28" s="106">
        <v>56</v>
      </c>
      <c r="F28" s="104">
        <v>152.69999999999999</v>
      </c>
      <c r="G28" s="17">
        <v>46</v>
      </c>
      <c r="H28" s="107">
        <v>120</v>
      </c>
      <c r="I28" s="108"/>
      <c r="J28" s="108"/>
      <c r="K28" s="108"/>
      <c r="L28" s="108"/>
      <c r="M28" s="109">
        <f>I28-K28</f>
        <v>0</v>
      </c>
      <c r="N28" s="4" t="str">
        <f>IF(ISERROR(K28/I28),"",K28/I28)</f>
        <v/>
      </c>
      <c r="O28" s="105">
        <f>I28/E28</f>
        <v>0</v>
      </c>
      <c r="P28" s="105">
        <f>K28/E28</f>
        <v>0</v>
      </c>
      <c r="Q28" s="77">
        <v>4</v>
      </c>
      <c r="R28" s="77">
        <v>2</v>
      </c>
      <c r="S28" s="77" t="s">
        <v>1244</v>
      </c>
      <c r="T28" s="5">
        <v>185</v>
      </c>
      <c r="U28" s="9"/>
      <c r="W28" s="104">
        <f t="shared" si="42"/>
        <v>185.7</v>
      </c>
      <c r="X28" s="106">
        <f t="shared" si="42"/>
        <v>56</v>
      </c>
      <c r="Y28" s="102">
        <f t="shared" si="43"/>
        <v>120</v>
      </c>
      <c r="Z28" s="109">
        <f t="shared" si="43"/>
        <v>0</v>
      </c>
      <c r="AA28" s="109">
        <f>K28</f>
        <v>0</v>
      </c>
      <c r="AB28" s="109">
        <f t="shared" si="44"/>
        <v>0</v>
      </c>
      <c r="AC28" s="4" t="str">
        <f t="shared" si="44"/>
        <v/>
      </c>
      <c r="AD28" s="105">
        <f t="shared" si="44"/>
        <v>0</v>
      </c>
      <c r="AE28" s="77" t="str">
        <f>S28</f>
        <v>계</v>
      </c>
      <c r="AF28" s="77" t="str">
        <f>Q28&amp;"/"&amp;R28</f>
        <v>4/2</v>
      </c>
      <c r="AH28" s="20" t="str">
        <f t="shared" si="1"/>
        <v>미장코아루</v>
      </c>
      <c r="AI28" s="106">
        <f t="shared" si="0"/>
        <v>56</v>
      </c>
      <c r="AJ28" s="77" t="str">
        <f>IF(AI28="","",$AJ$2)</f>
        <v>A-</v>
      </c>
      <c r="AK28" s="77" t="s">
        <v>13</v>
      </c>
      <c r="AL28" s="77" t="s">
        <v>1242</v>
      </c>
      <c r="AM28" s="77" t="s">
        <v>1243</v>
      </c>
      <c r="AN28" s="77" t="str">
        <f>IF(AI28="","",$AN$2)</f>
        <v>C</v>
      </c>
      <c r="AO28" s="77" t="str">
        <f>IF(N28="","",IF(N28&gt;=$AO$1/100,"O","X"))</f>
        <v/>
      </c>
      <c r="AP28" s="77" t="str">
        <f>IF(I28="","",IF(I28&lt;=$AP$1,"O","X"))</f>
        <v/>
      </c>
      <c r="AQ28" s="77" t="str">
        <f>IF(O28="","",IF(O28&lt;=$AQ$1,"O","X"))</f>
        <v>O</v>
      </c>
      <c r="AR28" s="77" t="str">
        <f>IF(M28="","",IF(M28&lt;=$AR$1,"O","X"))</f>
        <v>O</v>
      </c>
      <c r="AS28" s="77" t="s">
        <v>2</v>
      </c>
      <c r="AT28" s="77" t="str">
        <f>IF(OR(F28="",AI28=""),"",IF(AND((F28&lt;=85),(AI28&gt;=15)),"O","X"))</f>
        <v>X</v>
      </c>
      <c r="AU28" s="77" t="str">
        <f>IF(C28="","",IF(C28&gt;=$AU$1,"O","X"))</f>
        <v>O</v>
      </c>
      <c r="AV28" s="77" t="str">
        <f>IF(AO28="","",IF(AND(AO28="O",AP28="O",AR28="O",AT28="O",AU28="O"),"후보","X"))</f>
        <v/>
      </c>
    </row>
    <row r="29" spans="1:48" x14ac:dyDescent="0.3">
      <c r="A29" s="9" t="s">
        <v>713</v>
      </c>
      <c r="B29" s="10" t="s">
        <v>1307</v>
      </c>
      <c r="C29" s="107">
        <v>354</v>
      </c>
      <c r="D29" s="104">
        <v>215.8</v>
      </c>
      <c r="E29" s="106">
        <v>65</v>
      </c>
      <c r="F29" s="104">
        <v>181.1</v>
      </c>
      <c r="G29" s="17">
        <v>55</v>
      </c>
      <c r="H29" s="107">
        <v>60</v>
      </c>
      <c r="I29" s="108">
        <v>56000</v>
      </c>
      <c r="J29" s="108" t="s">
        <v>1268</v>
      </c>
      <c r="K29" s="108"/>
      <c r="L29" s="108"/>
      <c r="M29" s="109">
        <f>I29-K29</f>
        <v>56000</v>
      </c>
      <c r="N29" s="4">
        <f>IF(ISERROR(K29/I29),"",K29/I29)</f>
        <v>0</v>
      </c>
      <c r="O29" s="105">
        <f>I29/E29</f>
        <v>861.53846153846155</v>
      </c>
      <c r="P29" s="105">
        <f>K29/E29</f>
        <v>0</v>
      </c>
      <c r="Q29" s="77">
        <v>5</v>
      </c>
      <c r="R29" s="77">
        <v>2</v>
      </c>
      <c r="S29" s="77" t="s">
        <v>1244</v>
      </c>
      <c r="T29" s="5">
        <v>215</v>
      </c>
      <c r="U29" s="9"/>
      <c r="W29" s="104">
        <f t="shared" si="42"/>
        <v>215.8</v>
      </c>
      <c r="X29" s="106">
        <f t="shared" si="42"/>
        <v>65</v>
      </c>
      <c r="Y29" s="102">
        <f t="shared" si="43"/>
        <v>60</v>
      </c>
      <c r="Z29" s="109">
        <f t="shared" si="43"/>
        <v>56000</v>
      </c>
      <c r="AA29" s="109">
        <f>K29</f>
        <v>0</v>
      </c>
      <c r="AB29" s="109">
        <f t="shared" si="44"/>
        <v>56000</v>
      </c>
      <c r="AC29" s="4">
        <f t="shared" si="44"/>
        <v>0</v>
      </c>
      <c r="AD29" s="105">
        <f t="shared" si="44"/>
        <v>861.53846153846155</v>
      </c>
      <c r="AE29" s="77" t="str">
        <f>S29</f>
        <v>계</v>
      </c>
      <c r="AF29" s="77" t="str">
        <f>Q29&amp;"/"&amp;R29</f>
        <v>5/2</v>
      </c>
      <c r="AH29" s="20" t="str">
        <f t="shared" si="1"/>
        <v>미장코아루</v>
      </c>
      <c r="AI29" s="106">
        <f t="shared" si="0"/>
        <v>65</v>
      </c>
      <c r="AJ29" s="77" t="str">
        <f>IF(AI29="","",$AJ$2)</f>
        <v>A-</v>
      </c>
      <c r="AK29" s="77" t="s">
        <v>13</v>
      </c>
      <c r="AL29" s="77" t="s">
        <v>1242</v>
      </c>
      <c r="AM29" s="77" t="s">
        <v>1243</v>
      </c>
      <c r="AN29" s="77" t="str">
        <f>IF(AI29="","",$AN$2)</f>
        <v>C</v>
      </c>
      <c r="AO29" s="77" t="str">
        <f>IF(N29="","",IF(N29&gt;=$AO$1/100,"O","X"))</f>
        <v>X</v>
      </c>
      <c r="AP29" s="77" t="str">
        <f>IF(I29="","",IF(I29&lt;=$AP$1,"O","X"))</f>
        <v>X</v>
      </c>
      <c r="AQ29" s="77" t="str">
        <f>IF(O29="","",IF(O29&lt;=$AQ$1,"O","X"))</f>
        <v>O</v>
      </c>
      <c r="AR29" s="77" t="str">
        <f>IF(M29="","",IF(M29&lt;=$AR$1,"O","X"))</f>
        <v>X</v>
      </c>
      <c r="AS29" s="77" t="s">
        <v>2</v>
      </c>
      <c r="AT29" s="77" t="str">
        <f>IF(OR(F29="",AI29=""),"",IF(AND((F29&lt;=85),(AI29&gt;=15)),"O","X"))</f>
        <v>X</v>
      </c>
      <c r="AU29" s="77" t="str">
        <f>IF(C29="","",IF(C29&gt;=$AU$1,"O","X"))</f>
        <v>O</v>
      </c>
      <c r="AV29" s="77" t="str">
        <f>IF(AO29="","",IF(AND(AO29="O",AP29="O",AR29="O",AT29="O",AU29="O"),"후보","X"))</f>
        <v>X</v>
      </c>
    </row>
    <row r="30" spans="1:48" x14ac:dyDescent="0.3">
      <c r="A30" s="9"/>
      <c r="B30" s="77"/>
      <c r="C30" s="6"/>
      <c r="D30" s="9"/>
      <c r="E30" s="14"/>
      <c r="F30" s="104"/>
      <c r="G30" s="9"/>
      <c r="H30" s="9"/>
      <c r="I30" s="9"/>
      <c r="J30" s="9"/>
      <c r="K30" s="9"/>
      <c r="L30" s="9"/>
      <c r="M30" s="9"/>
      <c r="N30" s="9"/>
      <c r="O30" s="105"/>
      <c r="P30" s="105"/>
      <c r="Q30" s="106"/>
      <c r="R30" s="106"/>
      <c r="S30" s="9"/>
      <c r="T30" s="47"/>
      <c r="U30" s="9"/>
      <c r="W30" s="67" t="str">
        <f>$A$4&amp;" "&amp;A31&amp;"("&amp;B31&amp;","&amp;C31&amp;"^)"</f>
        <v>미장동 수송공원삼성쉐르빌('09.12.,654^)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3" t="str">
        <f t="shared" si="0"/>
        <v/>
      </c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</row>
    <row r="31" spans="1:48" x14ac:dyDescent="0.3">
      <c r="A31" s="9" t="s">
        <v>725</v>
      </c>
      <c r="B31" s="10" t="s">
        <v>1308</v>
      </c>
      <c r="C31" s="107">
        <v>654</v>
      </c>
      <c r="D31" s="104">
        <v>113</v>
      </c>
      <c r="E31" s="106">
        <v>34</v>
      </c>
      <c r="F31" s="104">
        <v>84.4</v>
      </c>
      <c r="G31" s="17">
        <v>26</v>
      </c>
      <c r="H31" s="107">
        <v>205</v>
      </c>
      <c r="I31" s="108">
        <v>31000</v>
      </c>
      <c r="J31" s="108" t="s">
        <v>1287</v>
      </c>
      <c r="K31" s="108">
        <v>24000</v>
      </c>
      <c r="L31" s="108" t="s">
        <v>1245</v>
      </c>
      <c r="M31" s="109">
        <f t="shared" ref="M31:M37" si="45">I31-K31</f>
        <v>7000</v>
      </c>
      <c r="N31" s="4">
        <f t="shared" ref="N31:N37" si="46">IF(ISERROR(K31/I31),"",K31/I31)</f>
        <v>0.77419354838709675</v>
      </c>
      <c r="O31" s="105">
        <f t="shared" ref="O31:O37" si="47">I31/E31</f>
        <v>911.76470588235293</v>
      </c>
      <c r="P31" s="105">
        <f t="shared" ref="P31:P37" si="48">K31/E31</f>
        <v>705.88235294117646</v>
      </c>
      <c r="Q31" s="77">
        <v>3</v>
      </c>
      <c r="R31" s="77">
        <v>2</v>
      </c>
      <c r="S31" s="77" t="s">
        <v>1244</v>
      </c>
      <c r="T31" s="5" t="s">
        <v>727</v>
      </c>
      <c r="U31" s="9"/>
      <c r="W31" s="104">
        <f t="shared" ref="W31:X37" si="49">D31</f>
        <v>113</v>
      </c>
      <c r="X31" s="106">
        <f t="shared" si="49"/>
        <v>34</v>
      </c>
      <c r="Y31" s="102">
        <f t="shared" ref="Y31:Z37" si="50">H31</f>
        <v>205</v>
      </c>
      <c r="Z31" s="109">
        <f t="shared" si="50"/>
        <v>31000</v>
      </c>
      <c r="AA31" s="109">
        <f t="shared" ref="AA31:AA37" si="51">K31</f>
        <v>24000</v>
      </c>
      <c r="AB31" s="109">
        <f t="shared" ref="AB31:AD37" si="52">M31</f>
        <v>7000</v>
      </c>
      <c r="AC31" s="4">
        <f t="shared" si="52"/>
        <v>0.77419354838709675</v>
      </c>
      <c r="AD31" s="105">
        <f t="shared" si="52"/>
        <v>911.76470588235293</v>
      </c>
      <c r="AE31" s="77" t="str">
        <f t="shared" ref="AE31:AE37" si="53">S31</f>
        <v>계</v>
      </c>
      <c r="AF31" s="77" t="str">
        <f t="shared" ref="AF31:AF37" si="54">Q31&amp;"/"&amp;R31</f>
        <v>3/2</v>
      </c>
      <c r="AH31" s="20" t="str">
        <f t="shared" si="1"/>
        <v>수송공원삼성쉐르빌</v>
      </c>
      <c r="AI31" s="106">
        <f t="shared" si="0"/>
        <v>34</v>
      </c>
      <c r="AJ31" s="77" t="str">
        <f t="shared" ref="AJ31:AJ37" si="55">IF(AI31="","",$AJ$2)</f>
        <v>A-</v>
      </c>
      <c r="AK31" s="77" t="s">
        <v>13</v>
      </c>
      <c r="AL31" s="77" t="s">
        <v>1242</v>
      </c>
      <c r="AM31" s="77" t="s">
        <v>1243</v>
      </c>
      <c r="AN31" s="77" t="str">
        <f t="shared" ref="AN31:AN37" si="56">IF(AI31="","",$AN$2)</f>
        <v>C</v>
      </c>
      <c r="AO31" s="77" t="str">
        <f t="shared" ref="AO31:AO37" si="57">IF(N31="","",IF(N31&gt;=$AO$1/100,"O","X"))</f>
        <v>X</v>
      </c>
      <c r="AP31" s="77" t="str">
        <f t="shared" ref="AP31:AP37" si="58">IF(I31="","",IF(I31&lt;=$AP$1,"O","X"))</f>
        <v>O</v>
      </c>
      <c r="AQ31" s="77" t="str">
        <f t="shared" ref="AQ31:AQ37" si="59">IF(O31="","",IF(O31&lt;=$AQ$1,"O","X"))</f>
        <v>O</v>
      </c>
      <c r="AR31" s="77" t="str">
        <f t="shared" ref="AR31:AR37" si="60">IF(M31="","",IF(M31&lt;=$AR$1,"O","X"))</f>
        <v>X</v>
      </c>
      <c r="AS31" s="77" t="s">
        <v>2</v>
      </c>
      <c r="AT31" s="77" t="str">
        <f t="shared" ref="AT31:AT37" si="61">IF(OR(F31="",AI31=""),"",IF(AND((F31&lt;=85),(AI31&gt;=15)),"O","X"))</f>
        <v>O</v>
      </c>
      <c r="AU31" s="77" t="str">
        <f t="shared" ref="AU31:AU37" si="62">IF(C31="","",IF(C31&gt;=$AU$1,"O","X"))</f>
        <v>O</v>
      </c>
      <c r="AV31" s="77" t="str">
        <f t="shared" ref="AV31:AV37" si="63">IF(AO31="","",IF(AND(AO31="O",AP31="O",AR31="O",AT31="O",AU31="O"),"후보","X"))</f>
        <v>X</v>
      </c>
    </row>
    <row r="32" spans="1:48" x14ac:dyDescent="0.3">
      <c r="A32" s="9" t="s">
        <v>725</v>
      </c>
      <c r="B32" s="10" t="s">
        <v>1308</v>
      </c>
      <c r="C32" s="107">
        <v>654</v>
      </c>
      <c r="D32" s="104">
        <v>115.3</v>
      </c>
      <c r="E32" s="106">
        <v>35</v>
      </c>
      <c r="F32" s="104">
        <v>84.9</v>
      </c>
      <c r="G32" s="17">
        <v>26</v>
      </c>
      <c r="H32" s="107">
        <v>60</v>
      </c>
      <c r="I32" s="108">
        <v>27500</v>
      </c>
      <c r="J32" s="108" t="s">
        <v>1272</v>
      </c>
      <c r="K32" s="108"/>
      <c r="L32" s="108"/>
      <c r="M32" s="109">
        <f t="shared" si="45"/>
        <v>27500</v>
      </c>
      <c r="N32" s="4">
        <f t="shared" si="46"/>
        <v>0</v>
      </c>
      <c r="O32" s="105">
        <f t="shared" si="47"/>
        <v>785.71428571428567</v>
      </c>
      <c r="P32" s="105">
        <f t="shared" si="48"/>
        <v>0</v>
      </c>
      <c r="Q32" s="77">
        <v>3</v>
      </c>
      <c r="R32" s="77">
        <v>2</v>
      </c>
      <c r="S32" s="77" t="s">
        <v>1244</v>
      </c>
      <c r="T32" s="5" t="s">
        <v>544</v>
      </c>
      <c r="U32" s="9"/>
      <c r="W32" s="104">
        <f t="shared" si="49"/>
        <v>115.3</v>
      </c>
      <c r="X32" s="106">
        <f t="shared" si="49"/>
        <v>35</v>
      </c>
      <c r="Y32" s="102">
        <f t="shared" si="50"/>
        <v>60</v>
      </c>
      <c r="Z32" s="109">
        <f t="shared" si="50"/>
        <v>27500</v>
      </c>
      <c r="AA32" s="109">
        <f t="shared" si="51"/>
        <v>0</v>
      </c>
      <c r="AB32" s="109">
        <f t="shared" si="52"/>
        <v>27500</v>
      </c>
      <c r="AC32" s="4">
        <f t="shared" si="52"/>
        <v>0</v>
      </c>
      <c r="AD32" s="105">
        <f t="shared" si="52"/>
        <v>785.71428571428567</v>
      </c>
      <c r="AE32" s="77" t="str">
        <f t="shared" si="53"/>
        <v>계</v>
      </c>
      <c r="AF32" s="77" t="str">
        <f t="shared" si="54"/>
        <v>3/2</v>
      </c>
      <c r="AH32" s="20" t="str">
        <f t="shared" si="1"/>
        <v>수송공원삼성쉐르빌</v>
      </c>
      <c r="AI32" s="106">
        <f t="shared" si="0"/>
        <v>35</v>
      </c>
      <c r="AJ32" s="77" t="str">
        <f t="shared" si="55"/>
        <v>A-</v>
      </c>
      <c r="AK32" s="77" t="s">
        <v>13</v>
      </c>
      <c r="AL32" s="77" t="s">
        <v>1242</v>
      </c>
      <c r="AM32" s="77" t="s">
        <v>1243</v>
      </c>
      <c r="AN32" s="77" t="str">
        <f t="shared" si="56"/>
        <v>C</v>
      </c>
      <c r="AO32" s="77" t="str">
        <f t="shared" si="57"/>
        <v>X</v>
      </c>
      <c r="AP32" s="77" t="str">
        <f t="shared" si="58"/>
        <v>O</v>
      </c>
      <c r="AQ32" s="77" t="str">
        <f t="shared" si="59"/>
        <v>O</v>
      </c>
      <c r="AR32" s="77" t="str">
        <f t="shared" si="60"/>
        <v>X</v>
      </c>
      <c r="AS32" s="77" t="s">
        <v>2</v>
      </c>
      <c r="AT32" s="77" t="str">
        <f t="shared" si="61"/>
        <v>O</v>
      </c>
      <c r="AU32" s="77" t="str">
        <f t="shared" si="62"/>
        <v>O</v>
      </c>
      <c r="AV32" s="77" t="str">
        <f t="shared" si="63"/>
        <v>X</v>
      </c>
    </row>
    <row r="33" spans="1:48" x14ac:dyDescent="0.3">
      <c r="A33" s="9" t="s">
        <v>725</v>
      </c>
      <c r="B33" s="10" t="s">
        <v>1308</v>
      </c>
      <c r="C33" s="107">
        <v>654</v>
      </c>
      <c r="D33" s="104">
        <v>135.30000000000001</v>
      </c>
      <c r="E33" s="106">
        <v>41</v>
      </c>
      <c r="F33" s="104">
        <v>103.8</v>
      </c>
      <c r="G33" s="17">
        <v>31</v>
      </c>
      <c r="H33" s="107">
        <v>163</v>
      </c>
      <c r="I33" s="108">
        <v>37000</v>
      </c>
      <c r="J33" s="108" t="s">
        <v>1256</v>
      </c>
      <c r="K33" s="108">
        <v>31000</v>
      </c>
      <c r="L33" s="108" t="s">
        <v>1250</v>
      </c>
      <c r="M33" s="109">
        <f t="shared" si="45"/>
        <v>6000</v>
      </c>
      <c r="N33" s="4">
        <f t="shared" si="46"/>
        <v>0.83783783783783783</v>
      </c>
      <c r="O33" s="105">
        <f t="shared" si="47"/>
        <v>902.43902439024396</v>
      </c>
      <c r="P33" s="105">
        <f t="shared" si="48"/>
        <v>756.09756097560978</v>
      </c>
      <c r="Q33" s="77">
        <v>3</v>
      </c>
      <c r="R33" s="77">
        <v>2</v>
      </c>
      <c r="S33" s="77" t="s">
        <v>1244</v>
      </c>
      <c r="T33" s="5" t="s">
        <v>731</v>
      </c>
      <c r="U33" s="9"/>
      <c r="W33" s="104">
        <f t="shared" si="49"/>
        <v>135.30000000000001</v>
      </c>
      <c r="X33" s="106">
        <f t="shared" si="49"/>
        <v>41</v>
      </c>
      <c r="Y33" s="102">
        <f t="shared" si="50"/>
        <v>163</v>
      </c>
      <c r="Z33" s="109">
        <f t="shared" si="50"/>
        <v>37000</v>
      </c>
      <c r="AA33" s="109">
        <f t="shared" si="51"/>
        <v>31000</v>
      </c>
      <c r="AB33" s="109">
        <f t="shared" si="52"/>
        <v>6000</v>
      </c>
      <c r="AC33" s="4">
        <f t="shared" si="52"/>
        <v>0.83783783783783783</v>
      </c>
      <c r="AD33" s="105">
        <f t="shared" si="52"/>
        <v>902.43902439024396</v>
      </c>
      <c r="AE33" s="77" t="str">
        <f t="shared" si="53"/>
        <v>계</v>
      </c>
      <c r="AF33" s="77" t="str">
        <f t="shared" si="54"/>
        <v>3/2</v>
      </c>
      <c r="AH33" s="20" t="str">
        <f t="shared" si="1"/>
        <v>수송공원삼성쉐르빌</v>
      </c>
      <c r="AI33" s="106">
        <f t="shared" si="0"/>
        <v>41</v>
      </c>
      <c r="AJ33" s="77" t="str">
        <f t="shared" si="55"/>
        <v>A-</v>
      </c>
      <c r="AK33" s="77" t="s">
        <v>13</v>
      </c>
      <c r="AL33" s="77" t="s">
        <v>1242</v>
      </c>
      <c r="AM33" s="77" t="s">
        <v>1243</v>
      </c>
      <c r="AN33" s="77" t="str">
        <f t="shared" si="56"/>
        <v>C</v>
      </c>
      <c r="AO33" s="77" t="str">
        <f t="shared" si="57"/>
        <v>O</v>
      </c>
      <c r="AP33" s="77" t="str">
        <f t="shared" si="58"/>
        <v>O</v>
      </c>
      <c r="AQ33" s="77" t="str">
        <f t="shared" si="59"/>
        <v>O</v>
      </c>
      <c r="AR33" s="77" t="str">
        <f t="shared" si="60"/>
        <v>X</v>
      </c>
      <c r="AS33" s="77" t="s">
        <v>2</v>
      </c>
      <c r="AT33" s="77" t="str">
        <f t="shared" si="61"/>
        <v>X</v>
      </c>
      <c r="AU33" s="77" t="str">
        <f t="shared" si="62"/>
        <v>O</v>
      </c>
      <c r="AV33" s="77" t="str">
        <f t="shared" si="63"/>
        <v>X</v>
      </c>
    </row>
    <row r="34" spans="1:48" x14ac:dyDescent="0.3">
      <c r="A34" s="9" t="s">
        <v>725</v>
      </c>
      <c r="B34" s="10" t="s">
        <v>1308</v>
      </c>
      <c r="C34" s="107">
        <v>654</v>
      </c>
      <c r="D34" s="104">
        <v>135.19999999999999</v>
      </c>
      <c r="E34" s="106">
        <v>41</v>
      </c>
      <c r="F34" s="104">
        <v>104.2</v>
      </c>
      <c r="G34" s="17">
        <v>32</v>
      </c>
      <c r="H34" s="107">
        <v>113</v>
      </c>
      <c r="I34" s="108">
        <v>37500</v>
      </c>
      <c r="J34" s="108" t="s">
        <v>1272</v>
      </c>
      <c r="K34" s="108">
        <v>32000</v>
      </c>
      <c r="L34" s="108" t="s">
        <v>1250</v>
      </c>
      <c r="M34" s="109">
        <f t="shared" si="45"/>
        <v>5500</v>
      </c>
      <c r="N34" s="4">
        <f t="shared" si="46"/>
        <v>0.85333333333333339</v>
      </c>
      <c r="O34" s="105">
        <f t="shared" si="47"/>
        <v>914.63414634146341</v>
      </c>
      <c r="P34" s="105">
        <f t="shared" si="48"/>
        <v>780.48780487804879</v>
      </c>
      <c r="Q34" s="77">
        <v>3</v>
      </c>
      <c r="R34" s="77">
        <v>2</v>
      </c>
      <c r="S34" s="77" t="s">
        <v>1244</v>
      </c>
      <c r="T34" s="5" t="s">
        <v>732</v>
      </c>
      <c r="U34" s="9"/>
      <c r="W34" s="104">
        <f t="shared" si="49"/>
        <v>135.19999999999999</v>
      </c>
      <c r="X34" s="106">
        <f t="shared" si="49"/>
        <v>41</v>
      </c>
      <c r="Y34" s="102">
        <f t="shared" si="50"/>
        <v>113</v>
      </c>
      <c r="Z34" s="109">
        <f t="shared" si="50"/>
        <v>37500</v>
      </c>
      <c r="AA34" s="109">
        <f t="shared" si="51"/>
        <v>32000</v>
      </c>
      <c r="AB34" s="109">
        <f t="shared" si="52"/>
        <v>5500</v>
      </c>
      <c r="AC34" s="4">
        <f t="shared" si="52"/>
        <v>0.85333333333333339</v>
      </c>
      <c r="AD34" s="105">
        <f t="shared" si="52"/>
        <v>914.63414634146341</v>
      </c>
      <c r="AE34" s="77" t="str">
        <f t="shared" si="53"/>
        <v>계</v>
      </c>
      <c r="AF34" s="77" t="str">
        <f t="shared" si="54"/>
        <v>3/2</v>
      </c>
      <c r="AH34" s="20" t="str">
        <f t="shared" si="1"/>
        <v>수송공원삼성쉐르빌</v>
      </c>
      <c r="AI34" s="106">
        <f t="shared" si="0"/>
        <v>41</v>
      </c>
      <c r="AJ34" s="77" t="str">
        <f t="shared" si="55"/>
        <v>A-</v>
      </c>
      <c r="AK34" s="77" t="s">
        <v>13</v>
      </c>
      <c r="AL34" s="77" t="s">
        <v>1242</v>
      </c>
      <c r="AM34" s="77" t="s">
        <v>1243</v>
      </c>
      <c r="AN34" s="77" t="str">
        <f t="shared" si="56"/>
        <v>C</v>
      </c>
      <c r="AO34" s="77" t="str">
        <f t="shared" si="57"/>
        <v>O</v>
      </c>
      <c r="AP34" s="77" t="str">
        <f t="shared" si="58"/>
        <v>O</v>
      </c>
      <c r="AQ34" s="77" t="str">
        <f t="shared" si="59"/>
        <v>O</v>
      </c>
      <c r="AR34" s="77" t="str">
        <f t="shared" si="60"/>
        <v>X</v>
      </c>
      <c r="AS34" s="77" t="s">
        <v>2</v>
      </c>
      <c r="AT34" s="77" t="str">
        <f t="shared" si="61"/>
        <v>X</v>
      </c>
      <c r="AU34" s="77" t="str">
        <f t="shared" si="62"/>
        <v>O</v>
      </c>
      <c r="AV34" s="77" t="str">
        <f t="shared" si="63"/>
        <v>X</v>
      </c>
    </row>
    <row r="35" spans="1:48" x14ac:dyDescent="0.3">
      <c r="A35" s="9" t="s">
        <v>725</v>
      </c>
      <c r="B35" s="10" t="s">
        <v>1308</v>
      </c>
      <c r="C35" s="107">
        <v>654</v>
      </c>
      <c r="D35" s="104">
        <v>152</v>
      </c>
      <c r="E35" s="106">
        <v>46</v>
      </c>
      <c r="F35" s="104">
        <v>121.3</v>
      </c>
      <c r="G35" s="17">
        <v>37</v>
      </c>
      <c r="H35" s="107">
        <v>52</v>
      </c>
      <c r="I35" s="108">
        <v>38500</v>
      </c>
      <c r="J35" s="108" t="s">
        <v>1251</v>
      </c>
      <c r="K35" s="108"/>
      <c r="L35" s="108"/>
      <c r="M35" s="109">
        <f t="shared" si="45"/>
        <v>38500</v>
      </c>
      <c r="N35" s="4">
        <f t="shared" si="46"/>
        <v>0</v>
      </c>
      <c r="O35" s="105">
        <f t="shared" si="47"/>
        <v>836.95652173913038</v>
      </c>
      <c r="P35" s="105">
        <f t="shared" si="48"/>
        <v>0</v>
      </c>
      <c r="Q35" s="77">
        <v>4</v>
      </c>
      <c r="R35" s="77">
        <v>2</v>
      </c>
      <c r="S35" s="77" t="s">
        <v>1244</v>
      </c>
      <c r="T35" s="5">
        <v>151</v>
      </c>
      <c r="U35" s="9"/>
      <c r="W35" s="104">
        <f t="shared" si="49"/>
        <v>152</v>
      </c>
      <c r="X35" s="106">
        <f t="shared" si="49"/>
        <v>46</v>
      </c>
      <c r="Y35" s="102">
        <f t="shared" si="50"/>
        <v>52</v>
      </c>
      <c r="Z35" s="109">
        <f t="shared" si="50"/>
        <v>38500</v>
      </c>
      <c r="AA35" s="109">
        <f t="shared" si="51"/>
        <v>0</v>
      </c>
      <c r="AB35" s="109">
        <f t="shared" si="52"/>
        <v>38500</v>
      </c>
      <c r="AC35" s="4">
        <f t="shared" si="52"/>
        <v>0</v>
      </c>
      <c r="AD35" s="105">
        <f t="shared" si="52"/>
        <v>836.95652173913038</v>
      </c>
      <c r="AE35" s="77" t="str">
        <f t="shared" si="53"/>
        <v>계</v>
      </c>
      <c r="AF35" s="77" t="str">
        <f t="shared" si="54"/>
        <v>4/2</v>
      </c>
      <c r="AH35" s="20" t="str">
        <f t="shared" si="1"/>
        <v>수송공원삼성쉐르빌</v>
      </c>
      <c r="AI35" s="106">
        <f t="shared" si="0"/>
        <v>46</v>
      </c>
      <c r="AJ35" s="77" t="str">
        <f t="shared" si="55"/>
        <v>A-</v>
      </c>
      <c r="AK35" s="77" t="s">
        <v>13</v>
      </c>
      <c r="AL35" s="77" t="s">
        <v>1242</v>
      </c>
      <c r="AM35" s="77" t="s">
        <v>1243</v>
      </c>
      <c r="AN35" s="77" t="str">
        <f t="shared" si="56"/>
        <v>C</v>
      </c>
      <c r="AO35" s="77" t="str">
        <f t="shared" si="57"/>
        <v>X</v>
      </c>
      <c r="AP35" s="77" t="str">
        <f t="shared" si="58"/>
        <v>O</v>
      </c>
      <c r="AQ35" s="77" t="str">
        <f t="shared" si="59"/>
        <v>O</v>
      </c>
      <c r="AR35" s="77" t="str">
        <f t="shared" si="60"/>
        <v>X</v>
      </c>
      <c r="AS35" s="77" t="s">
        <v>2</v>
      </c>
      <c r="AT35" s="77" t="str">
        <f t="shared" si="61"/>
        <v>X</v>
      </c>
      <c r="AU35" s="77" t="str">
        <f t="shared" si="62"/>
        <v>O</v>
      </c>
      <c r="AV35" s="77" t="str">
        <f t="shared" si="63"/>
        <v>X</v>
      </c>
    </row>
    <row r="36" spans="1:48" x14ac:dyDescent="0.3">
      <c r="A36" s="9" t="s">
        <v>725</v>
      </c>
      <c r="B36" s="10" t="s">
        <v>1308</v>
      </c>
      <c r="C36" s="107">
        <v>654</v>
      </c>
      <c r="D36" s="104">
        <v>181.8</v>
      </c>
      <c r="E36" s="106">
        <v>55</v>
      </c>
      <c r="F36" s="104">
        <v>149.9</v>
      </c>
      <c r="G36" s="17">
        <v>45</v>
      </c>
      <c r="H36" s="107">
        <v>57</v>
      </c>
      <c r="I36" s="108">
        <v>45000</v>
      </c>
      <c r="J36" s="108" t="s">
        <v>1251</v>
      </c>
      <c r="K36" s="108"/>
      <c r="L36" s="108"/>
      <c r="M36" s="109">
        <f t="shared" si="45"/>
        <v>45000</v>
      </c>
      <c r="N36" s="4">
        <f t="shared" si="46"/>
        <v>0</v>
      </c>
      <c r="O36" s="105">
        <f t="shared" si="47"/>
        <v>818.18181818181813</v>
      </c>
      <c r="P36" s="105">
        <f t="shared" si="48"/>
        <v>0</v>
      </c>
      <c r="Q36" s="77">
        <v>4</v>
      </c>
      <c r="R36" s="77">
        <v>2</v>
      </c>
      <c r="S36" s="77" t="s">
        <v>1244</v>
      </c>
      <c r="T36" s="5">
        <v>181</v>
      </c>
      <c r="U36" s="9"/>
      <c r="W36" s="104">
        <f t="shared" si="49"/>
        <v>181.8</v>
      </c>
      <c r="X36" s="106">
        <f t="shared" si="49"/>
        <v>55</v>
      </c>
      <c r="Y36" s="102">
        <f t="shared" si="50"/>
        <v>57</v>
      </c>
      <c r="Z36" s="109">
        <f t="shared" si="50"/>
        <v>45000</v>
      </c>
      <c r="AA36" s="109">
        <f t="shared" si="51"/>
        <v>0</v>
      </c>
      <c r="AB36" s="109">
        <f t="shared" si="52"/>
        <v>45000</v>
      </c>
      <c r="AC36" s="4">
        <f t="shared" si="52"/>
        <v>0</v>
      </c>
      <c r="AD36" s="105">
        <f t="shared" si="52"/>
        <v>818.18181818181813</v>
      </c>
      <c r="AE36" s="77" t="str">
        <f t="shared" si="53"/>
        <v>계</v>
      </c>
      <c r="AF36" s="77" t="str">
        <f t="shared" si="54"/>
        <v>4/2</v>
      </c>
      <c r="AH36" s="20" t="str">
        <f t="shared" si="1"/>
        <v>수송공원삼성쉐르빌</v>
      </c>
      <c r="AI36" s="106">
        <f t="shared" si="0"/>
        <v>55</v>
      </c>
      <c r="AJ36" s="77" t="str">
        <f t="shared" si="55"/>
        <v>A-</v>
      </c>
      <c r="AK36" s="77" t="s">
        <v>13</v>
      </c>
      <c r="AL36" s="77" t="s">
        <v>1242</v>
      </c>
      <c r="AM36" s="77" t="s">
        <v>1243</v>
      </c>
      <c r="AN36" s="77" t="str">
        <f t="shared" si="56"/>
        <v>C</v>
      </c>
      <c r="AO36" s="77" t="str">
        <f t="shared" si="57"/>
        <v>X</v>
      </c>
      <c r="AP36" s="77" t="str">
        <f t="shared" si="58"/>
        <v>O</v>
      </c>
      <c r="AQ36" s="77" t="str">
        <f t="shared" si="59"/>
        <v>O</v>
      </c>
      <c r="AR36" s="77" t="str">
        <f t="shared" si="60"/>
        <v>X</v>
      </c>
      <c r="AS36" s="77" t="s">
        <v>2</v>
      </c>
      <c r="AT36" s="77" t="str">
        <f t="shared" si="61"/>
        <v>X</v>
      </c>
      <c r="AU36" s="77" t="str">
        <f t="shared" si="62"/>
        <v>O</v>
      </c>
      <c r="AV36" s="77" t="str">
        <f t="shared" si="63"/>
        <v>X</v>
      </c>
    </row>
    <row r="37" spans="1:48" x14ac:dyDescent="0.3">
      <c r="A37" s="9" t="s">
        <v>725</v>
      </c>
      <c r="B37" s="10" t="s">
        <v>1308</v>
      </c>
      <c r="C37" s="107">
        <v>654</v>
      </c>
      <c r="D37" s="104">
        <v>209.2</v>
      </c>
      <c r="E37" s="106">
        <v>63</v>
      </c>
      <c r="F37" s="104">
        <v>160.1</v>
      </c>
      <c r="G37" s="17">
        <v>48</v>
      </c>
      <c r="H37" s="107">
        <v>4</v>
      </c>
      <c r="I37" s="108"/>
      <c r="J37" s="108"/>
      <c r="K37" s="108"/>
      <c r="L37" s="108"/>
      <c r="M37" s="109">
        <f t="shared" si="45"/>
        <v>0</v>
      </c>
      <c r="N37" s="4" t="str">
        <f t="shared" si="46"/>
        <v/>
      </c>
      <c r="O37" s="105">
        <f t="shared" si="47"/>
        <v>0</v>
      </c>
      <c r="P37" s="105">
        <f t="shared" si="48"/>
        <v>0</v>
      </c>
      <c r="Q37" s="77">
        <v>5</v>
      </c>
      <c r="R37" s="77">
        <v>2</v>
      </c>
      <c r="S37" s="77" t="s">
        <v>1244</v>
      </c>
      <c r="T37" s="5">
        <v>209</v>
      </c>
      <c r="U37" s="9"/>
      <c r="W37" s="104">
        <f t="shared" si="49"/>
        <v>209.2</v>
      </c>
      <c r="X37" s="106">
        <f t="shared" si="49"/>
        <v>63</v>
      </c>
      <c r="Y37" s="102">
        <f t="shared" si="50"/>
        <v>4</v>
      </c>
      <c r="Z37" s="109">
        <f t="shared" si="50"/>
        <v>0</v>
      </c>
      <c r="AA37" s="109">
        <f t="shared" si="51"/>
        <v>0</v>
      </c>
      <c r="AB37" s="109">
        <f t="shared" si="52"/>
        <v>0</v>
      </c>
      <c r="AC37" s="4" t="str">
        <f t="shared" si="52"/>
        <v/>
      </c>
      <c r="AD37" s="105">
        <f t="shared" si="52"/>
        <v>0</v>
      </c>
      <c r="AE37" s="77" t="str">
        <f t="shared" si="53"/>
        <v>계</v>
      </c>
      <c r="AF37" s="77" t="str">
        <f t="shared" si="54"/>
        <v>5/2</v>
      </c>
      <c r="AH37" s="20" t="str">
        <f t="shared" si="1"/>
        <v>수송공원삼성쉐르빌</v>
      </c>
      <c r="AI37" s="106">
        <f t="shared" si="0"/>
        <v>63</v>
      </c>
      <c r="AJ37" s="77" t="str">
        <f t="shared" si="55"/>
        <v>A-</v>
      </c>
      <c r="AK37" s="77" t="s">
        <v>13</v>
      </c>
      <c r="AL37" s="77" t="s">
        <v>1242</v>
      </c>
      <c r="AM37" s="77" t="s">
        <v>1243</v>
      </c>
      <c r="AN37" s="77" t="str">
        <f t="shared" si="56"/>
        <v>C</v>
      </c>
      <c r="AO37" s="77" t="str">
        <f t="shared" si="57"/>
        <v/>
      </c>
      <c r="AP37" s="77" t="str">
        <f t="shared" si="58"/>
        <v/>
      </c>
      <c r="AQ37" s="77" t="str">
        <f t="shared" si="59"/>
        <v>O</v>
      </c>
      <c r="AR37" s="77" t="str">
        <f t="shared" si="60"/>
        <v>O</v>
      </c>
      <c r="AS37" s="77" t="s">
        <v>2</v>
      </c>
      <c r="AT37" s="77" t="str">
        <f t="shared" si="61"/>
        <v>X</v>
      </c>
      <c r="AU37" s="77" t="str">
        <f t="shared" si="62"/>
        <v>O</v>
      </c>
      <c r="AV37" s="77" t="str">
        <f t="shared" si="63"/>
        <v/>
      </c>
    </row>
    <row r="38" spans="1:48" x14ac:dyDescent="0.3">
      <c r="A38" s="9"/>
      <c r="B38" s="77"/>
      <c r="C38" s="6"/>
      <c r="D38" s="9"/>
      <c r="E38" s="14"/>
      <c r="F38" s="104"/>
      <c r="G38" s="9"/>
      <c r="H38" s="9"/>
      <c r="I38" s="9"/>
      <c r="J38" s="9"/>
      <c r="K38" s="9"/>
      <c r="L38" s="9"/>
      <c r="M38" s="9"/>
      <c r="N38" s="9"/>
      <c r="O38" s="105"/>
      <c r="P38" s="105"/>
      <c r="Q38" s="106"/>
      <c r="R38" s="106"/>
      <c r="S38" s="9"/>
      <c r="T38" s="47"/>
      <c r="U38" s="9"/>
      <c r="W38" s="67" t="str">
        <f>$A$4&amp;" "&amp;A39&amp;"("&amp;B39&amp;","&amp;C39&amp;"^)"</f>
        <v>미장동 미장대원칸타빌('18.06.,805^)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1"/>
        <v/>
      </c>
      <c r="AI38" s="103" t="str">
        <f t="shared" si="0"/>
        <v/>
      </c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</row>
    <row r="39" spans="1:48" x14ac:dyDescent="0.3">
      <c r="A39" s="9" t="s">
        <v>733</v>
      </c>
      <c r="B39" s="10" t="s">
        <v>1309</v>
      </c>
      <c r="C39" s="107">
        <v>805</v>
      </c>
      <c r="D39" s="104">
        <v>80.3</v>
      </c>
      <c r="E39" s="106">
        <v>24</v>
      </c>
      <c r="F39" s="104">
        <v>59.9</v>
      </c>
      <c r="G39" s="17">
        <v>18</v>
      </c>
      <c r="H39" s="107">
        <v>78</v>
      </c>
      <c r="I39" s="108">
        <v>28500</v>
      </c>
      <c r="J39" s="108" t="s">
        <v>1262</v>
      </c>
      <c r="K39" s="108"/>
      <c r="L39" s="108"/>
      <c r="M39" s="109">
        <f t="shared" ref="M39:M48" si="64">I39-K39</f>
        <v>28500</v>
      </c>
      <c r="N39" s="4">
        <f t="shared" ref="N39:N48" si="65">IF(ISERROR(K39/I39),"",K39/I39)</f>
        <v>0</v>
      </c>
      <c r="O39" s="105">
        <f t="shared" ref="O39:O48" si="66">I39/E39</f>
        <v>1187.5</v>
      </c>
      <c r="P39" s="105">
        <f t="shared" ref="P39:P48" si="67">K39/E39</f>
        <v>0</v>
      </c>
      <c r="Q39" s="77">
        <v>3</v>
      </c>
      <c r="R39" s="77">
        <v>1</v>
      </c>
      <c r="S39" s="77" t="s">
        <v>1244</v>
      </c>
      <c r="T39" s="5">
        <v>80</v>
      </c>
      <c r="U39" s="9"/>
      <c r="W39" s="104">
        <f t="shared" ref="W39:W48" si="68">D39</f>
        <v>80.3</v>
      </c>
      <c r="X39" s="106">
        <f t="shared" ref="X39:X48" si="69">E39</f>
        <v>24</v>
      </c>
      <c r="Y39" s="102">
        <f t="shared" ref="Y39:Y48" si="70">H39</f>
        <v>78</v>
      </c>
      <c r="Z39" s="109">
        <f t="shared" ref="Z39:Z48" si="71">I39</f>
        <v>28500</v>
      </c>
      <c r="AA39" s="109">
        <f t="shared" ref="AA39:AA48" si="72">K39</f>
        <v>0</v>
      </c>
      <c r="AB39" s="109">
        <f t="shared" ref="AB39:AB48" si="73">M39</f>
        <v>28500</v>
      </c>
      <c r="AC39" s="4">
        <f t="shared" ref="AC39:AC48" si="74">N39</f>
        <v>0</v>
      </c>
      <c r="AD39" s="105">
        <f t="shared" ref="AD39:AD48" si="75">O39</f>
        <v>1187.5</v>
      </c>
      <c r="AE39" s="77" t="str">
        <f t="shared" ref="AE39:AE48" si="76">S39</f>
        <v>계</v>
      </c>
      <c r="AF39" s="77" t="str">
        <f t="shared" ref="AF39:AF48" si="77">Q39&amp;"/"&amp;R39</f>
        <v>3/1</v>
      </c>
      <c r="AH39" s="20" t="str">
        <f t="shared" si="1"/>
        <v>미장대원칸타빌</v>
      </c>
      <c r="AI39" s="106">
        <f t="shared" si="0"/>
        <v>24</v>
      </c>
      <c r="AJ39" s="77" t="str">
        <f t="shared" ref="AJ39:AJ48" si="78">IF(AI39="","",$AJ$2)</f>
        <v>A-</v>
      </c>
      <c r="AK39" s="77" t="s">
        <v>13</v>
      </c>
      <c r="AL39" s="77" t="s">
        <v>1242</v>
      </c>
      <c r="AM39" s="77" t="s">
        <v>1243</v>
      </c>
      <c r="AN39" s="77" t="str">
        <f t="shared" ref="AN39:AN48" si="79">IF(AI39="","",$AN$2)</f>
        <v>C</v>
      </c>
      <c r="AO39" s="77" t="str">
        <f t="shared" ref="AO39:AO48" si="80">IF(N39="","",IF(N39&gt;=$AO$1/100,"O","X"))</f>
        <v>X</v>
      </c>
      <c r="AP39" s="77" t="str">
        <f t="shared" ref="AP39:AP48" si="81">IF(I39="","",IF(I39&lt;=$AP$1,"O","X"))</f>
        <v>O</v>
      </c>
      <c r="AQ39" s="77" t="str">
        <f t="shared" ref="AQ39:AQ48" si="82">IF(O39="","",IF(O39&lt;=$AQ$1,"O","X"))</f>
        <v>O</v>
      </c>
      <c r="AR39" s="77" t="str">
        <f t="shared" ref="AR39:AR48" si="83">IF(M39="","",IF(M39&lt;=$AR$1,"O","X"))</f>
        <v>X</v>
      </c>
      <c r="AS39" s="77" t="s">
        <v>2</v>
      </c>
      <c r="AT39" s="77" t="str">
        <f t="shared" ref="AT39:AT48" si="84">IF(OR(F39="",AI39=""),"",IF(AND((F39&lt;=85),(AI39&gt;=15)),"O","X"))</f>
        <v>O</v>
      </c>
      <c r="AU39" s="77" t="str">
        <f t="shared" ref="AU39:AU48" si="85">IF(C39="","",IF(C39&gt;=$AU$1,"O","X"))</f>
        <v>O</v>
      </c>
      <c r="AV39" s="77" t="str">
        <f t="shared" ref="AV39:AV48" si="86">IF(AO39="","",IF(AND(AO39="O",AP39="O",AR39="O",AT39="O",AU39="O"),"후보","X"))</f>
        <v>X</v>
      </c>
    </row>
    <row r="40" spans="1:48" x14ac:dyDescent="0.3">
      <c r="A40" s="9" t="s">
        <v>733</v>
      </c>
      <c r="B40" s="10" t="s">
        <v>1309</v>
      </c>
      <c r="C40" s="107">
        <v>805</v>
      </c>
      <c r="D40" s="104">
        <v>87.9</v>
      </c>
      <c r="E40" s="106">
        <v>27</v>
      </c>
      <c r="F40" s="104">
        <v>65.900000000000006</v>
      </c>
      <c r="G40" s="17">
        <v>20</v>
      </c>
      <c r="H40" s="107">
        <v>47</v>
      </c>
      <c r="I40" s="108">
        <v>29000</v>
      </c>
      <c r="J40" s="108" t="s">
        <v>1310</v>
      </c>
      <c r="K40" s="108"/>
      <c r="L40" s="108"/>
      <c r="M40" s="109">
        <f t="shared" si="64"/>
        <v>29000</v>
      </c>
      <c r="N40" s="4">
        <f t="shared" si="65"/>
        <v>0</v>
      </c>
      <c r="O40" s="105">
        <f t="shared" si="66"/>
        <v>1074.0740740740741</v>
      </c>
      <c r="P40" s="105">
        <f t="shared" si="67"/>
        <v>0</v>
      </c>
      <c r="Q40" s="77">
        <v>3</v>
      </c>
      <c r="R40" s="77">
        <v>2</v>
      </c>
      <c r="S40" s="77" t="s">
        <v>1244</v>
      </c>
      <c r="T40" s="5" t="s">
        <v>436</v>
      </c>
      <c r="U40" s="9"/>
      <c r="W40" s="104">
        <f t="shared" si="68"/>
        <v>87.9</v>
      </c>
      <c r="X40" s="106">
        <f t="shared" si="69"/>
        <v>27</v>
      </c>
      <c r="Y40" s="102">
        <f t="shared" si="70"/>
        <v>47</v>
      </c>
      <c r="Z40" s="109">
        <f t="shared" si="71"/>
        <v>29000</v>
      </c>
      <c r="AA40" s="109">
        <f t="shared" si="72"/>
        <v>0</v>
      </c>
      <c r="AB40" s="109">
        <f t="shared" si="73"/>
        <v>29000</v>
      </c>
      <c r="AC40" s="4">
        <f t="shared" si="74"/>
        <v>0</v>
      </c>
      <c r="AD40" s="105">
        <f t="shared" si="75"/>
        <v>1074.0740740740741</v>
      </c>
      <c r="AE40" s="77" t="str">
        <f t="shared" si="76"/>
        <v>계</v>
      </c>
      <c r="AF40" s="77" t="str">
        <f t="shared" si="77"/>
        <v>3/2</v>
      </c>
      <c r="AH40" s="20" t="str">
        <f t="shared" si="1"/>
        <v>미장대원칸타빌</v>
      </c>
      <c r="AI40" s="106">
        <f t="shared" si="0"/>
        <v>27</v>
      </c>
      <c r="AJ40" s="77" t="str">
        <f t="shared" si="78"/>
        <v>A-</v>
      </c>
      <c r="AK40" s="77" t="s">
        <v>13</v>
      </c>
      <c r="AL40" s="77" t="s">
        <v>1242</v>
      </c>
      <c r="AM40" s="77" t="s">
        <v>1243</v>
      </c>
      <c r="AN40" s="77" t="str">
        <f t="shared" si="79"/>
        <v>C</v>
      </c>
      <c r="AO40" s="77" t="str">
        <f t="shared" si="80"/>
        <v>X</v>
      </c>
      <c r="AP40" s="77" t="str">
        <f t="shared" si="81"/>
        <v>O</v>
      </c>
      <c r="AQ40" s="77" t="str">
        <f t="shared" si="82"/>
        <v>O</v>
      </c>
      <c r="AR40" s="77" t="str">
        <f t="shared" si="83"/>
        <v>X</v>
      </c>
      <c r="AS40" s="77" t="s">
        <v>2</v>
      </c>
      <c r="AT40" s="77" t="str">
        <f t="shared" si="84"/>
        <v>O</v>
      </c>
      <c r="AU40" s="77" t="str">
        <f t="shared" si="85"/>
        <v>O</v>
      </c>
      <c r="AV40" s="77" t="str">
        <f t="shared" si="86"/>
        <v>X</v>
      </c>
    </row>
    <row r="41" spans="1:48" x14ac:dyDescent="0.3">
      <c r="A41" s="9" t="s">
        <v>733</v>
      </c>
      <c r="B41" s="10" t="s">
        <v>1309</v>
      </c>
      <c r="C41" s="107">
        <v>805</v>
      </c>
      <c r="D41" s="104">
        <v>88.7</v>
      </c>
      <c r="E41" s="106">
        <v>27</v>
      </c>
      <c r="F41" s="104">
        <v>65.900000000000006</v>
      </c>
      <c r="G41" s="17">
        <v>20</v>
      </c>
      <c r="H41" s="107">
        <v>44</v>
      </c>
      <c r="I41" s="108">
        <v>29000</v>
      </c>
      <c r="J41" s="108" t="s">
        <v>1255</v>
      </c>
      <c r="K41" s="108">
        <v>22000</v>
      </c>
      <c r="L41" s="108" t="s">
        <v>1294</v>
      </c>
      <c r="M41" s="109">
        <f t="shared" si="64"/>
        <v>7000</v>
      </c>
      <c r="N41" s="4">
        <f t="shared" si="65"/>
        <v>0.75862068965517238</v>
      </c>
      <c r="O41" s="105">
        <f t="shared" si="66"/>
        <v>1074.0740740740741</v>
      </c>
      <c r="P41" s="105">
        <f t="shared" si="67"/>
        <v>814.81481481481478</v>
      </c>
      <c r="Q41" s="77">
        <v>3</v>
      </c>
      <c r="R41" s="77">
        <v>2</v>
      </c>
      <c r="S41" s="77" t="s">
        <v>1244</v>
      </c>
      <c r="T41" s="5" t="s">
        <v>738</v>
      </c>
      <c r="U41" s="9"/>
      <c r="W41" s="104">
        <f t="shared" si="68"/>
        <v>88.7</v>
      </c>
      <c r="X41" s="106">
        <f t="shared" si="69"/>
        <v>27</v>
      </c>
      <c r="Y41" s="102">
        <f t="shared" si="70"/>
        <v>44</v>
      </c>
      <c r="Z41" s="109">
        <f t="shared" si="71"/>
        <v>29000</v>
      </c>
      <c r="AA41" s="109">
        <f t="shared" si="72"/>
        <v>22000</v>
      </c>
      <c r="AB41" s="109">
        <f t="shared" si="73"/>
        <v>7000</v>
      </c>
      <c r="AC41" s="4">
        <f t="shared" si="74"/>
        <v>0.75862068965517238</v>
      </c>
      <c r="AD41" s="105">
        <f t="shared" si="75"/>
        <v>1074.0740740740741</v>
      </c>
      <c r="AE41" s="77" t="str">
        <f t="shared" si="76"/>
        <v>계</v>
      </c>
      <c r="AF41" s="77" t="str">
        <f t="shared" si="77"/>
        <v>3/2</v>
      </c>
      <c r="AH41" s="20" t="str">
        <f t="shared" si="1"/>
        <v>미장대원칸타빌</v>
      </c>
      <c r="AI41" s="106">
        <f t="shared" si="0"/>
        <v>27</v>
      </c>
      <c r="AJ41" s="77" t="str">
        <f t="shared" si="78"/>
        <v>A-</v>
      </c>
      <c r="AK41" s="77" t="s">
        <v>13</v>
      </c>
      <c r="AL41" s="77" t="s">
        <v>1242</v>
      </c>
      <c r="AM41" s="77" t="s">
        <v>1243</v>
      </c>
      <c r="AN41" s="77" t="str">
        <f t="shared" si="79"/>
        <v>C</v>
      </c>
      <c r="AO41" s="77" t="str">
        <f t="shared" si="80"/>
        <v>X</v>
      </c>
      <c r="AP41" s="77" t="str">
        <f t="shared" si="81"/>
        <v>O</v>
      </c>
      <c r="AQ41" s="77" t="str">
        <f t="shared" si="82"/>
        <v>O</v>
      </c>
      <c r="AR41" s="77" t="str">
        <f t="shared" si="83"/>
        <v>X</v>
      </c>
      <c r="AS41" s="77" t="s">
        <v>2</v>
      </c>
      <c r="AT41" s="77" t="str">
        <f t="shared" si="84"/>
        <v>O</v>
      </c>
      <c r="AU41" s="77" t="str">
        <f t="shared" si="85"/>
        <v>O</v>
      </c>
      <c r="AV41" s="77" t="str">
        <f t="shared" si="86"/>
        <v>X</v>
      </c>
    </row>
    <row r="42" spans="1:48" x14ac:dyDescent="0.3">
      <c r="A42" s="9" t="s">
        <v>733</v>
      </c>
      <c r="B42" s="10" t="s">
        <v>1309</v>
      </c>
      <c r="C42" s="107">
        <v>805</v>
      </c>
      <c r="D42" s="104">
        <v>100</v>
      </c>
      <c r="E42" s="106">
        <v>30</v>
      </c>
      <c r="F42" s="104">
        <v>74.900000000000006</v>
      </c>
      <c r="G42" s="17">
        <v>23</v>
      </c>
      <c r="H42" s="107">
        <v>186</v>
      </c>
      <c r="I42" s="108">
        <v>34500</v>
      </c>
      <c r="J42" s="108" t="s">
        <v>1265</v>
      </c>
      <c r="K42" s="108">
        <v>27000</v>
      </c>
      <c r="L42" s="108" t="s">
        <v>1262</v>
      </c>
      <c r="M42" s="109">
        <f t="shared" si="64"/>
        <v>7500</v>
      </c>
      <c r="N42" s="4">
        <f t="shared" si="65"/>
        <v>0.78260869565217395</v>
      </c>
      <c r="O42" s="105">
        <f t="shared" si="66"/>
        <v>1150</v>
      </c>
      <c r="P42" s="105">
        <f t="shared" si="67"/>
        <v>900</v>
      </c>
      <c r="Q42" s="77">
        <v>3</v>
      </c>
      <c r="R42" s="77">
        <v>2</v>
      </c>
      <c r="S42" s="77" t="s">
        <v>1244</v>
      </c>
      <c r="T42" s="5" t="s">
        <v>461</v>
      </c>
      <c r="U42" s="9"/>
      <c r="W42" s="104">
        <f t="shared" si="68"/>
        <v>100</v>
      </c>
      <c r="X42" s="106">
        <f t="shared" si="69"/>
        <v>30</v>
      </c>
      <c r="Y42" s="102">
        <f t="shared" si="70"/>
        <v>186</v>
      </c>
      <c r="Z42" s="109">
        <f t="shared" si="71"/>
        <v>34500</v>
      </c>
      <c r="AA42" s="109">
        <f t="shared" si="72"/>
        <v>27000</v>
      </c>
      <c r="AB42" s="109">
        <f t="shared" si="73"/>
        <v>7500</v>
      </c>
      <c r="AC42" s="4">
        <f t="shared" si="74"/>
        <v>0.78260869565217395</v>
      </c>
      <c r="AD42" s="105">
        <f t="shared" si="75"/>
        <v>1150</v>
      </c>
      <c r="AE42" s="77" t="str">
        <f t="shared" si="76"/>
        <v>계</v>
      </c>
      <c r="AF42" s="77" t="str">
        <f t="shared" si="77"/>
        <v>3/2</v>
      </c>
      <c r="AH42" s="20" t="str">
        <f t="shared" si="1"/>
        <v>미장대원칸타빌</v>
      </c>
      <c r="AI42" s="106">
        <f t="shared" si="0"/>
        <v>30</v>
      </c>
      <c r="AJ42" s="77" t="str">
        <f t="shared" si="78"/>
        <v>A-</v>
      </c>
      <c r="AK42" s="77" t="s">
        <v>13</v>
      </c>
      <c r="AL42" s="77" t="s">
        <v>1242</v>
      </c>
      <c r="AM42" s="77" t="s">
        <v>1243</v>
      </c>
      <c r="AN42" s="77" t="str">
        <f t="shared" si="79"/>
        <v>C</v>
      </c>
      <c r="AO42" s="77" t="str">
        <f t="shared" si="80"/>
        <v>X</v>
      </c>
      <c r="AP42" s="77" t="str">
        <f t="shared" si="81"/>
        <v>O</v>
      </c>
      <c r="AQ42" s="77" t="str">
        <f t="shared" si="82"/>
        <v>O</v>
      </c>
      <c r="AR42" s="77" t="str">
        <f t="shared" si="83"/>
        <v>X</v>
      </c>
      <c r="AS42" s="77" t="s">
        <v>2</v>
      </c>
      <c r="AT42" s="77" t="str">
        <f t="shared" si="84"/>
        <v>O</v>
      </c>
      <c r="AU42" s="77" t="str">
        <f t="shared" si="85"/>
        <v>O</v>
      </c>
      <c r="AV42" s="77" t="str">
        <f t="shared" si="86"/>
        <v>X</v>
      </c>
    </row>
    <row r="43" spans="1:48" x14ac:dyDescent="0.3">
      <c r="A43" s="9" t="s">
        <v>733</v>
      </c>
      <c r="B43" s="10" t="s">
        <v>1309</v>
      </c>
      <c r="C43" s="107">
        <v>805</v>
      </c>
      <c r="D43" s="104">
        <v>99.7</v>
      </c>
      <c r="E43" s="106">
        <v>30</v>
      </c>
      <c r="F43" s="104">
        <v>74.900000000000006</v>
      </c>
      <c r="G43" s="17">
        <v>23</v>
      </c>
      <c r="H43" s="107">
        <v>18</v>
      </c>
      <c r="I43" s="108"/>
      <c r="J43" s="108"/>
      <c r="K43" s="108"/>
      <c r="L43" s="108"/>
      <c r="M43" s="109">
        <f t="shared" si="64"/>
        <v>0</v>
      </c>
      <c r="N43" s="4" t="str">
        <f t="shared" si="65"/>
        <v/>
      </c>
      <c r="O43" s="105">
        <f t="shared" si="66"/>
        <v>0</v>
      </c>
      <c r="P43" s="105">
        <f t="shared" si="67"/>
        <v>0</v>
      </c>
      <c r="Q43" s="77">
        <v>3</v>
      </c>
      <c r="R43" s="77">
        <v>2</v>
      </c>
      <c r="S43" s="77" t="s">
        <v>1244</v>
      </c>
      <c r="T43" s="5" t="s">
        <v>701</v>
      </c>
      <c r="U43" s="9"/>
      <c r="W43" s="104">
        <f t="shared" si="68"/>
        <v>99.7</v>
      </c>
      <c r="X43" s="106">
        <f t="shared" si="69"/>
        <v>30</v>
      </c>
      <c r="Y43" s="102">
        <f t="shared" si="70"/>
        <v>18</v>
      </c>
      <c r="Z43" s="109">
        <f t="shared" si="71"/>
        <v>0</v>
      </c>
      <c r="AA43" s="109">
        <f t="shared" si="72"/>
        <v>0</v>
      </c>
      <c r="AB43" s="109">
        <f t="shared" si="73"/>
        <v>0</v>
      </c>
      <c r="AC43" s="4" t="str">
        <f t="shared" si="74"/>
        <v/>
      </c>
      <c r="AD43" s="105">
        <f t="shared" si="75"/>
        <v>0</v>
      </c>
      <c r="AE43" s="77" t="str">
        <f t="shared" si="76"/>
        <v>계</v>
      </c>
      <c r="AF43" s="77" t="str">
        <f t="shared" si="77"/>
        <v>3/2</v>
      </c>
      <c r="AH43" s="20" t="str">
        <f t="shared" si="1"/>
        <v>미장대원칸타빌</v>
      </c>
      <c r="AI43" s="106">
        <f t="shared" si="0"/>
        <v>30</v>
      </c>
      <c r="AJ43" s="77" t="str">
        <f t="shared" si="78"/>
        <v>A-</v>
      </c>
      <c r="AK43" s="77" t="s">
        <v>13</v>
      </c>
      <c r="AL43" s="77" t="s">
        <v>1242</v>
      </c>
      <c r="AM43" s="77" t="s">
        <v>1243</v>
      </c>
      <c r="AN43" s="77" t="str">
        <f t="shared" si="79"/>
        <v>C</v>
      </c>
      <c r="AO43" s="77" t="str">
        <f t="shared" si="80"/>
        <v/>
      </c>
      <c r="AP43" s="77" t="str">
        <f t="shared" si="81"/>
        <v/>
      </c>
      <c r="AQ43" s="77" t="str">
        <f t="shared" si="82"/>
        <v>O</v>
      </c>
      <c r="AR43" s="77" t="str">
        <f t="shared" si="83"/>
        <v>O</v>
      </c>
      <c r="AS43" s="77" t="s">
        <v>2</v>
      </c>
      <c r="AT43" s="77" t="str">
        <f t="shared" si="84"/>
        <v>O</v>
      </c>
      <c r="AU43" s="77" t="str">
        <f t="shared" si="85"/>
        <v>O</v>
      </c>
      <c r="AV43" s="77" t="str">
        <f t="shared" si="86"/>
        <v/>
      </c>
    </row>
    <row r="44" spans="1:48" x14ac:dyDescent="0.3">
      <c r="A44" s="9" t="s">
        <v>733</v>
      </c>
      <c r="B44" s="10" t="s">
        <v>1309</v>
      </c>
      <c r="C44" s="107">
        <v>805</v>
      </c>
      <c r="D44" s="104">
        <v>100.4</v>
      </c>
      <c r="E44" s="106">
        <v>30</v>
      </c>
      <c r="F44" s="104">
        <v>74.900000000000006</v>
      </c>
      <c r="G44" s="17">
        <v>23</v>
      </c>
      <c r="H44" s="107">
        <v>44</v>
      </c>
      <c r="I44" s="108">
        <v>34300</v>
      </c>
      <c r="J44" s="108" t="s">
        <v>1287</v>
      </c>
      <c r="K44" s="108"/>
      <c r="L44" s="108"/>
      <c r="M44" s="109">
        <f t="shared" si="64"/>
        <v>34300</v>
      </c>
      <c r="N44" s="4">
        <f t="shared" si="65"/>
        <v>0</v>
      </c>
      <c r="O44" s="105">
        <f t="shared" si="66"/>
        <v>1143.3333333333333</v>
      </c>
      <c r="P44" s="105">
        <f t="shared" si="67"/>
        <v>0</v>
      </c>
      <c r="Q44" s="77">
        <v>3</v>
      </c>
      <c r="R44" s="77">
        <v>2</v>
      </c>
      <c r="S44" s="77" t="s">
        <v>1244</v>
      </c>
      <c r="T44" s="5" t="s">
        <v>739</v>
      </c>
      <c r="U44" s="9"/>
      <c r="W44" s="104">
        <f t="shared" si="68"/>
        <v>100.4</v>
      </c>
      <c r="X44" s="106">
        <f t="shared" si="69"/>
        <v>30</v>
      </c>
      <c r="Y44" s="102">
        <f t="shared" si="70"/>
        <v>44</v>
      </c>
      <c r="Z44" s="109">
        <f t="shared" si="71"/>
        <v>34300</v>
      </c>
      <c r="AA44" s="109">
        <f t="shared" si="72"/>
        <v>0</v>
      </c>
      <c r="AB44" s="109">
        <f t="shared" si="73"/>
        <v>34300</v>
      </c>
      <c r="AC44" s="4">
        <f t="shared" si="74"/>
        <v>0</v>
      </c>
      <c r="AD44" s="105">
        <f t="shared" si="75"/>
        <v>1143.3333333333333</v>
      </c>
      <c r="AE44" s="77" t="str">
        <f t="shared" si="76"/>
        <v>계</v>
      </c>
      <c r="AF44" s="77" t="str">
        <f t="shared" si="77"/>
        <v>3/2</v>
      </c>
      <c r="AH44" s="20" t="str">
        <f t="shared" si="1"/>
        <v>미장대원칸타빌</v>
      </c>
      <c r="AI44" s="106">
        <f t="shared" si="0"/>
        <v>30</v>
      </c>
      <c r="AJ44" s="77" t="str">
        <f t="shared" si="78"/>
        <v>A-</v>
      </c>
      <c r="AK44" s="77" t="s">
        <v>13</v>
      </c>
      <c r="AL44" s="77" t="s">
        <v>1242</v>
      </c>
      <c r="AM44" s="77" t="s">
        <v>1243</v>
      </c>
      <c r="AN44" s="77" t="str">
        <f t="shared" si="79"/>
        <v>C</v>
      </c>
      <c r="AO44" s="77" t="str">
        <f t="shared" si="80"/>
        <v>X</v>
      </c>
      <c r="AP44" s="77" t="str">
        <f t="shared" si="81"/>
        <v>O</v>
      </c>
      <c r="AQ44" s="77" t="str">
        <f t="shared" si="82"/>
        <v>O</v>
      </c>
      <c r="AR44" s="77" t="str">
        <f t="shared" si="83"/>
        <v>X</v>
      </c>
      <c r="AS44" s="77" t="s">
        <v>2</v>
      </c>
      <c r="AT44" s="77" t="str">
        <f t="shared" si="84"/>
        <v>O</v>
      </c>
      <c r="AU44" s="77" t="str">
        <f t="shared" si="85"/>
        <v>O</v>
      </c>
      <c r="AV44" s="77" t="str">
        <f t="shared" si="86"/>
        <v>X</v>
      </c>
    </row>
    <row r="45" spans="1:48" x14ac:dyDescent="0.3">
      <c r="A45" s="9" t="s">
        <v>733</v>
      </c>
      <c r="B45" s="10" t="s">
        <v>1309</v>
      </c>
      <c r="C45" s="107">
        <v>805</v>
      </c>
      <c r="D45" s="104">
        <v>100.1</v>
      </c>
      <c r="E45" s="106">
        <v>30</v>
      </c>
      <c r="F45" s="104">
        <v>75</v>
      </c>
      <c r="G45" s="17">
        <v>23</v>
      </c>
      <c r="H45" s="107">
        <v>40</v>
      </c>
      <c r="I45" s="108">
        <v>35000</v>
      </c>
      <c r="J45" s="108" t="s">
        <v>1311</v>
      </c>
      <c r="K45" s="108"/>
      <c r="L45" s="108"/>
      <c r="M45" s="109">
        <f t="shared" si="64"/>
        <v>35000</v>
      </c>
      <c r="N45" s="4">
        <f t="shared" si="65"/>
        <v>0</v>
      </c>
      <c r="O45" s="105">
        <f t="shared" si="66"/>
        <v>1166.6666666666667</v>
      </c>
      <c r="P45" s="105">
        <f t="shared" si="67"/>
        <v>0</v>
      </c>
      <c r="Q45" s="77">
        <v>3</v>
      </c>
      <c r="R45" s="77">
        <v>2</v>
      </c>
      <c r="S45" s="77" t="s">
        <v>1244</v>
      </c>
      <c r="T45" s="5" t="s">
        <v>467</v>
      </c>
      <c r="U45" s="9"/>
      <c r="W45" s="104">
        <f t="shared" si="68"/>
        <v>100.1</v>
      </c>
      <c r="X45" s="106">
        <f t="shared" si="69"/>
        <v>30</v>
      </c>
      <c r="Y45" s="102">
        <f t="shared" si="70"/>
        <v>40</v>
      </c>
      <c r="Z45" s="109">
        <f t="shared" si="71"/>
        <v>35000</v>
      </c>
      <c r="AA45" s="109">
        <f t="shared" si="72"/>
        <v>0</v>
      </c>
      <c r="AB45" s="109">
        <f t="shared" si="73"/>
        <v>35000</v>
      </c>
      <c r="AC45" s="4">
        <f t="shared" si="74"/>
        <v>0</v>
      </c>
      <c r="AD45" s="105">
        <f t="shared" si="75"/>
        <v>1166.6666666666667</v>
      </c>
      <c r="AE45" s="77" t="str">
        <f t="shared" si="76"/>
        <v>계</v>
      </c>
      <c r="AF45" s="77" t="str">
        <f t="shared" si="77"/>
        <v>3/2</v>
      </c>
      <c r="AH45" s="20" t="str">
        <f t="shared" si="1"/>
        <v>미장대원칸타빌</v>
      </c>
      <c r="AI45" s="106">
        <f t="shared" si="0"/>
        <v>30</v>
      </c>
      <c r="AJ45" s="77" t="str">
        <f t="shared" si="78"/>
        <v>A-</v>
      </c>
      <c r="AK45" s="77" t="s">
        <v>13</v>
      </c>
      <c r="AL45" s="77" t="s">
        <v>1242</v>
      </c>
      <c r="AM45" s="77" t="s">
        <v>1243</v>
      </c>
      <c r="AN45" s="77" t="str">
        <f t="shared" si="79"/>
        <v>C</v>
      </c>
      <c r="AO45" s="77" t="str">
        <f t="shared" si="80"/>
        <v>X</v>
      </c>
      <c r="AP45" s="77" t="str">
        <f t="shared" si="81"/>
        <v>O</v>
      </c>
      <c r="AQ45" s="77" t="str">
        <f t="shared" si="82"/>
        <v>O</v>
      </c>
      <c r="AR45" s="77" t="str">
        <f t="shared" si="83"/>
        <v>X</v>
      </c>
      <c r="AS45" s="77" t="s">
        <v>2</v>
      </c>
      <c r="AT45" s="77" t="str">
        <f t="shared" si="84"/>
        <v>O</v>
      </c>
      <c r="AU45" s="77" t="str">
        <f t="shared" si="85"/>
        <v>O</v>
      </c>
      <c r="AV45" s="77" t="str">
        <f t="shared" si="86"/>
        <v>X</v>
      </c>
    </row>
    <row r="46" spans="1:48" x14ac:dyDescent="0.3">
      <c r="A46" s="9" t="s">
        <v>733</v>
      </c>
      <c r="B46" s="10" t="s">
        <v>1309</v>
      </c>
      <c r="C46" s="107">
        <v>805</v>
      </c>
      <c r="D46" s="104">
        <v>112.4</v>
      </c>
      <c r="E46" s="106">
        <v>34</v>
      </c>
      <c r="F46" s="104">
        <v>84.9</v>
      </c>
      <c r="G46" s="17">
        <v>26</v>
      </c>
      <c r="H46" s="107">
        <v>274</v>
      </c>
      <c r="I46" s="108">
        <v>37000</v>
      </c>
      <c r="J46" s="108" t="s">
        <v>1256</v>
      </c>
      <c r="K46" s="108"/>
      <c r="L46" s="108"/>
      <c r="M46" s="109">
        <f t="shared" si="64"/>
        <v>37000</v>
      </c>
      <c r="N46" s="4">
        <f t="shared" si="65"/>
        <v>0</v>
      </c>
      <c r="O46" s="105">
        <f t="shared" si="66"/>
        <v>1088.2352941176471</v>
      </c>
      <c r="P46" s="105">
        <f t="shared" si="67"/>
        <v>0</v>
      </c>
      <c r="Q46" s="77">
        <v>4</v>
      </c>
      <c r="R46" s="77">
        <v>2</v>
      </c>
      <c r="S46" s="77" t="s">
        <v>1244</v>
      </c>
      <c r="T46" s="5">
        <v>112</v>
      </c>
      <c r="U46" s="9"/>
      <c r="W46" s="104">
        <f t="shared" si="68"/>
        <v>112.4</v>
      </c>
      <c r="X46" s="106">
        <f t="shared" si="69"/>
        <v>34</v>
      </c>
      <c r="Y46" s="102">
        <f t="shared" si="70"/>
        <v>274</v>
      </c>
      <c r="Z46" s="109">
        <f t="shared" si="71"/>
        <v>37000</v>
      </c>
      <c r="AA46" s="109">
        <f t="shared" si="72"/>
        <v>0</v>
      </c>
      <c r="AB46" s="109">
        <f t="shared" si="73"/>
        <v>37000</v>
      </c>
      <c r="AC46" s="4">
        <f t="shared" si="74"/>
        <v>0</v>
      </c>
      <c r="AD46" s="105">
        <f t="shared" si="75"/>
        <v>1088.2352941176471</v>
      </c>
      <c r="AE46" s="77" t="str">
        <f t="shared" si="76"/>
        <v>계</v>
      </c>
      <c r="AF46" s="77" t="str">
        <f t="shared" si="77"/>
        <v>4/2</v>
      </c>
      <c r="AH46" s="20" t="str">
        <f t="shared" si="1"/>
        <v>미장대원칸타빌</v>
      </c>
      <c r="AI46" s="106">
        <f t="shared" si="0"/>
        <v>34</v>
      </c>
      <c r="AJ46" s="77" t="str">
        <f t="shared" si="78"/>
        <v>A-</v>
      </c>
      <c r="AK46" s="77" t="s">
        <v>13</v>
      </c>
      <c r="AL46" s="77" t="s">
        <v>1242</v>
      </c>
      <c r="AM46" s="77" t="s">
        <v>1243</v>
      </c>
      <c r="AN46" s="77" t="str">
        <f t="shared" si="79"/>
        <v>C</v>
      </c>
      <c r="AO46" s="77" t="str">
        <f t="shared" si="80"/>
        <v>X</v>
      </c>
      <c r="AP46" s="77" t="str">
        <f t="shared" si="81"/>
        <v>O</v>
      </c>
      <c r="AQ46" s="77" t="str">
        <f t="shared" si="82"/>
        <v>O</v>
      </c>
      <c r="AR46" s="77" t="str">
        <f t="shared" si="83"/>
        <v>X</v>
      </c>
      <c r="AS46" s="77" t="s">
        <v>2</v>
      </c>
      <c r="AT46" s="77" t="str">
        <f t="shared" si="84"/>
        <v>O</v>
      </c>
      <c r="AU46" s="77" t="str">
        <f t="shared" si="85"/>
        <v>O</v>
      </c>
      <c r="AV46" s="77" t="str">
        <f t="shared" si="86"/>
        <v>X</v>
      </c>
    </row>
    <row r="47" spans="1:48" x14ac:dyDescent="0.3">
      <c r="A47" s="9" t="s">
        <v>733</v>
      </c>
      <c r="B47" s="10" t="s">
        <v>1309</v>
      </c>
      <c r="C47" s="107">
        <v>805</v>
      </c>
      <c r="D47" s="104">
        <v>134.69999999999999</v>
      </c>
      <c r="E47" s="106">
        <v>41</v>
      </c>
      <c r="F47" s="104">
        <v>101.8</v>
      </c>
      <c r="G47" s="17">
        <v>31</v>
      </c>
      <c r="H47" s="107">
        <v>70</v>
      </c>
      <c r="I47" s="108">
        <v>51000</v>
      </c>
      <c r="J47" s="108" t="s">
        <v>1250</v>
      </c>
      <c r="K47" s="108"/>
      <c r="L47" s="108"/>
      <c r="M47" s="109">
        <f t="shared" si="64"/>
        <v>51000</v>
      </c>
      <c r="N47" s="4">
        <f t="shared" si="65"/>
        <v>0</v>
      </c>
      <c r="O47" s="105">
        <f t="shared" si="66"/>
        <v>1243.9024390243903</v>
      </c>
      <c r="P47" s="105">
        <f t="shared" si="67"/>
        <v>0</v>
      </c>
      <c r="Q47" s="77">
        <v>4</v>
      </c>
      <c r="R47" s="77">
        <v>2</v>
      </c>
      <c r="S47" s="77" t="s">
        <v>1244</v>
      </c>
      <c r="T47" s="5">
        <v>134</v>
      </c>
      <c r="U47" s="9"/>
      <c r="W47" s="104">
        <f t="shared" si="68"/>
        <v>134.69999999999999</v>
      </c>
      <c r="X47" s="106">
        <f t="shared" si="69"/>
        <v>41</v>
      </c>
      <c r="Y47" s="102">
        <f t="shared" si="70"/>
        <v>70</v>
      </c>
      <c r="Z47" s="109">
        <f t="shared" si="71"/>
        <v>51000</v>
      </c>
      <c r="AA47" s="109">
        <f t="shared" si="72"/>
        <v>0</v>
      </c>
      <c r="AB47" s="109">
        <f t="shared" si="73"/>
        <v>51000</v>
      </c>
      <c r="AC47" s="4">
        <f t="shared" si="74"/>
        <v>0</v>
      </c>
      <c r="AD47" s="105">
        <f t="shared" si="75"/>
        <v>1243.9024390243903</v>
      </c>
      <c r="AE47" s="77" t="str">
        <f t="shared" si="76"/>
        <v>계</v>
      </c>
      <c r="AF47" s="77" t="str">
        <f t="shared" si="77"/>
        <v>4/2</v>
      </c>
      <c r="AH47" s="20" t="str">
        <f t="shared" si="1"/>
        <v>미장대원칸타빌</v>
      </c>
      <c r="AI47" s="106">
        <f t="shared" si="0"/>
        <v>41</v>
      </c>
      <c r="AJ47" s="77" t="str">
        <f t="shared" si="78"/>
        <v>A-</v>
      </c>
      <c r="AK47" s="77" t="s">
        <v>13</v>
      </c>
      <c r="AL47" s="77" t="s">
        <v>1242</v>
      </c>
      <c r="AM47" s="77" t="s">
        <v>1243</v>
      </c>
      <c r="AN47" s="77" t="str">
        <f t="shared" si="79"/>
        <v>C</v>
      </c>
      <c r="AO47" s="77" t="str">
        <f t="shared" si="80"/>
        <v>X</v>
      </c>
      <c r="AP47" s="77" t="str">
        <f t="shared" si="81"/>
        <v>X</v>
      </c>
      <c r="AQ47" s="77" t="str">
        <f t="shared" si="82"/>
        <v>X</v>
      </c>
      <c r="AR47" s="77" t="str">
        <f t="shared" si="83"/>
        <v>X</v>
      </c>
      <c r="AS47" s="77" t="s">
        <v>2</v>
      </c>
      <c r="AT47" s="77" t="str">
        <f t="shared" si="84"/>
        <v>X</v>
      </c>
      <c r="AU47" s="77" t="str">
        <f t="shared" si="85"/>
        <v>O</v>
      </c>
      <c r="AV47" s="77" t="str">
        <f t="shared" si="86"/>
        <v>X</v>
      </c>
    </row>
    <row r="48" spans="1:48" x14ac:dyDescent="0.3">
      <c r="A48" s="9" t="s">
        <v>733</v>
      </c>
      <c r="B48" s="10" t="s">
        <v>1309</v>
      </c>
      <c r="C48" s="107">
        <v>805</v>
      </c>
      <c r="D48" s="104">
        <v>174.2</v>
      </c>
      <c r="E48" s="106">
        <v>53</v>
      </c>
      <c r="F48" s="104">
        <v>128.69999999999999</v>
      </c>
      <c r="G48" s="17">
        <v>39</v>
      </c>
      <c r="H48" s="107">
        <v>4</v>
      </c>
      <c r="I48" s="108">
        <v>90000</v>
      </c>
      <c r="J48" s="108" t="s">
        <v>1312</v>
      </c>
      <c r="K48" s="108">
        <v>50000</v>
      </c>
      <c r="L48" s="108" t="s">
        <v>1312</v>
      </c>
      <c r="M48" s="109">
        <f t="shared" si="64"/>
        <v>40000</v>
      </c>
      <c r="N48" s="4">
        <f t="shared" si="65"/>
        <v>0.55555555555555558</v>
      </c>
      <c r="O48" s="105">
        <f t="shared" si="66"/>
        <v>1698.1132075471698</v>
      </c>
      <c r="P48" s="105">
        <f t="shared" si="67"/>
        <v>943.39622641509436</v>
      </c>
      <c r="Q48" s="77">
        <v>4</v>
      </c>
      <c r="R48" s="77">
        <v>2</v>
      </c>
      <c r="S48" s="77" t="s">
        <v>1244</v>
      </c>
      <c r="T48" s="5">
        <v>174</v>
      </c>
      <c r="U48" s="9"/>
      <c r="W48" s="104">
        <f t="shared" si="68"/>
        <v>174.2</v>
      </c>
      <c r="X48" s="106">
        <f t="shared" si="69"/>
        <v>53</v>
      </c>
      <c r="Y48" s="102">
        <f t="shared" si="70"/>
        <v>4</v>
      </c>
      <c r="Z48" s="109">
        <f t="shared" si="71"/>
        <v>90000</v>
      </c>
      <c r="AA48" s="109">
        <f t="shared" si="72"/>
        <v>50000</v>
      </c>
      <c r="AB48" s="109">
        <f t="shared" si="73"/>
        <v>40000</v>
      </c>
      <c r="AC48" s="4">
        <f t="shared" si="74"/>
        <v>0.55555555555555558</v>
      </c>
      <c r="AD48" s="105">
        <f t="shared" si="75"/>
        <v>1698.1132075471698</v>
      </c>
      <c r="AE48" s="77" t="str">
        <f t="shared" si="76"/>
        <v>계</v>
      </c>
      <c r="AF48" s="77" t="str">
        <f t="shared" si="77"/>
        <v>4/2</v>
      </c>
      <c r="AH48" s="20" t="str">
        <f t="shared" si="1"/>
        <v>미장대원칸타빌</v>
      </c>
      <c r="AI48" s="106">
        <f t="shared" si="0"/>
        <v>53</v>
      </c>
      <c r="AJ48" s="77" t="str">
        <f t="shared" si="78"/>
        <v>A-</v>
      </c>
      <c r="AK48" s="77" t="s">
        <v>13</v>
      </c>
      <c r="AL48" s="77" t="s">
        <v>1242</v>
      </c>
      <c r="AM48" s="77" t="s">
        <v>1243</v>
      </c>
      <c r="AN48" s="77" t="str">
        <f t="shared" si="79"/>
        <v>C</v>
      </c>
      <c r="AO48" s="77" t="str">
        <f t="shared" si="80"/>
        <v>X</v>
      </c>
      <c r="AP48" s="77" t="str">
        <f t="shared" si="81"/>
        <v>X</v>
      </c>
      <c r="AQ48" s="77" t="str">
        <f t="shared" si="82"/>
        <v>X</v>
      </c>
      <c r="AR48" s="77" t="str">
        <f t="shared" si="83"/>
        <v>X</v>
      </c>
      <c r="AS48" s="77" t="s">
        <v>2</v>
      </c>
      <c r="AT48" s="77" t="str">
        <f t="shared" si="84"/>
        <v>X</v>
      </c>
      <c r="AU48" s="77" t="str">
        <f t="shared" si="85"/>
        <v>O</v>
      </c>
      <c r="AV48" s="77" t="str">
        <f t="shared" si="86"/>
        <v>X</v>
      </c>
    </row>
  </sheetData>
  <mergeCells count="1">
    <mergeCell ref="AJ1:AN1"/>
  </mergeCells>
  <phoneticPr fontId="2" type="noConversion"/>
  <conditionalFormatting sqref="AV4:AV6">
    <cfRule type="expression" dxfId="20043" priority="691">
      <formula>AV4="X"</formula>
    </cfRule>
    <cfRule type="expression" dxfId="20042" priority="692">
      <formula>AV4="후보"</formula>
    </cfRule>
  </conditionalFormatting>
  <conditionalFormatting sqref="AC1:AC2 AC4:AC6 N4:N5">
    <cfRule type="cellIs" dxfId="20041" priority="689" operator="greaterThan">
      <formula>0.9</formula>
    </cfRule>
    <cfRule type="cellIs" dxfId="20040" priority="690" operator="greaterThan">
      <formula>0.85</formula>
    </cfRule>
  </conditionalFormatting>
  <conditionalFormatting sqref="N1:N2">
    <cfRule type="cellIs" dxfId="20039" priority="687" operator="greaterThan">
      <formula>0.9</formula>
    </cfRule>
    <cfRule type="cellIs" dxfId="20038" priority="688" operator="greaterThan">
      <formula>0.85</formula>
    </cfRule>
  </conditionalFormatting>
  <conditionalFormatting sqref="N6">
    <cfRule type="cellIs" dxfId="20037" priority="685" operator="greaterThan">
      <formula>0.9</formula>
    </cfRule>
    <cfRule type="cellIs" dxfId="20036" priority="686" operator="greaterThan">
      <formula>0.85</formula>
    </cfRule>
  </conditionalFormatting>
  <conditionalFormatting sqref="E6">
    <cfRule type="expression" dxfId="20035" priority="681">
      <formula>AND(IF(OR($Q6=1,$Q6=2),1,0),IF($X6&lt;=20,1,0))</formula>
    </cfRule>
    <cfRule type="expression" dxfId="20034" priority="682">
      <formula>AND(IF($Q6=2,1,0),IF($X6&lt;30,1,0))</formula>
    </cfRule>
    <cfRule type="expression" dxfId="20033" priority="683">
      <formula>AND(IF($Q6=3,1,0),IF($X6&lt;30,1,0))</formula>
    </cfRule>
    <cfRule type="expression" dxfId="20032" priority="684">
      <formula>AND(IF($Q6=3,1,IF($Q6=4,1,0)),IF($F6&lt;=85,1,0))</formula>
    </cfRule>
  </conditionalFormatting>
  <conditionalFormatting sqref="X6">
    <cfRule type="expression" dxfId="20031" priority="677">
      <formula>AND(IF(OR($Q6=1,$Q6=2),1,0),IF($X6&lt;=20,1,0))</formula>
    </cfRule>
    <cfRule type="expression" dxfId="20030" priority="678">
      <formula>AND(IF($Q6=2,1,0),IF($X6&lt;30,1,0))</formula>
    </cfRule>
    <cfRule type="expression" dxfId="20029" priority="679">
      <formula>AND(IF($Q6=3,1,0),IF($X6&lt;30,1,0))</formula>
    </cfRule>
    <cfRule type="expression" dxfId="20028" priority="680">
      <formula>AND(IF($Q6=3,1,IF($Q6=4,1,0)),IF($F6&lt;=85,1,0))</formula>
    </cfRule>
  </conditionalFormatting>
  <conditionalFormatting sqref="AI6">
    <cfRule type="expression" dxfId="20027" priority="673">
      <formula>AND(IF(OR($Q6=1,$Q6=2),1,0),IF($X6&lt;=20,1,0))</formula>
    </cfRule>
    <cfRule type="expression" dxfId="20026" priority="674">
      <formula>AND(IF($Q6=2,1,0),IF($X6&lt;30,1,0))</formula>
    </cfRule>
    <cfRule type="expression" dxfId="20025" priority="675">
      <formula>AND(IF($Q6=3,1,0),IF($X6&lt;30,1,0))</formula>
    </cfRule>
    <cfRule type="expression" dxfId="20024" priority="676">
      <formula>AND(IF($Q6=3,1,IF($Q6=4,1,0)),IF($F6&lt;=85,1,0))</formula>
    </cfRule>
  </conditionalFormatting>
  <conditionalFormatting sqref="AV7">
    <cfRule type="expression" dxfId="20023" priority="671">
      <formula>AV7="X"</formula>
    </cfRule>
    <cfRule type="expression" dxfId="20022" priority="672">
      <formula>AV7="후보"</formula>
    </cfRule>
  </conditionalFormatting>
  <conditionalFormatting sqref="AC7">
    <cfRule type="cellIs" dxfId="20021" priority="669" operator="greaterThan">
      <formula>0.9</formula>
    </cfRule>
    <cfRule type="cellIs" dxfId="20020" priority="670" operator="greaterThan">
      <formula>0.85</formula>
    </cfRule>
  </conditionalFormatting>
  <conditionalFormatting sqref="N7">
    <cfRule type="cellIs" dxfId="20019" priority="667" operator="greaterThan">
      <formula>0.9</formula>
    </cfRule>
    <cfRule type="cellIs" dxfId="20018" priority="668" operator="greaterThan">
      <formula>0.85</formula>
    </cfRule>
  </conditionalFormatting>
  <conditionalFormatting sqref="E7">
    <cfRule type="expression" dxfId="20017" priority="663">
      <formula>AND(IF(OR($Q7=1,$Q7=2),1,0),IF($X7&lt;=20,1,0))</formula>
    </cfRule>
    <cfRule type="expression" dxfId="20016" priority="664">
      <formula>AND(IF($Q7=2,1,0),IF($X7&lt;30,1,0))</formula>
    </cfRule>
    <cfRule type="expression" dxfId="20015" priority="665">
      <formula>AND(IF($Q7=3,1,0),IF($X7&lt;30,1,0))</formula>
    </cfRule>
    <cfRule type="expression" dxfId="20014" priority="666">
      <formula>AND(IF($Q7=3,1,IF($Q7=4,1,0)),IF($F7&lt;=85,1,0))</formula>
    </cfRule>
  </conditionalFormatting>
  <conditionalFormatting sqref="X7">
    <cfRule type="expression" dxfId="20013" priority="659">
      <formula>AND(IF(OR($Q7=1,$Q7=2),1,0),IF($X7&lt;=20,1,0))</formula>
    </cfRule>
    <cfRule type="expression" dxfId="20012" priority="660">
      <formula>AND(IF($Q7=2,1,0),IF($X7&lt;30,1,0))</formula>
    </cfRule>
    <cfRule type="expression" dxfId="20011" priority="661">
      <formula>AND(IF($Q7=3,1,0),IF($X7&lt;30,1,0))</formula>
    </cfRule>
    <cfRule type="expression" dxfId="20010" priority="662">
      <formula>AND(IF($Q7=3,1,IF($Q7=4,1,0)),IF($F7&lt;=85,1,0))</formula>
    </cfRule>
  </conditionalFormatting>
  <conditionalFormatting sqref="AI7">
    <cfRule type="expression" dxfId="20009" priority="655">
      <formula>AND(IF(OR($Q7=1,$Q7=2),1,0),IF($X7&lt;=20,1,0))</formula>
    </cfRule>
    <cfRule type="expression" dxfId="20008" priority="656">
      <formula>AND(IF($Q7=2,1,0),IF($X7&lt;30,1,0))</formula>
    </cfRule>
    <cfRule type="expression" dxfId="20007" priority="657">
      <formula>AND(IF($Q7=3,1,0),IF($X7&lt;30,1,0))</formula>
    </cfRule>
    <cfRule type="expression" dxfId="20006" priority="658">
      <formula>AND(IF($Q7=3,1,IF($Q7=4,1,0)),IF($F7&lt;=85,1,0))</formula>
    </cfRule>
  </conditionalFormatting>
  <conditionalFormatting sqref="AV8">
    <cfRule type="expression" dxfId="20005" priority="653">
      <formula>AV8="X"</formula>
    </cfRule>
    <cfRule type="expression" dxfId="20004" priority="654">
      <formula>AV8="후보"</formula>
    </cfRule>
  </conditionalFormatting>
  <conditionalFormatting sqref="AC8 N8">
    <cfRule type="cellIs" dxfId="20003" priority="651" operator="greaterThan">
      <formula>0.9</formula>
    </cfRule>
    <cfRule type="cellIs" dxfId="20002" priority="652" operator="greaterThan">
      <formula>0.85</formula>
    </cfRule>
  </conditionalFormatting>
  <conditionalFormatting sqref="AV9">
    <cfRule type="expression" dxfId="20001" priority="649">
      <formula>AV9="X"</formula>
    </cfRule>
    <cfRule type="expression" dxfId="20000" priority="650">
      <formula>AV9="후보"</formula>
    </cfRule>
  </conditionalFormatting>
  <conditionalFormatting sqref="AC9">
    <cfRule type="cellIs" dxfId="19999" priority="647" operator="greaterThan">
      <formula>0.9</formula>
    </cfRule>
    <cfRule type="cellIs" dxfId="19998" priority="648" operator="greaterThan">
      <formula>0.85</formula>
    </cfRule>
  </conditionalFormatting>
  <conditionalFormatting sqref="N9">
    <cfRule type="cellIs" dxfId="19997" priority="645" operator="greaterThan">
      <formula>0.9</formula>
    </cfRule>
    <cfRule type="cellIs" dxfId="19996" priority="646" operator="greaterThan">
      <formula>0.85</formula>
    </cfRule>
  </conditionalFormatting>
  <conditionalFormatting sqref="E9">
    <cfRule type="expression" dxfId="19995" priority="641">
      <formula>AND(IF(OR($Q9=1,$Q9=2),1,0),IF($X9&lt;=20,1,0))</formula>
    </cfRule>
    <cfRule type="expression" dxfId="19994" priority="642">
      <formula>AND(IF($Q9=2,1,0),IF($X9&lt;30,1,0))</formula>
    </cfRule>
    <cfRule type="expression" dxfId="19993" priority="643">
      <formula>AND(IF($Q9=3,1,0),IF($X9&lt;30,1,0))</formula>
    </cfRule>
    <cfRule type="expression" dxfId="19992" priority="644">
      <formula>AND(IF($Q9=3,1,IF($Q9=4,1,0)),IF($F9&lt;=85,1,0))</formula>
    </cfRule>
  </conditionalFormatting>
  <conditionalFormatting sqref="X9">
    <cfRule type="expression" dxfId="19991" priority="637">
      <formula>AND(IF(OR($Q9=1,$Q9=2),1,0),IF($X9&lt;=20,1,0))</formula>
    </cfRule>
    <cfRule type="expression" dxfId="19990" priority="638">
      <formula>AND(IF($Q9=2,1,0),IF($X9&lt;30,1,0))</formula>
    </cfRule>
    <cfRule type="expression" dxfId="19989" priority="639">
      <formula>AND(IF($Q9=3,1,0),IF($X9&lt;30,1,0))</formula>
    </cfRule>
    <cfRule type="expression" dxfId="19988" priority="640">
      <formula>AND(IF($Q9=3,1,IF($Q9=4,1,0)),IF($F9&lt;=85,1,0))</formula>
    </cfRule>
  </conditionalFormatting>
  <conditionalFormatting sqref="AI9">
    <cfRule type="expression" dxfId="19987" priority="633">
      <formula>AND(IF(OR($Q9=1,$Q9=2),1,0),IF($X9&lt;=20,1,0))</formula>
    </cfRule>
    <cfRule type="expression" dxfId="19986" priority="634">
      <formula>AND(IF($Q9=2,1,0),IF($X9&lt;30,1,0))</formula>
    </cfRule>
    <cfRule type="expression" dxfId="19985" priority="635">
      <formula>AND(IF($Q9=3,1,0),IF($X9&lt;30,1,0))</formula>
    </cfRule>
    <cfRule type="expression" dxfId="19984" priority="636">
      <formula>AND(IF($Q9=3,1,IF($Q9=4,1,0)),IF($F9&lt;=85,1,0))</formula>
    </cfRule>
  </conditionalFormatting>
  <conditionalFormatting sqref="AV10">
    <cfRule type="expression" dxfId="19983" priority="631">
      <formula>AV10="X"</formula>
    </cfRule>
    <cfRule type="expression" dxfId="19982" priority="632">
      <formula>AV10="후보"</formula>
    </cfRule>
  </conditionalFormatting>
  <conditionalFormatting sqref="AC10">
    <cfRule type="cellIs" dxfId="19981" priority="629" operator="greaterThan">
      <formula>0.9</formula>
    </cfRule>
    <cfRule type="cellIs" dxfId="19980" priority="630" operator="greaterThan">
      <formula>0.85</formula>
    </cfRule>
  </conditionalFormatting>
  <conditionalFormatting sqref="N10">
    <cfRule type="cellIs" dxfId="19979" priority="627" operator="greaterThan">
      <formula>0.9</formula>
    </cfRule>
    <cfRule type="cellIs" dxfId="19978" priority="628" operator="greaterThan">
      <formula>0.85</formula>
    </cfRule>
  </conditionalFormatting>
  <conditionalFormatting sqref="E10">
    <cfRule type="expression" dxfId="19977" priority="623">
      <formula>AND(IF(OR($Q10=1,$Q10=2),1,0),IF($X10&lt;=20,1,0))</formula>
    </cfRule>
    <cfRule type="expression" dxfId="19976" priority="624">
      <formula>AND(IF($Q10=2,1,0),IF($X10&lt;30,1,0))</formula>
    </cfRule>
    <cfRule type="expression" dxfId="19975" priority="625">
      <formula>AND(IF($Q10=3,1,0),IF($X10&lt;30,1,0))</formula>
    </cfRule>
    <cfRule type="expression" dxfId="19974" priority="626">
      <formula>AND(IF($Q10=3,1,IF($Q10=4,1,0)),IF($F10&lt;=85,1,0))</formula>
    </cfRule>
  </conditionalFormatting>
  <conditionalFormatting sqref="X10">
    <cfRule type="expression" dxfId="19973" priority="619">
      <formula>AND(IF(OR($Q10=1,$Q10=2),1,0),IF($X10&lt;=20,1,0))</formula>
    </cfRule>
    <cfRule type="expression" dxfId="19972" priority="620">
      <formula>AND(IF($Q10=2,1,0),IF($X10&lt;30,1,0))</formula>
    </cfRule>
    <cfRule type="expression" dxfId="19971" priority="621">
      <formula>AND(IF($Q10=3,1,0),IF($X10&lt;30,1,0))</formula>
    </cfRule>
    <cfRule type="expression" dxfId="19970" priority="622">
      <formula>AND(IF($Q10=3,1,IF($Q10=4,1,0)),IF($F10&lt;=85,1,0))</formula>
    </cfRule>
  </conditionalFormatting>
  <conditionalFormatting sqref="AI10">
    <cfRule type="expression" dxfId="19969" priority="615">
      <formula>AND(IF(OR($Q10=1,$Q10=2),1,0),IF($X10&lt;=20,1,0))</formula>
    </cfRule>
    <cfRule type="expression" dxfId="19968" priority="616">
      <formula>AND(IF($Q10=2,1,0),IF($X10&lt;30,1,0))</formula>
    </cfRule>
    <cfRule type="expression" dxfId="19967" priority="617">
      <formula>AND(IF($Q10=3,1,0),IF($X10&lt;30,1,0))</formula>
    </cfRule>
    <cfRule type="expression" dxfId="19966" priority="618">
      <formula>AND(IF($Q10=3,1,IF($Q10=4,1,0)),IF($F10&lt;=85,1,0))</formula>
    </cfRule>
  </conditionalFormatting>
  <conditionalFormatting sqref="AV11">
    <cfRule type="expression" dxfId="19965" priority="613">
      <formula>AV11="X"</formula>
    </cfRule>
    <cfRule type="expression" dxfId="19964" priority="614">
      <formula>AV11="후보"</formula>
    </cfRule>
  </conditionalFormatting>
  <conditionalFormatting sqref="AC11 N11">
    <cfRule type="cellIs" dxfId="19963" priority="611" operator="greaterThan">
      <formula>0.9</formula>
    </cfRule>
    <cfRule type="cellIs" dxfId="19962" priority="612" operator="greaterThan">
      <formula>0.85</formula>
    </cfRule>
  </conditionalFormatting>
  <conditionalFormatting sqref="AV12">
    <cfRule type="expression" dxfId="19961" priority="609">
      <formula>AV12="X"</formula>
    </cfRule>
    <cfRule type="expression" dxfId="19960" priority="610">
      <formula>AV12="후보"</formula>
    </cfRule>
  </conditionalFormatting>
  <conditionalFormatting sqref="AC12">
    <cfRule type="cellIs" dxfId="19959" priority="607" operator="greaterThan">
      <formula>0.9</formula>
    </cfRule>
    <cfRule type="cellIs" dxfId="19958" priority="608" operator="greaterThan">
      <formula>0.85</formula>
    </cfRule>
  </conditionalFormatting>
  <conditionalFormatting sqref="N12">
    <cfRule type="cellIs" dxfId="19957" priority="605" operator="greaterThan">
      <formula>0.9</formula>
    </cfRule>
    <cfRule type="cellIs" dxfId="19956" priority="606" operator="greaterThan">
      <formula>0.85</formula>
    </cfRule>
  </conditionalFormatting>
  <conditionalFormatting sqref="E12">
    <cfRule type="expression" dxfId="19955" priority="601">
      <formula>AND(IF(OR($Q12=1,$Q12=2),1,0),IF($X12&lt;=20,1,0))</formula>
    </cfRule>
    <cfRule type="expression" dxfId="19954" priority="602">
      <formula>AND(IF($Q12=2,1,0),IF($X12&lt;30,1,0))</formula>
    </cfRule>
    <cfRule type="expression" dxfId="19953" priority="603">
      <formula>AND(IF($Q12=3,1,0),IF($X12&lt;30,1,0))</formula>
    </cfRule>
    <cfRule type="expression" dxfId="19952" priority="604">
      <formula>AND(IF($Q12=3,1,IF($Q12=4,1,0)),IF($F12&lt;=85,1,0))</formula>
    </cfRule>
  </conditionalFormatting>
  <conditionalFormatting sqref="X12">
    <cfRule type="expression" dxfId="19951" priority="597">
      <formula>AND(IF(OR($Q12=1,$Q12=2),1,0),IF($X12&lt;=20,1,0))</formula>
    </cfRule>
    <cfRule type="expression" dxfId="19950" priority="598">
      <formula>AND(IF($Q12=2,1,0),IF($X12&lt;30,1,0))</formula>
    </cfRule>
    <cfRule type="expression" dxfId="19949" priority="599">
      <formula>AND(IF($Q12=3,1,0),IF($X12&lt;30,1,0))</formula>
    </cfRule>
    <cfRule type="expression" dxfId="19948" priority="600">
      <formula>AND(IF($Q12=3,1,IF($Q12=4,1,0)),IF($F12&lt;=85,1,0))</formula>
    </cfRule>
  </conditionalFormatting>
  <conditionalFormatting sqref="AI12">
    <cfRule type="expression" dxfId="19947" priority="593">
      <formula>AND(IF(OR($Q12=1,$Q12=2),1,0),IF($X12&lt;=20,1,0))</formula>
    </cfRule>
    <cfRule type="expression" dxfId="19946" priority="594">
      <formula>AND(IF($Q12=2,1,0),IF($X12&lt;30,1,0))</formula>
    </cfRule>
    <cfRule type="expression" dxfId="19945" priority="595">
      <formula>AND(IF($Q12=3,1,0),IF($X12&lt;30,1,0))</formula>
    </cfRule>
    <cfRule type="expression" dxfId="19944" priority="596">
      <formula>AND(IF($Q12=3,1,IF($Q12=4,1,0)),IF($F12&lt;=85,1,0))</formula>
    </cfRule>
  </conditionalFormatting>
  <conditionalFormatting sqref="AV13">
    <cfRule type="expression" dxfId="19943" priority="591">
      <formula>AV13="X"</formula>
    </cfRule>
    <cfRule type="expression" dxfId="19942" priority="592">
      <formula>AV13="후보"</formula>
    </cfRule>
  </conditionalFormatting>
  <conditionalFormatting sqref="AC13">
    <cfRule type="cellIs" dxfId="19941" priority="589" operator="greaterThan">
      <formula>0.9</formula>
    </cfRule>
    <cfRule type="cellIs" dxfId="19940" priority="590" operator="greaterThan">
      <formula>0.85</formula>
    </cfRule>
  </conditionalFormatting>
  <conditionalFormatting sqref="N13">
    <cfRule type="cellIs" dxfId="19939" priority="587" operator="greaterThan">
      <formula>0.9</formula>
    </cfRule>
    <cfRule type="cellIs" dxfId="19938" priority="588" operator="greaterThan">
      <formula>0.85</formula>
    </cfRule>
  </conditionalFormatting>
  <conditionalFormatting sqref="E13">
    <cfRule type="expression" dxfId="19937" priority="583">
      <formula>AND(IF(OR($Q13=1,$Q13=2),1,0),IF($X13&lt;=20,1,0))</formula>
    </cfRule>
    <cfRule type="expression" dxfId="19936" priority="584">
      <formula>AND(IF($Q13=2,1,0),IF($X13&lt;30,1,0))</formula>
    </cfRule>
    <cfRule type="expression" dxfId="19935" priority="585">
      <formula>AND(IF($Q13=3,1,0),IF($X13&lt;30,1,0))</formula>
    </cfRule>
    <cfRule type="expression" dxfId="19934" priority="586">
      <formula>AND(IF($Q13=3,1,IF($Q13=4,1,0)),IF($F13&lt;=85,1,0))</formula>
    </cfRule>
  </conditionalFormatting>
  <conditionalFormatting sqref="X13">
    <cfRule type="expression" dxfId="19933" priority="579">
      <formula>AND(IF(OR($Q13=1,$Q13=2),1,0),IF($X13&lt;=20,1,0))</formula>
    </cfRule>
    <cfRule type="expression" dxfId="19932" priority="580">
      <formula>AND(IF($Q13=2,1,0),IF($X13&lt;30,1,0))</formula>
    </cfRule>
    <cfRule type="expression" dxfId="19931" priority="581">
      <formula>AND(IF($Q13=3,1,0),IF($X13&lt;30,1,0))</formula>
    </cfRule>
    <cfRule type="expression" dxfId="19930" priority="582">
      <formula>AND(IF($Q13=3,1,IF($Q13=4,1,0)),IF($F13&lt;=85,1,0))</formula>
    </cfRule>
  </conditionalFormatting>
  <conditionalFormatting sqref="AI13">
    <cfRule type="expression" dxfId="19929" priority="575">
      <formula>AND(IF(OR($Q13=1,$Q13=2),1,0),IF($X13&lt;=20,1,0))</formula>
    </cfRule>
    <cfRule type="expression" dxfId="19928" priority="576">
      <formula>AND(IF($Q13=2,1,0),IF($X13&lt;30,1,0))</formula>
    </cfRule>
    <cfRule type="expression" dxfId="19927" priority="577">
      <formula>AND(IF($Q13=3,1,0),IF($X13&lt;30,1,0))</formula>
    </cfRule>
    <cfRule type="expression" dxfId="19926" priority="578">
      <formula>AND(IF($Q13=3,1,IF($Q13=4,1,0)),IF($F13&lt;=85,1,0))</formula>
    </cfRule>
  </conditionalFormatting>
  <conditionalFormatting sqref="AV14">
    <cfRule type="expression" dxfId="19925" priority="573">
      <formula>AV14="X"</formula>
    </cfRule>
    <cfRule type="expression" dxfId="19924" priority="574">
      <formula>AV14="후보"</formula>
    </cfRule>
  </conditionalFormatting>
  <conditionalFormatting sqref="AC14">
    <cfRule type="cellIs" dxfId="19923" priority="571" operator="greaterThan">
      <formula>0.9</formula>
    </cfRule>
    <cfRule type="cellIs" dxfId="19922" priority="572" operator="greaterThan">
      <formula>0.85</formula>
    </cfRule>
  </conditionalFormatting>
  <conditionalFormatting sqref="N14">
    <cfRule type="cellIs" dxfId="19921" priority="569" operator="greaterThan">
      <formula>0.9</formula>
    </cfRule>
    <cfRule type="cellIs" dxfId="19920" priority="570" operator="greaterThan">
      <formula>0.85</formula>
    </cfRule>
  </conditionalFormatting>
  <conditionalFormatting sqref="E14">
    <cfRule type="expression" dxfId="19919" priority="565">
      <formula>AND(IF(OR($Q14=1,$Q14=2),1,0),IF($X14&lt;=20,1,0))</formula>
    </cfRule>
    <cfRule type="expression" dxfId="19918" priority="566">
      <formula>AND(IF($Q14=2,1,0),IF($X14&lt;30,1,0))</formula>
    </cfRule>
    <cfRule type="expression" dxfId="19917" priority="567">
      <formula>AND(IF($Q14=3,1,0),IF($X14&lt;30,1,0))</formula>
    </cfRule>
    <cfRule type="expression" dxfId="19916" priority="568">
      <formula>AND(IF($Q14=3,1,IF($Q14=4,1,0)),IF($F14&lt;=85,1,0))</formula>
    </cfRule>
  </conditionalFormatting>
  <conditionalFormatting sqref="X14">
    <cfRule type="expression" dxfId="19915" priority="561">
      <formula>AND(IF(OR($Q14=1,$Q14=2),1,0),IF($X14&lt;=20,1,0))</formula>
    </cfRule>
    <cfRule type="expression" dxfId="19914" priority="562">
      <formula>AND(IF($Q14=2,1,0),IF($X14&lt;30,1,0))</formula>
    </cfRule>
    <cfRule type="expression" dxfId="19913" priority="563">
      <formula>AND(IF($Q14=3,1,0),IF($X14&lt;30,1,0))</formula>
    </cfRule>
    <cfRule type="expression" dxfId="19912" priority="564">
      <formula>AND(IF($Q14=3,1,IF($Q14=4,1,0)),IF($F14&lt;=85,1,0))</formula>
    </cfRule>
  </conditionalFormatting>
  <conditionalFormatting sqref="AI14">
    <cfRule type="expression" dxfId="19911" priority="557">
      <formula>AND(IF(OR($Q14=1,$Q14=2),1,0),IF($X14&lt;=20,1,0))</formula>
    </cfRule>
    <cfRule type="expression" dxfId="19910" priority="558">
      <formula>AND(IF($Q14=2,1,0),IF($X14&lt;30,1,0))</formula>
    </cfRule>
    <cfRule type="expression" dxfId="19909" priority="559">
      <formula>AND(IF($Q14=3,1,0),IF($X14&lt;30,1,0))</formula>
    </cfRule>
    <cfRule type="expression" dxfId="19908" priority="560">
      <formula>AND(IF($Q14=3,1,IF($Q14=4,1,0)),IF($F14&lt;=85,1,0))</formula>
    </cfRule>
  </conditionalFormatting>
  <conditionalFormatting sqref="AV15">
    <cfRule type="expression" dxfId="19907" priority="555">
      <formula>AV15="X"</formula>
    </cfRule>
    <cfRule type="expression" dxfId="19906" priority="556">
      <formula>AV15="후보"</formula>
    </cfRule>
  </conditionalFormatting>
  <conditionalFormatting sqref="AC15">
    <cfRule type="cellIs" dxfId="19905" priority="553" operator="greaterThan">
      <formula>0.9</formula>
    </cfRule>
    <cfRule type="cellIs" dxfId="19904" priority="554" operator="greaterThan">
      <formula>0.85</formula>
    </cfRule>
  </conditionalFormatting>
  <conditionalFormatting sqref="N15">
    <cfRule type="cellIs" dxfId="19903" priority="551" operator="greaterThan">
      <formula>0.9</formula>
    </cfRule>
    <cfRule type="cellIs" dxfId="19902" priority="552" operator="greaterThan">
      <formula>0.85</formula>
    </cfRule>
  </conditionalFormatting>
  <conditionalFormatting sqref="E15">
    <cfRule type="expression" dxfId="19901" priority="547">
      <formula>AND(IF(OR($Q15=1,$Q15=2),1,0),IF($X15&lt;=20,1,0))</formula>
    </cfRule>
    <cfRule type="expression" dxfId="19900" priority="548">
      <formula>AND(IF($Q15=2,1,0),IF($X15&lt;30,1,0))</formula>
    </cfRule>
    <cfRule type="expression" dxfId="19899" priority="549">
      <formula>AND(IF($Q15=3,1,0),IF($X15&lt;30,1,0))</formula>
    </cfRule>
    <cfRule type="expression" dxfId="19898" priority="550">
      <formula>AND(IF($Q15=3,1,IF($Q15=4,1,0)),IF($F15&lt;=85,1,0))</formula>
    </cfRule>
  </conditionalFormatting>
  <conditionalFormatting sqref="X15">
    <cfRule type="expression" dxfId="19897" priority="543">
      <formula>AND(IF(OR($Q15=1,$Q15=2),1,0),IF($X15&lt;=20,1,0))</formula>
    </cfRule>
    <cfRule type="expression" dxfId="19896" priority="544">
      <formula>AND(IF($Q15=2,1,0),IF($X15&lt;30,1,0))</formula>
    </cfRule>
    <cfRule type="expression" dxfId="19895" priority="545">
      <formula>AND(IF($Q15=3,1,0),IF($X15&lt;30,1,0))</formula>
    </cfRule>
    <cfRule type="expression" dxfId="19894" priority="546">
      <formula>AND(IF($Q15=3,1,IF($Q15=4,1,0)),IF($F15&lt;=85,1,0))</formula>
    </cfRule>
  </conditionalFormatting>
  <conditionalFormatting sqref="AI15">
    <cfRule type="expression" dxfId="19893" priority="539">
      <formula>AND(IF(OR($Q15=1,$Q15=2),1,0),IF($X15&lt;=20,1,0))</formula>
    </cfRule>
    <cfRule type="expression" dxfId="19892" priority="540">
      <formula>AND(IF($Q15=2,1,0),IF($X15&lt;30,1,0))</formula>
    </cfRule>
    <cfRule type="expression" dxfId="19891" priority="541">
      <formula>AND(IF($Q15=3,1,0),IF($X15&lt;30,1,0))</formula>
    </cfRule>
    <cfRule type="expression" dxfId="19890" priority="542">
      <formula>AND(IF($Q15=3,1,IF($Q15=4,1,0)),IF($F15&lt;=85,1,0))</formula>
    </cfRule>
  </conditionalFormatting>
  <conditionalFormatting sqref="AV16">
    <cfRule type="expression" dxfId="19889" priority="537">
      <formula>AV16="X"</formula>
    </cfRule>
    <cfRule type="expression" dxfId="19888" priority="538">
      <formula>AV16="후보"</formula>
    </cfRule>
  </conditionalFormatting>
  <conditionalFormatting sqref="AC16">
    <cfRule type="cellIs" dxfId="19887" priority="535" operator="greaterThan">
      <formula>0.9</formula>
    </cfRule>
    <cfRule type="cellIs" dxfId="19886" priority="536" operator="greaterThan">
      <formula>0.85</formula>
    </cfRule>
  </conditionalFormatting>
  <conditionalFormatting sqref="N16">
    <cfRule type="cellIs" dxfId="19885" priority="533" operator="greaterThan">
      <formula>0.9</formula>
    </cfRule>
    <cfRule type="cellIs" dxfId="19884" priority="534" operator="greaterThan">
      <formula>0.85</formula>
    </cfRule>
  </conditionalFormatting>
  <conditionalFormatting sqref="E16">
    <cfRule type="expression" dxfId="19883" priority="529">
      <formula>AND(IF(OR($Q16=1,$Q16=2),1,0),IF($X16&lt;=20,1,0))</formula>
    </cfRule>
    <cfRule type="expression" dxfId="19882" priority="530">
      <formula>AND(IF($Q16=2,1,0),IF($X16&lt;30,1,0))</formula>
    </cfRule>
    <cfRule type="expression" dxfId="19881" priority="531">
      <formula>AND(IF($Q16=3,1,0),IF($X16&lt;30,1,0))</formula>
    </cfRule>
    <cfRule type="expression" dxfId="19880" priority="532">
      <formula>AND(IF($Q16=3,1,IF($Q16=4,1,0)),IF($F16&lt;=85,1,0))</formula>
    </cfRule>
  </conditionalFormatting>
  <conditionalFormatting sqref="X16">
    <cfRule type="expression" dxfId="19879" priority="525">
      <formula>AND(IF(OR($Q16=1,$Q16=2),1,0),IF($X16&lt;=20,1,0))</formula>
    </cfRule>
    <cfRule type="expression" dxfId="19878" priority="526">
      <formula>AND(IF($Q16=2,1,0),IF($X16&lt;30,1,0))</formula>
    </cfRule>
    <cfRule type="expression" dxfId="19877" priority="527">
      <formula>AND(IF($Q16=3,1,0),IF($X16&lt;30,1,0))</formula>
    </cfRule>
    <cfRule type="expression" dxfId="19876" priority="528">
      <formula>AND(IF($Q16=3,1,IF($Q16=4,1,0)),IF($F16&lt;=85,1,0))</formula>
    </cfRule>
  </conditionalFormatting>
  <conditionalFormatting sqref="AI16">
    <cfRule type="expression" dxfId="19875" priority="521">
      <formula>AND(IF(OR($Q16=1,$Q16=2),1,0),IF($X16&lt;=20,1,0))</formula>
    </cfRule>
    <cfRule type="expression" dxfId="19874" priority="522">
      <formula>AND(IF($Q16=2,1,0),IF($X16&lt;30,1,0))</formula>
    </cfRule>
    <cfRule type="expression" dxfId="19873" priority="523">
      <formula>AND(IF($Q16=3,1,0),IF($X16&lt;30,1,0))</formula>
    </cfRule>
    <cfRule type="expression" dxfId="19872" priority="524">
      <formula>AND(IF($Q16=3,1,IF($Q16=4,1,0)),IF($F16&lt;=85,1,0))</formula>
    </cfRule>
  </conditionalFormatting>
  <conditionalFormatting sqref="AV17">
    <cfRule type="expression" dxfId="19871" priority="519">
      <formula>AV17="X"</formula>
    </cfRule>
    <cfRule type="expression" dxfId="19870" priority="520">
      <formula>AV17="후보"</formula>
    </cfRule>
  </conditionalFormatting>
  <conditionalFormatting sqref="AC17">
    <cfRule type="cellIs" dxfId="19869" priority="517" operator="greaterThan">
      <formula>0.9</formula>
    </cfRule>
    <cfRule type="cellIs" dxfId="19868" priority="518" operator="greaterThan">
      <formula>0.85</formula>
    </cfRule>
  </conditionalFormatting>
  <conditionalFormatting sqref="N17">
    <cfRule type="cellIs" dxfId="19867" priority="515" operator="greaterThan">
      <formula>0.9</formula>
    </cfRule>
    <cfRule type="cellIs" dxfId="19866" priority="516" operator="greaterThan">
      <formula>0.85</formula>
    </cfRule>
  </conditionalFormatting>
  <conditionalFormatting sqref="E17">
    <cfRule type="expression" dxfId="19865" priority="511">
      <formula>AND(IF(OR($Q17=1,$Q17=2),1,0),IF($X17&lt;=20,1,0))</formula>
    </cfRule>
    <cfRule type="expression" dxfId="19864" priority="512">
      <formula>AND(IF($Q17=2,1,0),IF($X17&lt;30,1,0))</formula>
    </cfRule>
    <cfRule type="expression" dxfId="19863" priority="513">
      <formula>AND(IF($Q17=3,1,0),IF($X17&lt;30,1,0))</formula>
    </cfRule>
    <cfRule type="expression" dxfId="19862" priority="514">
      <formula>AND(IF($Q17=3,1,IF($Q17=4,1,0)),IF($F17&lt;=85,1,0))</formula>
    </cfRule>
  </conditionalFormatting>
  <conditionalFormatting sqref="X17">
    <cfRule type="expression" dxfId="19861" priority="507">
      <formula>AND(IF(OR($Q17=1,$Q17=2),1,0),IF($X17&lt;=20,1,0))</formula>
    </cfRule>
    <cfRule type="expression" dxfId="19860" priority="508">
      <formula>AND(IF($Q17=2,1,0),IF($X17&lt;30,1,0))</formula>
    </cfRule>
    <cfRule type="expression" dxfId="19859" priority="509">
      <formula>AND(IF($Q17=3,1,0),IF($X17&lt;30,1,0))</formula>
    </cfRule>
    <cfRule type="expression" dxfId="19858" priority="510">
      <formula>AND(IF($Q17=3,1,IF($Q17=4,1,0)),IF($F17&lt;=85,1,0))</formula>
    </cfRule>
  </conditionalFormatting>
  <conditionalFormatting sqref="AI17">
    <cfRule type="expression" dxfId="19857" priority="503">
      <formula>AND(IF(OR($Q17=1,$Q17=2),1,0),IF($X17&lt;=20,1,0))</formula>
    </cfRule>
    <cfRule type="expression" dxfId="19856" priority="504">
      <formula>AND(IF($Q17=2,1,0),IF($X17&lt;30,1,0))</formula>
    </cfRule>
    <cfRule type="expression" dxfId="19855" priority="505">
      <formula>AND(IF($Q17=3,1,0),IF($X17&lt;30,1,0))</formula>
    </cfRule>
    <cfRule type="expression" dxfId="19854" priority="506">
      <formula>AND(IF($Q17=3,1,IF($Q17=4,1,0)),IF($F17&lt;=85,1,0))</formula>
    </cfRule>
  </conditionalFormatting>
  <conditionalFormatting sqref="AV18">
    <cfRule type="expression" dxfId="19853" priority="501">
      <formula>AV18="X"</formula>
    </cfRule>
    <cfRule type="expression" dxfId="19852" priority="502">
      <formula>AV18="후보"</formula>
    </cfRule>
  </conditionalFormatting>
  <conditionalFormatting sqref="AC18 N18">
    <cfRule type="cellIs" dxfId="19851" priority="499" operator="greaterThan">
      <formula>0.9</formula>
    </cfRule>
    <cfRule type="cellIs" dxfId="19850" priority="500" operator="greaterThan">
      <formula>0.85</formula>
    </cfRule>
  </conditionalFormatting>
  <conditionalFormatting sqref="AV19">
    <cfRule type="expression" dxfId="19849" priority="497">
      <formula>AV19="X"</formula>
    </cfRule>
    <cfRule type="expression" dxfId="19848" priority="498">
      <formula>AV19="후보"</formula>
    </cfRule>
  </conditionalFormatting>
  <conditionalFormatting sqref="AC19">
    <cfRule type="cellIs" dxfId="19847" priority="495" operator="greaterThan">
      <formula>0.9</formula>
    </cfRule>
    <cfRule type="cellIs" dxfId="19846" priority="496" operator="greaterThan">
      <formula>0.85</formula>
    </cfRule>
  </conditionalFormatting>
  <conditionalFormatting sqref="N19">
    <cfRule type="cellIs" dxfId="19845" priority="493" operator="greaterThan">
      <formula>0.9</formula>
    </cfRule>
    <cfRule type="cellIs" dxfId="19844" priority="494" operator="greaterThan">
      <formula>0.85</formula>
    </cfRule>
  </conditionalFormatting>
  <conditionalFormatting sqref="E19">
    <cfRule type="expression" dxfId="19843" priority="489">
      <formula>AND(IF(OR($Q19=1,$Q19=2),1,0),IF($X19&lt;=20,1,0))</formula>
    </cfRule>
    <cfRule type="expression" dxfId="19842" priority="490">
      <formula>AND(IF($Q19=2,1,0),IF($X19&lt;30,1,0))</formula>
    </cfRule>
    <cfRule type="expression" dxfId="19841" priority="491">
      <formula>AND(IF($Q19=3,1,0),IF($X19&lt;30,1,0))</formula>
    </cfRule>
    <cfRule type="expression" dxfId="19840" priority="492">
      <formula>AND(IF($Q19=3,1,IF($Q19=4,1,0)),IF($F19&lt;=85,1,0))</formula>
    </cfRule>
  </conditionalFormatting>
  <conditionalFormatting sqref="X19">
    <cfRule type="expression" dxfId="19839" priority="485">
      <formula>AND(IF(OR($Q19=1,$Q19=2),1,0),IF($X19&lt;=20,1,0))</formula>
    </cfRule>
    <cfRule type="expression" dxfId="19838" priority="486">
      <formula>AND(IF($Q19=2,1,0),IF($X19&lt;30,1,0))</formula>
    </cfRule>
    <cfRule type="expression" dxfId="19837" priority="487">
      <formula>AND(IF($Q19=3,1,0),IF($X19&lt;30,1,0))</formula>
    </cfRule>
    <cfRule type="expression" dxfId="19836" priority="488">
      <formula>AND(IF($Q19=3,1,IF($Q19=4,1,0)),IF($F19&lt;=85,1,0))</formula>
    </cfRule>
  </conditionalFormatting>
  <conditionalFormatting sqref="AI19">
    <cfRule type="expression" dxfId="19835" priority="481">
      <formula>AND(IF(OR($Q19=1,$Q19=2),1,0),IF($X19&lt;=20,1,0))</formula>
    </cfRule>
    <cfRule type="expression" dxfId="19834" priority="482">
      <formula>AND(IF($Q19=2,1,0),IF($X19&lt;30,1,0))</formula>
    </cfRule>
    <cfRule type="expression" dxfId="19833" priority="483">
      <formula>AND(IF($Q19=3,1,0),IF($X19&lt;30,1,0))</formula>
    </cfRule>
    <cfRule type="expression" dxfId="19832" priority="484">
      <formula>AND(IF($Q19=3,1,IF($Q19=4,1,0)),IF($F19&lt;=85,1,0))</formula>
    </cfRule>
  </conditionalFormatting>
  <conditionalFormatting sqref="AV20">
    <cfRule type="expression" dxfId="19831" priority="479">
      <formula>AV20="X"</formula>
    </cfRule>
    <cfRule type="expression" dxfId="19830" priority="480">
      <formula>AV20="후보"</formula>
    </cfRule>
  </conditionalFormatting>
  <conditionalFormatting sqref="AC20">
    <cfRule type="cellIs" dxfId="19829" priority="477" operator="greaterThan">
      <formula>0.9</formula>
    </cfRule>
    <cfRule type="cellIs" dxfId="19828" priority="478" operator="greaterThan">
      <formula>0.85</formula>
    </cfRule>
  </conditionalFormatting>
  <conditionalFormatting sqref="N20">
    <cfRule type="cellIs" dxfId="19827" priority="475" operator="greaterThan">
      <formula>0.9</formula>
    </cfRule>
    <cfRule type="cellIs" dxfId="19826" priority="476" operator="greaterThan">
      <formula>0.85</formula>
    </cfRule>
  </conditionalFormatting>
  <conditionalFormatting sqref="E20">
    <cfRule type="expression" dxfId="19825" priority="471">
      <formula>AND(IF(OR($Q20=1,$Q20=2),1,0),IF($X20&lt;=20,1,0))</formula>
    </cfRule>
    <cfRule type="expression" dxfId="19824" priority="472">
      <formula>AND(IF($Q20=2,1,0),IF($X20&lt;30,1,0))</formula>
    </cfRule>
    <cfRule type="expression" dxfId="19823" priority="473">
      <formula>AND(IF($Q20=3,1,0),IF($X20&lt;30,1,0))</formula>
    </cfRule>
    <cfRule type="expression" dxfId="19822" priority="474">
      <formula>AND(IF($Q20=3,1,IF($Q20=4,1,0)),IF($F20&lt;=85,1,0))</formula>
    </cfRule>
  </conditionalFormatting>
  <conditionalFormatting sqref="X20">
    <cfRule type="expression" dxfId="19821" priority="467">
      <formula>AND(IF(OR($Q20=1,$Q20=2),1,0),IF($X20&lt;=20,1,0))</formula>
    </cfRule>
    <cfRule type="expression" dxfId="19820" priority="468">
      <formula>AND(IF($Q20=2,1,0),IF($X20&lt;30,1,0))</formula>
    </cfRule>
    <cfRule type="expression" dxfId="19819" priority="469">
      <formula>AND(IF($Q20=3,1,0),IF($X20&lt;30,1,0))</formula>
    </cfRule>
    <cfRule type="expression" dxfId="19818" priority="470">
      <formula>AND(IF($Q20=3,1,IF($Q20=4,1,0)),IF($F20&lt;=85,1,0))</formula>
    </cfRule>
  </conditionalFormatting>
  <conditionalFormatting sqref="AI20">
    <cfRule type="expression" dxfId="19817" priority="463">
      <formula>AND(IF(OR($Q20=1,$Q20=2),1,0),IF($X20&lt;=20,1,0))</formula>
    </cfRule>
    <cfRule type="expression" dxfId="19816" priority="464">
      <formula>AND(IF($Q20=2,1,0),IF($X20&lt;30,1,0))</formula>
    </cfRule>
    <cfRule type="expression" dxfId="19815" priority="465">
      <formula>AND(IF($Q20=3,1,0),IF($X20&lt;30,1,0))</formula>
    </cfRule>
    <cfRule type="expression" dxfId="19814" priority="466">
      <formula>AND(IF($Q20=3,1,IF($Q20=4,1,0)),IF($F20&lt;=85,1,0))</formula>
    </cfRule>
  </conditionalFormatting>
  <conditionalFormatting sqref="AV21">
    <cfRule type="expression" dxfId="19813" priority="461">
      <formula>AV21="X"</formula>
    </cfRule>
    <cfRule type="expression" dxfId="19812" priority="462">
      <formula>AV21="후보"</formula>
    </cfRule>
  </conditionalFormatting>
  <conditionalFormatting sqref="AC21">
    <cfRule type="cellIs" dxfId="19811" priority="459" operator="greaterThan">
      <formula>0.9</formula>
    </cfRule>
    <cfRule type="cellIs" dxfId="19810" priority="460" operator="greaterThan">
      <formula>0.85</formula>
    </cfRule>
  </conditionalFormatting>
  <conditionalFormatting sqref="N21">
    <cfRule type="cellIs" dxfId="19809" priority="457" operator="greaterThan">
      <formula>0.9</formula>
    </cfRule>
    <cfRule type="cellIs" dxfId="19808" priority="458" operator="greaterThan">
      <formula>0.85</formula>
    </cfRule>
  </conditionalFormatting>
  <conditionalFormatting sqref="E21">
    <cfRule type="expression" dxfId="19807" priority="453">
      <formula>AND(IF(OR($Q21=1,$Q21=2),1,0),IF($X21&lt;=20,1,0))</formula>
    </cfRule>
    <cfRule type="expression" dxfId="19806" priority="454">
      <formula>AND(IF($Q21=2,1,0),IF($X21&lt;30,1,0))</formula>
    </cfRule>
    <cfRule type="expression" dxfId="19805" priority="455">
      <formula>AND(IF($Q21=3,1,0),IF($X21&lt;30,1,0))</formula>
    </cfRule>
    <cfRule type="expression" dxfId="19804" priority="456">
      <formula>AND(IF($Q21=3,1,IF($Q21=4,1,0)),IF($F21&lt;=85,1,0))</formula>
    </cfRule>
  </conditionalFormatting>
  <conditionalFormatting sqref="X21">
    <cfRule type="expression" dxfId="19803" priority="449">
      <formula>AND(IF(OR($Q21=1,$Q21=2),1,0),IF($X21&lt;=20,1,0))</formula>
    </cfRule>
    <cfRule type="expression" dxfId="19802" priority="450">
      <formula>AND(IF($Q21=2,1,0),IF($X21&lt;30,1,0))</formula>
    </cfRule>
    <cfRule type="expression" dxfId="19801" priority="451">
      <formula>AND(IF($Q21=3,1,0),IF($X21&lt;30,1,0))</formula>
    </cfRule>
    <cfRule type="expression" dxfId="19800" priority="452">
      <formula>AND(IF($Q21=3,1,IF($Q21=4,1,0)),IF($F21&lt;=85,1,0))</formula>
    </cfRule>
  </conditionalFormatting>
  <conditionalFormatting sqref="AI21">
    <cfRule type="expression" dxfId="19799" priority="445">
      <formula>AND(IF(OR($Q21=1,$Q21=2),1,0),IF($X21&lt;=20,1,0))</formula>
    </cfRule>
    <cfRule type="expression" dxfId="19798" priority="446">
      <formula>AND(IF($Q21=2,1,0),IF($X21&lt;30,1,0))</formula>
    </cfRule>
    <cfRule type="expression" dxfId="19797" priority="447">
      <formula>AND(IF($Q21=3,1,0),IF($X21&lt;30,1,0))</formula>
    </cfRule>
    <cfRule type="expression" dxfId="19796" priority="448">
      <formula>AND(IF($Q21=3,1,IF($Q21=4,1,0)),IF($F21&lt;=85,1,0))</formula>
    </cfRule>
  </conditionalFormatting>
  <conditionalFormatting sqref="AV22">
    <cfRule type="expression" dxfId="19795" priority="443">
      <formula>AV22="X"</formula>
    </cfRule>
    <cfRule type="expression" dxfId="19794" priority="444">
      <formula>AV22="후보"</formula>
    </cfRule>
  </conditionalFormatting>
  <conditionalFormatting sqref="AC22">
    <cfRule type="cellIs" dxfId="19793" priority="441" operator="greaterThan">
      <formula>0.9</formula>
    </cfRule>
    <cfRule type="cellIs" dxfId="19792" priority="442" operator="greaterThan">
      <formula>0.85</formula>
    </cfRule>
  </conditionalFormatting>
  <conditionalFormatting sqref="N22">
    <cfRule type="cellIs" dxfId="19791" priority="439" operator="greaterThan">
      <formula>0.9</formula>
    </cfRule>
    <cfRule type="cellIs" dxfId="19790" priority="440" operator="greaterThan">
      <formula>0.85</formula>
    </cfRule>
  </conditionalFormatting>
  <conditionalFormatting sqref="E22">
    <cfRule type="expression" dxfId="19789" priority="435">
      <formula>AND(IF(OR($Q22=1,$Q22=2),1,0),IF($X22&lt;=20,1,0))</formula>
    </cfRule>
    <cfRule type="expression" dxfId="19788" priority="436">
      <formula>AND(IF($Q22=2,1,0),IF($X22&lt;30,1,0))</formula>
    </cfRule>
    <cfRule type="expression" dxfId="19787" priority="437">
      <formula>AND(IF($Q22=3,1,0),IF($X22&lt;30,1,0))</formula>
    </cfRule>
    <cfRule type="expression" dxfId="19786" priority="438">
      <formula>AND(IF($Q22=3,1,IF($Q22=4,1,0)),IF($F22&lt;=85,1,0))</formula>
    </cfRule>
  </conditionalFormatting>
  <conditionalFormatting sqref="X22">
    <cfRule type="expression" dxfId="19785" priority="431">
      <formula>AND(IF(OR($Q22=1,$Q22=2),1,0),IF($X22&lt;=20,1,0))</formula>
    </cfRule>
    <cfRule type="expression" dxfId="19784" priority="432">
      <formula>AND(IF($Q22=2,1,0),IF($X22&lt;30,1,0))</formula>
    </cfRule>
    <cfRule type="expression" dxfId="19783" priority="433">
      <formula>AND(IF($Q22=3,1,0),IF($X22&lt;30,1,0))</formula>
    </cfRule>
    <cfRule type="expression" dxfId="19782" priority="434">
      <formula>AND(IF($Q22=3,1,IF($Q22=4,1,0)),IF($F22&lt;=85,1,0))</formula>
    </cfRule>
  </conditionalFormatting>
  <conditionalFormatting sqref="AI22">
    <cfRule type="expression" dxfId="19781" priority="427">
      <formula>AND(IF(OR($Q22=1,$Q22=2),1,0),IF($X22&lt;=20,1,0))</formula>
    </cfRule>
    <cfRule type="expression" dxfId="19780" priority="428">
      <formula>AND(IF($Q22=2,1,0),IF($X22&lt;30,1,0))</formula>
    </cfRule>
    <cfRule type="expression" dxfId="19779" priority="429">
      <formula>AND(IF($Q22=3,1,0),IF($X22&lt;30,1,0))</formula>
    </cfRule>
    <cfRule type="expression" dxfId="19778" priority="430">
      <formula>AND(IF($Q22=3,1,IF($Q22=4,1,0)),IF($F22&lt;=85,1,0))</formula>
    </cfRule>
  </conditionalFormatting>
  <conditionalFormatting sqref="AV23">
    <cfRule type="expression" dxfId="19777" priority="425">
      <formula>AV23="X"</formula>
    </cfRule>
    <cfRule type="expression" dxfId="19776" priority="426">
      <formula>AV23="후보"</formula>
    </cfRule>
  </conditionalFormatting>
  <conditionalFormatting sqref="AC23">
    <cfRule type="cellIs" dxfId="19775" priority="423" operator="greaterThan">
      <formula>0.9</formula>
    </cfRule>
    <cfRule type="cellIs" dxfId="19774" priority="424" operator="greaterThan">
      <formula>0.85</formula>
    </cfRule>
  </conditionalFormatting>
  <conditionalFormatting sqref="N23">
    <cfRule type="cellIs" dxfId="19773" priority="421" operator="greaterThan">
      <formula>0.9</formula>
    </cfRule>
    <cfRule type="cellIs" dxfId="19772" priority="422" operator="greaterThan">
      <formula>0.85</formula>
    </cfRule>
  </conditionalFormatting>
  <conditionalFormatting sqref="E23">
    <cfRule type="expression" dxfId="19771" priority="417">
      <formula>AND(IF(OR($Q23=1,$Q23=2),1,0),IF($X23&lt;=20,1,0))</formula>
    </cfRule>
    <cfRule type="expression" dxfId="19770" priority="418">
      <formula>AND(IF($Q23=2,1,0),IF($X23&lt;30,1,0))</formula>
    </cfRule>
    <cfRule type="expression" dxfId="19769" priority="419">
      <formula>AND(IF($Q23=3,1,0),IF($X23&lt;30,1,0))</formula>
    </cfRule>
    <cfRule type="expression" dxfId="19768" priority="420">
      <formula>AND(IF($Q23=3,1,IF($Q23=4,1,0)),IF($F23&lt;=85,1,0))</formula>
    </cfRule>
  </conditionalFormatting>
  <conditionalFormatting sqref="X23">
    <cfRule type="expression" dxfId="19767" priority="413">
      <formula>AND(IF(OR($Q23=1,$Q23=2),1,0),IF($X23&lt;=20,1,0))</formula>
    </cfRule>
    <cfRule type="expression" dxfId="19766" priority="414">
      <formula>AND(IF($Q23=2,1,0),IF($X23&lt;30,1,0))</formula>
    </cfRule>
    <cfRule type="expression" dxfId="19765" priority="415">
      <formula>AND(IF($Q23=3,1,0),IF($X23&lt;30,1,0))</formula>
    </cfRule>
    <cfRule type="expression" dxfId="19764" priority="416">
      <formula>AND(IF($Q23=3,1,IF($Q23=4,1,0)),IF($F23&lt;=85,1,0))</formula>
    </cfRule>
  </conditionalFormatting>
  <conditionalFormatting sqref="AI23">
    <cfRule type="expression" dxfId="19763" priority="409">
      <formula>AND(IF(OR($Q23=1,$Q23=2),1,0),IF($X23&lt;=20,1,0))</formula>
    </cfRule>
    <cfRule type="expression" dxfId="19762" priority="410">
      <formula>AND(IF($Q23=2,1,0),IF($X23&lt;30,1,0))</formula>
    </cfRule>
    <cfRule type="expression" dxfId="19761" priority="411">
      <formula>AND(IF($Q23=3,1,0),IF($X23&lt;30,1,0))</formula>
    </cfRule>
    <cfRule type="expression" dxfId="19760" priority="412">
      <formula>AND(IF($Q23=3,1,IF($Q23=4,1,0)),IF($F23&lt;=85,1,0))</formula>
    </cfRule>
  </conditionalFormatting>
  <conditionalFormatting sqref="AV24">
    <cfRule type="expression" dxfId="19759" priority="407">
      <formula>AV24="X"</formula>
    </cfRule>
    <cfRule type="expression" dxfId="19758" priority="408">
      <formula>AV24="후보"</formula>
    </cfRule>
  </conditionalFormatting>
  <conditionalFormatting sqref="AC24">
    <cfRule type="cellIs" dxfId="19757" priority="405" operator="greaterThan">
      <formula>0.9</formula>
    </cfRule>
    <cfRule type="cellIs" dxfId="19756" priority="406" operator="greaterThan">
      <formula>0.85</formula>
    </cfRule>
  </conditionalFormatting>
  <conditionalFormatting sqref="N24">
    <cfRule type="cellIs" dxfId="19755" priority="403" operator="greaterThan">
      <formula>0.9</formula>
    </cfRule>
    <cfRule type="cellIs" dxfId="19754" priority="404" operator="greaterThan">
      <formula>0.85</formula>
    </cfRule>
  </conditionalFormatting>
  <conditionalFormatting sqref="E24">
    <cfRule type="expression" dxfId="19753" priority="399">
      <formula>AND(IF(OR($Q24=1,$Q24=2),1,0),IF($X24&lt;=20,1,0))</formula>
    </cfRule>
    <cfRule type="expression" dxfId="19752" priority="400">
      <formula>AND(IF($Q24=2,1,0),IF($X24&lt;30,1,0))</formula>
    </cfRule>
    <cfRule type="expression" dxfId="19751" priority="401">
      <formula>AND(IF($Q24=3,1,0),IF($X24&lt;30,1,0))</formula>
    </cfRule>
    <cfRule type="expression" dxfId="19750" priority="402">
      <formula>AND(IF($Q24=3,1,IF($Q24=4,1,0)),IF($F24&lt;=85,1,0))</formula>
    </cfRule>
  </conditionalFormatting>
  <conditionalFormatting sqref="X24">
    <cfRule type="expression" dxfId="19749" priority="395">
      <formula>AND(IF(OR($Q24=1,$Q24=2),1,0),IF($X24&lt;=20,1,0))</formula>
    </cfRule>
    <cfRule type="expression" dxfId="19748" priority="396">
      <formula>AND(IF($Q24=2,1,0),IF($X24&lt;30,1,0))</formula>
    </cfRule>
    <cfRule type="expression" dxfId="19747" priority="397">
      <formula>AND(IF($Q24=3,1,0),IF($X24&lt;30,1,0))</formula>
    </cfRule>
    <cfRule type="expression" dxfId="19746" priority="398">
      <formula>AND(IF($Q24=3,1,IF($Q24=4,1,0)),IF($F24&lt;=85,1,0))</formula>
    </cfRule>
  </conditionalFormatting>
  <conditionalFormatting sqref="AI24">
    <cfRule type="expression" dxfId="19745" priority="391">
      <formula>AND(IF(OR($Q24=1,$Q24=2),1,0),IF($X24&lt;=20,1,0))</formula>
    </cfRule>
    <cfRule type="expression" dxfId="19744" priority="392">
      <formula>AND(IF($Q24=2,1,0),IF($X24&lt;30,1,0))</formula>
    </cfRule>
    <cfRule type="expression" dxfId="19743" priority="393">
      <formula>AND(IF($Q24=3,1,0),IF($X24&lt;30,1,0))</formula>
    </cfRule>
    <cfRule type="expression" dxfId="19742" priority="394">
      <formula>AND(IF($Q24=3,1,IF($Q24=4,1,0)),IF($F24&lt;=85,1,0))</formula>
    </cfRule>
  </conditionalFormatting>
  <conditionalFormatting sqref="AV25">
    <cfRule type="expression" dxfId="19741" priority="389">
      <formula>AV25="X"</formula>
    </cfRule>
    <cfRule type="expression" dxfId="19740" priority="390">
      <formula>AV25="후보"</formula>
    </cfRule>
  </conditionalFormatting>
  <conditionalFormatting sqref="AC25">
    <cfRule type="cellIs" dxfId="19739" priority="387" operator="greaterThan">
      <formula>0.9</formula>
    </cfRule>
    <cfRule type="cellIs" dxfId="19738" priority="388" operator="greaterThan">
      <formula>0.85</formula>
    </cfRule>
  </conditionalFormatting>
  <conditionalFormatting sqref="N25">
    <cfRule type="cellIs" dxfId="19737" priority="385" operator="greaterThan">
      <formula>0.9</formula>
    </cfRule>
    <cfRule type="cellIs" dxfId="19736" priority="386" operator="greaterThan">
      <formula>0.85</formula>
    </cfRule>
  </conditionalFormatting>
  <conditionalFormatting sqref="E25">
    <cfRule type="expression" dxfId="19735" priority="381">
      <formula>AND(IF(OR($Q25=1,$Q25=2),1,0),IF($X25&lt;=20,1,0))</formula>
    </cfRule>
    <cfRule type="expression" dxfId="19734" priority="382">
      <formula>AND(IF($Q25=2,1,0),IF($X25&lt;30,1,0))</formula>
    </cfRule>
    <cfRule type="expression" dxfId="19733" priority="383">
      <formula>AND(IF($Q25=3,1,0),IF($X25&lt;30,1,0))</formula>
    </cfRule>
    <cfRule type="expression" dxfId="19732" priority="384">
      <formula>AND(IF($Q25=3,1,IF($Q25=4,1,0)),IF($F25&lt;=85,1,0))</formula>
    </cfRule>
  </conditionalFormatting>
  <conditionalFormatting sqref="X25">
    <cfRule type="expression" dxfId="19731" priority="377">
      <formula>AND(IF(OR($Q25=1,$Q25=2),1,0),IF($X25&lt;=20,1,0))</formula>
    </cfRule>
    <cfRule type="expression" dxfId="19730" priority="378">
      <formula>AND(IF($Q25=2,1,0),IF($X25&lt;30,1,0))</formula>
    </cfRule>
    <cfRule type="expression" dxfId="19729" priority="379">
      <formula>AND(IF($Q25=3,1,0),IF($X25&lt;30,1,0))</formula>
    </cfRule>
    <cfRule type="expression" dxfId="19728" priority="380">
      <formula>AND(IF($Q25=3,1,IF($Q25=4,1,0)),IF($F25&lt;=85,1,0))</formula>
    </cfRule>
  </conditionalFormatting>
  <conditionalFormatting sqref="AI25">
    <cfRule type="expression" dxfId="19727" priority="373">
      <formula>AND(IF(OR($Q25=1,$Q25=2),1,0),IF($X25&lt;=20,1,0))</formula>
    </cfRule>
    <cfRule type="expression" dxfId="19726" priority="374">
      <formula>AND(IF($Q25=2,1,0),IF($X25&lt;30,1,0))</formula>
    </cfRule>
    <cfRule type="expression" dxfId="19725" priority="375">
      <formula>AND(IF($Q25=3,1,0),IF($X25&lt;30,1,0))</formula>
    </cfRule>
    <cfRule type="expression" dxfId="19724" priority="376">
      <formula>AND(IF($Q25=3,1,IF($Q25=4,1,0)),IF($F25&lt;=85,1,0))</formula>
    </cfRule>
  </conditionalFormatting>
  <conditionalFormatting sqref="AV26">
    <cfRule type="expression" dxfId="19723" priority="371">
      <formula>AV26="X"</formula>
    </cfRule>
    <cfRule type="expression" dxfId="19722" priority="372">
      <formula>AV26="후보"</formula>
    </cfRule>
  </conditionalFormatting>
  <conditionalFormatting sqref="AC26 N26">
    <cfRule type="cellIs" dxfId="19721" priority="369" operator="greaterThan">
      <formula>0.9</formula>
    </cfRule>
    <cfRule type="cellIs" dxfId="19720" priority="370" operator="greaterThan">
      <formula>0.85</formula>
    </cfRule>
  </conditionalFormatting>
  <conditionalFormatting sqref="AV27">
    <cfRule type="expression" dxfId="19719" priority="367">
      <formula>AV27="X"</formula>
    </cfRule>
    <cfRule type="expression" dxfId="19718" priority="368">
      <formula>AV27="후보"</formula>
    </cfRule>
  </conditionalFormatting>
  <conditionalFormatting sqref="AC27">
    <cfRule type="cellIs" dxfId="19717" priority="365" operator="greaterThan">
      <formula>0.9</formula>
    </cfRule>
    <cfRule type="cellIs" dxfId="19716" priority="366" operator="greaterThan">
      <formula>0.85</formula>
    </cfRule>
  </conditionalFormatting>
  <conditionalFormatting sqref="N27">
    <cfRule type="cellIs" dxfId="19715" priority="363" operator="greaterThan">
      <formula>0.9</formula>
    </cfRule>
    <cfRule type="cellIs" dxfId="19714" priority="364" operator="greaterThan">
      <formula>0.85</formula>
    </cfRule>
  </conditionalFormatting>
  <conditionalFormatting sqref="E27">
    <cfRule type="expression" dxfId="19713" priority="359">
      <formula>AND(IF(OR($Q27=1,$Q27=2),1,0),IF($X27&lt;=20,1,0))</formula>
    </cfRule>
    <cfRule type="expression" dxfId="19712" priority="360">
      <formula>AND(IF($Q27=2,1,0),IF($X27&lt;30,1,0))</formula>
    </cfRule>
    <cfRule type="expression" dxfId="19711" priority="361">
      <formula>AND(IF($Q27=3,1,0),IF($X27&lt;30,1,0))</formula>
    </cfRule>
    <cfRule type="expression" dxfId="19710" priority="362">
      <formula>AND(IF($Q27=3,1,IF($Q27=4,1,0)),IF($F27&lt;=85,1,0))</formula>
    </cfRule>
  </conditionalFormatting>
  <conditionalFormatting sqref="X27">
    <cfRule type="expression" dxfId="19709" priority="355">
      <formula>AND(IF(OR($Q27=1,$Q27=2),1,0),IF($X27&lt;=20,1,0))</formula>
    </cfRule>
    <cfRule type="expression" dxfId="19708" priority="356">
      <formula>AND(IF($Q27=2,1,0),IF($X27&lt;30,1,0))</formula>
    </cfRule>
    <cfRule type="expression" dxfId="19707" priority="357">
      <formula>AND(IF($Q27=3,1,0),IF($X27&lt;30,1,0))</formula>
    </cfRule>
    <cfRule type="expression" dxfId="19706" priority="358">
      <formula>AND(IF($Q27=3,1,IF($Q27=4,1,0)),IF($F27&lt;=85,1,0))</formula>
    </cfRule>
  </conditionalFormatting>
  <conditionalFormatting sqref="AI27">
    <cfRule type="expression" dxfId="19705" priority="351">
      <formula>AND(IF(OR($Q27=1,$Q27=2),1,0),IF($X27&lt;=20,1,0))</formula>
    </cfRule>
    <cfRule type="expression" dxfId="19704" priority="352">
      <formula>AND(IF($Q27=2,1,0),IF($X27&lt;30,1,0))</formula>
    </cfRule>
    <cfRule type="expression" dxfId="19703" priority="353">
      <formula>AND(IF($Q27=3,1,0),IF($X27&lt;30,1,0))</formula>
    </cfRule>
    <cfRule type="expression" dxfId="19702" priority="354">
      <formula>AND(IF($Q27=3,1,IF($Q27=4,1,0)),IF($F27&lt;=85,1,0))</formula>
    </cfRule>
  </conditionalFormatting>
  <conditionalFormatting sqref="AV28">
    <cfRule type="expression" dxfId="19701" priority="349">
      <formula>AV28="X"</formula>
    </cfRule>
    <cfRule type="expression" dxfId="19700" priority="350">
      <formula>AV28="후보"</formula>
    </cfRule>
  </conditionalFormatting>
  <conditionalFormatting sqref="AC28">
    <cfRule type="cellIs" dxfId="19699" priority="347" operator="greaterThan">
      <formula>0.9</formula>
    </cfRule>
    <cfRule type="cellIs" dxfId="19698" priority="348" operator="greaterThan">
      <formula>0.85</formula>
    </cfRule>
  </conditionalFormatting>
  <conditionalFormatting sqref="N28">
    <cfRule type="cellIs" dxfId="19697" priority="345" operator="greaterThan">
      <formula>0.9</formula>
    </cfRule>
    <cfRule type="cellIs" dxfId="19696" priority="346" operator="greaterThan">
      <formula>0.85</formula>
    </cfRule>
  </conditionalFormatting>
  <conditionalFormatting sqref="E28">
    <cfRule type="expression" dxfId="19695" priority="341">
      <formula>AND(IF(OR($Q28=1,$Q28=2),1,0),IF($X28&lt;=20,1,0))</formula>
    </cfRule>
    <cfRule type="expression" dxfId="19694" priority="342">
      <formula>AND(IF($Q28=2,1,0),IF($X28&lt;30,1,0))</formula>
    </cfRule>
    <cfRule type="expression" dxfId="19693" priority="343">
      <formula>AND(IF($Q28=3,1,0),IF($X28&lt;30,1,0))</formula>
    </cfRule>
    <cfRule type="expression" dxfId="19692" priority="344">
      <formula>AND(IF($Q28=3,1,IF($Q28=4,1,0)),IF($F28&lt;=85,1,0))</formula>
    </cfRule>
  </conditionalFormatting>
  <conditionalFormatting sqref="X28">
    <cfRule type="expression" dxfId="19691" priority="337">
      <formula>AND(IF(OR($Q28=1,$Q28=2),1,0),IF($X28&lt;=20,1,0))</formula>
    </cfRule>
    <cfRule type="expression" dxfId="19690" priority="338">
      <formula>AND(IF($Q28=2,1,0),IF($X28&lt;30,1,0))</formula>
    </cfRule>
    <cfRule type="expression" dxfId="19689" priority="339">
      <formula>AND(IF($Q28=3,1,0),IF($X28&lt;30,1,0))</formula>
    </cfRule>
    <cfRule type="expression" dxfId="19688" priority="340">
      <formula>AND(IF($Q28=3,1,IF($Q28=4,1,0)),IF($F28&lt;=85,1,0))</formula>
    </cfRule>
  </conditionalFormatting>
  <conditionalFormatting sqref="AI28">
    <cfRule type="expression" dxfId="19687" priority="333">
      <formula>AND(IF(OR($Q28=1,$Q28=2),1,0),IF($X28&lt;=20,1,0))</formula>
    </cfRule>
    <cfRule type="expression" dxfId="19686" priority="334">
      <formula>AND(IF($Q28=2,1,0),IF($X28&lt;30,1,0))</formula>
    </cfRule>
    <cfRule type="expression" dxfId="19685" priority="335">
      <formula>AND(IF($Q28=3,1,0),IF($X28&lt;30,1,0))</formula>
    </cfRule>
    <cfRule type="expression" dxfId="19684" priority="336">
      <formula>AND(IF($Q28=3,1,IF($Q28=4,1,0)),IF($F28&lt;=85,1,0))</formula>
    </cfRule>
  </conditionalFormatting>
  <conditionalFormatting sqref="AV29">
    <cfRule type="expression" dxfId="19683" priority="331">
      <formula>AV29="X"</formula>
    </cfRule>
    <cfRule type="expression" dxfId="19682" priority="332">
      <formula>AV29="후보"</formula>
    </cfRule>
  </conditionalFormatting>
  <conditionalFormatting sqref="AC29">
    <cfRule type="cellIs" dxfId="19681" priority="329" operator="greaterThan">
      <formula>0.9</formula>
    </cfRule>
    <cfRule type="cellIs" dxfId="19680" priority="330" operator="greaterThan">
      <formula>0.85</formula>
    </cfRule>
  </conditionalFormatting>
  <conditionalFormatting sqref="N29">
    <cfRule type="cellIs" dxfId="19679" priority="327" operator="greaterThan">
      <formula>0.9</formula>
    </cfRule>
    <cfRule type="cellIs" dxfId="19678" priority="328" operator="greaterThan">
      <formula>0.85</formula>
    </cfRule>
  </conditionalFormatting>
  <conditionalFormatting sqref="E29">
    <cfRule type="expression" dxfId="19677" priority="323">
      <formula>AND(IF(OR($Q29=1,$Q29=2),1,0),IF($X29&lt;=20,1,0))</formula>
    </cfRule>
    <cfRule type="expression" dxfId="19676" priority="324">
      <formula>AND(IF($Q29=2,1,0),IF($X29&lt;30,1,0))</formula>
    </cfRule>
    <cfRule type="expression" dxfId="19675" priority="325">
      <formula>AND(IF($Q29=3,1,0),IF($X29&lt;30,1,0))</formula>
    </cfRule>
    <cfRule type="expression" dxfId="19674" priority="326">
      <formula>AND(IF($Q29=3,1,IF($Q29=4,1,0)),IF($F29&lt;=85,1,0))</formula>
    </cfRule>
  </conditionalFormatting>
  <conditionalFormatting sqref="X29">
    <cfRule type="expression" dxfId="19673" priority="319">
      <formula>AND(IF(OR($Q29=1,$Q29=2),1,0),IF($X29&lt;=20,1,0))</formula>
    </cfRule>
    <cfRule type="expression" dxfId="19672" priority="320">
      <formula>AND(IF($Q29=2,1,0),IF($X29&lt;30,1,0))</formula>
    </cfRule>
    <cfRule type="expression" dxfId="19671" priority="321">
      <formula>AND(IF($Q29=3,1,0),IF($X29&lt;30,1,0))</formula>
    </cfRule>
    <cfRule type="expression" dxfId="19670" priority="322">
      <formula>AND(IF($Q29=3,1,IF($Q29=4,1,0)),IF($F29&lt;=85,1,0))</formula>
    </cfRule>
  </conditionalFormatting>
  <conditionalFormatting sqref="AI29">
    <cfRule type="expression" dxfId="19669" priority="315">
      <formula>AND(IF(OR($Q29=1,$Q29=2),1,0),IF($X29&lt;=20,1,0))</formula>
    </cfRule>
    <cfRule type="expression" dxfId="19668" priority="316">
      <formula>AND(IF($Q29=2,1,0),IF($X29&lt;30,1,0))</formula>
    </cfRule>
    <cfRule type="expression" dxfId="19667" priority="317">
      <formula>AND(IF($Q29=3,1,0),IF($X29&lt;30,1,0))</formula>
    </cfRule>
    <cfRule type="expression" dxfId="19666" priority="318">
      <formula>AND(IF($Q29=3,1,IF($Q29=4,1,0)),IF($F29&lt;=85,1,0))</formula>
    </cfRule>
  </conditionalFormatting>
  <conditionalFormatting sqref="AV30">
    <cfRule type="expression" dxfId="19665" priority="313">
      <formula>AV30="X"</formula>
    </cfRule>
    <cfRule type="expression" dxfId="19664" priority="314">
      <formula>AV30="후보"</formula>
    </cfRule>
  </conditionalFormatting>
  <conditionalFormatting sqref="AC30 N30">
    <cfRule type="cellIs" dxfId="19663" priority="311" operator="greaterThan">
      <formula>0.9</formula>
    </cfRule>
    <cfRule type="cellIs" dxfId="19662" priority="312" operator="greaterThan">
      <formula>0.85</formula>
    </cfRule>
  </conditionalFormatting>
  <conditionalFormatting sqref="AV31">
    <cfRule type="expression" dxfId="19661" priority="309">
      <formula>AV31="X"</formula>
    </cfRule>
    <cfRule type="expression" dxfId="19660" priority="310">
      <formula>AV31="후보"</formula>
    </cfRule>
  </conditionalFormatting>
  <conditionalFormatting sqref="AC31">
    <cfRule type="cellIs" dxfId="19659" priority="307" operator="greaterThan">
      <formula>0.9</formula>
    </cfRule>
    <cfRule type="cellIs" dxfId="19658" priority="308" operator="greaterThan">
      <formula>0.85</formula>
    </cfRule>
  </conditionalFormatting>
  <conditionalFormatting sqref="N31">
    <cfRule type="cellIs" dxfId="19657" priority="305" operator="greaterThan">
      <formula>0.9</formula>
    </cfRule>
    <cfRule type="cellIs" dxfId="19656" priority="306" operator="greaterThan">
      <formula>0.85</formula>
    </cfRule>
  </conditionalFormatting>
  <conditionalFormatting sqref="E31">
    <cfRule type="expression" dxfId="19655" priority="301">
      <formula>AND(IF(OR($Q31=1,$Q31=2),1,0),IF($X31&lt;=20,1,0))</formula>
    </cfRule>
    <cfRule type="expression" dxfId="19654" priority="302">
      <formula>AND(IF($Q31=2,1,0),IF($X31&lt;30,1,0))</formula>
    </cfRule>
    <cfRule type="expression" dxfId="19653" priority="303">
      <formula>AND(IF($Q31=3,1,0),IF($X31&lt;30,1,0))</formula>
    </cfRule>
    <cfRule type="expression" dxfId="19652" priority="304">
      <formula>AND(IF($Q31=3,1,IF($Q31=4,1,0)),IF($F31&lt;=85,1,0))</formula>
    </cfRule>
  </conditionalFormatting>
  <conditionalFormatting sqref="X31">
    <cfRule type="expression" dxfId="19651" priority="297">
      <formula>AND(IF(OR($Q31=1,$Q31=2),1,0),IF($X31&lt;=20,1,0))</formula>
    </cfRule>
    <cfRule type="expression" dxfId="19650" priority="298">
      <formula>AND(IF($Q31=2,1,0),IF($X31&lt;30,1,0))</formula>
    </cfRule>
    <cfRule type="expression" dxfId="19649" priority="299">
      <formula>AND(IF($Q31=3,1,0),IF($X31&lt;30,1,0))</formula>
    </cfRule>
    <cfRule type="expression" dxfId="19648" priority="300">
      <formula>AND(IF($Q31=3,1,IF($Q31=4,1,0)),IF($F31&lt;=85,1,0))</formula>
    </cfRule>
  </conditionalFormatting>
  <conditionalFormatting sqref="AI31">
    <cfRule type="expression" dxfId="19647" priority="293">
      <formula>AND(IF(OR($Q31=1,$Q31=2),1,0),IF($X31&lt;=20,1,0))</formula>
    </cfRule>
    <cfRule type="expression" dxfId="19646" priority="294">
      <formula>AND(IF($Q31=2,1,0),IF($X31&lt;30,1,0))</formula>
    </cfRule>
    <cfRule type="expression" dxfId="19645" priority="295">
      <formula>AND(IF($Q31=3,1,0),IF($X31&lt;30,1,0))</formula>
    </cfRule>
    <cfRule type="expression" dxfId="19644" priority="296">
      <formula>AND(IF($Q31=3,1,IF($Q31=4,1,0)),IF($F31&lt;=85,1,0))</formula>
    </cfRule>
  </conditionalFormatting>
  <conditionalFormatting sqref="AV32">
    <cfRule type="expression" dxfId="19643" priority="291">
      <formula>AV32="X"</formula>
    </cfRule>
    <cfRule type="expression" dxfId="19642" priority="292">
      <formula>AV32="후보"</formula>
    </cfRule>
  </conditionalFormatting>
  <conditionalFormatting sqref="AC32">
    <cfRule type="cellIs" dxfId="19641" priority="289" operator="greaterThan">
      <formula>0.9</formula>
    </cfRule>
    <cfRule type="cellIs" dxfId="19640" priority="290" operator="greaterThan">
      <formula>0.85</formula>
    </cfRule>
  </conditionalFormatting>
  <conditionalFormatting sqref="N32">
    <cfRule type="cellIs" dxfId="19639" priority="287" operator="greaterThan">
      <formula>0.9</formula>
    </cfRule>
    <cfRule type="cellIs" dxfId="19638" priority="288" operator="greaterThan">
      <formula>0.85</formula>
    </cfRule>
  </conditionalFormatting>
  <conditionalFormatting sqref="E32">
    <cfRule type="expression" dxfId="19637" priority="283">
      <formula>AND(IF(OR($Q32=1,$Q32=2),1,0),IF($X32&lt;=20,1,0))</formula>
    </cfRule>
    <cfRule type="expression" dxfId="19636" priority="284">
      <formula>AND(IF($Q32=2,1,0),IF($X32&lt;30,1,0))</formula>
    </cfRule>
    <cfRule type="expression" dxfId="19635" priority="285">
      <formula>AND(IF($Q32=3,1,0),IF($X32&lt;30,1,0))</formula>
    </cfRule>
    <cfRule type="expression" dxfId="19634" priority="286">
      <formula>AND(IF($Q32=3,1,IF($Q32=4,1,0)),IF($F32&lt;=85,1,0))</formula>
    </cfRule>
  </conditionalFormatting>
  <conditionalFormatting sqref="X32">
    <cfRule type="expression" dxfId="19633" priority="279">
      <formula>AND(IF(OR($Q32=1,$Q32=2),1,0),IF($X32&lt;=20,1,0))</formula>
    </cfRule>
    <cfRule type="expression" dxfId="19632" priority="280">
      <formula>AND(IF($Q32=2,1,0),IF($X32&lt;30,1,0))</formula>
    </cfRule>
    <cfRule type="expression" dxfId="19631" priority="281">
      <formula>AND(IF($Q32=3,1,0),IF($X32&lt;30,1,0))</formula>
    </cfRule>
    <cfRule type="expression" dxfId="19630" priority="282">
      <formula>AND(IF($Q32=3,1,IF($Q32=4,1,0)),IF($F32&lt;=85,1,0))</formula>
    </cfRule>
  </conditionalFormatting>
  <conditionalFormatting sqref="AI32">
    <cfRule type="expression" dxfId="19629" priority="275">
      <formula>AND(IF(OR($Q32=1,$Q32=2),1,0),IF($X32&lt;=20,1,0))</formula>
    </cfRule>
    <cfRule type="expression" dxfId="19628" priority="276">
      <formula>AND(IF($Q32=2,1,0),IF($X32&lt;30,1,0))</formula>
    </cfRule>
    <cfRule type="expression" dxfId="19627" priority="277">
      <formula>AND(IF($Q32=3,1,0),IF($X32&lt;30,1,0))</formula>
    </cfRule>
    <cfRule type="expression" dxfId="19626" priority="278">
      <formula>AND(IF($Q32=3,1,IF($Q32=4,1,0)),IF($F32&lt;=85,1,0))</formula>
    </cfRule>
  </conditionalFormatting>
  <conditionalFormatting sqref="AV33">
    <cfRule type="expression" dxfId="19625" priority="273">
      <formula>AV33="X"</formula>
    </cfRule>
    <cfRule type="expression" dxfId="19624" priority="274">
      <formula>AV33="후보"</formula>
    </cfRule>
  </conditionalFormatting>
  <conditionalFormatting sqref="AC33">
    <cfRule type="cellIs" dxfId="19623" priority="271" operator="greaterThan">
      <formula>0.9</formula>
    </cfRule>
    <cfRule type="cellIs" dxfId="19622" priority="272" operator="greaterThan">
      <formula>0.85</formula>
    </cfRule>
  </conditionalFormatting>
  <conditionalFormatting sqref="N33">
    <cfRule type="cellIs" dxfId="19621" priority="269" operator="greaterThan">
      <formula>0.9</formula>
    </cfRule>
    <cfRule type="cellIs" dxfId="19620" priority="270" operator="greaterThan">
      <formula>0.85</formula>
    </cfRule>
  </conditionalFormatting>
  <conditionalFormatting sqref="E33">
    <cfRule type="expression" dxfId="19619" priority="265">
      <formula>AND(IF(OR($Q33=1,$Q33=2),1,0),IF($X33&lt;=20,1,0))</formula>
    </cfRule>
    <cfRule type="expression" dxfId="19618" priority="266">
      <formula>AND(IF($Q33=2,1,0),IF($X33&lt;30,1,0))</formula>
    </cfRule>
    <cfRule type="expression" dxfId="19617" priority="267">
      <formula>AND(IF($Q33=3,1,0),IF($X33&lt;30,1,0))</formula>
    </cfRule>
    <cfRule type="expression" dxfId="19616" priority="268">
      <formula>AND(IF($Q33=3,1,IF($Q33=4,1,0)),IF($F33&lt;=85,1,0))</formula>
    </cfRule>
  </conditionalFormatting>
  <conditionalFormatting sqref="X33">
    <cfRule type="expression" dxfId="19615" priority="261">
      <formula>AND(IF(OR($Q33=1,$Q33=2),1,0),IF($X33&lt;=20,1,0))</formula>
    </cfRule>
    <cfRule type="expression" dxfId="19614" priority="262">
      <formula>AND(IF($Q33=2,1,0),IF($X33&lt;30,1,0))</formula>
    </cfRule>
    <cfRule type="expression" dxfId="19613" priority="263">
      <formula>AND(IF($Q33=3,1,0),IF($X33&lt;30,1,0))</formula>
    </cfRule>
    <cfRule type="expression" dxfId="19612" priority="264">
      <formula>AND(IF($Q33=3,1,IF($Q33=4,1,0)),IF($F33&lt;=85,1,0))</formula>
    </cfRule>
  </conditionalFormatting>
  <conditionalFormatting sqref="AI33">
    <cfRule type="expression" dxfId="19611" priority="257">
      <formula>AND(IF(OR($Q33=1,$Q33=2),1,0),IF($X33&lt;=20,1,0))</formula>
    </cfRule>
    <cfRule type="expression" dxfId="19610" priority="258">
      <formula>AND(IF($Q33=2,1,0),IF($X33&lt;30,1,0))</formula>
    </cfRule>
    <cfRule type="expression" dxfId="19609" priority="259">
      <formula>AND(IF($Q33=3,1,0),IF($X33&lt;30,1,0))</formula>
    </cfRule>
    <cfRule type="expression" dxfId="19608" priority="260">
      <formula>AND(IF($Q33=3,1,IF($Q33=4,1,0)),IF($F33&lt;=85,1,0))</formula>
    </cfRule>
  </conditionalFormatting>
  <conditionalFormatting sqref="AV34">
    <cfRule type="expression" dxfId="19607" priority="255">
      <formula>AV34="X"</formula>
    </cfRule>
    <cfRule type="expression" dxfId="19606" priority="256">
      <formula>AV34="후보"</formula>
    </cfRule>
  </conditionalFormatting>
  <conditionalFormatting sqref="AC34">
    <cfRule type="cellIs" dxfId="19605" priority="253" operator="greaterThan">
      <formula>0.9</formula>
    </cfRule>
    <cfRule type="cellIs" dxfId="19604" priority="254" operator="greaterThan">
      <formula>0.85</formula>
    </cfRule>
  </conditionalFormatting>
  <conditionalFormatting sqref="N34">
    <cfRule type="cellIs" dxfId="19603" priority="251" operator="greaterThan">
      <formula>0.9</formula>
    </cfRule>
    <cfRule type="cellIs" dxfId="19602" priority="252" operator="greaterThan">
      <formula>0.85</formula>
    </cfRule>
  </conditionalFormatting>
  <conditionalFormatting sqref="E34">
    <cfRule type="expression" dxfId="19601" priority="247">
      <formula>AND(IF(OR($Q34=1,$Q34=2),1,0),IF($X34&lt;=20,1,0))</formula>
    </cfRule>
    <cfRule type="expression" dxfId="19600" priority="248">
      <formula>AND(IF($Q34=2,1,0),IF($X34&lt;30,1,0))</formula>
    </cfRule>
    <cfRule type="expression" dxfId="19599" priority="249">
      <formula>AND(IF($Q34=3,1,0),IF($X34&lt;30,1,0))</formula>
    </cfRule>
    <cfRule type="expression" dxfId="19598" priority="250">
      <formula>AND(IF($Q34=3,1,IF($Q34=4,1,0)),IF($F34&lt;=85,1,0))</formula>
    </cfRule>
  </conditionalFormatting>
  <conditionalFormatting sqref="X34">
    <cfRule type="expression" dxfId="19597" priority="243">
      <formula>AND(IF(OR($Q34=1,$Q34=2),1,0),IF($X34&lt;=20,1,0))</formula>
    </cfRule>
    <cfRule type="expression" dxfId="19596" priority="244">
      <formula>AND(IF($Q34=2,1,0),IF($X34&lt;30,1,0))</formula>
    </cfRule>
    <cfRule type="expression" dxfId="19595" priority="245">
      <formula>AND(IF($Q34=3,1,0),IF($X34&lt;30,1,0))</formula>
    </cfRule>
    <cfRule type="expression" dxfId="19594" priority="246">
      <formula>AND(IF($Q34=3,1,IF($Q34=4,1,0)),IF($F34&lt;=85,1,0))</formula>
    </cfRule>
  </conditionalFormatting>
  <conditionalFormatting sqref="AI34">
    <cfRule type="expression" dxfId="19593" priority="239">
      <formula>AND(IF(OR($Q34=1,$Q34=2),1,0),IF($X34&lt;=20,1,0))</formula>
    </cfRule>
    <cfRule type="expression" dxfId="19592" priority="240">
      <formula>AND(IF($Q34=2,1,0),IF($X34&lt;30,1,0))</formula>
    </cfRule>
    <cfRule type="expression" dxfId="19591" priority="241">
      <formula>AND(IF($Q34=3,1,0),IF($X34&lt;30,1,0))</formula>
    </cfRule>
    <cfRule type="expression" dxfId="19590" priority="242">
      <formula>AND(IF($Q34=3,1,IF($Q34=4,1,0)),IF($F34&lt;=85,1,0))</formula>
    </cfRule>
  </conditionalFormatting>
  <conditionalFormatting sqref="AV35">
    <cfRule type="expression" dxfId="19589" priority="237">
      <formula>AV35="X"</formula>
    </cfRule>
    <cfRule type="expression" dxfId="19588" priority="238">
      <formula>AV35="후보"</formula>
    </cfRule>
  </conditionalFormatting>
  <conditionalFormatting sqref="AC35">
    <cfRule type="cellIs" dxfId="19587" priority="235" operator="greaterThan">
      <formula>0.9</formula>
    </cfRule>
    <cfRule type="cellIs" dxfId="19586" priority="236" operator="greaterThan">
      <formula>0.85</formula>
    </cfRule>
  </conditionalFormatting>
  <conditionalFormatting sqref="N35">
    <cfRule type="cellIs" dxfId="19585" priority="233" operator="greaterThan">
      <formula>0.9</formula>
    </cfRule>
    <cfRule type="cellIs" dxfId="19584" priority="234" operator="greaterThan">
      <formula>0.85</formula>
    </cfRule>
  </conditionalFormatting>
  <conditionalFormatting sqref="E35">
    <cfRule type="expression" dxfId="19583" priority="229">
      <formula>AND(IF(OR($Q35=1,$Q35=2),1,0),IF($X35&lt;=20,1,0))</formula>
    </cfRule>
    <cfRule type="expression" dxfId="19582" priority="230">
      <formula>AND(IF($Q35=2,1,0),IF($X35&lt;30,1,0))</formula>
    </cfRule>
    <cfRule type="expression" dxfId="19581" priority="231">
      <formula>AND(IF($Q35=3,1,0),IF($X35&lt;30,1,0))</formula>
    </cfRule>
    <cfRule type="expression" dxfId="19580" priority="232">
      <formula>AND(IF($Q35=3,1,IF($Q35=4,1,0)),IF($F35&lt;=85,1,0))</formula>
    </cfRule>
  </conditionalFormatting>
  <conditionalFormatting sqref="X35">
    <cfRule type="expression" dxfId="19579" priority="225">
      <formula>AND(IF(OR($Q35=1,$Q35=2),1,0),IF($X35&lt;=20,1,0))</formula>
    </cfRule>
    <cfRule type="expression" dxfId="19578" priority="226">
      <formula>AND(IF($Q35=2,1,0),IF($X35&lt;30,1,0))</formula>
    </cfRule>
    <cfRule type="expression" dxfId="19577" priority="227">
      <formula>AND(IF($Q35=3,1,0),IF($X35&lt;30,1,0))</formula>
    </cfRule>
    <cfRule type="expression" dxfId="19576" priority="228">
      <formula>AND(IF($Q35=3,1,IF($Q35=4,1,0)),IF($F35&lt;=85,1,0))</formula>
    </cfRule>
  </conditionalFormatting>
  <conditionalFormatting sqref="AI35">
    <cfRule type="expression" dxfId="19575" priority="221">
      <formula>AND(IF(OR($Q35=1,$Q35=2),1,0),IF($X35&lt;=20,1,0))</formula>
    </cfRule>
    <cfRule type="expression" dxfId="19574" priority="222">
      <formula>AND(IF($Q35=2,1,0),IF($X35&lt;30,1,0))</formula>
    </cfRule>
    <cfRule type="expression" dxfId="19573" priority="223">
      <formula>AND(IF($Q35=3,1,0),IF($X35&lt;30,1,0))</formula>
    </cfRule>
    <cfRule type="expression" dxfId="19572" priority="224">
      <formula>AND(IF($Q35=3,1,IF($Q35=4,1,0)),IF($F35&lt;=85,1,0))</formula>
    </cfRule>
  </conditionalFormatting>
  <conditionalFormatting sqref="AV36">
    <cfRule type="expression" dxfId="19571" priority="219">
      <formula>AV36="X"</formula>
    </cfRule>
    <cfRule type="expression" dxfId="19570" priority="220">
      <formula>AV36="후보"</formula>
    </cfRule>
  </conditionalFormatting>
  <conditionalFormatting sqref="AC36">
    <cfRule type="cellIs" dxfId="19569" priority="217" operator="greaterThan">
      <formula>0.9</formula>
    </cfRule>
    <cfRule type="cellIs" dxfId="19568" priority="218" operator="greaterThan">
      <formula>0.85</formula>
    </cfRule>
  </conditionalFormatting>
  <conditionalFormatting sqref="N36">
    <cfRule type="cellIs" dxfId="19567" priority="215" operator="greaterThan">
      <formula>0.9</formula>
    </cfRule>
    <cfRule type="cellIs" dxfId="19566" priority="216" operator="greaterThan">
      <formula>0.85</formula>
    </cfRule>
  </conditionalFormatting>
  <conditionalFormatting sqref="E36">
    <cfRule type="expression" dxfId="19565" priority="211">
      <formula>AND(IF(OR($Q36=1,$Q36=2),1,0),IF($X36&lt;=20,1,0))</formula>
    </cfRule>
    <cfRule type="expression" dxfId="19564" priority="212">
      <formula>AND(IF($Q36=2,1,0),IF($X36&lt;30,1,0))</formula>
    </cfRule>
    <cfRule type="expression" dxfId="19563" priority="213">
      <formula>AND(IF($Q36=3,1,0),IF($X36&lt;30,1,0))</formula>
    </cfRule>
    <cfRule type="expression" dxfId="19562" priority="214">
      <formula>AND(IF($Q36=3,1,IF($Q36=4,1,0)),IF($F36&lt;=85,1,0))</formula>
    </cfRule>
  </conditionalFormatting>
  <conditionalFormatting sqref="X36">
    <cfRule type="expression" dxfId="19561" priority="207">
      <formula>AND(IF(OR($Q36=1,$Q36=2),1,0),IF($X36&lt;=20,1,0))</formula>
    </cfRule>
    <cfRule type="expression" dxfId="19560" priority="208">
      <formula>AND(IF($Q36=2,1,0),IF($X36&lt;30,1,0))</formula>
    </cfRule>
    <cfRule type="expression" dxfId="19559" priority="209">
      <formula>AND(IF($Q36=3,1,0),IF($X36&lt;30,1,0))</formula>
    </cfRule>
    <cfRule type="expression" dxfId="19558" priority="210">
      <formula>AND(IF($Q36=3,1,IF($Q36=4,1,0)),IF($F36&lt;=85,1,0))</formula>
    </cfRule>
  </conditionalFormatting>
  <conditionalFormatting sqref="AI36">
    <cfRule type="expression" dxfId="19557" priority="203">
      <formula>AND(IF(OR($Q36=1,$Q36=2),1,0),IF($X36&lt;=20,1,0))</formula>
    </cfRule>
    <cfRule type="expression" dxfId="19556" priority="204">
      <formula>AND(IF($Q36=2,1,0),IF($X36&lt;30,1,0))</formula>
    </cfRule>
    <cfRule type="expression" dxfId="19555" priority="205">
      <formula>AND(IF($Q36=3,1,0),IF($X36&lt;30,1,0))</formula>
    </cfRule>
    <cfRule type="expression" dxfId="19554" priority="206">
      <formula>AND(IF($Q36=3,1,IF($Q36=4,1,0)),IF($F36&lt;=85,1,0))</formula>
    </cfRule>
  </conditionalFormatting>
  <conditionalFormatting sqref="AV37">
    <cfRule type="expression" dxfId="19553" priority="201">
      <formula>AV37="X"</formula>
    </cfRule>
    <cfRule type="expression" dxfId="19552" priority="202">
      <formula>AV37="후보"</formula>
    </cfRule>
  </conditionalFormatting>
  <conditionalFormatting sqref="AC37">
    <cfRule type="cellIs" dxfId="19551" priority="199" operator="greaterThan">
      <formula>0.9</formula>
    </cfRule>
    <cfRule type="cellIs" dxfId="19550" priority="200" operator="greaterThan">
      <formula>0.85</formula>
    </cfRule>
  </conditionalFormatting>
  <conditionalFormatting sqref="N37">
    <cfRule type="cellIs" dxfId="19549" priority="197" operator="greaterThan">
      <formula>0.9</formula>
    </cfRule>
    <cfRule type="cellIs" dxfId="19548" priority="198" operator="greaterThan">
      <formula>0.85</formula>
    </cfRule>
  </conditionalFormatting>
  <conditionalFormatting sqref="E37">
    <cfRule type="expression" dxfId="19547" priority="193">
      <formula>AND(IF(OR($Q37=1,$Q37=2),1,0),IF($X37&lt;=20,1,0))</formula>
    </cfRule>
    <cfRule type="expression" dxfId="19546" priority="194">
      <formula>AND(IF($Q37=2,1,0),IF($X37&lt;30,1,0))</formula>
    </cfRule>
    <cfRule type="expression" dxfId="19545" priority="195">
      <formula>AND(IF($Q37=3,1,0),IF($X37&lt;30,1,0))</formula>
    </cfRule>
    <cfRule type="expression" dxfId="19544" priority="196">
      <formula>AND(IF($Q37=3,1,IF($Q37=4,1,0)),IF($F37&lt;=85,1,0))</formula>
    </cfRule>
  </conditionalFormatting>
  <conditionalFormatting sqref="X37">
    <cfRule type="expression" dxfId="19543" priority="189">
      <formula>AND(IF(OR($Q37=1,$Q37=2),1,0),IF($X37&lt;=20,1,0))</formula>
    </cfRule>
    <cfRule type="expression" dxfId="19542" priority="190">
      <formula>AND(IF($Q37=2,1,0),IF($X37&lt;30,1,0))</formula>
    </cfRule>
    <cfRule type="expression" dxfId="19541" priority="191">
      <formula>AND(IF($Q37=3,1,0),IF($X37&lt;30,1,0))</formula>
    </cfRule>
    <cfRule type="expression" dxfId="19540" priority="192">
      <formula>AND(IF($Q37=3,1,IF($Q37=4,1,0)),IF($F37&lt;=85,1,0))</formula>
    </cfRule>
  </conditionalFormatting>
  <conditionalFormatting sqref="AI37">
    <cfRule type="expression" dxfId="19539" priority="185">
      <formula>AND(IF(OR($Q37=1,$Q37=2),1,0),IF($X37&lt;=20,1,0))</formula>
    </cfRule>
    <cfRule type="expression" dxfId="19538" priority="186">
      <formula>AND(IF($Q37=2,1,0),IF($X37&lt;30,1,0))</formula>
    </cfRule>
    <cfRule type="expression" dxfId="19537" priority="187">
      <formula>AND(IF($Q37=3,1,0),IF($X37&lt;30,1,0))</formula>
    </cfRule>
    <cfRule type="expression" dxfId="19536" priority="188">
      <formula>AND(IF($Q37=3,1,IF($Q37=4,1,0)),IF($F37&lt;=85,1,0))</formula>
    </cfRule>
  </conditionalFormatting>
  <conditionalFormatting sqref="AV38">
    <cfRule type="expression" dxfId="19535" priority="183">
      <formula>AV38="X"</formula>
    </cfRule>
    <cfRule type="expression" dxfId="19534" priority="184">
      <formula>AV38="후보"</formula>
    </cfRule>
  </conditionalFormatting>
  <conditionalFormatting sqref="AC38 N38">
    <cfRule type="cellIs" dxfId="19533" priority="181" operator="greaterThan">
      <formula>0.9</formula>
    </cfRule>
    <cfRule type="cellIs" dxfId="19532" priority="182" operator="greaterThan">
      <formula>0.85</formula>
    </cfRule>
  </conditionalFormatting>
  <conditionalFormatting sqref="AV39">
    <cfRule type="expression" dxfId="19531" priority="179">
      <formula>AV39="X"</formula>
    </cfRule>
    <cfRule type="expression" dxfId="19530" priority="180">
      <formula>AV39="후보"</formula>
    </cfRule>
  </conditionalFormatting>
  <conditionalFormatting sqref="AC39">
    <cfRule type="cellIs" dxfId="19529" priority="177" operator="greaterThan">
      <formula>0.9</formula>
    </cfRule>
    <cfRule type="cellIs" dxfId="19528" priority="178" operator="greaterThan">
      <formula>0.85</formula>
    </cfRule>
  </conditionalFormatting>
  <conditionalFormatting sqref="N39">
    <cfRule type="cellIs" dxfId="19527" priority="175" operator="greaterThan">
      <formula>0.9</formula>
    </cfRule>
    <cfRule type="cellIs" dxfId="19526" priority="176" operator="greaterThan">
      <formula>0.85</formula>
    </cfRule>
  </conditionalFormatting>
  <conditionalFormatting sqref="E39">
    <cfRule type="expression" dxfId="19525" priority="171">
      <formula>AND(IF(OR($Q39=1,$Q39=2),1,0),IF($X39&lt;=20,1,0))</formula>
    </cfRule>
    <cfRule type="expression" dxfId="19524" priority="172">
      <formula>AND(IF($Q39=2,1,0),IF($X39&lt;30,1,0))</formula>
    </cfRule>
    <cfRule type="expression" dxfId="19523" priority="173">
      <formula>AND(IF($Q39=3,1,0),IF($X39&lt;30,1,0))</formula>
    </cfRule>
    <cfRule type="expression" dxfId="19522" priority="174">
      <formula>AND(IF($Q39=3,1,IF($Q39=4,1,0)),IF($F39&lt;=85,1,0))</formula>
    </cfRule>
  </conditionalFormatting>
  <conditionalFormatting sqref="X39">
    <cfRule type="expression" dxfId="19521" priority="167">
      <formula>AND(IF(OR($Q39=1,$Q39=2),1,0),IF($X39&lt;=20,1,0))</formula>
    </cfRule>
    <cfRule type="expression" dxfId="19520" priority="168">
      <formula>AND(IF($Q39=2,1,0),IF($X39&lt;30,1,0))</formula>
    </cfRule>
    <cfRule type="expression" dxfId="19519" priority="169">
      <formula>AND(IF($Q39=3,1,0),IF($X39&lt;30,1,0))</formula>
    </cfRule>
    <cfRule type="expression" dxfId="19518" priority="170">
      <formula>AND(IF($Q39=3,1,IF($Q39=4,1,0)),IF($F39&lt;=85,1,0))</formula>
    </cfRule>
  </conditionalFormatting>
  <conditionalFormatting sqref="AI39">
    <cfRule type="expression" dxfId="19517" priority="163">
      <formula>AND(IF(OR($Q39=1,$Q39=2),1,0),IF($X39&lt;=20,1,0))</formula>
    </cfRule>
    <cfRule type="expression" dxfId="19516" priority="164">
      <formula>AND(IF($Q39=2,1,0),IF($X39&lt;30,1,0))</formula>
    </cfRule>
    <cfRule type="expression" dxfId="19515" priority="165">
      <formula>AND(IF($Q39=3,1,0),IF($X39&lt;30,1,0))</formula>
    </cfRule>
    <cfRule type="expression" dxfId="19514" priority="166">
      <formula>AND(IF($Q39=3,1,IF($Q39=4,1,0)),IF($F39&lt;=85,1,0))</formula>
    </cfRule>
  </conditionalFormatting>
  <conditionalFormatting sqref="AV40">
    <cfRule type="expression" dxfId="19513" priority="161">
      <formula>AV40="X"</formula>
    </cfRule>
    <cfRule type="expression" dxfId="19512" priority="162">
      <formula>AV40="후보"</formula>
    </cfRule>
  </conditionalFormatting>
  <conditionalFormatting sqref="AC40">
    <cfRule type="cellIs" dxfId="19511" priority="159" operator="greaterThan">
      <formula>0.9</formula>
    </cfRule>
    <cfRule type="cellIs" dxfId="19510" priority="160" operator="greaterThan">
      <formula>0.85</formula>
    </cfRule>
  </conditionalFormatting>
  <conditionalFormatting sqref="N40">
    <cfRule type="cellIs" dxfId="19509" priority="157" operator="greaterThan">
      <formula>0.9</formula>
    </cfRule>
    <cfRule type="cellIs" dxfId="19508" priority="158" operator="greaterThan">
      <formula>0.85</formula>
    </cfRule>
  </conditionalFormatting>
  <conditionalFormatting sqref="E40">
    <cfRule type="expression" dxfId="19507" priority="153">
      <formula>AND(IF(OR($Q40=1,$Q40=2),1,0),IF($X40&lt;=20,1,0))</formula>
    </cfRule>
    <cfRule type="expression" dxfId="19506" priority="154">
      <formula>AND(IF($Q40=2,1,0),IF($X40&lt;30,1,0))</formula>
    </cfRule>
    <cfRule type="expression" dxfId="19505" priority="155">
      <formula>AND(IF($Q40=3,1,0),IF($X40&lt;30,1,0))</formula>
    </cfRule>
    <cfRule type="expression" dxfId="19504" priority="156">
      <formula>AND(IF($Q40=3,1,IF($Q40=4,1,0)),IF($F40&lt;=85,1,0))</formula>
    </cfRule>
  </conditionalFormatting>
  <conditionalFormatting sqref="X40">
    <cfRule type="expression" dxfId="19503" priority="149">
      <formula>AND(IF(OR($Q40=1,$Q40=2),1,0),IF($X40&lt;=20,1,0))</formula>
    </cfRule>
    <cfRule type="expression" dxfId="19502" priority="150">
      <formula>AND(IF($Q40=2,1,0),IF($X40&lt;30,1,0))</formula>
    </cfRule>
    <cfRule type="expression" dxfId="19501" priority="151">
      <formula>AND(IF($Q40=3,1,0),IF($X40&lt;30,1,0))</formula>
    </cfRule>
    <cfRule type="expression" dxfId="19500" priority="152">
      <formula>AND(IF($Q40=3,1,IF($Q40=4,1,0)),IF($F40&lt;=85,1,0))</formula>
    </cfRule>
  </conditionalFormatting>
  <conditionalFormatting sqref="AI40">
    <cfRule type="expression" dxfId="19499" priority="145">
      <formula>AND(IF(OR($Q40=1,$Q40=2),1,0),IF($X40&lt;=20,1,0))</formula>
    </cfRule>
    <cfRule type="expression" dxfId="19498" priority="146">
      <formula>AND(IF($Q40=2,1,0),IF($X40&lt;30,1,0))</formula>
    </cfRule>
    <cfRule type="expression" dxfId="19497" priority="147">
      <formula>AND(IF($Q40=3,1,0),IF($X40&lt;30,1,0))</formula>
    </cfRule>
    <cfRule type="expression" dxfId="19496" priority="148">
      <formula>AND(IF($Q40=3,1,IF($Q40=4,1,0)),IF($F40&lt;=85,1,0))</formula>
    </cfRule>
  </conditionalFormatting>
  <conditionalFormatting sqref="AV41">
    <cfRule type="expression" dxfId="19495" priority="143">
      <formula>AV41="X"</formula>
    </cfRule>
    <cfRule type="expression" dxfId="19494" priority="144">
      <formula>AV41="후보"</formula>
    </cfRule>
  </conditionalFormatting>
  <conditionalFormatting sqref="AC41">
    <cfRule type="cellIs" dxfId="19493" priority="141" operator="greaterThan">
      <formula>0.9</formula>
    </cfRule>
    <cfRule type="cellIs" dxfId="19492" priority="142" operator="greaterThan">
      <formula>0.85</formula>
    </cfRule>
  </conditionalFormatting>
  <conditionalFormatting sqref="N41">
    <cfRule type="cellIs" dxfId="19491" priority="139" operator="greaterThan">
      <formula>0.9</formula>
    </cfRule>
    <cfRule type="cellIs" dxfId="19490" priority="140" operator="greaterThan">
      <formula>0.85</formula>
    </cfRule>
  </conditionalFormatting>
  <conditionalFormatting sqref="E41">
    <cfRule type="expression" dxfId="19489" priority="135">
      <formula>AND(IF(OR($Q41=1,$Q41=2),1,0),IF($X41&lt;=20,1,0))</formula>
    </cfRule>
    <cfRule type="expression" dxfId="19488" priority="136">
      <formula>AND(IF($Q41=2,1,0),IF($X41&lt;30,1,0))</formula>
    </cfRule>
    <cfRule type="expression" dxfId="19487" priority="137">
      <formula>AND(IF($Q41=3,1,0),IF($X41&lt;30,1,0))</formula>
    </cfRule>
    <cfRule type="expression" dxfId="19486" priority="138">
      <formula>AND(IF($Q41=3,1,IF($Q41=4,1,0)),IF($F41&lt;=85,1,0))</formula>
    </cfRule>
  </conditionalFormatting>
  <conditionalFormatting sqref="X41">
    <cfRule type="expression" dxfId="19485" priority="131">
      <formula>AND(IF(OR($Q41=1,$Q41=2),1,0),IF($X41&lt;=20,1,0))</formula>
    </cfRule>
    <cfRule type="expression" dxfId="19484" priority="132">
      <formula>AND(IF($Q41=2,1,0),IF($X41&lt;30,1,0))</formula>
    </cfRule>
    <cfRule type="expression" dxfId="19483" priority="133">
      <formula>AND(IF($Q41=3,1,0),IF($X41&lt;30,1,0))</formula>
    </cfRule>
    <cfRule type="expression" dxfId="19482" priority="134">
      <formula>AND(IF($Q41=3,1,IF($Q41=4,1,0)),IF($F41&lt;=85,1,0))</formula>
    </cfRule>
  </conditionalFormatting>
  <conditionalFormatting sqref="AI41">
    <cfRule type="expression" dxfId="19481" priority="127">
      <formula>AND(IF(OR($Q41=1,$Q41=2),1,0),IF($X41&lt;=20,1,0))</formula>
    </cfRule>
    <cfRule type="expression" dxfId="19480" priority="128">
      <formula>AND(IF($Q41=2,1,0),IF($X41&lt;30,1,0))</formula>
    </cfRule>
    <cfRule type="expression" dxfId="19479" priority="129">
      <formula>AND(IF($Q41=3,1,0),IF($X41&lt;30,1,0))</formula>
    </cfRule>
    <cfRule type="expression" dxfId="19478" priority="130">
      <formula>AND(IF($Q41=3,1,IF($Q41=4,1,0)),IF($F41&lt;=85,1,0))</formula>
    </cfRule>
  </conditionalFormatting>
  <conditionalFormatting sqref="AV42">
    <cfRule type="expression" dxfId="19477" priority="125">
      <formula>AV42="X"</formula>
    </cfRule>
    <cfRule type="expression" dxfId="19476" priority="126">
      <formula>AV42="후보"</formula>
    </cfRule>
  </conditionalFormatting>
  <conditionalFormatting sqref="AC42">
    <cfRule type="cellIs" dxfId="19475" priority="123" operator="greaterThan">
      <formula>0.9</formula>
    </cfRule>
    <cfRule type="cellIs" dxfId="19474" priority="124" operator="greaterThan">
      <formula>0.85</formula>
    </cfRule>
  </conditionalFormatting>
  <conditionalFormatting sqref="N42">
    <cfRule type="cellIs" dxfId="19473" priority="121" operator="greaterThan">
      <formula>0.9</formula>
    </cfRule>
    <cfRule type="cellIs" dxfId="19472" priority="122" operator="greaterThan">
      <formula>0.85</formula>
    </cfRule>
  </conditionalFormatting>
  <conditionalFormatting sqref="E42">
    <cfRule type="expression" dxfId="19471" priority="117">
      <formula>AND(IF(OR($Q42=1,$Q42=2),1,0),IF($X42&lt;=20,1,0))</formula>
    </cfRule>
    <cfRule type="expression" dxfId="19470" priority="118">
      <formula>AND(IF($Q42=2,1,0),IF($X42&lt;30,1,0))</formula>
    </cfRule>
    <cfRule type="expression" dxfId="19469" priority="119">
      <formula>AND(IF($Q42=3,1,0),IF($X42&lt;30,1,0))</formula>
    </cfRule>
    <cfRule type="expression" dxfId="19468" priority="120">
      <formula>AND(IF($Q42=3,1,IF($Q42=4,1,0)),IF($F42&lt;=85,1,0))</formula>
    </cfRule>
  </conditionalFormatting>
  <conditionalFormatting sqref="X42">
    <cfRule type="expression" dxfId="19467" priority="113">
      <formula>AND(IF(OR($Q42=1,$Q42=2),1,0),IF($X42&lt;=20,1,0))</formula>
    </cfRule>
    <cfRule type="expression" dxfId="19466" priority="114">
      <formula>AND(IF($Q42=2,1,0),IF($X42&lt;30,1,0))</formula>
    </cfRule>
    <cfRule type="expression" dxfId="19465" priority="115">
      <formula>AND(IF($Q42=3,1,0),IF($X42&lt;30,1,0))</formula>
    </cfRule>
    <cfRule type="expression" dxfId="19464" priority="116">
      <formula>AND(IF($Q42=3,1,IF($Q42=4,1,0)),IF($F42&lt;=85,1,0))</formula>
    </cfRule>
  </conditionalFormatting>
  <conditionalFormatting sqref="AI42">
    <cfRule type="expression" dxfId="19463" priority="109">
      <formula>AND(IF(OR($Q42=1,$Q42=2),1,0),IF($X42&lt;=20,1,0))</formula>
    </cfRule>
    <cfRule type="expression" dxfId="19462" priority="110">
      <formula>AND(IF($Q42=2,1,0),IF($X42&lt;30,1,0))</formula>
    </cfRule>
    <cfRule type="expression" dxfId="19461" priority="111">
      <formula>AND(IF($Q42=3,1,0),IF($X42&lt;30,1,0))</formula>
    </cfRule>
    <cfRule type="expression" dxfId="19460" priority="112">
      <formula>AND(IF($Q42=3,1,IF($Q42=4,1,0)),IF($F42&lt;=85,1,0))</formula>
    </cfRule>
  </conditionalFormatting>
  <conditionalFormatting sqref="AV43">
    <cfRule type="expression" dxfId="19459" priority="107">
      <formula>AV43="X"</formula>
    </cfRule>
    <cfRule type="expression" dxfId="19458" priority="108">
      <formula>AV43="후보"</formula>
    </cfRule>
  </conditionalFormatting>
  <conditionalFormatting sqref="AC43">
    <cfRule type="cellIs" dxfId="19457" priority="105" operator="greaterThan">
      <formula>0.9</formula>
    </cfRule>
    <cfRule type="cellIs" dxfId="19456" priority="106" operator="greaterThan">
      <formula>0.85</formula>
    </cfRule>
  </conditionalFormatting>
  <conditionalFormatting sqref="N43">
    <cfRule type="cellIs" dxfId="19455" priority="103" operator="greaterThan">
      <formula>0.9</formula>
    </cfRule>
    <cfRule type="cellIs" dxfId="19454" priority="104" operator="greaterThan">
      <formula>0.85</formula>
    </cfRule>
  </conditionalFormatting>
  <conditionalFormatting sqref="E43">
    <cfRule type="expression" dxfId="19453" priority="99">
      <formula>AND(IF(OR($Q43=1,$Q43=2),1,0),IF($X43&lt;=20,1,0))</formula>
    </cfRule>
    <cfRule type="expression" dxfId="19452" priority="100">
      <formula>AND(IF($Q43=2,1,0),IF($X43&lt;30,1,0))</formula>
    </cfRule>
    <cfRule type="expression" dxfId="19451" priority="101">
      <formula>AND(IF($Q43=3,1,0),IF($X43&lt;30,1,0))</formula>
    </cfRule>
    <cfRule type="expression" dxfId="19450" priority="102">
      <formula>AND(IF($Q43=3,1,IF($Q43=4,1,0)),IF($F43&lt;=85,1,0))</formula>
    </cfRule>
  </conditionalFormatting>
  <conditionalFormatting sqref="X43">
    <cfRule type="expression" dxfId="19449" priority="95">
      <formula>AND(IF(OR($Q43=1,$Q43=2),1,0),IF($X43&lt;=20,1,0))</formula>
    </cfRule>
    <cfRule type="expression" dxfId="19448" priority="96">
      <formula>AND(IF($Q43=2,1,0),IF($X43&lt;30,1,0))</formula>
    </cfRule>
    <cfRule type="expression" dxfId="19447" priority="97">
      <formula>AND(IF($Q43=3,1,0),IF($X43&lt;30,1,0))</formula>
    </cfRule>
    <cfRule type="expression" dxfId="19446" priority="98">
      <formula>AND(IF($Q43=3,1,IF($Q43=4,1,0)),IF($F43&lt;=85,1,0))</formula>
    </cfRule>
  </conditionalFormatting>
  <conditionalFormatting sqref="AI43">
    <cfRule type="expression" dxfId="19445" priority="91">
      <formula>AND(IF(OR($Q43=1,$Q43=2),1,0),IF($X43&lt;=20,1,0))</formula>
    </cfRule>
    <cfRule type="expression" dxfId="19444" priority="92">
      <formula>AND(IF($Q43=2,1,0),IF($X43&lt;30,1,0))</formula>
    </cfRule>
    <cfRule type="expression" dxfId="19443" priority="93">
      <formula>AND(IF($Q43=3,1,0),IF($X43&lt;30,1,0))</formula>
    </cfRule>
    <cfRule type="expression" dxfId="19442" priority="94">
      <formula>AND(IF($Q43=3,1,IF($Q43=4,1,0)),IF($F43&lt;=85,1,0))</formula>
    </cfRule>
  </conditionalFormatting>
  <conditionalFormatting sqref="AV44">
    <cfRule type="expression" dxfId="19441" priority="89">
      <formula>AV44="X"</formula>
    </cfRule>
    <cfRule type="expression" dxfId="19440" priority="90">
      <formula>AV44="후보"</formula>
    </cfRule>
  </conditionalFormatting>
  <conditionalFormatting sqref="AC44">
    <cfRule type="cellIs" dxfId="19439" priority="87" operator="greaterThan">
      <formula>0.9</formula>
    </cfRule>
    <cfRule type="cellIs" dxfId="19438" priority="88" operator="greaterThan">
      <formula>0.85</formula>
    </cfRule>
  </conditionalFormatting>
  <conditionalFormatting sqref="N44">
    <cfRule type="cellIs" dxfId="19437" priority="85" operator="greaterThan">
      <formula>0.9</formula>
    </cfRule>
    <cfRule type="cellIs" dxfId="19436" priority="86" operator="greaterThan">
      <formula>0.85</formula>
    </cfRule>
  </conditionalFormatting>
  <conditionalFormatting sqref="E44">
    <cfRule type="expression" dxfId="19435" priority="81">
      <formula>AND(IF(OR($Q44=1,$Q44=2),1,0),IF($X44&lt;=20,1,0))</formula>
    </cfRule>
    <cfRule type="expression" dxfId="19434" priority="82">
      <formula>AND(IF($Q44=2,1,0),IF($X44&lt;30,1,0))</formula>
    </cfRule>
    <cfRule type="expression" dxfId="19433" priority="83">
      <formula>AND(IF($Q44=3,1,0),IF($X44&lt;30,1,0))</formula>
    </cfRule>
    <cfRule type="expression" dxfId="19432" priority="84">
      <formula>AND(IF($Q44=3,1,IF($Q44=4,1,0)),IF($F44&lt;=85,1,0))</formula>
    </cfRule>
  </conditionalFormatting>
  <conditionalFormatting sqref="X44">
    <cfRule type="expression" dxfId="19431" priority="77">
      <formula>AND(IF(OR($Q44=1,$Q44=2),1,0),IF($X44&lt;=20,1,0))</formula>
    </cfRule>
    <cfRule type="expression" dxfId="19430" priority="78">
      <formula>AND(IF($Q44=2,1,0),IF($X44&lt;30,1,0))</formula>
    </cfRule>
    <cfRule type="expression" dxfId="19429" priority="79">
      <formula>AND(IF($Q44=3,1,0),IF($X44&lt;30,1,0))</formula>
    </cfRule>
    <cfRule type="expression" dxfId="19428" priority="80">
      <formula>AND(IF($Q44=3,1,IF($Q44=4,1,0)),IF($F44&lt;=85,1,0))</formula>
    </cfRule>
  </conditionalFormatting>
  <conditionalFormatting sqref="AI44">
    <cfRule type="expression" dxfId="19427" priority="73">
      <formula>AND(IF(OR($Q44=1,$Q44=2),1,0),IF($X44&lt;=20,1,0))</formula>
    </cfRule>
    <cfRule type="expression" dxfId="19426" priority="74">
      <formula>AND(IF($Q44=2,1,0),IF($X44&lt;30,1,0))</formula>
    </cfRule>
    <cfRule type="expression" dxfId="19425" priority="75">
      <formula>AND(IF($Q44=3,1,0),IF($X44&lt;30,1,0))</formula>
    </cfRule>
    <cfRule type="expression" dxfId="19424" priority="76">
      <formula>AND(IF($Q44=3,1,IF($Q44=4,1,0)),IF($F44&lt;=85,1,0))</formula>
    </cfRule>
  </conditionalFormatting>
  <conditionalFormatting sqref="AV45">
    <cfRule type="expression" dxfId="19423" priority="71">
      <formula>AV45="X"</formula>
    </cfRule>
    <cfRule type="expression" dxfId="19422" priority="72">
      <formula>AV45="후보"</formula>
    </cfRule>
  </conditionalFormatting>
  <conditionalFormatting sqref="AC45">
    <cfRule type="cellIs" dxfId="19421" priority="69" operator="greaterThan">
      <formula>0.9</formula>
    </cfRule>
    <cfRule type="cellIs" dxfId="19420" priority="70" operator="greaterThan">
      <formula>0.85</formula>
    </cfRule>
  </conditionalFormatting>
  <conditionalFormatting sqref="N45">
    <cfRule type="cellIs" dxfId="19419" priority="67" operator="greaterThan">
      <formula>0.9</formula>
    </cfRule>
    <cfRule type="cellIs" dxfId="19418" priority="68" operator="greaterThan">
      <formula>0.85</formula>
    </cfRule>
  </conditionalFormatting>
  <conditionalFormatting sqref="E45">
    <cfRule type="expression" dxfId="19417" priority="63">
      <formula>AND(IF(OR($Q45=1,$Q45=2),1,0),IF($X45&lt;=20,1,0))</formula>
    </cfRule>
    <cfRule type="expression" dxfId="19416" priority="64">
      <formula>AND(IF($Q45=2,1,0),IF($X45&lt;30,1,0))</formula>
    </cfRule>
    <cfRule type="expression" dxfId="19415" priority="65">
      <formula>AND(IF($Q45=3,1,0),IF($X45&lt;30,1,0))</formula>
    </cfRule>
    <cfRule type="expression" dxfId="19414" priority="66">
      <formula>AND(IF($Q45=3,1,IF($Q45=4,1,0)),IF($F45&lt;=85,1,0))</formula>
    </cfRule>
  </conditionalFormatting>
  <conditionalFormatting sqref="X45">
    <cfRule type="expression" dxfId="19413" priority="59">
      <formula>AND(IF(OR($Q45=1,$Q45=2),1,0),IF($X45&lt;=20,1,0))</formula>
    </cfRule>
    <cfRule type="expression" dxfId="19412" priority="60">
      <formula>AND(IF($Q45=2,1,0),IF($X45&lt;30,1,0))</formula>
    </cfRule>
    <cfRule type="expression" dxfId="19411" priority="61">
      <formula>AND(IF($Q45=3,1,0),IF($X45&lt;30,1,0))</formula>
    </cfRule>
    <cfRule type="expression" dxfId="19410" priority="62">
      <formula>AND(IF($Q45=3,1,IF($Q45=4,1,0)),IF($F45&lt;=85,1,0))</formula>
    </cfRule>
  </conditionalFormatting>
  <conditionalFormatting sqref="AI45">
    <cfRule type="expression" dxfId="19409" priority="55">
      <formula>AND(IF(OR($Q45=1,$Q45=2),1,0),IF($X45&lt;=20,1,0))</formula>
    </cfRule>
    <cfRule type="expression" dxfId="19408" priority="56">
      <formula>AND(IF($Q45=2,1,0),IF($X45&lt;30,1,0))</formula>
    </cfRule>
    <cfRule type="expression" dxfId="19407" priority="57">
      <formula>AND(IF($Q45=3,1,0),IF($X45&lt;30,1,0))</formula>
    </cfRule>
    <cfRule type="expression" dxfId="19406" priority="58">
      <formula>AND(IF($Q45=3,1,IF($Q45=4,1,0)),IF($F45&lt;=85,1,0))</formula>
    </cfRule>
  </conditionalFormatting>
  <conditionalFormatting sqref="AV46">
    <cfRule type="expression" dxfId="19405" priority="53">
      <formula>AV46="X"</formula>
    </cfRule>
    <cfRule type="expression" dxfId="19404" priority="54">
      <formula>AV46="후보"</formula>
    </cfRule>
  </conditionalFormatting>
  <conditionalFormatting sqref="AC46">
    <cfRule type="cellIs" dxfId="19403" priority="51" operator="greaterThan">
      <formula>0.9</formula>
    </cfRule>
    <cfRule type="cellIs" dxfId="19402" priority="52" operator="greaterThan">
      <formula>0.85</formula>
    </cfRule>
  </conditionalFormatting>
  <conditionalFormatting sqref="N46">
    <cfRule type="cellIs" dxfId="19401" priority="49" operator="greaterThan">
      <formula>0.9</formula>
    </cfRule>
    <cfRule type="cellIs" dxfId="19400" priority="50" operator="greaterThan">
      <formula>0.85</formula>
    </cfRule>
  </conditionalFormatting>
  <conditionalFormatting sqref="E46">
    <cfRule type="expression" dxfId="19399" priority="45">
      <formula>AND(IF(OR($Q46=1,$Q46=2),1,0),IF($X46&lt;=20,1,0))</formula>
    </cfRule>
    <cfRule type="expression" dxfId="19398" priority="46">
      <formula>AND(IF($Q46=2,1,0),IF($X46&lt;30,1,0))</formula>
    </cfRule>
    <cfRule type="expression" dxfId="19397" priority="47">
      <formula>AND(IF($Q46=3,1,0),IF($X46&lt;30,1,0))</formula>
    </cfRule>
    <cfRule type="expression" dxfId="19396" priority="48">
      <formula>AND(IF($Q46=3,1,IF($Q46=4,1,0)),IF($F46&lt;=85,1,0))</formula>
    </cfRule>
  </conditionalFormatting>
  <conditionalFormatting sqref="X46">
    <cfRule type="expression" dxfId="19395" priority="41">
      <formula>AND(IF(OR($Q46=1,$Q46=2),1,0),IF($X46&lt;=20,1,0))</formula>
    </cfRule>
    <cfRule type="expression" dxfId="19394" priority="42">
      <formula>AND(IF($Q46=2,1,0),IF($X46&lt;30,1,0))</formula>
    </cfRule>
    <cfRule type="expression" dxfId="19393" priority="43">
      <formula>AND(IF($Q46=3,1,0),IF($X46&lt;30,1,0))</formula>
    </cfRule>
    <cfRule type="expression" dxfId="19392" priority="44">
      <formula>AND(IF($Q46=3,1,IF($Q46=4,1,0)),IF($F46&lt;=85,1,0))</formula>
    </cfRule>
  </conditionalFormatting>
  <conditionalFormatting sqref="AI46">
    <cfRule type="expression" dxfId="19391" priority="37">
      <formula>AND(IF(OR($Q46=1,$Q46=2),1,0),IF($X46&lt;=20,1,0))</formula>
    </cfRule>
    <cfRule type="expression" dxfId="19390" priority="38">
      <formula>AND(IF($Q46=2,1,0),IF($X46&lt;30,1,0))</formula>
    </cfRule>
    <cfRule type="expression" dxfId="19389" priority="39">
      <formula>AND(IF($Q46=3,1,0),IF($X46&lt;30,1,0))</formula>
    </cfRule>
    <cfRule type="expression" dxfId="19388" priority="40">
      <formula>AND(IF($Q46=3,1,IF($Q46=4,1,0)),IF($F46&lt;=85,1,0))</formula>
    </cfRule>
  </conditionalFormatting>
  <conditionalFormatting sqref="AV47">
    <cfRule type="expression" dxfId="19387" priority="35">
      <formula>AV47="X"</formula>
    </cfRule>
    <cfRule type="expression" dxfId="19386" priority="36">
      <formula>AV47="후보"</formula>
    </cfRule>
  </conditionalFormatting>
  <conditionalFormatting sqref="AC47">
    <cfRule type="cellIs" dxfId="19385" priority="33" operator="greaterThan">
      <formula>0.9</formula>
    </cfRule>
    <cfRule type="cellIs" dxfId="19384" priority="34" operator="greaterThan">
      <formula>0.85</formula>
    </cfRule>
  </conditionalFormatting>
  <conditionalFormatting sqref="N47">
    <cfRule type="cellIs" dxfId="19383" priority="31" operator="greaterThan">
      <formula>0.9</formula>
    </cfRule>
    <cfRule type="cellIs" dxfId="19382" priority="32" operator="greaterThan">
      <formula>0.85</formula>
    </cfRule>
  </conditionalFormatting>
  <conditionalFormatting sqref="E47">
    <cfRule type="expression" dxfId="19381" priority="27">
      <formula>AND(IF(OR($Q47=1,$Q47=2),1,0),IF($X47&lt;=20,1,0))</formula>
    </cfRule>
    <cfRule type="expression" dxfId="19380" priority="28">
      <formula>AND(IF($Q47=2,1,0),IF($X47&lt;30,1,0))</formula>
    </cfRule>
    <cfRule type="expression" dxfId="19379" priority="29">
      <formula>AND(IF($Q47=3,1,0),IF($X47&lt;30,1,0))</formula>
    </cfRule>
    <cfRule type="expression" dxfId="19378" priority="30">
      <formula>AND(IF($Q47=3,1,IF($Q47=4,1,0)),IF($F47&lt;=85,1,0))</formula>
    </cfRule>
  </conditionalFormatting>
  <conditionalFormatting sqref="X47">
    <cfRule type="expression" dxfId="19377" priority="23">
      <formula>AND(IF(OR($Q47=1,$Q47=2),1,0),IF($X47&lt;=20,1,0))</formula>
    </cfRule>
    <cfRule type="expression" dxfId="19376" priority="24">
      <formula>AND(IF($Q47=2,1,0),IF($X47&lt;30,1,0))</formula>
    </cfRule>
    <cfRule type="expression" dxfId="19375" priority="25">
      <formula>AND(IF($Q47=3,1,0),IF($X47&lt;30,1,0))</formula>
    </cfRule>
    <cfRule type="expression" dxfId="19374" priority="26">
      <formula>AND(IF($Q47=3,1,IF($Q47=4,1,0)),IF($F47&lt;=85,1,0))</formula>
    </cfRule>
  </conditionalFormatting>
  <conditionalFormatting sqref="AI47">
    <cfRule type="expression" dxfId="19373" priority="19">
      <formula>AND(IF(OR($Q47=1,$Q47=2),1,0),IF($X47&lt;=20,1,0))</formula>
    </cfRule>
    <cfRule type="expression" dxfId="19372" priority="20">
      <formula>AND(IF($Q47=2,1,0),IF($X47&lt;30,1,0))</formula>
    </cfRule>
    <cfRule type="expression" dxfId="19371" priority="21">
      <formula>AND(IF($Q47=3,1,0),IF($X47&lt;30,1,0))</formula>
    </cfRule>
    <cfRule type="expression" dxfId="19370" priority="22">
      <formula>AND(IF($Q47=3,1,IF($Q47=4,1,0)),IF($F47&lt;=85,1,0))</formula>
    </cfRule>
  </conditionalFormatting>
  <conditionalFormatting sqref="AV48">
    <cfRule type="expression" dxfId="19369" priority="17">
      <formula>AV48="X"</formula>
    </cfRule>
    <cfRule type="expression" dxfId="19368" priority="18">
      <formula>AV48="후보"</formula>
    </cfRule>
  </conditionalFormatting>
  <conditionalFormatting sqref="AC48">
    <cfRule type="cellIs" dxfId="19367" priority="15" operator="greaterThan">
      <formula>0.9</formula>
    </cfRule>
    <cfRule type="cellIs" dxfId="19366" priority="16" operator="greaterThan">
      <formula>0.85</formula>
    </cfRule>
  </conditionalFormatting>
  <conditionalFormatting sqref="N48">
    <cfRule type="cellIs" dxfId="19365" priority="13" operator="greaterThan">
      <formula>0.9</formula>
    </cfRule>
    <cfRule type="cellIs" dxfId="19364" priority="14" operator="greaterThan">
      <formula>0.85</formula>
    </cfRule>
  </conditionalFormatting>
  <conditionalFormatting sqref="E48">
    <cfRule type="expression" dxfId="19363" priority="9">
      <formula>AND(IF(OR($Q48=1,$Q48=2),1,0),IF($X48&lt;=20,1,0))</formula>
    </cfRule>
    <cfRule type="expression" dxfId="19362" priority="10">
      <formula>AND(IF($Q48=2,1,0),IF($X48&lt;30,1,0))</formula>
    </cfRule>
    <cfRule type="expression" dxfId="19361" priority="11">
      <formula>AND(IF($Q48=3,1,0),IF($X48&lt;30,1,0))</formula>
    </cfRule>
    <cfRule type="expression" dxfId="19360" priority="12">
      <formula>AND(IF($Q48=3,1,IF($Q48=4,1,0)),IF($F48&lt;=85,1,0))</formula>
    </cfRule>
  </conditionalFormatting>
  <conditionalFormatting sqref="X48">
    <cfRule type="expression" dxfId="19359" priority="5">
      <formula>AND(IF(OR($Q48=1,$Q48=2),1,0),IF($X48&lt;=20,1,0))</formula>
    </cfRule>
    <cfRule type="expression" dxfId="19358" priority="6">
      <formula>AND(IF($Q48=2,1,0),IF($X48&lt;30,1,0))</formula>
    </cfRule>
    <cfRule type="expression" dxfId="19357" priority="7">
      <formula>AND(IF($Q48=3,1,0),IF($X48&lt;30,1,0))</formula>
    </cfRule>
    <cfRule type="expression" dxfId="19356" priority="8">
      <formula>AND(IF($Q48=3,1,IF($Q48=4,1,0)),IF($F48&lt;=85,1,0))</formula>
    </cfRule>
  </conditionalFormatting>
  <conditionalFormatting sqref="AI48">
    <cfRule type="expression" dxfId="19355" priority="1">
      <formula>AND(IF(OR($Q48=1,$Q48=2),1,0),IF($X48&lt;=20,1,0))</formula>
    </cfRule>
    <cfRule type="expression" dxfId="19354" priority="2">
      <formula>AND(IF($Q48=2,1,0),IF($X48&lt;30,1,0))</formula>
    </cfRule>
    <cfRule type="expression" dxfId="19353" priority="3">
      <formula>AND(IF($Q48=3,1,0),IF($X48&lt;30,1,0))</formula>
    </cfRule>
    <cfRule type="expression" dxfId="19352" priority="4">
      <formula>AND(IF($Q48=3,1,IF($Q48=4,1,0)),IF($F48&lt;=85,1,0))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사정동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745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사정동 금호타운2단지('96.11.,358^)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741</v>
      </c>
      <c r="B6" s="10" t="s">
        <v>1313</v>
      </c>
      <c r="C6" s="107">
        <v>358</v>
      </c>
      <c r="D6" s="104">
        <v>76.2</v>
      </c>
      <c r="E6" s="106">
        <v>23</v>
      </c>
      <c r="F6" s="104">
        <v>59.6</v>
      </c>
      <c r="G6" s="17">
        <v>18</v>
      </c>
      <c r="H6" s="107">
        <v>150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7">
        <v>3</v>
      </c>
      <c r="R6" s="77">
        <v>1</v>
      </c>
      <c r="S6" s="77" t="s">
        <v>1244</v>
      </c>
      <c r="T6" s="5">
        <v>76</v>
      </c>
      <c r="U6" s="9"/>
      <c r="W6" s="104">
        <f>D6</f>
        <v>76.2</v>
      </c>
      <c r="X6" s="106">
        <f>E6</f>
        <v>23</v>
      </c>
      <c r="Y6" s="102">
        <f>H6</f>
        <v>150</v>
      </c>
      <c r="Z6" s="109">
        <f>I6</f>
        <v>0</v>
      </c>
      <c r="AA6" s="109">
        <f>K6</f>
        <v>0</v>
      </c>
      <c r="AB6" s="109">
        <f t="shared" ref="AB6:AD7" si="2">M6</f>
        <v>0</v>
      </c>
      <c r="AC6" s="4" t="str">
        <f t="shared" si="2"/>
        <v/>
      </c>
      <c r="AD6" s="105">
        <f t="shared" si="2"/>
        <v>0</v>
      </c>
      <c r="AE6" s="77" t="str">
        <f>S6</f>
        <v>계</v>
      </c>
      <c r="AF6" s="77" t="str">
        <f>Q6&amp;"/"&amp;R6</f>
        <v>3/1</v>
      </c>
      <c r="AH6" s="20" t="str">
        <f t="shared" si="1"/>
        <v>금호타운2단지</v>
      </c>
      <c r="AI6" s="106">
        <f t="shared" si="0"/>
        <v>23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741</v>
      </c>
      <c r="B7" s="10" t="s">
        <v>1313</v>
      </c>
      <c r="C7" s="107">
        <v>358</v>
      </c>
      <c r="D7" s="104">
        <v>103</v>
      </c>
      <c r="E7" s="106">
        <v>31</v>
      </c>
      <c r="F7" s="104">
        <v>84.6</v>
      </c>
      <c r="G7" s="17">
        <v>26</v>
      </c>
      <c r="H7" s="107">
        <v>208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7">
        <v>3</v>
      </c>
      <c r="R7" s="77">
        <v>2</v>
      </c>
      <c r="S7" s="77" t="s">
        <v>1244</v>
      </c>
      <c r="T7" s="5">
        <v>102</v>
      </c>
      <c r="U7" s="9"/>
      <c r="W7" s="104">
        <f>D7</f>
        <v>103</v>
      </c>
      <c r="X7" s="106">
        <f>E7</f>
        <v>31</v>
      </c>
      <c r="Y7" s="102">
        <f>H7</f>
        <v>208</v>
      </c>
      <c r="Z7" s="109">
        <f>I7</f>
        <v>0</v>
      </c>
      <c r="AA7" s="109">
        <f>K7</f>
        <v>0</v>
      </c>
      <c r="AB7" s="109">
        <f t="shared" si="2"/>
        <v>0</v>
      </c>
      <c r="AC7" s="4" t="str">
        <f t="shared" si="2"/>
        <v/>
      </c>
      <c r="AD7" s="105">
        <f t="shared" si="2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금호타운2단지</v>
      </c>
      <c r="AI7" s="106">
        <f t="shared" si="0"/>
        <v>31</v>
      </c>
      <c r="AJ7" s="77" t="str">
        <f>IF(AI7="","",$AJ$2)</f>
        <v>A-</v>
      </c>
      <c r="AK7" s="77" t="s">
        <v>13</v>
      </c>
      <c r="AL7" s="77" t="s">
        <v>1242</v>
      </c>
      <c r="AM7" s="77" t="s">
        <v>1243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48" x14ac:dyDescent="0.3">
      <c r="A8" s="9"/>
      <c r="B8" s="77"/>
      <c r="C8" s="6"/>
      <c r="D8" s="9"/>
      <c r="E8" s="14"/>
      <c r="F8" s="104"/>
      <c r="G8" s="9"/>
      <c r="H8" s="9"/>
      <c r="I8" s="9"/>
      <c r="J8" s="9"/>
      <c r="K8" s="9"/>
      <c r="L8" s="9"/>
      <c r="M8" s="9"/>
      <c r="N8" s="9"/>
      <c r="O8" s="105"/>
      <c r="P8" s="105"/>
      <c r="Q8" s="106"/>
      <c r="R8" s="106"/>
      <c r="S8" s="9"/>
      <c r="T8" s="47"/>
      <c r="U8" s="9"/>
      <c r="W8" s="67" t="str">
        <f>$A$4&amp;" "&amp;A9&amp;"("&amp;B9&amp;","&amp;C9&amp;"^)"</f>
        <v>사정동 금호타운1단지('93.02.,342^)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3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747</v>
      </c>
      <c r="B9" s="10" t="s">
        <v>1314</v>
      </c>
      <c r="C9" s="107">
        <v>342</v>
      </c>
      <c r="D9" s="104">
        <v>89.4</v>
      </c>
      <c r="E9" s="106">
        <v>27</v>
      </c>
      <c r="F9" s="104">
        <v>73.099999999999994</v>
      </c>
      <c r="G9" s="17">
        <v>22</v>
      </c>
      <c r="H9" s="107">
        <v>138</v>
      </c>
      <c r="I9" s="108"/>
      <c r="J9" s="108"/>
      <c r="K9" s="108"/>
      <c r="L9" s="108"/>
      <c r="M9" s="109">
        <f>I9-K9</f>
        <v>0</v>
      </c>
      <c r="N9" s="4" t="str">
        <f>IF(ISERROR(K9/I9),"",K9/I9)</f>
        <v/>
      </c>
      <c r="O9" s="105">
        <f>I9/E9</f>
        <v>0</v>
      </c>
      <c r="P9" s="105">
        <f>K9/E9</f>
        <v>0</v>
      </c>
      <c r="Q9" s="77">
        <v>3</v>
      </c>
      <c r="R9" s="77">
        <v>2</v>
      </c>
      <c r="S9" s="77" t="s">
        <v>1244</v>
      </c>
      <c r="T9" s="5">
        <v>89</v>
      </c>
      <c r="U9" s="9"/>
      <c r="W9" s="104">
        <f>D9</f>
        <v>89.4</v>
      </c>
      <c r="X9" s="106">
        <f>E9</f>
        <v>27</v>
      </c>
      <c r="Y9" s="102">
        <f>H9</f>
        <v>138</v>
      </c>
      <c r="Z9" s="109">
        <f>I9</f>
        <v>0</v>
      </c>
      <c r="AA9" s="109">
        <f>K9</f>
        <v>0</v>
      </c>
      <c r="AB9" s="109">
        <f t="shared" ref="AB9:AD10" si="3">M9</f>
        <v>0</v>
      </c>
      <c r="AC9" s="4" t="str">
        <f t="shared" si="3"/>
        <v/>
      </c>
      <c r="AD9" s="105">
        <f t="shared" si="3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금호타운1단지</v>
      </c>
      <c r="AI9" s="106">
        <f t="shared" si="0"/>
        <v>27</v>
      </c>
      <c r="AJ9" s="77" t="str">
        <f>IF(AI9="","",$AJ$2)</f>
        <v>A-</v>
      </c>
      <c r="AK9" s="77" t="s">
        <v>13</v>
      </c>
      <c r="AL9" s="77" t="s">
        <v>1242</v>
      </c>
      <c r="AM9" s="77" t="s">
        <v>1243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747</v>
      </c>
      <c r="B10" s="10" t="s">
        <v>1314</v>
      </c>
      <c r="C10" s="107">
        <v>342</v>
      </c>
      <c r="D10" s="104">
        <v>102</v>
      </c>
      <c r="E10" s="106">
        <v>31</v>
      </c>
      <c r="F10" s="104">
        <v>84.8</v>
      </c>
      <c r="G10" s="17">
        <v>26</v>
      </c>
      <c r="H10" s="107">
        <v>204</v>
      </c>
      <c r="I10" s="108"/>
      <c r="J10" s="108"/>
      <c r="K10" s="108"/>
      <c r="L10" s="108"/>
      <c r="M10" s="109">
        <f>I10-K10</f>
        <v>0</v>
      </c>
      <c r="N10" s="4" t="str">
        <f>IF(ISERROR(K10/I10),"",K10/I10)</f>
        <v/>
      </c>
      <c r="O10" s="105">
        <f>I10/E10</f>
        <v>0</v>
      </c>
      <c r="P10" s="105">
        <f>K10/E10</f>
        <v>0</v>
      </c>
      <c r="Q10" s="77">
        <v>3</v>
      </c>
      <c r="R10" s="77">
        <v>2</v>
      </c>
      <c r="S10" s="77" t="s">
        <v>1244</v>
      </c>
      <c r="T10" s="5">
        <v>102</v>
      </c>
      <c r="U10" s="9"/>
      <c r="W10" s="104">
        <f>D10</f>
        <v>102</v>
      </c>
      <c r="X10" s="106">
        <f>E10</f>
        <v>31</v>
      </c>
      <c r="Y10" s="102">
        <f>H10</f>
        <v>204</v>
      </c>
      <c r="Z10" s="109">
        <f>I10</f>
        <v>0</v>
      </c>
      <c r="AA10" s="109">
        <f>K10</f>
        <v>0</v>
      </c>
      <c r="AB10" s="109">
        <f t="shared" si="3"/>
        <v>0</v>
      </c>
      <c r="AC10" s="4" t="str">
        <f t="shared" si="3"/>
        <v/>
      </c>
      <c r="AD10" s="105">
        <f t="shared" si="3"/>
        <v>0</v>
      </c>
      <c r="AE10" s="77" t="str">
        <f>S10</f>
        <v>계</v>
      </c>
      <c r="AF10" s="77" t="str">
        <f>Q10&amp;"/"&amp;R10</f>
        <v>3/2</v>
      </c>
      <c r="AH10" s="20" t="str">
        <f t="shared" si="1"/>
        <v>금호타운1단지</v>
      </c>
      <c r="AI10" s="106">
        <f t="shared" si="0"/>
        <v>31</v>
      </c>
      <c r="AJ10" s="77" t="str">
        <f>IF(AI10="","",$AJ$2)</f>
        <v>A-</v>
      </c>
      <c r="AK10" s="77" t="s">
        <v>13</v>
      </c>
      <c r="AL10" s="77" t="s">
        <v>1242</v>
      </c>
      <c r="AM10" s="77" t="s">
        <v>1243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/>
      </c>
    </row>
  </sheetData>
  <mergeCells count="1">
    <mergeCell ref="AJ1:AN1"/>
  </mergeCells>
  <phoneticPr fontId="2" type="noConversion"/>
  <conditionalFormatting sqref="AV4:AV6">
    <cfRule type="expression" dxfId="19351" priority="77">
      <formula>AV4="X"</formula>
    </cfRule>
    <cfRule type="expression" dxfId="19350" priority="78">
      <formula>AV4="후보"</formula>
    </cfRule>
  </conditionalFormatting>
  <conditionalFormatting sqref="AC1:AC2 AC4:AC6 N4:N5">
    <cfRule type="cellIs" dxfId="19349" priority="75" operator="greaterThan">
      <formula>0.9</formula>
    </cfRule>
    <cfRule type="cellIs" dxfId="19348" priority="76" operator="greaterThan">
      <formula>0.85</formula>
    </cfRule>
  </conditionalFormatting>
  <conditionalFormatting sqref="N1:N2">
    <cfRule type="cellIs" dxfId="19347" priority="73" operator="greaterThan">
      <formula>0.9</formula>
    </cfRule>
    <cfRule type="cellIs" dxfId="19346" priority="74" operator="greaterThan">
      <formula>0.85</formula>
    </cfRule>
  </conditionalFormatting>
  <conditionalFormatting sqref="N6">
    <cfRule type="cellIs" dxfId="19345" priority="71" operator="greaterThan">
      <formula>0.9</formula>
    </cfRule>
    <cfRule type="cellIs" dxfId="19344" priority="72" operator="greaterThan">
      <formula>0.85</formula>
    </cfRule>
  </conditionalFormatting>
  <conditionalFormatting sqref="E6">
    <cfRule type="expression" dxfId="19343" priority="67">
      <formula>AND(IF(OR($Q6=1,$Q6=2),1,0),IF($X6&lt;=20,1,0))</formula>
    </cfRule>
    <cfRule type="expression" dxfId="19342" priority="68">
      <formula>AND(IF($Q6=2,1,0),IF($X6&lt;30,1,0))</formula>
    </cfRule>
    <cfRule type="expression" dxfId="19341" priority="69">
      <formula>AND(IF($Q6=3,1,0),IF($X6&lt;30,1,0))</formula>
    </cfRule>
    <cfRule type="expression" dxfId="19340" priority="70">
      <formula>AND(IF($Q6=3,1,IF($Q6=4,1,0)),IF($F6&lt;=85,1,0))</formula>
    </cfRule>
  </conditionalFormatting>
  <conditionalFormatting sqref="X6">
    <cfRule type="expression" dxfId="19339" priority="63">
      <formula>AND(IF(OR($Q6=1,$Q6=2),1,0),IF($X6&lt;=20,1,0))</formula>
    </cfRule>
    <cfRule type="expression" dxfId="19338" priority="64">
      <formula>AND(IF($Q6=2,1,0),IF($X6&lt;30,1,0))</formula>
    </cfRule>
    <cfRule type="expression" dxfId="19337" priority="65">
      <formula>AND(IF($Q6=3,1,0),IF($X6&lt;30,1,0))</formula>
    </cfRule>
    <cfRule type="expression" dxfId="19336" priority="66">
      <formula>AND(IF($Q6=3,1,IF($Q6=4,1,0)),IF($F6&lt;=85,1,0))</formula>
    </cfRule>
  </conditionalFormatting>
  <conditionalFormatting sqref="AI6">
    <cfRule type="expression" dxfId="19335" priority="59">
      <formula>AND(IF(OR($Q6=1,$Q6=2),1,0),IF($X6&lt;=20,1,0))</formula>
    </cfRule>
    <cfRule type="expression" dxfId="19334" priority="60">
      <formula>AND(IF($Q6=2,1,0),IF($X6&lt;30,1,0))</formula>
    </cfRule>
    <cfRule type="expression" dxfId="19333" priority="61">
      <formula>AND(IF($Q6=3,1,0),IF($X6&lt;30,1,0))</formula>
    </cfRule>
    <cfRule type="expression" dxfId="19332" priority="62">
      <formula>AND(IF($Q6=3,1,IF($Q6=4,1,0)),IF($F6&lt;=85,1,0))</formula>
    </cfRule>
  </conditionalFormatting>
  <conditionalFormatting sqref="AV7">
    <cfRule type="expression" dxfId="19331" priority="57">
      <formula>AV7="X"</formula>
    </cfRule>
    <cfRule type="expression" dxfId="19330" priority="58">
      <formula>AV7="후보"</formula>
    </cfRule>
  </conditionalFormatting>
  <conditionalFormatting sqref="AC7">
    <cfRule type="cellIs" dxfId="19329" priority="55" operator="greaterThan">
      <formula>0.9</formula>
    </cfRule>
    <cfRule type="cellIs" dxfId="19328" priority="56" operator="greaterThan">
      <formula>0.85</formula>
    </cfRule>
  </conditionalFormatting>
  <conditionalFormatting sqref="N7">
    <cfRule type="cellIs" dxfId="19327" priority="53" operator="greaterThan">
      <formula>0.9</formula>
    </cfRule>
    <cfRule type="cellIs" dxfId="19326" priority="54" operator="greaterThan">
      <formula>0.85</formula>
    </cfRule>
  </conditionalFormatting>
  <conditionalFormatting sqref="E7">
    <cfRule type="expression" dxfId="19325" priority="49">
      <formula>AND(IF(OR($Q7=1,$Q7=2),1,0),IF($X7&lt;=20,1,0))</formula>
    </cfRule>
    <cfRule type="expression" dxfId="19324" priority="50">
      <formula>AND(IF($Q7=2,1,0),IF($X7&lt;30,1,0))</formula>
    </cfRule>
    <cfRule type="expression" dxfId="19323" priority="51">
      <formula>AND(IF($Q7=3,1,0),IF($X7&lt;30,1,0))</formula>
    </cfRule>
    <cfRule type="expression" dxfId="19322" priority="52">
      <formula>AND(IF($Q7=3,1,IF($Q7=4,1,0)),IF($F7&lt;=85,1,0))</formula>
    </cfRule>
  </conditionalFormatting>
  <conditionalFormatting sqref="X7">
    <cfRule type="expression" dxfId="19321" priority="45">
      <formula>AND(IF(OR($Q7=1,$Q7=2),1,0),IF($X7&lt;=20,1,0))</formula>
    </cfRule>
    <cfRule type="expression" dxfId="19320" priority="46">
      <formula>AND(IF($Q7=2,1,0),IF($X7&lt;30,1,0))</formula>
    </cfRule>
    <cfRule type="expression" dxfId="19319" priority="47">
      <formula>AND(IF($Q7=3,1,0),IF($X7&lt;30,1,0))</formula>
    </cfRule>
    <cfRule type="expression" dxfId="19318" priority="48">
      <formula>AND(IF($Q7=3,1,IF($Q7=4,1,0)),IF($F7&lt;=85,1,0))</formula>
    </cfRule>
  </conditionalFormatting>
  <conditionalFormatting sqref="AI7">
    <cfRule type="expression" dxfId="19317" priority="41">
      <formula>AND(IF(OR($Q7=1,$Q7=2),1,0),IF($X7&lt;=20,1,0))</formula>
    </cfRule>
    <cfRule type="expression" dxfId="19316" priority="42">
      <formula>AND(IF($Q7=2,1,0),IF($X7&lt;30,1,0))</formula>
    </cfRule>
    <cfRule type="expression" dxfId="19315" priority="43">
      <formula>AND(IF($Q7=3,1,0),IF($X7&lt;30,1,0))</formula>
    </cfRule>
    <cfRule type="expression" dxfId="19314" priority="44">
      <formula>AND(IF($Q7=3,1,IF($Q7=4,1,0)),IF($F7&lt;=85,1,0))</formula>
    </cfRule>
  </conditionalFormatting>
  <conditionalFormatting sqref="AV8">
    <cfRule type="expression" dxfId="19313" priority="39">
      <formula>AV8="X"</formula>
    </cfRule>
    <cfRule type="expression" dxfId="19312" priority="40">
      <formula>AV8="후보"</formula>
    </cfRule>
  </conditionalFormatting>
  <conditionalFormatting sqref="AC8 N8">
    <cfRule type="cellIs" dxfId="19311" priority="37" operator="greaterThan">
      <formula>0.9</formula>
    </cfRule>
    <cfRule type="cellIs" dxfId="19310" priority="38" operator="greaterThan">
      <formula>0.85</formula>
    </cfRule>
  </conditionalFormatting>
  <conditionalFormatting sqref="AV9">
    <cfRule type="expression" dxfId="19309" priority="35">
      <formula>AV9="X"</formula>
    </cfRule>
    <cfRule type="expression" dxfId="19308" priority="36">
      <formula>AV9="후보"</formula>
    </cfRule>
  </conditionalFormatting>
  <conditionalFormatting sqref="AC9">
    <cfRule type="cellIs" dxfId="19307" priority="33" operator="greaterThan">
      <formula>0.9</formula>
    </cfRule>
    <cfRule type="cellIs" dxfId="19306" priority="34" operator="greaterThan">
      <formula>0.85</formula>
    </cfRule>
  </conditionalFormatting>
  <conditionalFormatting sqref="N9">
    <cfRule type="cellIs" dxfId="19305" priority="31" operator="greaterThan">
      <formula>0.9</formula>
    </cfRule>
    <cfRule type="cellIs" dxfId="19304" priority="32" operator="greaterThan">
      <formula>0.85</formula>
    </cfRule>
  </conditionalFormatting>
  <conditionalFormatting sqref="E9">
    <cfRule type="expression" dxfId="19303" priority="27">
      <formula>AND(IF(OR($Q9=1,$Q9=2),1,0),IF($X9&lt;=20,1,0))</formula>
    </cfRule>
    <cfRule type="expression" dxfId="19302" priority="28">
      <formula>AND(IF($Q9=2,1,0),IF($X9&lt;30,1,0))</formula>
    </cfRule>
    <cfRule type="expression" dxfId="19301" priority="29">
      <formula>AND(IF($Q9=3,1,0),IF($X9&lt;30,1,0))</formula>
    </cfRule>
    <cfRule type="expression" dxfId="19300" priority="30">
      <formula>AND(IF($Q9=3,1,IF($Q9=4,1,0)),IF($F9&lt;=85,1,0))</formula>
    </cfRule>
  </conditionalFormatting>
  <conditionalFormatting sqref="X9">
    <cfRule type="expression" dxfId="19299" priority="23">
      <formula>AND(IF(OR($Q9=1,$Q9=2),1,0),IF($X9&lt;=20,1,0))</formula>
    </cfRule>
    <cfRule type="expression" dxfId="19298" priority="24">
      <formula>AND(IF($Q9=2,1,0),IF($X9&lt;30,1,0))</formula>
    </cfRule>
    <cfRule type="expression" dxfId="19297" priority="25">
      <formula>AND(IF($Q9=3,1,0),IF($X9&lt;30,1,0))</formula>
    </cfRule>
    <cfRule type="expression" dxfId="19296" priority="26">
      <formula>AND(IF($Q9=3,1,IF($Q9=4,1,0)),IF($F9&lt;=85,1,0))</formula>
    </cfRule>
  </conditionalFormatting>
  <conditionalFormatting sqref="AI9">
    <cfRule type="expression" dxfId="19295" priority="19">
      <formula>AND(IF(OR($Q9=1,$Q9=2),1,0),IF($X9&lt;=20,1,0))</formula>
    </cfRule>
    <cfRule type="expression" dxfId="19294" priority="20">
      <formula>AND(IF($Q9=2,1,0),IF($X9&lt;30,1,0))</formula>
    </cfRule>
    <cfRule type="expression" dxfId="19293" priority="21">
      <formula>AND(IF($Q9=3,1,0),IF($X9&lt;30,1,0))</formula>
    </cfRule>
    <cfRule type="expression" dxfId="19292" priority="22">
      <formula>AND(IF($Q9=3,1,IF($Q9=4,1,0)),IF($F9&lt;=85,1,0))</formula>
    </cfRule>
  </conditionalFormatting>
  <conditionalFormatting sqref="AV10">
    <cfRule type="expression" dxfId="19291" priority="17">
      <formula>AV10="X"</formula>
    </cfRule>
    <cfRule type="expression" dxfId="19290" priority="18">
      <formula>AV10="후보"</formula>
    </cfRule>
  </conditionalFormatting>
  <conditionalFormatting sqref="AC10">
    <cfRule type="cellIs" dxfId="19289" priority="15" operator="greaterThan">
      <formula>0.9</formula>
    </cfRule>
    <cfRule type="cellIs" dxfId="19288" priority="16" operator="greaterThan">
      <formula>0.85</formula>
    </cfRule>
  </conditionalFormatting>
  <conditionalFormatting sqref="N10">
    <cfRule type="cellIs" dxfId="19287" priority="13" operator="greaterThan">
      <formula>0.9</formula>
    </cfRule>
    <cfRule type="cellIs" dxfId="19286" priority="14" operator="greaterThan">
      <formula>0.85</formula>
    </cfRule>
  </conditionalFormatting>
  <conditionalFormatting sqref="E10">
    <cfRule type="expression" dxfId="19285" priority="9">
      <formula>AND(IF(OR($Q10=1,$Q10=2),1,0),IF($X10&lt;=20,1,0))</formula>
    </cfRule>
    <cfRule type="expression" dxfId="19284" priority="10">
      <formula>AND(IF($Q10=2,1,0),IF($X10&lt;30,1,0))</formula>
    </cfRule>
    <cfRule type="expression" dxfId="19283" priority="11">
      <formula>AND(IF($Q10=3,1,0),IF($X10&lt;30,1,0))</formula>
    </cfRule>
    <cfRule type="expression" dxfId="19282" priority="12">
      <formula>AND(IF($Q10=3,1,IF($Q10=4,1,0)),IF($F10&lt;=85,1,0))</formula>
    </cfRule>
  </conditionalFormatting>
  <conditionalFormatting sqref="X10">
    <cfRule type="expression" dxfId="19281" priority="5">
      <formula>AND(IF(OR($Q10=1,$Q10=2),1,0),IF($X10&lt;=20,1,0))</formula>
    </cfRule>
    <cfRule type="expression" dxfId="19280" priority="6">
      <formula>AND(IF($Q10=2,1,0),IF($X10&lt;30,1,0))</formula>
    </cfRule>
    <cfRule type="expression" dxfId="19279" priority="7">
      <formula>AND(IF($Q10=3,1,0),IF($X10&lt;30,1,0))</formula>
    </cfRule>
    <cfRule type="expression" dxfId="19278" priority="8">
      <formula>AND(IF($Q10=3,1,IF($Q10=4,1,0)),IF($F10&lt;=85,1,0))</formula>
    </cfRule>
  </conditionalFormatting>
  <conditionalFormatting sqref="AI10">
    <cfRule type="expression" dxfId="19277" priority="1">
      <formula>AND(IF(OR($Q10=1,$Q10=2),1,0),IF($X10&lt;=20,1,0))</formula>
    </cfRule>
    <cfRule type="expression" dxfId="19276" priority="2">
      <formula>AND(IF($Q10=2,1,0),IF($X10&lt;30,1,0))</formula>
    </cfRule>
    <cfRule type="expression" dxfId="19275" priority="3">
      <formula>AND(IF($Q10=3,1,0),IF($X10&lt;30,1,0))</formula>
    </cfRule>
    <cfRule type="expression" dxfId="19274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산북동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763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산북동 시영1단지('90.12.,280^)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2" si="1"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758</v>
      </c>
      <c r="B6" s="10" t="s">
        <v>1315</v>
      </c>
      <c r="C6" s="107">
        <v>280</v>
      </c>
      <c r="D6" s="104">
        <v>43.9</v>
      </c>
      <c r="E6" s="106">
        <v>13</v>
      </c>
      <c r="F6" s="104">
        <v>34.4</v>
      </c>
      <c r="G6" s="17">
        <v>10</v>
      </c>
      <c r="H6" s="107">
        <v>40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7">
        <v>2</v>
      </c>
      <c r="R6" s="77">
        <v>1</v>
      </c>
      <c r="S6" s="77" t="s">
        <v>1244</v>
      </c>
      <c r="T6" s="5" t="s">
        <v>760</v>
      </c>
      <c r="U6" s="9"/>
      <c r="W6" s="104">
        <f t="shared" ref="W6:X9" si="2">D6</f>
        <v>43.9</v>
      </c>
      <c r="X6" s="106">
        <f t="shared" si="2"/>
        <v>13</v>
      </c>
      <c r="Y6" s="102">
        <f t="shared" ref="Y6:Z9" si="3">H6</f>
        <v>40</v>
      </c>
      <c r="Z6" s="109">
        <f t="shared" si="3"/>
        <v>0</v>
      </c>
      <c r="AA6" s="109">
        <f>K6</f>
        <v>0</v>
      </c>
      <c r="AB6" s="109">
        <f t="shared" ref="AB6:AD9" si="4">M6</f>
        <v>0</v>
      </c>
      <c r="AC6" s="4" t="str">
        <f t="shared" si="4"/>
        <v/>
      </c>
      <c r="AD6" s="105">
        <f t="shared" si="4"/>
        <v>0</v>
      </c>
      <c r="AE6" s="77" t="str">
        <f>S6</f>
        <v>계</v>
      </c>
      <c r="AF6" s="77" t="str">
        <f>Q6&amp;"/"&amp;R6</f>
        <v>2/1</v>
      </c>
      <c r="AH6" s="20" t="str">
        <f t="shared" si="1"/>
        <v>시영1단지</v>
      </c>
      <c r="AI6" s="106">
        <f t="shared" si="0"/>
        <v>13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X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758</v>
      </c>
      <c r="B7" s="10" t="s">
        <v>1315</v>
      </c>
      <c r="C7" s="107">
        <v>280</v>
      </c>
      <c r="D7" s="104">
        <v>44.1</v>
      </c>
      <c r="E7" s="106">
        <v>13</v>
      </c>
      <c r="F7" s="104">
        <v>34.700000000000003</v>
      </c>
      <c r="G7" s="17">
        <v>10</v>
      </c>
      <c r="H7" s="107">
        <v>40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7">
        <v>2</v>
      </c>
      <c r="R7" s="77">
        <v>1</v>
      </c>
      <c r="S7" s="77" t="s">
        <v>1244</v>
      </c>
      <c r="T7" s="5" t="s">
        <v>765</v>
      </c>
      <c r="U7" s="9"/>
      <c r="W7" s="104">
        <f t="shared" si="2"/>
        <v>44.1</v>
      </c>
      <c r="X7" s="106">
        <f t="shared" si="2"/>
        <v>13</v>
      </c>
      <c r="Y7" s="102">
        <f t="shared" si="3"/>
        <v>40</v>
      </c>
      <c r="Z7" s="109">
        <f t="shared" si="3"/>
        <v>0</v>
      </c>
      <c r="AA7" s="109">
        <f>K7</f>
        <v>0</v>
      </c>
      <c r="AB7" s="109">
        <f t="shared" si="4"/>
        <v>0</v>
      </c>
      <c r="AC7" s="4" t="str">
        <f t="shared" si="4"/>
        <v/>
      </c>
      <c r="AD7" s="105">
        <f t="shared" si="4"/>
        <v>0</v>
      </c>
      <c r="AE7" s="77" t="str">
        <f>S7</f>
        <v>계</v>
      </c>
      <c r="AF7" s="77" t="str">
        <f>Q7&amp;"/"&amp;R7</f>
        <v>2/1</v>
      </c>
      <c r="AH7" s="20" t="str">
        <f t="shared" si="1"/>
        <v>시영1단지</v>
      </c>
      <c r="AI7" s="106">
        <f t="shared" si="0"/>
        <v>13</v>
      </c>
      <c r="AJ7" s="77" t="str">
        <f>IF(AI7="","",$AJ$2)</f>
        <v>A-</v>
      </c>
      <c r="AK7" s="77" t="s">
        <v>13</v>
      </c>
      <c r="AL7" s="77" t="s">
        <v>1242</v>
      </c>
      <c r="AM7" s="77" t="s">
        <v>1243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X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 t="s">
        <v>758</v>
      </c>
      <c r="B8" s="10" t="s">
        <v>1315</v>
      </c>
      <c r="C8" s="107">
        <v>280</v>
      </c>
      <c r="D8" s="104">
        <v>53.4</v>
      </c>
      <c r="E8" s="106">
        <v>16</v>
      </c>
      <c r="F8" s="104">
        <v>43.5</v>
      </c>
      <c r="G8" s="17">
        <v>13</v>
      </c>
      <c r="H8" s="107">
        <v>150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7">
        <v>3</v>
      </c>
      <c r="R8" s="77">
        <v>1</v>
      </c>
      <c r="S8" s="77" t="s">
        <v>1244</v>
      </c>
      <c r="T8" s="5" t="s">
        <v>334</v>
      </c>
      <c r="U8" s="9"/>
      <c r="W8" s="104">
        <f t="shared" si="2"/>
        <v>53.4</v>
      </c>
      <c r="X8" s="106">
        <f t="shared" si="2"/>
        <v>16</v>
      </c>
      <c r="Y8" s="102">
        <f t="shared" si="3"/>
        <v>150</v>
      </c>
      <c r="Z8" s="109">
        <f t="shared" si="3"/>
        <v>0</v>
      </c>
      <c r="AA8" s="109">
        <f>K8</f>
        <v>0</v>
      </c>
      <c r="AB8" s="109">
        <f t="shared" si="4"/>
        <v>0</v>
      </c>
      <c r="AC8" s="4" t="str">
        <f t="shared" si="4"/>
        <v/>
      </c>
      <c r="AD8" s="105">
        <f t="shared" si="4"/>
        <v>0</v>
      </c>
      <c r="AE8" s="77" t="str">
        <f>S8</f>
        <v>계</v>
      </c>
      <c r="AF8" s="77" t="str">
        <f>Q8&amp;"/"&amp;R8</f>
        <v>3/1</v>
      </c>
      <c r="AH8" s="20" t="str">
        <f t="shared" si="1"/>
        <v>시영1단지</v>
      </c>
      <c r="AI8" s="106">
        <f t="shared" si="0"/>
        <v>16</v>
      </c>
      <c r="AJ8" s="77" t="str">
        <f>IF(AI8="","",$AJ$2)</f>
        <v>A-</v>
      </c>
      <c r="AK8" s="77" t="s">
        <v>13</v>
      </c>
      <c r="AL8" s="77" t="s">
        <v>1242</v>
      </c>
      <c r="AM8" s="77" t="s">
        <v>1243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X</v>
      </c>
      <c r="AV8" s="77" t="str">
        <f>IF(AO8="","",IF(AND(AO8="O",AP8="O",AR8="O",AT8="O",AU8="O"),"후보","X"))</f>
        <v/>
      </c>
    </row>
    <row r="9" spans="1:48" x14ac:dyDescent="0.3">
      <c r="A9" s="9" t="s">
        <v>758</v>
      </c>
      <c r="B9" s="10" t="s">
        <v>1315</v>
      </c>
      <c r="C9" s="107">
        <v>280</v>
      </c>
      <c r="D9" s="104">
        <v>54</v>
      </c>
      <c r="E9" s="106">
        <v>16</v>
      </c>
      <c r="F9" s="104">
        <v>44.1</v>
      </c>
      <c r="G9" s="17">
        <v>13</v>
      </c>
      <c r="H9" s="107">
        <v>50</v>
      </c>
      <c r="I9" s="108"/>
      <c r="J9" s="108"/>
      <c r="K9" s="108"/>
      <c r="L9" s="108"/>
      <c r="M9" s="109">
        <f>I9-K9</f>
        <v>0</v>
      </c>
      <c r="N9" s="4" t="str">
        <f>IF(ISERROR(K9/I9),"",K9/I9)</f>
        <v/>
      </c>
      <c r="O9" s="105">
        <f>I9/E9</f>
        <v>0</v>
      </c>
      <c r="P9" s="105">
        <f>K9/E9</f>
        <v>0</v>
      </c>
      <c r="Q9" s="77">
        <v>3</v>
      </c>
      <c r="R9" s="77">
        <v>1</v>
      </c>
      <c r="S9" s="77" t="s">
        <v>1244</v>
      </c>
      <c r="T9" s="5" t="s">
        <v>335</v>
      </c>
      <c r="U9" s="9"/>
      <c r="W9" s="104">
        <f t="shared" si="2"/>
        <v>54</v>
      </c>
      <c r="X9" s="106">
        <f t="shared" si="2"/>
        <v>16</v>
      </c>
      <c r="Y9" s="102">
        <f t="shared" si="3"/>
        <v>50</v>
      </c>
      <c r="Z9" s="109">
        <f t="shared" si="3"/>
        <v>0</v>
      </c>
      <c r="AA9" s="109">
        <f>K9</f>
        <v>0</v>
      </c>
      <c r="AB9" s="109">
        <f t="shared" si="4"/>
        <v>0</v>
      </c>
      <c r="AC9" s="4" t="str">
        <f t="shared" si="4"/>
        <v/>
      </c>
      <c r="AD9" s="105">
        <f t="shared" si="4"/>
        <v>0</v>
      </c>
      <c r="AE9" s="77" t="str">
        <f>S9</f>
        <v>계</v>
      </c>
      <c r="AF9" s="77" t="str">
        <f>Q9&amp;"/"&amp;R9</f>
        <v>3/1</v>
      </c>
      <c r="AH9" s="20" t="str">
        <f t="shared" si="1"/>
        <v>시영1단지</v>
      </c>
      <c r="AI9" s="106">
        <f t="shared" si="0"/>
        <v>16</v>
      </c>
      <c r="AJ9" s="77" t="str">
        <f>IF(AI9="","",$AJ$2)</f>
        <v>A-</v>
      </c>
      <c r="AK9" s="77" t="s">
        <v>13</v>
      </c>
      <c r="AL9" s="77" t="s">
        <v>1242</v>
      </c>
      <c r="AM9" s="77" t="s">
        <v>1243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X</v>
      </c>
      <c r="AV9" s="77" t="str">
        <f>IF(AO9="","",IF(AND(AO9="O",AP9="O",AR9="O",AT9="O",AU9="O"),"후보","X"))</f>
        <v/>
      </c>
    </row>
    <row r="10" spans="1:48" x14ac:dyDescent="0.3">
      <c r="A10" s="9"/>
      <c r="B10" s="77"/>
      <c r="C10" s="6"/>
      <c r="D10" s="9"/>
      <c r="E10" s="14"/>
      <c r="F10" s="104"/>
      <c r="G10" s="9"/>
      <c r="H10" s="9"/>
      <c r="I10" s="9"/>
      <c r="J10" s="9"/>
      <c r="K10" s="9"/>
      <c r="L10" s="9"/>
      <c r="M10" s="9"/>
      <c r="N10" s="9"/>
      <c r="O10" s="105"/>
      <c r="P10" s="105"/>
      <c r="Q10" s="106"/>
      <c r="R10" s="106"/>
      <c r="S10" s="9"/>
      <c r="T10" s="47"/>
      <c r="U10" s="9"/>
      <c r="W10" s="67" t="str">
        <f>$A$4&amp;" "&amp;A11&amp;"("&amp;B11&amp;","&amp;C11&amp;"^)"</f>
        <v>산북동 산북대명1차('97.09.,225^)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3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773</v>
      </c>
      <c r="B11" s="10" t="s">
        <v>1316</v>
      </c>
      <c r="C11" s="107">
        <v>225</v>
      </c>
      <c r="D11" s="104">
        <v>56.1</v>
      </c>
      <c r="E11" s="106">
        <v>17</v>
      </c>
      <c r="F11" s="104">
        <v>40</v>
      </c>
      <c r="G11" s="17">
        <v>12</v>
      </c>
      <c r="H11" s="107">
        <v>225</v>
      </c>
      <c r="I11" s="108"/>
      <c r="J11" s="108"/>
      <c r="K11" s="108"/>
      <c r="L11" s="108"/>
      <c r="M11" s="109">
        <f>I11-K11</f>
        <v>0</v>
      </c>
      <c r="N11" s="4" t="str">
        <f>IF(ISERROR(K11/I11),"",K11/I11)</f>
        <v/>
      </c>
      <c r="O11" s="105">
        <f>I11/E11</f>
        <v>0</v>
      </c>
      <c r="P11" s="105">
        <f>K11/E11</f>
        <v>0</v>
      </c>
      <c r="Q11" s="77">
        <v>2</v>
      </c>
      <c r="R11" s="77">
        <v>1</v>
      </c>
      <c r="S11" s="77" t="s">
        <v>1241</v>
      </c>
      <c r="T11" s="5">
        <v>56</v>
      </c>
      <c r="U11" s="9"/>
      <c r="W11" s="104">
        <f>D11</f>
        <v>56.1</v>
      </c>
      <c r="X11" s="106">
        <f>E11</f>
        <v>17</v>
      </c>
      <c r="Y11" s="102">
        <f>H11</f>
        <v>225</v>
      </c>
      <c r="Z11" s="109">
        <f>I11</f>
        <v>0</v>
      </c>
      <c r="AA11" s="109">
        <f>K11</f>
        <v>0</v>
      </c>
      <c r="AB11" s="109">
        <f>M11</f>
        <v>0</v>
      </c>
      <c r="AC11" s="4" t="str">
        <f>N11</f>
        <v/>
      </c>
      <c r="AD11" s="105">
        <f>O11</f>
        <v>0</v>
      </c>
      <c r="AE11" s="77" t="str">
        <f>S11</f>
        <v>복</v>
      </c>
      <c r="AF11" s="77" t="str">
        <f>Q11&amp;"/"&amp;R11</f>
        <v>2/1</v>
      </c>
      <c r="AH11" s="20" t="str">
        <f t="shared" si="1"/>
        <v>산북대명1차</v>
      </c>
      <c r="AI11" s="106">
        <f t="shared" si="0"/>
        <v>17</v>
      </c>
      <c r="AJ11" s="77" t="str">
        <f>IF(AI11="","",$AJ$2)</f>
        <v>A-</v>
      </c>
      <c r="AK11" s="77" t="s">
        <v>13</v>
      </c>
      <c r="AL11" s="77" t="s">
        <v>1242</v>
      </c>
      <c r="AM11" s="77" t="s">
        <v>1243</v>
      </c>
      <c r="AN11" s="77" t="str">
        <f>IF(AI11="","",$AN$2)</f>
        <v>C</v>
      </c>
      <c r="AO11" s="77" t="str">
        <f>IF(N11="","",IF(N11&gt;=$AO$1/100,"O","X"))</f>
        <v/>
      </c>
      <c r="AP11" s="77" t="str">
        <f>IF(I11="","",IF(I11&lt;=$AP$1,"O","X"))</f>
        <v/>
      </c>
      <c r="AQ11" s="77" t="str">
        <f>IF(O11="","",IF(O11&lt;=$AQ$1,"O","X"))</f>
        <v>O</v>
      </c>
      <c r="AR11" s="77" t="str">
        <f>IF(M11="","",IF(M11&lt;=$AR$1,"O","X"))</f>
        <v>O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X</v>
      </c>
      <c r="AV11" s="77" t="str">
        <f>IF(AO11="","",IF(AND(AO11="O",AP11="O",AR11="O",AT11="O",AU11="O"),"후보","X"))</f>
        <v/>
      </c>
    </row>
    <row r="12" spans="1:48" x14ac:dyDescent="0.3">
      <c r="A12" s="9"/>
      <c r="B12" s="77"/>
      <c r="C12" s="6"/>
      <c r="D12" s="9"/>
      <c r="E12" s="14"/>
      <c r="F12" s="104"/>
      <c r="G12" s="9"/>
      <c r="H12" s="9"/>
      <c r="I12" s="9"/>
      <c r="J12" s="9"/>
      <c r="K12" s="9"/>
      <c r="L12" s="9"/>
      <c r="M12" s="9"/>
      <c r="N12" s="9"/>
      <c r="O12" s="105"/>
      <c r="P12" s="105"/>
      <c r="Q12" s="106"/>
      <c r="R12" s="106"/>
      <c r="S12" s="9"/>
      <c r="T12" s="47"/>
      <c r="U12" s="9"/>
      <c r="W12" s="67" t="str">
        <f>$A$4&amp;" "&amp;A13&amp;"("&amp;B13&amp;","&amp;C13&amp;"^)"</f>
        <v>산북동 시영2단지('91.11.,200^)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3" t="str">
        <f t="shared" si="0"/>
        <v/>
      </c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</row>
    <row r="13" spans="1:48" x14ac:dyDescent="0.3">
      <c r="A13" s="9" t="s">
        <v>778</v>
      </c>
      <c r="B13" s="10" t="s">
        <v>1317</v>
      </c>
      <c r="C13" s="107">
        <v>200</v>
      </c>
      <c r="D13" s="104">
        <v>44.5</v>
      </c>
      <c r="E13" s="106">
        <v>13</v>
      </c>
      <c r="F13" s="104">
        <v>35.4</v>
      </c>
      <c r="G13" s="17">
        <v>11</v>
      </c>
      <c r="H13" s="107">
        <v>100</v>
      </c>
      <c r="I13" s="108"/>
      <c r="J13" s="108"/>
      <c r="K13" s="108"/>
      <c r="L13" s="108"/>
      <c r="M13" s="109">
        <f>I13-K13</f>
        <v>0</v>
      </c>
      <c r="N13" s="4" t="str">
        <f>IF(ISERROR(K13/I13),"",K13/I13)</f>
        <v/>
      </c>
      <c r="O13" s="105">
        <f>I13/E13</f>
        <v>0</v>
      </c>
      <c r="P13" s="105">
        <f>K13/E13</f>
        <v>0</v>
      </c>
      <c r="Q13" s="77">
        <v>2</v>
      </c>
      <c r="R13" s="77">
        <v>1</v>
      </c>
      <c r="S13" s="77" t="s">
        <v>1244</v>
      </c>
      <c r="T13" s="5">
        <v>44</v>
      </c>
      <c r="U13" s="9"/>
      <c r="W13" s="104">
        <f>D13</f>
        <v>44.5</v>
      </c>
      <c r="X13" s="106">
        <f>E13</f>
        <v>13</v>
      </c>
      <c r="Y13" s="102">
        <f>H13</f>
        <v>100</v>
      </c>
      <c r="Z13" s="109">
        <f>I13</f>
        <v>0</v>
      </c>
      <c r="AA13" s="109">
        <f>K13</f>
        <v>0</v>
      </c>
      <c r="AB13" s="109">
        <f t="shared" ref="AB13:AD14" si="5">M13</f>
        <v>0</v>
      </c>
      <c r="AC13" s="4" t="str">
        <f t="shared" si="5"/>
        <v/>
      </c>
      <c r="AD13" s="105">
        <f t="shared" si="5"/>
        <v>0</v>
      </c>
      <c r="AE13" s="77" t="str">
        <f>S13</f>
        <v>계</v>
      </c>
      <c r="AF13" s="77" t="str">
        <f>Q13&amp;"/"&amp;R13</f>
        <v>2/1</v>
      </c>
      <c r="AH13" s="20" t="str">
        <f t="shared" si="1"/>
        <v>시영2단지</v>
      </c>
      <c r="AI13" s="106">
        <f t="shared" si="0"/>
        <v>13</v>
      </c>
      <c r="AJ13" s="77" t="str">
        <f>IF(AI13="","",$AJ$2)</f>
        <v>A-</v>
      </c>
      <c r="AK13" s="77" t="s">
        <v>13</v>
      </c>
      <c r="AL13" s="77" t="s">
        <v>1242</v>
      </c>
      <c r="AM13" s="77" t="s">
        <v>1243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X</v>
      </c>
      <c r="AU13" s="77" t="str">
        <f>IF(C13="","",IF(C13&gt;=$AU$1,"O","X"))</f>
        <v>X</v>
      </c>
      <c r="AV13" s="77" t="str">
        <f>IF(AO13="","",IF(AND(AO13="O",AP13="O",AR13="O",AT13="O",AU13="O"),"후보","X"))</f>
        <v/>
      </c>
    </row>
    <row r="14" spans="1:48" x14ac:dyDescent="0.3">
      <c r="A14" s="9" t="s">
        <v>778</v>
      </c>
      <c r="B14" s="10" t="s">
        <v>1317</v>
      </c>
      <c r="C14" s="107">
        <v>200</v>
      </c>
      <c r="D14" s="104">
        <v>59.9</v>
      </c>
      <c r="E14" s="106">
        <v>18</v>
      </c>
      <c r="F14" s="104">
        <v>48.5</v>
      </c>
      <c r="G14" s="17">
        <v>15</v>
      </c>
      <c r="H14" s="107">
        <v>100</v>
      </c>
      <c r="I14" s="108"/>
      <c r="J14" s="108"/>
      <c r="K14" s="108"/>
      <c r="L14" s="108"/>
      <c r="M14" s="109">
        <f>I14-K14</f>
        <v>0</v>
      </c>
      <c r="N14" s="4" t="str">
        <f>IF(ISERROR(K14/I14),"",K14/I14)</f>
        <v/>
      </c>
      <c r="O14" s="105">
        <f>I14/E14</f>
        <v>0</v>
      </c>
      <c r="P14" s="105">
        <f>K14/E14</f>
        <v>0</v>
      </c>
      <c r="Q14" s="77">
        <v>3</v>
      </c>
      <c r="R14" s="77">
        <v>1</v>
      </c>
      <c r="S14" s="77" t="s">
        <v>1244</v>
      </c>
      <c r="T14" s="5">
        <v>59</v>
      </c>
      <c r="U14" s="9"/>
      <c r="W14" s="104">
        <f>D14</f>
        <v>59.9</v>
      </c>
      <c r="X14" s="106">
        <f>E14</f>
        <v>18</v>
      </c>
      <c r="Y14" s="102">
        <f>H14</f>
        <v>100</v>
      </c>
      <c r="Z14" s="109">
        <f>I14</f>
        <v>0</v>
      </c>
      <c r="AA14" s="109">
        <f>K14</f>
        <v>0</v>
      </c>
      <c r="AB14" s="109">
        <f t="shared" si="5"/>
        <v>0</v>
      </c>
      <c r="AC14" s="4" t="str">
        <f t="shared" si="5"/>
        <v/>
      </c>
      <c r="AD14" s="105">
        <f t="shared" si="5"/>
        <v>0</v>
      </c>
      <c r="AE14" s="77" t="str">
        <f>S14</f>
        <v>계</v>
      </c>
      <c r="AF14" s="77" t="str">
        <f>Q14&amp;"/"&amp;R14</f>
        <v>3/1</v>
      </c>
      <c r="AH14" s="20" t="str">
        <f t="shared" si="1"/>
        <v>시영2단지</v>
      </c>
      <c r="AI14" s="106">
        <f t="shared" si="0"/>
        <v>18</v>
      </c>
      <c r="AJ14" s="77" t="str">
        <f>IF(AI14="","",$AJ$2)</f>
        <v>A-</v>
      </c>
      <c r="AK14" s="77" t="s">
        <v>13</v>
      </c>
      <c r="AL14" s="77" t="s">
        <v>1242</v>
      </c>
      <c r="AM14" s="77" t="s">
        <v>1243</v>
      </c>
      <c r="AN14" s="77" t="str">
        <f>IF(AI14="","",$AN$2)</f>
        <v>C</v>
      </c>
      <c r="AO14" s="77" t="str">
        <f>IF(N14="","",IF(N14&gt;=$AO$1/100,"O","X"))</f>
        <v/>
      </c>
      <c r="AP14" s="77" t="str">
        <f>IF(I14="","",IF(I14&lt;=$AP$1,"O","X"))</f>
        <v/>
      </c>
      <c r="AQ14" s="77" t="str">
        <f>IF(O14="","",IF(O14&lt;=$AQ$1,"O","X"))</f>
        <v>O</v>
      </c>
      <c r="AR14" s="77" t="str">
        <f>IF(M14="","",IF(M14&lt;=$AR$1,"O","X"))</f>
        <v>O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X</v>
      </c>
      <c r="AV14" s="77" t="str">
        <f>IF(AO14="","",IF(AND(AO14="O",AP14="O",AR14="O",AT14="O",AU14="O"),"후보","X"))</f>
        <v/>
      </c>
    </row>
    <row r="15" spans="1:48" x14ac:dyDescent="0.3">
      <c r="A15" s="9"/>
      <c r="B15" s="77"/>
      <c r="C15" s="6"/>
      <c r="D15" s="9"/>
      <c r="E15" s="14"/>
      <c r="F15" s="104"/>
      <c r="G15" s="9"/>
      <c r="H15" s="9"/>
      <c r="I15" s="9"/>
      <c r="J15" s="9"/>
      <c r="K15" s="9"/>
      <c r="L15" s="9"/>
      <c r="M15" s="9"/>
      <c r="N15" s="9"/>
      <c r="O15" s="105"/>
      <c r="P15" s="105"/>
      <c r="Q15" s="106"/>
      <c r="R15" s="106"/>
      <c r="S15" s="9"/>
      <c r="T15" s="47"/>
      <c r="U15" s="9"/>
      <c r="W15" s="67" t="str">
        <f>$A$4&amp;" "&amp;A16&amp;"("&amp;B16&amp;","&amp;C16&amp;"^)"</f>
        <v>산북동 코오롱('94.11.,380^)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3" t="str">
        <f t="shared" si="0"/>
        <v/>
      </c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</row>
    <row r="16" spans="1:48" x14ac:dyDescent="0.3">
      <c r="A16" s="9" t="s">
        <v>790</v>
      </c>
      <c r="B16" s="10" t="s">
        <v>1318</v>
      </c>
      <c r="C16" s="107">
        <v>380</v>
      </c>
      <c r="D16" s="104">
        <v>75.900000000000006</v>
      </c>
      <c r="E16" s="106">
        <v>23</v>
      </c>
      <c r="F16" s="104">
        <v>59.4</v>
      </c>
      <c r="G16" s="17">
        <v>18</v>
      </c>
      <c r="H16" s="107">
        <v>254</v>
      </c>
      <c r="I16" s="108">
        <v>9000</v>
      </c>
      <c r="J16" s="108" t="s">
        <v>1280</v>
      </c>
      <c r="K16" s="108"/>
      <c r="L16" s="108"/>
      <c r="M16" s="109">
        <f>I16-K16</f>
        <v>9000</v>
      </c>
      <c r="N16" s="4">
        <f>IF(ISERROR(K16/I16),"",K16/I16)</f>
        <v>0</v>
      </c>
      <c r="O16" s="105">
        <f>I16/E16</f>
        <v>391.30434782608694</v>
      </c>
      <c r="P16" s="105">
        <f>K16/E16</f>
        <v>0</v>
      </c>
      <c r="Q16" s="77">
        <v>3</v>
      </c>
      <c r="R16" s="77">
        <v>1</v>
      </c>
      <c r="S16" s="77" t="s">
        <v>1244</v>
      </c>
      <c r="T16" s="5">
        <v>75</v>
      </c>
      <c r="U16" s="9"/>
      <c r="W16" s="104">
        <f>D16</f>
        <v>75.900000000000006</v>
      </c>
      <c r="X16" s="106">
        <f>E16</f>
        <v>23</v>
      </c>
      <c r="Y16" s="102">
        <f>H16</f>
        <v>254</v>
      </c>
      <c r="Z16" s="109">
        <f>I16</f>
        <v>9000</v>
      </c>
      <c r="AA16" s="109">
        <f>K16</f>
        <v>0</v>
      </c>
      <c r="AB16" s="109">
        <f t="shared" ref="AB16:AD17" si="6">M16</f>
        <v>9000</v>
      </c>
      <c r="AC16" s="4">
        <f t="shared" si="6"/>
        <v>0</v>
      </c>
      <c r="AD16" s="105">
        <f t="shared" si="6"/>
        <v>391.30434782608694</v>
      </c>
      <c r="AE16" s="77" t="str">
        <f>S16</f>
        <v>계</v>
      </c>
      <c r="AF16" s="77" t="str">
        <f>Q16&amp;"/"&amp;R16</f>
        <v>3/1</v>
      </c>
      <c r="AH16" s="20" t="str">
        <f t="shared" si="1"/>
        <v>코오롱</v>
      </c>
      <c r="AI16" s="106">
        <f t="shared" si="0"/>
        <v>23</v>
      </c>
      <c r="AJ16" s="77" t="str">
        <f>IF(AI16="","",$AJ$2)</f>
        <v>A-</v>
      </c>
      <c r="AK16" s="77" t="s">
        <v>13</v>
      </c>
      <c r="AL16" s="77" t="s">
        <v>1242</v>
      </c>
      <c r="AM16" s="77" t="s">
        <v>1243</v>
      </c>
      <c r="AN16" s="77" t="str">
        <f>IF(AI16="","",$AN$2)</f>
        <v>C</v>
      </c>
      <c r="AO16" s="77" t="str">
        <f>IF(N16="","",IF(N16&gt;=$AO$1/100,"O","X"))</f>
        <v>X</v>
      </c>
      <c r="AP16" s="77" t="str">
        <f>IF(I16="","",IF(I16&lt;=$AP$1,"O","X"))</f>
        <v>O</v>
      </c>
      <c r="AQ16" s="77" t="str">
        <f>IF(O16="","",IF(O16&lt;=$AQ$1,"O","X"))</f>
        <v>O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x14ac:dyDescent="0.3">
      <c r="A17" s="9" t="s">
        <v>790</v>
      </c>
      <c r="B17" s="10" t="s">
        <v>1318</v>
      </c>
      <c r="C17" s="107">
        <v>380</v>
      </c>
      <c r="D17" s="104">
        <v>102.9</v>
      </c>
      <c r="E17" s="106">
        <v>31</v>
      </c>
      <c r="F17" s="104">
        <v>84.5</v>
      </c>
      <c r="G17" s="17">
        <v>26</v>
      </c>
      <c r="H17" s="107">
        <v>126</v>
      </c>
      <c r="I17" s="108"/>
      <c r="J17" s="108"/>
      <c r="K17" s="108"/>
      <c r="L17" s="108"/>
      <c r="M17" s="109">
        <f>I17-K17</f>
        <v>0</v>
      </c>
      <c r="N17" s="4" t="str">
        <f>IF(ISERROR(K17/I17),"",K17/I17)</f>
        <v/>
      </c>
      <c r="O17" s="105">
        <f>I17/E17</f>
        <v>0</v>
      </c>
      <c r="P17" s="105">
        <f>K17/E17</f>
        <v>0</v>
      </c>
      <c r="Q17" s="77">
        <v>3</v>
      </c>
      <c r="R17" s="77">
        <v>2</v>
      </c>
      <c r="S17" s="77" t="s">
        <v>1244</v>
      </c>
      <c r="T17" s="5">
        <v>102</v>
      </c>
      <c r="U17" s="9"/>
      <c r="W17" s="104">
        <f>D17</f>
        <v>102.9</v>
      </c>
      <c r="X17" s="106">
        <f>E17</f>
        <v>31</v>
      </c>
      <c r="Y17" s="102">
        <f>H17</f>
        <v>126</v>
      </c>
      <c r="Z17" s="109">
        <f>I17</f>
        <v>0</v>
      </c>
      <c r="AA17" s="109">
        <f>K17</f>
        <v>0</v>
      </c>
      <c r="AB17" s="109">
        <f t="shared" si="6"/>
        <v>0</v>
      </c>
      <c r="AC17" s="4" t="str">
        <f t="shared" si="6"/>
        <v/>
      </c>
      <c r="AD17" s="105">
        <f t="shared" si="6"/>
        <v>0</v>
      </c>
      <c r="AE17" s="77" t="str">
        <f>S17</f>
        <v>계</v>
      </c>
      <c r="AF17" s="77" t="str">
        <f>Q17&amp;"/"&amp;R17</f>
        <v>3/2</v>
      </c>
      <c r="AH17" s="20" t="str">
        <f t="shared" si="1"/>
        <v>코오롱</v>
      </c>
      <c r="AI17" s="106">
        <f t="shared" si="0"/>
        <v>31</v>
      </c>
      <c r="AJ17" s="77" t="str">
        <f>IF(AI17="","",$AJ$2)</f>
        <v>A-</v>
      </c>
      <c r="AK17" s="77" t="s">
        <v>13</v>
      </c>
      <c r="AL17" s="77" t="s">
        <v>1242</v>
      </c>
      <c r="AM17" s="77" t="s">
        <v>1243</v>
      </c>
      <c r="AN17" s="77" t="str">
        <f>IF(AI17="","",$AN$2)</f>
        <v>C</v>
      </c>
      <c r="AO17" s="77" t="str">
        <f>IF(N17="","",IF(N17&gt;=$AO$1/100,"O","X"))</f>
        <v/>
      </c>
      <c r="AP17" s="77" t="str">
        <f>IF(I17="","",IF(I17&lt;=$AP$1,"O","X"))</f>
        <v/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/>
      </c>
    </row>
    <row r="18" spans="1:48" x14ac:dyDescent="0.3">
      <c r="A18" s="9"/>
      <c r="B18" s="77"/>
      <c r="C18" s="6"/>
      <c r="D18" s="9"/>
      <c r="E18" s="14"/>
      <c r="F18" s="104"/>
      <c r="G18" s="9"/>
      <c r="H18" s="9"/>
      <c r="I18" s="9"/>
      <c r="J18" s="9"/>
      <c r="K18" s="9"/>
      <c r="L18" s="9"/>
      <c r="M18" s="9"/>
      <c r="N18" s="9"/>
      <c r="O18" s="105"/>
      <c r="P18" s="105"/>
      <c r="Q18" s="106"/>
      <c r="R18" s="106"/>
      <c r="S18" s="9"/>
      <c r="T18" s="47"/>
      <c r="U18" s="9"/>
      <c r="W18" s="67" t="str">
        <f>$A$4&amp;" "&amp;A19&amp;"("&amp;B19&amp;","&amp;C19&amp;"^)"</f>
        <v>산북동 산북주공('89.04.,750^)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3" t="str">
        <f t="shared" si="0"/>
        <v/>
      </c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</row>
    <row r="19" spans="1:48" x14ac:dyDescent="0.3">
      <c r="A19" s="9" t="s">
        <v>795</v>
      </c>
      <c r="B19" s="10" t="s">
        <v>1319</v>
      </c>
      <c r="C19" s="107">
        <v>750</v>
      </c>
      <c r="D19" s="104">
        <v>49.9</v>
      </c>
      <c r="E19" s="106">
        <v>15</v>
      </c>
      <c r="F19" s="104">
        <v>39.700000000000003</v>
      </c>
      <c r="G19" s="17">
        <v>12</v>
      </c>
      <c r="H19" s="107">
        <v>110</v>
      </c>
      <c r="I19" s="108">
        <v>7500</v>
      </c>
      <c r="J19" s="108" t="s">
        <v>1268</v>
      </c>
      <c r="K19" s="108"/>
      <c r="L19" s="108"/>
      <c r="M19" s="109">
        <f>I19-K19</f>
        <v>7500</v>
      </c>
      <c r="N19" s="4">
        <f>IF(ISERROR(K19/I19),"",K19/I19)</f>
        <v>0</v>
      </c>
      <c r="O19" s="105">
        <f>I19/E19</f>
        <v>500</v>
      </c>
      <c r="P19" s="105">
        <f>K19/E19</f>
        <v>0</v>
      </c>
      <c r="Q19" s="77">
        <v>2</v>
      </c>
      <c r="R19" s="77">
        <v>1</v>
      </c>
      <c r="S19" s="77" t="s">
        <v>1244</v>
      </c>
      <c r="T19" s="5" t="s">
        <v>796</v>
      </c>
      <c r="U19" s="9"/>
      <c r="W19" s="104">
        <f t="shared" ref="W19:X22" si="7">D19</f>
        <v>49.9</v>
      </c>
      <c r="X19" s="106">
        <f t="shared" si="7"/>
        <v>15</v>
      </c>
      <c r="Y19" s="102">
        <f t="shared" ref="Y19:Z22" si="8">H19</f>
        <v>110</v>
      </c>
      <c r="Z19" s="109">
        <f t="shared" si="8"/>
        <v>7500</v>
      </c>
      <c r="AA19" s="109">
        <f>K19</f>
        <v>0</v>
      </c>
      <c r="AB19" s="109">
        <f t="shared" ref="AB19:AD22" si="9">M19</f>
        <v>7500</v>
      </c>
      <c r="AC19" s="4">
        <f t="shared" si="9"/>
        <v>0</v>
      </c>
      <c r="AD19" s="105">
        <f t="shared" si="9"/>
        <v>500</v>
      </c>
      <c r="AE19" s="77" t="str">
        <f>S19</f>
        <v>계</v>
      </c>
      <c r="AF19" s="77" t="str">
        <f>Q19&amp;"/"&amp;R19</f>
        <v>2/1</v>
      </c>
      <c r="AH19" s="20" t="str">
        <f t="shared" si="1"/>
        <v>산북주공</v>
      </c>
      <c r="AI19" s="106">
        <f t="shared" si="0"/>
        <v>15</v>
      </c>
      <c r="AJ19" s="77" t="str">
        <f>IF(AI19="","",$AJ$2)</f>
        <v>A-</v>
      </c>
      <c r="AK19" s="77" t="s">
        <v>13</v>
      </c>
      <c r="AL19" s="77" t="s">
        <v>1242</v>
      </c>
      <c r="AM19" s="77" t="s">
        <v>1243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O</v>
      </c>
      <c r="AQ19" s="77" t="str">
        <f>IF(O19="","",IF(O19&lt;=$AQ$1,"O","X"))</f>
        <v>O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 t="s">
        <v>795</v>
      </c>
      <c r="B20" s="10" t="s">
        <v>1319</v>
      </c>
      <c r="C20" s="107">
        <v>750</v>
      </c>
      <c r="D20" s="104">
        <v>49.5</v>
      </c>
      <c r="E20" s="106">
        <v>15</v>
      </c>
      <c r="F20" s="104">
        <v>39.299999999999997</v>
      </c>
      <c r="G20" s="17">
        <v>12</v>
      </c>
      <c r="H20" s="107">
        <v>110</v>
      </c>
      <c r="I20" s="108"/>
      <c r="J20" s="108"/>
      <c r="K20" s="108"/>
      <c r="L20" s="108"/>
      <c r="M20" s="109">
        <f>I20-K20</f>
        <v>0</v>
      </c>
      <c r="N20" s="4" t="str">
        <f>IF(ISERROR(K20/I20),"",K20/I20)</f>
        <v/>
      </c>
      <c r="O20" s="105">
        <f>I20/E20</f>
        <v>0</v>
      </c>
      <c r="P20" s="105">
        <f>K20/E20</f>
        <v>0</v>
      </c>
      <c r="Q20" s="77">
        <v>2</v>
      </c>
      <c r="R20" s="77">
        <v>1</v>
      </c>
      <c r="S20" s="77" t="s">
        <v>1244</v>
      </c>
      <c r="T20" s="5" t="s">
        <v>800</v>
      </c>
      <c r="U20" s="9"/>
      <c r="W20" s="104">
        <f t="shared" si="7"/>
        <v>49.5</v>
      </c>
      <c r="X20" s="106">
        <f t="shared" si="7"/>
        <v>15</v>
      </c>
      <c r="Y20" s="102">
        <f t="shared" si="8"/>
        <v>110</v>
      </c>
      <c r="Z20" s="109">
        <f t="shared" si="8"/>
        <v>0</v>
      </c>
      <c r="AA20" s="109">
        <f>K20</f>
        <v>0</v>
      </c>
      <c r="AB20" s="109">
        <f t="shared" si="9"/>
        <v>0</v>
      </c>
      <c r="AC20" s="4" t="str">
        <f t="shared" si="9"/>
        <v/>
      </c>
      <c r="AD20" s="105">
        <f t="shared" si="9"/>
        <v>0</v>
      </c>
      <c r="AE20" s="77" t="str">
        <f>S20</f>
        <v>계</v>
      </c>
      <c r="AF20" s="77" t="str">
        <f>Q20&amp;"/"&amp;R20</f>
        <v>2/1</v>
      </c>
      <c r="AH20" s="20" t="str">
        <f t="shared" si="1"/>
        <v>산북주공</v>
      </c>
      <c r="AI20" s="106">
        <f t="shared" si="0"/>
        <v>15</v>
      </c>
      <c r="AJ20" s="77" t="str">
        <f>IF(AI20="","",$AJ$2)</f>
        <v>A-</v>
      </c>
      <c r="AK20" s="77" t="s">
        <v>13</v>
      </c>
      <c r="AL20" s="77" t="s">
        <v>1242</v>
      </c>
      <c r="AM20" s="77" t="s">
        <v>1243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/>
      </c>
    </row>
    <row r="21" spans="1:48" x14ac:dyDescent="0.3">
      <c r="A21" s="9" t="s">
        <v>795</v>
      </c>
      <c r="B21" s="10" t="s">
        <v>1319</v>
      </c>
      <c r="C21" s="107">
        <v>750</v>
      </c>
      <c r="D21" s="104">
        <v>57.9</v>
      </c>
      <c r="E21" s="106">
        <v>18</v>
      </c>
      <c r="F21" s="104">
        <v>47</v>
      </c>
      <c r="G21" s="17">
        <v>14</v>
      </c>
      <c r="H21" s="107">
        <v>290</v>
      </c>
      <c r="I21" s="108">
        <v>8500</v>
      </c>
      <c r="J21" s="108" t="s">
        <v>1268</v>
      </c>
      <c r="K21" s="108"/>
      <c r="L21" s="108"/>
      <c r="M21" s="109">
        <f>I21-K21</f>
        <v>8500</v>
      </c>
      <c r="N21" s="4">
        <f>IF(ISERROR(K21/I21),"",K21/I21)</f>
        <v>0</v>
      </c>
      <c r="O21" s="105">
        <f>I21/E21</f>
        <v>472.22222222222223</v>
      </c>
      <c r="P21" s="105">
        <f>K21/E21</f>
        <v>0</v>
      </c>
      <c r="Q21" s="77">
        <v>2</v>
      </c>
      <c r="R21" s="77">
        <v>1</v>
      </c>
      <c r="S21" s="77" t="s">
        <v>1244</v>
      </c>
      <c r="T21" s="5">
        <v>57</v>
      </c>
      <c r="U21" s="9"/>
      <c r="W21" s="104">
        <f t="shared" si="7"/>
        <v>57.9</v>
      </c>
      <c r="X21" s="106">
        <f t="shared" si="7"/>
        <v>18</v>
      </c>
      <c r="Y21" s="102">
        <f t="shared" si="8"/>
        <v>290</v>
      </c>
      <c r="Z21" s="109">
        <f t="shared" si="8"/>
        <v>8500</v>
      </c>
      <c r="AA21" s="109">
        <f>K21</f>
        <v>0</v>
      </c>
      <c r="AB21" s="109">
        <f t="shared" si="9"/>
        <v>8500</v>
      </c>
      <c r="AC21" s="4">
        <f t="shared" si="9"/>
        <v>0</v>
      </c>
      <c r="AD21" s="105">
        <f t="shared" si="9"/>
        <v>472.22222222222223</v>
      </c>
      <c r="AE21" s="77" t="str">
        <f>S21</f>
        <v>계</v>
      </c>
      <c r="AF21" s="77" t="str">
        <f>Q21&amp;"/"&amp;R21</f>
        <v>2/1</v>
      </c>
      <c r="AH21" s="20" t="str">
        <f t="shared" si="1"/>
        <v>산북주공</v>
      </c>
      <c r="AI21" s="106">
        <f t="shared" si="0"/>
        <v>18</v>
      </c>
      <c r="AJ21" s="77" t="str">
        <f>IF(AI21="","",$AJ$2)</f>
        <v>A-</v>
      </c>
      <c r="AK21" s="77" t="s">
        <v>13</v>
      </c>
      <c r="AL21" s="77" t="s">
        <v>1242</v>
      </c>
      <c r="AM21" s="77" t="s">
        <v>1243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O</v>
      </c>
      <c r="AQ21" s="77" t="str">
        <f>IF(O21="","",IF(O21&lt;=$AQ$1,"O","X"))</f>
        <v>O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 t="s">
        <v>795</v>
      </c>
      <c r="B22" s="10" t="s">
        <v>1319</v>
      </c>
      <c r="C22" s="107">
        <v>750</v>
      </c>
      <c r="D22" s="104">
        <v>57.6</v>
      </c>
      <c r="E22" s="106">
        <v>17</v>
      </c>
      <c r="F22" s="104">
        <v>46.7</v>
      </c>
      <c r="G22" s="17">
        <v>14</v>
      </c>
      <c r="H22" s="107">
        <v>240</v>
      </c>
      <c r="I22" s="108">
        <v>8500</v>
      </c>
      <c r="J22" s="108" t="s">
        <v>1268</v>
      </c>
      <c r="K22" s="108">
        <v>1500</v>
      </c>
      <c r="L22" s="108" t="s">
        <v>1268</v>
      </c>
      <c r="M22" s="109">
        <f>I22-K22</f>
        <v>7000</v>
      </c>
      <c r="N22" s="4">
        <f>IF(ISERROR(K22/I22),"",K22/I22)</f>
        <v>0.17647058823529413</v>
      </c>
      <c r="O22" s="105">
        <f>I22/E22</f>
        <v>500</v>
      </c>
      <c r="P22" s="105">
        <f>K22/E22</f>
        <v>88.235294117647058</v>
      </c>
      <c r="Q22" s="77">
        <v>2</v>
      </c>
      <c r="R22" s="77">
        <v>1</v>
      </c>
      <c r="S22" s="77" t="s">
        <v>1244</v>
      </c>
      <c r="T22" s="5">
        <v>57</v>
      </c>
      <c r="U22" s="9"/>
      <c r="W22" s="104">
        <f t="shared" si="7"/>
        <v>57.6</v>
      </c>
      <c r="X22" s="106">
        <f t="shared" si="7"/>
        <v>17</v>
      </c>
      <c r="Y22" s="102">
        <f t="shared" si="8"/>
        <v>240</v>
      </c>
      <c r="Z22" s="109">
        <f t="shared" si="8"/>
        <v>8500</v>
      </c>
      <c r="AA22" s="109">
        <f>K22</f>
        <v>1500</v>
      </c>
      <c r="AB22" s="109">
        <f t="shared" si="9"/>
        <v>7000</v>
      </c>
      <c r="AC22" s="4">
        <f t="shared" si="9"/>
        <v>0.17647058823529413</v>
      </c>
      <c r="AD22" s="105">
        <f t="shared" si="9"/>
        <v>500</v>
      </c>
      <c r="AE22" s="77" t="str">
        <f>S22</f>
        <v>계</v>
      </c>
      <c r="AF22" s="77" t="str">
        <f>Q22&amp;"/"&amp;R22</f>
        <v>2/1</v>
      </c>
      <c r="AH22" s="20" t="str">
        <f t="shared" si="1"/>
        <v>산북주공</v>
      </c>
      <c r="AI22" s="106">
        <f t="shared" si="0"/>
        <v>17</v>
      </c>
      <c r="AJ22" s="77" t="str">
        <f>IF(AI22="","",$AJ$2)</f>
        <v>A-</v>
      </c>
      <c r="AK22" s="77" t="s">
        <v>13</v>
      </c>
      <c r="AL22" s="77" t="s">
        <v>1242</v>
      </c>
      <c r="AM22" s="77" t="s">
        <v>1243</v>
      </c>
      <c r="AN22" s="77" t="str">
        <f>IF(AI22="","",$AN$2)</f>
        <v>C</v>
      </c>
      <c r="AO22" s="77" t="str">
        <f>IF(N22="","",IF(N22&gt;=$AO$1/100,"O","X"))</f>
        <v>X</v>
      </c>
      <c r="AP22" s="77" t="str">
        <f>IF(I22="","",IF(I22&lt;=$AP$1,"O","X"))</f>
        <v>O</v>
      </c>
      <c r="AQ22" s="77" t="str">
        <f>IF(O22="","",IF(O22&lt;=$AQ$1,"O","X"))</f>
        <v>O</v>
      </c>
      <c r="AR22" s="77" t="str">
        <f>IF(M22="","",IF(M22&lt;=$AR$1,"O","X"))</f>
        <v>X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>X</v>
      </c>
    </row>
    <row r="23" spans="1:48" x14ac:dyDescent="0.3">
      <c r="A23" s="9"/>
      <c r="B23" s="77"/>
      <c r="C23" s="6"/>
      <c r="D23" s="9"/>
      <c r="E23" s="14"/>
      <c r="F23" s="104"/>
      <c r="G23" s="9"/>
      <c r="H23" s="9"/>
      <c r="I23" s="9"/>
      <c r="J23" s="9"/>
      <c r="K23" s="9"/>
      <c r="L23" s="9"/>
      <c r="M23" s="9"/>
      <c r="N23" s="9"/>
      <c r="O23" s="105"/>
      <c r="P23" s="105"/>
      <c r="Q23" s="106"/>
      <c r="R23" s="106"/>
      <c r="S23" s="9"/>
      <c r="T23" s="47"/>
      <c r="U23" s="9"/>
      <c r="W23" s="67" t="str">
        <f>$A$4&amp;" "&amp;A24&amp;"("&amp;B24&amp;","&amp;C24&amp;"^)"</f>
        <v>산북동 산북하늘가201동('07.02.,220^)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3" t="str">
        <f t="shared" si="0"/>
        <v/>
      </c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</row>
    <row r="24" spans="1:48" x14ac:dyDescent="0.3">
      <c r="A24" s="9" t="s">
        <v>801</v>
      </c>
      <c r="B24" s="10" t="s">
        <v>1299</v>
      </c>
      <c r="C24" s="107">
        <v>220</v>
      </c>
      <c r="D24" s="104">
        <v>49</v>
      </c>
      <c r="E24" s="106">
        <v>15</v>
      </c>
      <c r="F24" s="104">
        <v>35.9</v>
      </c>
      <c r="G24" s="17">
        <v>11</v>
      </c>
      <c r="H24" s="107">
        <v>220</v>
      </c>
      <c r="I24" s="108"/>
      <c r="J24" s="108"/>
      <c r="K24" s="108"/>
      <c r="L24" s="108"/>
      <c r="M24" s="109">
        <f>I24-K24</f>
        <v>0</v>
      </c>
      <c r="N24" s="4" t="str">
        <f>IF(ISERROR(K24/I24),"",K24/I24)</f>
        <v/>
      </c>
      <c r="O24" s="105">
        <f>I24/E24</f>
        <v>0</v>
      </c>
      <c r="P24" s="105">
        <f>K24/E24</f>
        <v>0</v>
      </c>
      <c r="Q24" s="77">
        <v>1</v>
      </c>
      <c r="R24" s="77">
        <v>1</v>
      </c>
      <c r="S24" s="77" t="s">
        <v>1244</v>
      </c>
      <c r="T24" s="5">
        <v>48</v>
      </c>
      <c r="U24" s="9"/>
      <c r="W24" s="104">
        <f>D24</f>
        <v>49</v>
      </c>
      <c r="X24" s="106">
        <f>E24</f>
        <v>15</v>
      </c>
      <c r="Y24" s="102">
        <f>H24</f>
        <v>220</v>
      </c>
      <c r="Z24" s="109">
        <f>I24</f>
        <v>0</v>
      </c>
      <c r="AA24" s="109">
        <f>K24</f>
        <v>0</v>
      </c>
      <c r="AB24" s="109">
        <f>M24</f>
        <v>0</v>
      </c>
      <c r="AC24" s="4" t="str">
        <f>N24</f>
        <v/>
      </c>
      <c r="AD24" s="105">
        <f>O24</f>
        <v>0</v>
      </c>
      <c r="AE24" s="77" t="str">
        <f>S24</f>
        <v>계</v>
      </c>
      <c r="AF24" s="77" t="str">
        <f>Q24&amp;"/"&amp;R24</f>
        <v>1/1</v>
      </c>
      <c r="AH24" s="20" t="str">
        <f t="shared" si="1"/>
        <v>산북하늘가201동</v>
      </c>
      <c r="AI24" s="106">
        <f t="shared" si="0"/>
        <v>15</v>
      </c>
      <c r="AJ24" s="77" t="str">
        <f>IF(AI24="","",$AJ$2)</f>
        <v>A-</v>
      </c>
      <c r="AK24" s="77" t="s">
        <v>13</v>
      </c>
      <c r="AL24" s="77" t="s">
        <v>1242</v>
      </c>
      <c r="AM24" s="77" t="s">
        <v>1243</v>
      </c>
      <c r="AN24" s="77" t="str">
        <f>IF(AI24="","",$AN$2)</f>
        <v>C</v>
      </c>
      <c r="AO24" s="77" t="str">
        <f>IF(N24="","",IF(N24&gt;=$AO$1/100,"O","X"))</f>
        <v/>
      </c>
      <c r="AP24" s="77" t="str">
        <f>IF(I24="","",IF(I24&lt;=$AP$1,"O","X"))</f>
        <v/>
      </c>
      <c r="AQ24" s="77" t="str">
        <f>IF(O24="","",IF(O24&lt;=$AQ$1,"O","X"))</f>
        <v>O</v>
      </c>
      <c r="AR24" s="77" t="str">
        <f>IF(M24="","",IF(M24&lt;=$AR$1,"O","X"))</f>
        <v>O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X</v>
      </c>
      <c r="AV24" s="77" t="str">
        <f>IF(AO24="","",IF(AND(AO24="O",AP24="O",AR24="O",AT24="O",AU24="O"),"후보","X"))</f>
        <v/>
      </c>
    </row>
    <row r="25" spans="1:48" x14ac:dyDescent="0.3">
      <c r="A25" s="9"/>
      <c r="B25" s="77"/>
      <c r="C25" s="6"/>
      <c r="D25" s="9"/>
      <c r="E25" s="14"/>
      <c r="F25" s="104"/>
      <c r="G25" s="9"/>
      <c r="H25" s="9"/>
      <c r="I25" s="9"/>
      <c r="J25" s="9"/>
      <c r="K25" s="9"/>
      <c r="L25" s="9"/>
      <c r="M25" s="9"/>
      <c r="N25" s="9"/>
      <c r="O25" s="105"/>
      <c r="P25" s="105"/>
      <c r="Q25" s="106"/>
      <c r="R25" s="106"/>
      <c r="S25" s="9"/>
      <c r="T25" s="47"/>
      <c r="U25" s="9"/>
      <c r="W25" s="67" t="str">
        <f>$A$4&amp;" "&amp;A26&amp;"("&amp;B26&amp;","&amp;C26&amp;"^)"</f>
        <v>산북동 하늘가1차('01.08.,221^)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3" t="str">
        <f t="shared" si="0"/>
        <v/>
      </c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</row>
    <row r="26" spans="1:48" x14ac:dyDescent="0.3">
      <c r="A26" s="9" t="s">
        <v>805</v>
      </c>
      <c r="B26" s="10" t="s">
        <v>1320</v>
      </c>
      <c r="C26" s="107">
        <v>221</v>
      </c>
      <c r="D26" s="104">
        <v>52</v>
      </c>
      <c r="E26" s="106">
        <v>16</v>
      </c>
      <c r="F26" s="104">
        <v>40</v>
      </c>
      <c r="G26" s="17">
        <v>12</v>
      </c>
      <c r="H26" s="107">
        <v>221</v>
      </c>
      <c r="I26" s="108"/>
      <c r="J26" s="108"/>
      <c r="K26" s="108"/>
      <c r="L26" s="108"/>
      <c r="M26" s="109">
        <f>I26-K26</f>
        <v>0</v>
      </c>
      <c r="N26" s="4" t="str">
        <f>IF(ISERROR(K26/I26),"",K26/I26)</f>
        <v/>
      </c>
      <c r="O26" s="105">
        <f>I26/E26</f>
        <v>0</v>
      </c>
      <c r="P26" s="105">
        <f>K26/E26</f>
        <v>0</v>
      </c>
      <c r="Q26" s="77">
        <v>2</v>
      </c>
      <c r="R26" s="77">
        <v>1</v>
      </c>
      <c r="S26" s="77" t="s">
        <v>1241</v>
      </c>
      <c r="T26" s="5">
        <v>52</v>
      </c>
      <c r="U26" s="9"/>
      <c r="W26" s="104">
        <f>D26</f>
        <v>52</v>
      </c>
      <c r="X26" s="106">
        <f>E26</f>
        <v>16</v>
      </c>
      <c r="Y26" s="102">
        <f>H26</f>
        <v>221</v>
      </c>
      <c r="Z26" s="109">
        <f>I26</f>
        <v>0</v>
      </c>
      <c r="AA26" s="109">
        <f>K26</f>
        <v>0</v>
      </c>
      <c r="AB26" s="109">
        <f>M26</f>
        <v>0</v>
      </c>
      <c r="AC26" s="4" t="str">
        <f>N26</f>
        <v/>
      </c>
      <c r="AD26" s="105">
        <f>O26</f>
        <v>0</v>
      </c>
      <c r="AE26" s="77" t="str">
        <f>S26</f>
        <v>복</v>
      </c>
      <c r="AF26" s="77" t="str">
        <f>Q26&amp;"/"&amp;R26</f>
        <v>2/1</v>
      </c>
      <c r="AH26" s="20" t="str">
        <f t="shared" si="1"/>
        <v>하늘가1차</v>
      </c>
      <c r="AI26" s="106">
        <f t="shared" si="0"/>
        <v>16</v>
      </c>
      <c r="AJ26" s="77" t="str">
        <f>IF(AI26="","",$AJ$2)</f>
        <v>A-</v>
      </c>
      <c r="AK26" s="77" t="s">
        <v>13</v>
      </c>
      <c r="AL26" s="77" t="s">
        <v>1242</v>
      </c>
      <c r="AM26" s="77" t="s">
        <v>1243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X</v>
      </c>
      <c r="AV26" s="77" t="str">
        <f>IF(AO26="","",IF(AND(AO26="O",AP26="O",AR26="O",AT26="O",AU26="O"),"후보","X"))</f>
        <v/>
      </c>
    </row>
    <row r="27" spans="1:48" x14ac:dyDescent="0.3">
      <c r="A27" s="9"/>
      <c r="B27" s="77"/>
      <c r="C27" s="6"/>
      <c r="D27" s="9"/>
      <c r="E27" s="14"/>
      <c r="F27" s="104"/>
      <c r="G27" s="9"/>
      <c r="H27" s="9"/>
      <c r="I27" s="9"/>
      <c r="J27" s="9"/>
      <c r="K27" s="9"/>
      <c r="L27" s="9"/>
      <c r="M27" s="9"/>
      <c r="N27" s="9"/>
      <c r="O27" s="105"/>
      <c r="P27" s="105"/>
      <c r="Q27" s="106"/>
      <c r="R27" s="106"/>
      <c r="S27" s="9"/>
      <c r="T27" s="47"/>
      <c r="U27" s="9"/>
      <c r="W27" s="67" t="str">
        <f>$A$4&amp;" "&amp;A28&amp;"("&amp;B28&amp;","&amp;C28&amp;"^)"</f>
        <v>산북동 산북부향하나로4차('97.12.,404^)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3" t="str">
        <f t="shared" si="0"/>
        <v/>
      </c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</row>
    <row r="28" spans="1:48" x14ac:dyDescent="0.3">
      <c r="A28" s="9" t="s">
        <v>814</v>
      </c>
      <c r="B28" s="10" t="s">
        <v>1276</v>
      </c>
      <c r="C28" s="107">
        <v>404</v>
      </c>
      <c r="D28" s="104">
        <v>40.299999999999997</v>
      </c>
      <c r="E28" s="106">
        <v>12</v>
      </c>
      <c r="F28" s="104">
        <v>30.3</v>
      </c>
      <c r="G28" s="17">
        <v>9</v>
      </c>
      <c r="H28" s="107">
        <v>9</v>
      </c>
      <c r="I28" s="108"/>
      <c r="J28" s="108"/>
      <c r="K28" s="108"/>
      <c r="L28" s="108"/>
      <c r="M28" s="109">
        <f>I28-K28</f>
        <v>0</v>
      </c>
      <c r="N28" s="4" t="str">
        <f>IF(ISERROR(K28/I28),"",K28/I28)</f>
        <v/>
      </c>
      <c r="O28" s="105">
        <f>I28/E28</f>
        <v>0</v>
      </c>
      <c r="P28" s="105">
        <f>K28/E28</f>
        <v>0</v>
      </c>
      <c r="Q28" s="77">
        <v>1</v>
      </c>
      <c r="R28" s="77">
        <v>1</v>
      </c>
      <c r="S28" s="77" t="s">
        <v>1244</v>
      </c>
      <c r="T28" s="5">
        <v>40</v>
      </c>
      <c r="U28" s="9"/>
      <c r="W28" s="104">
        <f>D28</f>
        <v>40.299999999999997</v>
      </c>
      <c r="X28" s="106">
        <f>E28</f>
        <v>12</v>
      </c>
      <c r="Y28" s="102">
        <f>H28</f>
        <v>9</v>
      </c>
      <c r="Z28" s="109">
        <f>I28</f>
        <v>0</v>
      </c>
      <c r="AA28" s="109">
        <f>K28</f>
        <v>0</v>
      </c>
      <c r="AB28" s="109">
        <f t="shared" ref="AB28:AD29" si="10">M28</f>
        <v>0</v>
      </c>
      <c r="AC28" s="4" t="str">
        <f t="shared" si="10"/>
        <v/>
      </c>
      <c r="AD28" s="105">
        <f t="shared" si="10"/>
        <v>0</v>
      </c>
      <c r="AE28" s="77" t="str">
        <f>S28</f>
        <v>계</v>
      </c>
      <c r="AF28" s="77" t="str">
        <f>Q28&amp;"/"&amp;R28</f>
        <v>1/1</v>
      </c>
      <c r="AH28" s="20" t="str">
        <f t="shared" si="1"/>
        <v>산북부향하나로4차</v>
      </c>
      <c r="AI28" s="106">
        <f t="shared" si="0"/>
        <v>12</v>
      </c>
      <c r="AJ28" s="77" t="str">
        <f>IF(AI28="","",$AJ$2)</f>
        <v>A-</v>
      </c>
      <c r="AK28" s="77" t="s">
        <v>13</v>
      </c>
      <c r="AL28" s="77" t="s">
        <v>1242</v>
      </c>
      <c r="AM28" s="77" t="s">
        <v>1243</v>
      </c>
      <c r="AN28" s="77" t="str">
        <f>IF(AI28="","",$AN$2)</f>
        <v>C</v>
      </c>
      <c r="AO28" s="77" t="str">
        <f>IF(N28="","",IF(N28&gt;=$AO$1/100,"O","X"))</f>
        <v/>
      </c>
      <c r="AP28" s="77" t="str">
        <f>IF(I28="","",IF(I28&lt;=$AP$1,"O","X"))</f>
        <v/>
      </c>
      <c r="AQ28" s="77" t="str">
        <f>IF(O28="","",IF(O28&lt;=$AQ$1,"O","X"))</f>
        <v>O</v>
      </c>
      <c r="AR28" s="77" t="str">
        <f>IF(M28="","",IF(M28&lt;=$AR$1,"O","X"))</f>
        <v>O</v>
      </c>
      <c r="AS28" s="77" t="s">
        <v>2</v>
      </c>
      <c r="AT28" s="77" t="str">
        <f>IF(OR(F28="",AI28=""),"",IF(AND((F28&lt;=85),(AI28&gt;=15)),"O","X"))</f>
        <v>X</v>
      </c>
      <c r="AU28" s="77" t="str">
        <f>IF(C28="","",IF(C28&gt;=$AU$1,"O","X"))</f>
        <v>O</v>
      </c>
      <c r="AV28" s="77" t="str">
        <f>IF(AO28="","",IF(AND(AO28="O",AP28="O",AR28="O",AT28="O",AU28="O"),"후보","X"))</f>
        <v/>
      </c>
    </row>
    <row r="29" spans="1:48" x14ac:dyDescent="0.3">
      <c r="A29" s="9" t="s">
        <v>814</v>
      </c>
      <c r="B29" s="10" t="s">
        <v>1276</v>
      </c>
      <c r="C29" s="107">
        <v>404</v>
      </c>
      <c r="D29" s="104">
        <v>52.1</v>
      </c>
      <c r="E29" s="106">
        <v>16</v>
      </c>
      <c r="F29" s="104">
        <v>39.1</v>
      </c>
      <c r="G29" s="17">
        <v>12</v>
      </c>
      <c r="H29" s="107">
        <v>105</v>
      </c>
      <c r="I29" s="108">
        <v>1900</v>
      </c>
      <c r="J29" s="108" t="s">
        <v>1287</v>
      </c>
      <c r="K29" s="108"/>
      <c r="L29" s="108"/>
      <c r="M29" s="109">
        <f>I29-K29</f>
        <v>1900</v>
      </c>
      <c r="N29" s="4">
        <f>IF(ISERROR(K29/I29),"",K29/I29)</f>
        <v>0</v>
      </c>
      <c r="O29" s="105">
        <f>I29/E29</f>
        <v>118.75</v>
      </c>
      <c r="P29" s="105">
        <f>K29/E29</f>
        <v>0</v>
      </c>
      <c r="Q29" s="77">
        <v>1</v>
      </c>
      <c r="R29" s="77">
        <v>1</v>
      </c>
      <c r="S29" s="77" t="s">
        <v>1244</v>
      </c>
      <c r="T29" s="5">
        <v>52</v>
      </c>
      <c r="U29" s="9"/>
      <c r="W29" s="104">
        <f>D29</f>
        <v>52.1</v>
      </c>
      <c r="X29" s="106">
        <f>E29</f>
        <v>16</v>
      </c>
      <c r="Y29" s="102">
        <f>H29</f>
        <v>105</v>
      </c>
      <c r="Z29" s="109">
        <f>I29</f>
        <v>1900</v>
      </c>
      <c r="AA29" s="109">
        <f>K29</f>
        <v>0</v>
      </c>
      <c r="AB29" s="109">
        <f t="shared" si="10"/>
        <v>1900</v>
      </c>
      <c r="AC29" s="4">
        <f t="shared" si="10"/>
        <v>0</v>
      </c>
      <c r="AD29" s="105">
        <f t="shared" si="10"/>
        <v>118.75</v>
      </c>
      <c r="AE29" s="77" t="str">
        <f>S29</f>
        <v>계</v>
      </c>
      <c r="AF29" s="77" t="str">
        <f>Q29&amp;"/"&amp;R29</f>
        <v>1/1</v>
      </c>
      <c r="AH29" s="20" t="str">
        <f t="shared" si="1"/>
        <v>산북부향하나로4차</v>
      </c>
      <c r="AI29" s="106">
        <f t="shared" si="0"/>
        <v>16</v>
      </c>
      <c r="AJ29" s="77" t="str">
        <f>IF(AI29="","",$AJ$2)</f>
        <v>A-</v>
      </c>
      <c r="AK29" s="77" t="s">
        <v>13</v>
      </c>
      <c r="AL29" s="77" t="s">
        <v>1242</v>
      </c>
      <c r="AM29" s="77" t="s">
        <v>1243</v>
      </c>
      <c r="AN29" s="77" t="str">
        <f>IF(AI29="","",$AN$2)</f>
        <v>C</v>
      </c>
      <c r="AO29" s="77" t="str">
        <f>IF(N29="","",IF(N29&gt;=$AO$1/100,"O","X"))</f>
        <v>X</v>
      </c>
      <c r="AP29" s="77" t="str">
        <f>IF(I29="","",IF(I29&lt;=$AP$1,"O","X"))</f>
        <v>O</v>
      </c>
      <c r="AQ29" s="77" t="str">
        <f>IF(O29="","",IF(O29&lt;=$AQ$1,"O","X"))</f>
        <v>O</v>
      </c>
      <c r="AR29" s="77" t="str">
        <f>IF(M29="","",IF(M29&lt;=$AR$1,"O","X"))</f>
        <v>O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>X</v>
      </c>
    </row>
    <row r="30" spans="1:48" x14ac:dyDescent="0.3">
      <c r="A30" s="9"/>
      <c r="B30" s="77"/>
      <c r="C30" s="6"/>
      <c r="D30" s="9"/>
      <c r="E30" s="14"/>
      <c r="F30" s="104"/>
      <c r="G30" s="9"/>
      <c r="H30" s="9"/>
      <c r="I30" s="9"/>
      <c r="J30" s="9"/>
      <c r="K30" s="9"/>
      <c r="L30" s="9"/>
      <c r="M30" s="9"/>
      <c r="N30" s="9"/>
      <c r="O30" s="105"/>
      <c r="P30" s="105"/>
      <c r="Q30" s="106"/>
      <c r="R30" s="106"/>
      <c r="S30" s="9"/>
      <c r="T30" s="47"/>
      <c r="U30" s="9"/>
      <c r="W30" s="67" t="str">
        <f>$A$4&amp;" "&amp;A31&amp;"("&amp;B31&amp;","&amp;C31&amp;"^)"</f>
        <v>산북동 부향하나로1차('97.03.,349^)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3" t="str">
        <f t="shared" si="0"/>
        <v/>
      </c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</row>
    <row r="31" spans="1:48" x14ac:dyDescent="0.3">
      <c r="A31" s="9" t="s">
        <v>838</v>
      </c>
      <c r="B31" s="10" t="s">
        <v>1321</v>
      </c>
      <c r="C31" s="107">
        <v>349</v>
      </c>
      <c r="D31" s="104">
        <v>35.6</v>
      </c>
      <c r="E31" s="106">
        <v>11</v>
      </c>
      <c r="F31" s="104">
        <v>27</v>
      </c>
      <c r="G31" s="17">
        <v>8</v>
      </c>
      <c r="H31" s="107">
        <v>54</v>
      </c>
      <c r="I31" s="108"/>
      <c r="J31" s="108"/>
      <c r="K31" s="108"/>
      <c r="L31" s="108"/>
      <c r="M31" s="109">
        <f>I31-K31</f>
        <v>0</v>
      </c>
      <c r="N31" s="4" t="str">
        <f>IF(ISERROR(K31/I31),"",K31/I31)</f>
        <v/>
      </c>
      <c r="O31" s="105">
        <f>I31/E31</f>
        <v>0</v>
      </c>
      <c r="P31" s="105">
        <f>K31/E31</f>
        <v>0</v>
      </c>
      <c r="Q31" s="77">
        <v>1</v>
      </c>
      <c r="R31" s="77">
        <v>1</v>
      </c>
      <c r="S31" s="77" t="s">
        <v>1241</v>
      </c>
      <c r="T31" s="5">
        <v>35</v>
      </c>
      <c r="U31" s="9"/>
      <c r="W31" s="104">
        <f>D31</f>
        <v>35.6</v>
      </c>
      <c r="X31" s="106">
        <f>E31</f>
        <v>11</v>
      </c>
      <c r="Y31" s="102">
        <f>H31</f>
        <v>54</v>
      </c>
      <c r="Z31" s="109">
        <f>I31</f>
        <v>0</v>
      </c>
      <c r="AA31" s="109">
        <f>K31</f>
        <v>0</v>
      </c>
      <c r="AB31" s="109">
        <f t="shared" ref="AB31:AD32" si="11">M31</f>
        <v>0</v>
      </c>
      <c r="AC31" s="4" t="str">
        <f t="shared" si="11"/>
        <v/>
      </c>
      <c r="AD31" s="105">
        <f t="shared" si="11"/>
        <v>0</v>
      </c>
      <c r="AE31" s="77" t="str">
        <f>S31</f>
        <v>복</v>
      </c>
      <c r="AF31" s="77" t="str">
        <f>Q31&amp;"/"&amp;R31</f>
        <v>1/1</v>
      </c>
      <c r="AH31" s="20" t="str">
        <f t="shared" si="1"/>
        <v>부향하나로1차</v>
      </c>
      <c r="AI31" s="106">
        <f t="shared" si="0"/>
        <v>11</v>
      </c>
      <c r="AJ31" s="77" t="str">
        <f>IF(AI31="","",$AJ$2)</f>
        <v>A-</v>
      </c>
      <c r="AK31" s="77" t="s">
        <v>13</v>
      </c>
      <c r="AL31" s="77" t="s">
        <v>1242</v>
      </c>
      <c r="AM31" s="77" t="s">
        <v>1243</v>
      </c>
      <c r="AN31" s="77" t="str">
        <f>IF(AI31="","",$AN$2)</f>
        <v>C</v>
      </c>
      <c r="AO31" s="77" t="str">
        <f>IF(N31="","",IF(N31&gt;=$AO$1/100,"O","X"))</f>
        <v/>
      </c>
      <c r="AP31" s="77" t="str">
        <f>IF(I31="","",IF(I31&lt;=$AP$1,"O","X"))</f>
        <v/>
      </c>
      <c r="AQ31" s="77" t="str">
        <f>IF(O31="","",IF(O31&lt;=$AQ$1,"O","X"))</f>
        <v>O</v>
      </c>
      <c r="AR31" s="77" t="str">
        <f>IF(M31="","",IF(M31&lt;=$AR$1,"O","X"))</f>
        <v>O</v>
      </c>
      <c r="AS31" s="77" t="s">
        <v>2</v>
      </c>
      <c r="AT31" s="77" t="str">
        <f>IF(OR(F31="",AI31=""),"",IF(AND((F31&lt;=85),(AI31&gt;=15)),"O","X"))</f>
        <v>X</v>
      </c>
      <c r="AU31" s="77" t="str">
        <f>IF(C31="","",IF(C31&gt;=$AU$1,"O","X"))</f>
        <v>O</v>
      </c>
      <c r="AV31" s="77" t="str">
        <f>IF(AO31="","",IF(AND(AO31="O",AP31="O",AR31="O",AT31="O",AU31="O"),"후보","X"))</f>
        <v/>
      </c>
    </row>
    <row r="32" spans="1:48" x14ac:dyDescent="0.3">
      <c r="A32" s="9" t="s">
        <v>838</v>
      </c>
      <c r="B32" s="10" t="s">
        <v>1321</v>
      </c>
      <c r="C32" s="107">
        <v>349</v>
      </c>
      <c r="D32" s="104">
        <v>51.5</v>
      </c>
      <c r="E32" s="106">
        <v>16</v>
      </c>
      <c r="F32" s="104">
        <v>39</v>
      </c>
      <c r="G32" s="17">
        <v>12</v>
      </c>
      <c r="H32" s="107">
        <v>295</v>
      </c>
      <c r="I32" s="108">
        <v>2100</v>
      </c>
      <c r="J32" s="108" t="s">
        <v>1272</v>
      </c>
      <c r="K32" s="108"/>
      <c r="L32" s="108"/>
      <c r="M32" s="109">
        <f>I32-K32</f>
        <v>2100</v>
      </c>
      <c r="N32" s="4">
        <f>IF(ISERROR(K32/I32),"",K32/I32)</f>
        <v>0</v>
      </c>
      <c r="O32" s="105">
        <f>I32/E32</f>
        <v>131.25</v>
      </c>
      <c r="P32" s="105">
        <f>K32/E32</f>
        <v>0</v>
      </c>
      <c r="Q32" s="77">
        <v>2</v>
      </c>
      <c r="R32" s="77">
        <v>1</v>
      </c>
      <c r="S32" s="77" t="s">
        <v>1241</v>
      </c>
      <c r="T32" s="5">
        <v>51</v>
      </c>
      <c r="U32" s="9"/>
      <c r="W32" s="104">
        <f>D32</f>
        <v>51.5</v>
      </c>
      <c r="X32" s="106">
        <f>E32</f>
        <v>16</v>
      </c>
      <c r="Y32" s="102">
        <f>H32</f>
        <v>295</v>
      </c>
      <c r="Z32" s="109">
        <f>I32</f>
        <v>2100</v>
      </c>
      <c r="AA32" s="109">
        <f>K32</f>
        <v>0</v>
      </c>
      <c r="AB32" s="109">
        <f t="shared" si="11"/>
        <v>2100</v>
      </c>
      <c r="AC32" s="4">
        <f t="shared" si="11"/>
        <v>0</v>
      </c>
      <c r="AD32" s="105">
        <f t="shared" si="11"/>
        <v>131.25</v>
      </c>
      <c r="AE32" s="77" t="str">
        <f>S32</f>
        <v>복</v>
      </c>
      <c r="AF32" s="77" t="str">
        <f>Q32&amp;"/"&amp;R32</f>
        <v>2/1</v>
      </c>
      <c r="AH32" s="20" t="str">
        <f t="shared" si="1"/>
        <v>부향하나로1차</v>
      </c>
      <c r="AI32" s="106">
        <f t="shared" si="0"/>
        <v>16</v>
      </c>
      <c r="AJ32" s="77" t="str">
        <f>IF(AI32="","",$AJ$2)</f>
        <v>A-</v>
      </c>
      <c r="AK32" s="77" t="s">
        <v>13</v>
      </c>
      <c r="AL32" s="77" t="s">
        <v>1242</v>
      </c>
      <c r="AM32" s="77" t="s">
        <v>1243</v>
      </c>
      <c r="AN32" s="77" t="str">
        <f>IF(AI32="","",$AN$2)</f>
        <v>C</v>
      </c>
      <c r="AO32" s="77" t="str">
        <f>IF(N32="","",IF(N32&gt;=$AO$1/100,"O","X"))</f>
        <v>X</v>
      </c>
      <c r="AP32" s="77" t="str">
        <f>IF(I32="","",IF(I32&lt;=$AP$1,"O","X"))</f>
        <v>O</v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>X</v>
      </c>
    </row>
  </sheetData>
  <mergeCells count="1">
    <mergeCell ref="AJ1:AN1"/>
  </mergeCells>
  <phoneticPr fontId="2" type="noConversion"/>
  <conditionalFormatting sqref="AV4:AV6">
    <cfRule type="expression" dxfId="19273" priority="375">
      <formula>AV4="X"</formula>
    </cfRule>
    <cfRule type="expression" dxfId="19272" priority="376">
      <formula>AV4="후보"</formula>
    </cfRule>
  </conditionalFormatting>
  <conditionalFormatting sqref="AC1:AC2 AC4:AC6 N4:N5">
    <cfRule type="cellIs" dxfId="19271" priority="373" operator="greaterThan">
      <formula>0.9</formula>
    </cfRule>
    <cfRule type="cellIs" dxfId="19270" priority="374" operator="greaterThan">
      <formula>0.85</formula>
    </cfRule>
  </conditionalFormatting>
  <conditionalFormatting sqref="N1:N2">
    <cfRule type="cellIs" dxfId="19269" priority="371" operator="greaterThan">
      <formula>0.9</formula>
    </cfRule>
    <cfRule type="cellIs" dxfId="19268" priority="372" operator="greaterThan">
      <formula>0.85</formula>
    </cfRule>
  </conditionalFormatting>
  <conditionalFormatting sqref="N6">
    <cfRule type="cellIs" dxfId="19267" priority="369" operator="greaterThan">
      <formula>0.9</formula>
    </cfRule>
    <cfRule type="cellIs" dxfId="19266" priority="370" operator="greaterThan">
      <formula>0.85</formula>
    </cfRule>
  </conditionalFormatting>
  <conditionalFormatting sqref="E6">
    <cfRule type="expression" dxfId="19265" priority="365">
      <formula>AND(IF(OR($Q6=1,$Q6=2),1,0),IF($X6&lt;=20,1,0))</formula>
    </cfRule>
    <cfRule type="expression" dxfId="19264" priority="366">
      <formula>AND(IF($Q6=2,1,0),IF($X6&lt;30,1,0))</formula>
    </cfRule>
    <cfRule type="expression" dxfId="19263" priority="367">
      <formula>AND(IF($Q6=3,1,0),IF($X6&lt;30,1,0))</formula>
    </cfRule>
    <cfRule type="expression" dxfId="19262" priority="368">
      <formula>AND(IF($Q6=3,1,IF($Q6=4,1,0)),IF($F6&lt;=85,1,0))</formula>
    </cfRule>
  </conditionalFormatting>
  <conditionalFormatting sqref="X6">
    <cfRule type="expression" dxfId="19261" priority="361">
      <formula>AND(IF(OR($Q6=1,$Q6=2),1,0),IF($X6&lt;=20,1,0))</formula>
    </cfRule>
    <cfRule type="expression" dxfId="19260" priority="362">
      <formula>AND(IF($Q6=2,1,0),IF($X6&lt;30,1,0))</formula>
    </cfRule>
    <cfRule type="expression" dxfId="19259" priority="363">
      <formula>AND(IF($Q6=3,1,0),IF($X6&lt;30,1,0))</formula>
    </cfRule>
    <cfRule type="expression" dxfId="19258" priority="364">
      <formula>AND(IF($Q6=3,1,IF($Q6=4,1,0)),IF($F6&lt;=85,1,0))</formula>
    </cfRule>
  </conditionalFormatting>
  <conditionalFormatting sqref="AI6">
    <cfRule type="expression" dxfId="19257" priority="357">
      <formula>AND(IF(OR($Q6=1,$Q6=2),1,0),IF($X6&lt;=20,1,0))</formula>
    </cfRule>
    <cfRule type="expression" dxfId="19256" priority="358">
      <formula>AND(IF($Q6=2,1,0),IF($X6&lt;30,1,0))</formula>
    </cfRule>
    <cfRule type="expression" dxfId="19255" priority="359">
      <formula>AND(IF($Q6=3,1,0),IF($X6&lt;30,1,0))</formula>
    </cfRule>
    <cfRule type="expression" dxfId="19254" priority="360">
      <formula>AND(IF($Q6=3,1,IF($Q6=4,1,0)),IF($F6&lt;=85,1,0))</formula>
    </cfRule>
  </conditionalFormatting>
  <conditionalFormatting sqref="AV7">
    <cfRule type="expression" dxfId="19253" priority="355">
      <formula>AV7="X"</formula>
    </cfRule>
    <cfRule type="expression" dxfId="19252" priority="356">
      <formula>AV7="후보"</formula>
    </cfRule>
  </conditionalFormatting>
  <conditionalFormatting sqref="AC7">
    <cfRule type="cellIs" dxfId="19251" priority="353" operator="greaterThan">
      <formula>0.9</formula>
    </cfRule>
    <cfRule type="cellIs" dxfId="19250" priority="354" operator="greaterThan">
      <formula>0.85</formula>
    </cfRule>
  </conditionalFormatting>
  <conditionalFormatting sqref="N7">
    <cfRule type="cellIs" dxfId="19249" priority="351" operator="greaterThan">
      <formula>0.9</formula>
    </cfRule>
    <cfRule type="cellIs" dxfId="19248" priority="352" operator="greaterThan">
      <formula>0.85</formula>
    </cfRule>
  </conditionalFormatting>
  <conditionalFormatting sqref="E7">
    <cfRule type="expression" dxfId="19247" priority="347">
      <formula>AND(IF(OR($Q7=1,$Q7=2),1,0),IF($X7&lt;=20,1,0))</formula>
    </cfRule>
    <cfRule type="expression" dxfId="19246" priority="348">
      <formula>AND(IF($Q7=2,1,0),IF($X7&lt;30,1,0))</formula>
    </cfRule>
    <cfRule type="expression" dxfId="19245" priority="349">
      <formula>AND(IF($Q7=3,1,0),IF($X7&lt;30,1,0))</formula>
    </cfRule>
    <cfRule type="expression" dxfId="19244" priority="350">
      <formula>AND(IF($Q7=3,1,IF($Q7=4,1,0)),IF($F7&lt;=85,1,0))</formula>
    </cfRule>
  </conditionalFormatting>
  <conditionalFormatting sqref="X7">
    <cfRule type="expression" dxfId="19243" priority="343">
      <formula>AND(IF(OR($Q7=1,$Q7=2),1,0),IF($X7&lt;=20,1,0))</formula>
    </cfRule>
    <cfRule type="expression" dxfId="19242" priority="344">
      <formula>AND(IF($Q7=2,1,0),IF($X7&lt;30,1,0))</formula>
    </cfRule>
    <cfRule type="expression" dxfId="19241" priority="345">
      <formula>AND(IF($Q7=3,1,0),IF($X7&lt;30,1,0))</formula>
    </cfRule>
    <cfRule type="expression" dxfId="19240" priority="346">
      <formula>AND(IF($Q7=3,1,IF($Q7=4,1,0)),IF($F7&lt;=85,1,0))</formula>
    </cfRule>
  </conditionalFormatting>
  <conditionalFormatting sqref="AI7">
    <cfRule type="expression" dxfId="19239" priority="339">
      <formula>AND(IF(OR($Q7=1,$Q7=2),1,0),IF($X7&lt;=20,1,0))</formula>
    </cfRule>
    <cfRule type="expression" dxfId="19238" priority="340">
      <formula>AND(IF($Q7=2,1,0),IF($X7&lt;30,1,0))</formula>
    </cfRule>
    <cfRule type="expression" dxfId="19237" priority="341">
      <formula>AND(IF($Q7=3,1,0),IF($X7&lt;30,1,0))</formula>
    </cfRule>
    <cfRule type="expression" dxfId="19236" priority="342">
      <formula>AND(IF($Q7=3,1,IF($Q7=4,1,0)),IF($F7&lt;=85,1,0))</formula>
    </cfRule>
  </conditionalFormatting>
  <conditionalFormatting sqref="AV8">
    <cfRule type="expression" dxfId="19235" priority="337">
      <formula>AV8="X"</formula>
    </cfRule>
    <cfRule type="expression" dxfId="19234" priority="338">
      <formula>AV8="후보"</formula>
    </cfRule>
  </conditionalFormatting>
  <conditionalFormatting sqref="AC8">
    <cfRule type="cellIs" dxfId="19233" priority="335" operator="greaterThan">
      <formula>0.9</formula>
    </cfRule>
    <cfRule type="cellIs" dxfId="19232" priority="336" operator="greaterThan">
      <formula>0.85</formula>
    </cfRule>
  </conditionalFormatting>
  <conditionalFormatting sqref="N8">
    <cfRule type="cellIs" dxfId="19231" priority="333" operator="greaterThan">
      <formula>0.9</formula>
    </cfRule>
    <cfRule type="cellIs" dxfId="19230" priority="334" operator="greaterThan">
      <formula>0.85</formula>
    </cfRule>
  </conditionalFormatting>
  <conditionalFormatting sqref="E8">
    <cfRule type="expression" dxfId="19229" priority="329">
      <formula>AND(IF(OR($Q8=1,$Q8=2),1,0),IF($X8&lt;=20,1,0))</formula>
    </cfRule>
    <cfRule type="expression" dxfId="19228" priority="330">
      <formula>AND(IF($Q8=2,1,0),IF($X8&lt;30,1,0))</formula>
    </cfRule>
    <cfRule type="expression" dxfId="19227" priority="331">
      <formula>AND(IF($Q8=3,1,0),IF($X8&lt;30,1,0))</formula>
    </cfRule>
    <cfRule type="expression" dxfId="19226" priority="332">
      <formula>AND(IF($Q8=3,1,IF($Q8=4,1,0)),IF($F8&lt;=85,1,0))</formula>
    </cfRule>
  </conditionalFormatting>
  <conditionalFormatting sqref="X8">
    <cfRule type="expression" dxfId="19225" priority="325">
      <formula>AND(IF(OR($Q8=1,$Q8=2),1,0),IF($X8&lt;=20,1,0))</formula>
    </cfRule>
    <cfRule type="expression" dxfId="19224" priority="326">
      <formula>AND(IF($Q8=2,1,0),IF($X8&lt;30,1,0))</formula>
    </cfRule>
    <cfRule type="expression" dxfId="19223" priority="327">
      <formula>AND(IF($Q8=3,1,0),IF($X8&lt;30,1,0))</formula>
    </cfRule>
    <cfRule type="expression" dxfId="19222" priority="328">
      <formula>AND(IF($Q8=3,1,IF($Q8=4,1,0)),IF($F8&lt;=85,1,0))</formula>
    </cfRule>
  </conditionalFormatting>
  <conditionalFormatting sqref="AI8">
    <cfRule type="expression" dxfId="19221" priority="321">
      <formula>AND(IF(OR($Q8=1,$Q8=2),1,0),IF($X8&lt;=20,1,0))</formula>
    </cfRule>
    <cfRule type="expression" dxfId="19220" priority="322">
      <formula>AND(IF($Q8=2,1,0),IF($X8&lt;30,1,0))</formula>
    </cfRule>
    <cfRule type="expression" dxfId="19219" priority="323">
      <formula>AND(IF($Q8=3,1,0),IF($X8&lt;30,1,0))</formula>
    </cfRule>
    <cfRule type="expression" dxfId="19218" priority="324">
      <formula>AND(IF($Q8=3,1,IF($Q8=4,1,0)),IF($F8&lt;=85,1,0))</formula>
    </cfRule>
  </conditionalFormatting>
  <conditionalFormatting sqref="AV9">
    <cfRule type="expression" dxfId="19217" priority="319">
      <formula>AV9="X"</formula>
    </cfRule>
    <cfRule type="expression" dxfId="19216" priority="320">
      <formula>AV9="후보"</formula>
    </cfRule>
  </conditionalFormatting>
  <conditionalFormatting sqref="AC9">
    <cfRule type="cellIs" dxfId="19215" priority="317" operator="greaterThan">
      <formula>0.9</formula>
    </cfRule>
    <cfRule type="cellIs" dxfId="19214" priority="318" operator="greaterThan">
      <formula>0.85</formula>
    </cfRule>
  </conditionalFormatting>
  <conditionalFormatting sqref="N9">
    <cfRule type="cellIs" dxfId="19213" priority="315" operator="greaterThan">
      <formula>0.9</formula>
    </cfRule>
    <cfRule type="cellIs" dxfId="19212" priority="316" operator="greaterThan">
      <formula>0.85</formula>
    </cfRule>
  </conditionalFormatting>
  <conditionalFormatting sqref="E9">
    <cfRule type="expression" dxfId="19211" priority="311">
      <formula>AND(IF(OR($Q9=1,$Q9=2),1,0),IF($X9&lt;=20,1,0))</formula>
    </cfRule>
    <cfRule type="expression" dxfId="19210" priority="312">
      <formula>AND(IF($Q9=2,1,0),IF($X9&lt;30,1,0))</formula>
    </cfRule>
    <cfRule type="expression" dxfId="19209" priority="313">
      <formula>AND(IF($Q9=3,1,0),IF($X9&lt;30,1,0))</formula>
    </cfRule>
    <cfRule type="expression" dxfId="19208" priority="314">
      <formula>AND(IF($Q9=3,1,IF($Q9=4,1,0)),IF($F9&lt;=85,1,0))</formula>
    </cfRule>
  </conditionalFormatting>
  <conditionalFormatting sqref="X9">
    <cfRule type="expression" dxfId="19207" priority="307">
      <formula>AND(IF(OR($Q9=1,$Q9=2),1,0),IF($X9&lt;=20,1,0))</formula>
    </cfRule>
    <cfRule type="expression" dxfId="19206" priority="308">
      <formula>AND(IF($Q9=2,1,0),IF($X9&lt;30,1,0))</formula>
    </cfRule>
    <cfRule type="expression" dxfId="19205" priority="309">
      <formula>AND(IF($Q9=3,1,0),IF($X9&lt;30,1,0))</formula>
    </cfRule>
    <cfRule type="expression" dxfId="19204" priority="310">
      <formula>AND(IF($Q9=3,1,IF($Q9=4,1,0)),IF($F9&lt;=85,1,0))</formula>
    </cfRule>
  </conditionalFormatting>
  <conditionalFormatting sqref="AI9">
    <cfRule type="expression" dxfId="19203" priority="303">
      <formula>AND(IF(OR($Q9=1,$Q9=2),1,0),IF($X9&lt;=20,1,0))</formula>
    </cfRule>
    <cfRule type="expression" dxfId="19202" priority="304">
      <formula>AND(IF($Q9=2,1,0),IF($X9&lt;30,1,0))</formula>
    </cfRule>
    <cfRule type="expression" dxfId="19201" priority="305">
      <formula>AND(IF($Q9=3,1,0),IF($X9&lt;30,1,0))</formula>
    </cfRule>
    <cfRule type="expression" dxfId="19200" priority="306">
      <formula>AND(IF($Q9=3,1,IF($Q9=4,1,0)),IF($F9&lt;=85,1,0))</formula>
    </cfRule>
  </conditionalFormatting>
  <conditionalFormatting sqref="AV10">
    <cfRule type="expression" dxfId="19199" priority="301">
      <formula>AV10="X"</formula>
    </cfRule>
    <cfRule type="expression" dxfId="19198" priority="302">
      <formula>AV10="후보"</formula>
    </cfRule>
  </conditionalFormatting>
  <conditionalFormatting sqref="AC10 N10">
    <cfRule type="cellIs" dxfId="19197" priority="299" operator="greaterThan">
      <formula>0.9</formula>
    </cfRule>
    <cfRule type="cellIs" dxfId="19196" priority="300" operator="greaterThan">
      <formula>0.85</formula>
    </cfRule>
  </conditionalFormatting>
  <conditionalFormatting sqref="AV11">
    <cfRule type="expression" dxfId="19195" priority="297">
      <formula>AV11="X"</formula>
    </cfRule>
    <cfRule type="expression" dxfId="19194" priority="298">
      <formula>AV11="후보"</formula>
    </cfRule>
  </conditionalFormatting>
  <conditionalFormatting sqref="AC11">
    <cfRule type="cellIs" dxfId="19193" priority="295" operator="greaterThan">
      <formula>0.9</formula>
    </cfRule>
    <cfRule type="cellIs" dxfId="19192" priority="296" operator="greaterThan">
      <formula>0.85</formula>
    </cfRule>
  </conditionalFormatting>
  <conditionalFormatting sqref="N11">
    <cfRule type="cellIs" dxfId="19191" priority="293" operator="greaterThan">
      <formula>0.9</formula>
    </cfRule>
    <cfRule type="cellIs" dxfId="19190" priority="294" operator="greaterThan">
      <formula>0.85</formula>
    </cfRule>
  </conditionalFormatting>
  <conditionalFormatting sqref="E11">
    <cfRule type="expression" dxfId="19189" priority="289">
      <formula>AND(IF(OR($Q11=1,$Q11=2),1,0),IF($X11&lt;=20,1,0))</formula>
    </cfRule>
    <cfRule type="expression" dxfId="19188" priority="290">
      <formula>AND(IF($Q11=2,1,0),IF($X11&lt;30,1,0))</formula>
    </cfRule>
    <cfRule type="expression" dxfId="19187" priority="291">
      <formula>AND(IF($Q11=3,1,0),IF($X11&lt;30,1,0))</formula>
    </cfRule>
    <cfRule type="expression" dxfId="19186" priority="292">
      <formula>AND(IF($Q11=3,1,IF($Q11=4,1,0)),IF($F11&lt;=85,1,0))</formula>
    </cfRule>
  </conditionalFormatting>
  <conditionalFormatting sqref="X11">
    <cfRule type="expression" dxfId="19185" priority="285">
      <formula>AND(IF(OR($Q11=1,$Q11=2),1,0),IF($X11&lt;=20,1,0))</formula>
    </cfRule>
    <cfRule type="expression" dxfId="19184" priority="286">
      <formula>AND(IF($Q11=2,1,0),IF($X11&lt;30,1,0))</formula>
    </cfRule>
    <cfRule type="expression" dxfId="19183" priority="287">
      <formula>AND(IF($Q11=3,1,0),IF($X11&lt;30,1,0))</formula>
    </cfRule>
    <cfRule type="expression" dxfId="19182" priority="288">
      <formula>AND(IF($Q11=3,1,IF($Q11=4,1,0)),IF($F11&lt;=85,1,0))</formula>
    </cfRule>
  </conditionalFormatting>
  <conditionalFormatting sqref="AI11">
    <cfRule type="expression" dxfId="19181" priority="281">
      <formula>AND(IF(OR($Q11=1,$Q11=2),1,0),IF($X11&lt;=20,1,0))</formula>
    </cfRule>
    <cfRule type="expression" dxfId="19180" priority="282">
      <formula>AND(IF($Q11=2,1,0),IF($X11&lt;30,1,0))</formula>
    </cfRule>
    <cfRule type="expression" dxfId="19179" priority="283">
      <formula>AND(IF($Q11=3,1,0),IF($X11&lt;30,1,0))</formula>
    </cfRule>
    <cfRule type="expression" dxfId="19178" priority="284">
      <formula>AND(IF($Q11=3,1,IF($Q11=4,1,0)),IF($F11&lt;=85,1,0))</formula>
    </cfRule>
  </conditionalFormatting>
  <conditionalFormatting sqref="AV12">
    <cfRule type="expression" dxfId="19177" priority="279">
      <formula>AV12="X"</formula>
    </cfRule>
    <cfRule type="expression" dxfId="19176" priority="280">
      <formula>AV12="후보"</formula>
    </cfRule>
  </conditionalFormatting>
  <conditionalFormatting sqref="AC12 N12">
    <cfRule type="cellIs" dxfId="19175" priority="277" operator="greaterThan">
      <formula>0.9</formula>
    </cfRule>
    <cfRule type="cellIs" dxfId="19174" priority="278" operator="greaterThan">
      <formula>0.85</formula>
    </cfRule>
  </conditionalFormatting>
  <conditionalFormatting sqref="AV13">
    <cfRule type="expression" dxfId="19173" priority="275">
      <formula>AV13="X"</formula>
    </cfRule>
    <cfRule type="expression" dxfId="19172" priority="276">
      <formula>AV13="후보"</formula>
    </cfRule>
  </conditionalFormatting>
  <conditionalFormatting sqref="AC13">
    <cfRule type="cellIs" dxfId="19171" priority="273" operator="greaterThan">
      <formula>0.9</formula>
    </cfRule>
    <cfRule type="cellIs" dxfId="19170" priority="274" operator="greaterThan">
      <formula>0.85</formula>
    </cfRule>
  </conditionalFormatting>
  <conditionalFormatting sqref="N13">
    <cfRule type="cellIs" dxfId="19169" priority="271" operator="greaterThan">
      <formula>0.9</formula>
    </cfRule>
    <cfRule type="cellIs" dxfId="19168" priority="272" operator="greaterThan">
      <formula>0.85</formula>
    </cfRule>
  </conditionalFormatting>
  <conditionalFormatting sqref="E13">
    <cfRule type="expression" dxfId="19167" priority="267">
      <formula>AND(IF(OR($Q13=1,$Q13=2),1,0),IF($X13&lt;=20,1,0))</formula>
    </cfRule>
    <cfRule type="expression" dxfId="19166" priority="268">
      <formula>AND(IF($Q13=2,1,0),IF($X13&lt;30,1,0))</formula>
    </cfRule>
    <cfRule type="expression" dxfId="19165" priority="269">
      <formula>AND(IF($Q13=3,1,0),IF($X13&lt;30,1,0))</formula>
    </cfRule>
    <cfRule type="expression" dxfId="19164" priority="270">
      <formula>AND(IF($Q13=3,1,IF($Q13=4,1,0)),IF($F13&lt;=85,1,0))</formula>
    </cfRule>
  </conditionalFormatting>
  <conditionalFormatting sqref="X13">
    <cfRule type="expression" dxfId="19163" priority="263">
      <formula>AND(IF(OR($Q13=1,$Q13=2),1,0),IF($X13&lt;=20,1,0))</formula>
    </cfRule>
    <cfRule type="expression" dxfId="19162" priority="264">
      <formula>AND(IF($Q13=2,1,0),IF($X13&lt;30,1,0))</formula>
    </cfRule>
    <cfRule type="expression" dxfId="19161" priority="265">
      <formula>AND(IF($Q13=3,1,0),IF($X13&lt;30,1,0))</formula>
    </cfRule>
    <cfRule type="expression" dxfId="19160" priority="266">
      <formula>AND(IF($Q13=3,1,IF($Q13=4,1,0)),IF($F13&lt;=85,1,0))</formula>
    </cfRule>
  </conditionalFormatting>
  <conditionalFormatting sqref="AI13">
    <cfRule type="expression" dxfId="19159" priority="259">
      <formula>AND(IF(OR($Q13=1,$Q13=2),1,0),IF($X13&lt;=20,1,0))</formula>
    </cfRule>
    <cfRule type="expression" dxfId="19158" priority="260">
      <formula>AND(IF($Q13=2,1,0),IF($X13&lt;30,1,0))</formula>
    </cfRule>
    <cfRule type="expression" dxfId="19157" priority="261">
      <formula>AND(IF($Q13=3,1,0),IF($X13&lt;30,1,0))</formula>
    </cfRule>
    <cfRule type="expression" dxfId="19156" priority="262">
      <formula>AND(IF($Q13=3,1,IF($Q13=4,1,0)),IF($F13&lt;=85,1,0))</formula>
    </cfRule>
  </conditionalFormatting>
  <conditionalFormatting sqref="AV14">
    <cfRule type="expression" dxfId="19155" priority="257">
      <formula>AV14="X"</formula>
    </cfRule>
    <cfRule type="expression" dxfId="19154" priority="258">
      <formula>AV14="후보"</formula>
    </cfRule>
  </conditionalFormatting>
  <conditionalFormatting sqref="AC14">
    <cfRule type="cellIs" dxfId="19153" priority="255" operator="greaterThan">
      <formula>0.9</formula>
    </cfRule>
    <cfRule type="cellIs" dxfId="19152" priority="256" operator="greaterThan">
      <formula>0.85</formula>
    </cfRule>
  </conditionalFormatting>
  <conditionalFormatting sqref="N14">
    <cfRule type="cellIs" dxfId="19151" priority="253" operator="greaterThan">
      <formula>0.9</formula>
    </cfRule>
    <cfRule type="cellIs" dxfId="19150" priority="254" operator="greaterThan">
      <formula>0.85</formula>
    </cfRule>
  </conditionalFormatting>
  <conditionalFormatting sqref="E14">
    <cfRule type="expression" dxfId="19149" priority="249">
      <formula>AND(IF(OR($Q14=1,$Q14=2),1,0),IF($X14&lt;=20,1,0))</formula>
    </cfRule>
    <cfRule type="expression" dxfId="19148" priority="250">
      <formula>AND(IF($Q14=2,1,0),IF($X14&lt;30,1,0))</formula>
    </cfRule>
    <cfRule type="expression" dxfId="19147" priority="251">
      <formula>AND(IF($Q14=3,1,0),IF($X14&lt;30,1,0))</formula>
    </cfRule>
    <cfRule type="expression" dxfId="19146" priority="252">
      <formula>AND(IF($Q14=3,1,IF($Q14=4,1,0)),IF($F14&lt;=85,1,0))</formula>
    </cfRule>
  </conditionalFormatting>
  <conditionalFormatting sqref="X14">
    <cfRule type="expression" dxfId="19145" priority="245">
      <formula>AND(IF(OR($Q14=1,$Q14=2),1,0),IF($X14&lt;=20,1,0))</formula>
    </cfRule>
    <cfRule type="expression" dxfId="19144" priority="246">
      <formula>AND(IF($Q14=2,1,0),IF($X14&lt;30,1,0))</formula>
    </cfRule>
    <cfRule type="expression" dxfId="19143" priority="247">
      <formula>AND(IF($Q14=3,1,0),IF($X14&lt;30,1,0))</formula>
    </cfRule>
    <cfRule type="expression" dxfId="19142" priority="248">
      <formula>AND(IF($Q14=3,1,IF($Q14=4,1,0)),IF($F14&lt;=85,1,0))</formula>
    </cfRule>
  </conditionalFormatting>
  <conditionalFormatting sqref="AI14">
    <cfRule type="expression" dxfId="19141" priority="241">
      <formula>AND(IF(OR($Q14=1,$Q14=2),1,0),IF($X14&lt;=20,1,0))</formula>
    </cfRule>
    <cfRule type="expression" dxfId="19140" priority="242">
      <formula>AND(IF($Q14=2,1,0),IF($X14&lt;30,1,0))</formula>
    </cfRule>
    <cfRule type="expression" dxfId="19139" priority="243">
      <formula>AND(IF($Q14=3,1,0),IF($X14&lt;30,1,0))</formula>
    </cfRule>
    <cfRule type="expression" dxfId="19138" priority="244">
      <formula>AND(IF($Q14=3,1,IF($Q14=4,1,0)),IF($F14&lt;=85,1,0))</formula>
    </cfRule>
  </conditionalFormatting>
  <conditionalFormatting sqref="AV15">
    <cfRule type="expression" dxfId="19137" priority="239">
      <formula>AV15="X"</formula>
    </cfRule>
    <cfRule type="expression" dxfId="19136" priority="240">
      <formula>AV15="후보"</formula>
    </cfRule>
  </conditionalFormatting>
  <conditionalFormatting sqref="AC15 N15">
    <cfRule type="cellIs" dxfId="19135" priority="237" operator="greaterThan">
      <formula>0.9</formula>
    </cfRule>
    <cfRule type="cellIs" dxfId="19134" priority="238" operator="greaterThan">
      <formula>0.85</formula>
    </cfRule>
  </conditionalFormatting>
  <conditionalFormatting sqref="AV16">
    <cfRule type="expression" dxfId="19133" priority="235">
      <formula>AV16="X"</formula>
    </cfRule>
    <cfRule type="expression" dxfId="19132" priority="236">
      <formula>AV16="후보"</formula>
    </cfRule>
  </conditionalFormatting>
  <conditionalFormatting sqref="AC16">
    <cfRule type="cellIs" dxfId="19131" priority="233" operator="greaterThan">
      <formula>0.9</formula>
    </cfRule>
    <cfRule type="cellIs" dxfId="19130" priority="234" operator="greaterThan">
      <formula>0.85</formula>
    </cfRule>
  </conditionalFormatting>
  <conditionalFormatting sqref="N16">
    <cfRule type="cellIs" dxfId="19129" priority="231" operator="greaterThan">
      <formula>0.9</formula>
    </cfRule>
    <cfRule type="cellIs" dxfId="19128" priority="232" operator="greaterThan">
      <formula>0.85</formula>
    </cfRule>
  </conditionalFormatting>
  <conditionalFormatting sqref="E16">
    <cfRule type="expression" dxfId="19127" priority="227">
      <formula>AND(IF(OR($Q16=1,$Q16=2),1,0),IF($X16&lt;=20,1,0))</formula>
    </cfRule>
    <cfRule type="expression" dxfId="19126" priority="228">
      <formula>AND(IF($Q16=2,1,0),IF($X16&lt;30,1,0))</formula>
    </cfRule>
    <cfRule type="expression" dxfId="19125" priority="229">
      <formula>AND(IF($Q16=3,1,0),IF($X16&lt;30,1,0))</formula>
    </cfRule>
    <cfRule type="expression" dxfId="19124" priority="230">
      <formula>AND(IF($Q16=3,1,IF($Q16=4,1,0)),IF($F16&lt;=85,1,0))</formula>
    </cfRule>
  </conditionalFormatting>
  <conditionalFormatting sqref="X16">
    <cfRule type="expression" dxfId="19123" priority="223">
      <formula>AND(IF(OR($Q16=1,$Q16=2),1,0),IF($X16&lt;=20,1,0))</formula>
    </cfRule>
    <cfRule type="expression" dxfId="19122" priority="224">
      <formula>AND(IF($Q16=2,1,0),IF($X16&lt;30,1,0))</formula>
    </cfRule>
    <cfRule type="expression" dxfId="19121" priority="225">
      <formula>AND(IF($Q16=3,1,0),IF($X16&lt;30,1,0))</formula>
    </cfRule>
    <cfRule type="expression" dxfId="19120" priority="226">
      <formula>AND(IF($Q16=3,1,IF($Q16=4,1,0)),IF($F16&lt;=85,1,0))</formula>
    </cfRule>
  </conditionalFormatting>
  <conditionalFormatting sqref="AI16">
    <cfRule type="expression" dxfId="19119" priority="219">
      <formula>AND(IF(OR($Q16=1,$Q16=2),1,0),IF($X16&lt;=20,1,0))</formula>
    </cfRule>
    <cfRule type="expression" dxfId="19118" priority="220">
      <formula>AND(IF($Q16=2,1,0),IF($X16&lt;30,1,0))</formula>
    </cfRule>
    <cfRule type="expression" dxfId="19117" priority="221">
      <formula>AND(IF($Q16=3,1,0),IF($X16&lt;30,1,0))</formula>
    </cfRule>
    <cfRule type="expression" dxfId="19116" priority="222">
      <formula>AND(IF($Q16=3,1,IF($Q16=4,1,0)),IF($F16&lt;=85,1,0))</formula>
    </cfRule>
  </conditionalFormatting>
  <conditionalFormatting sqref="AV17">
    <cfRule type="expression" dxfId="19115" priority="217">
      <formula>AV17="X"</formula>
    </cfRule>
    <cfRule type="expression" dxfId="19114" priority="218">
      <formula>AV17="후보"</formula>
    </cfRule>
  </conditionalFormatting>
  <conditionalFormatting sqref="AC17">
    <cfRule type="cellIs" dxfId="19113" priority="215" operator="greaterThan">
      <formula>0.9</formula>
    </cfRule>
    <cfRule type="cellIs" dxfId="19112" priority="216" operator="greaterThan">
      <formula>0.85</formula>
    </cfRule>
  </conditionalFormatting>
  <conditionalFormatting sqref="N17">
    <cfRule type="cellIs" dxfId="19111" priority="213" operator="greaterThan">
      <formula>0.9</formula>
    </cfRule>
    <cfRule type="cellIs" dxfId="19110" priority="214" operator="greaterThan">
      <formula>0.85</formula>
    </cfRule>
  </conditionalFormatting>
  <conditionalFormatting sqref="E17">
    <cfRule type="expression" dxfId="19109" priority="209">
      <formula>AND(IF(OR($Q17=1,$Q17=2),1,0),IF($X17&lt;=20,1,0))</formula>
    </cfRule>
    <cfRule type="expression" dxfId="19108" priority="210">
      <formula>AND(IF($Q17=2,1,0),IF($X17&lt;30,1,0))</formula>
    </cfRule>
    <cfRule type="expression" dxfId="19107" priority="211">
      <formula>AND(IF($Q17=3,1,0),IF($X17&lt;30,1,0))</formula>
    </cfRule>
    <cfRule type="expression" dxfId="19106" priority="212">
      <formula>AND(IF($Q17=3,1,IF($Q17=4,1,0)),IF($F17&lt;=85,1,0))</formula>
    </cfRule>
  </conditionalFormatting>
  <conditionalFormatting sqref="X17">
    <cfRule type="expression" dxfId="19105" priority="205">
      <formula>AND(IF(OR($Q17=1,$Q17=2),1,0),IF($X17&lt;=20,1,0))</formula>
    </cfRule>
    <cfRule type="expression" dxfId="19104" priority="206">
      <formula>AND(IF($Q17=2,1,0),IF($X17&lt;30,1,0))</formula>
    </cfRule>
    <cfRule type="expression" dxfId="19103" priority="207">
      <formula>AND(IF($Q17=3,1,0),IF($X17&lt;30,1,0))</formula>
    </cfRule>
    <cfRule type="expression" dxfId="19102" priority="208">
      <formula>AND(IF($Q17=3,1,IF($Q17=4,1,0)),IF($F17&lt;=85,1,0))</formula>
    </cfRule>
  </conditionalFormatting>
  <conditionalFormatting sqref="AI17">
    <cfRule type="expression" dxfId="19101" priority="201">
      <formula>AND(IF(OR($Q17=1,$Q17=2),1,0),IF($X17&lt;=20,1,0))</formula>
    </cfRule>
    <cfRule type="expression" dxfId="19100" priority="202">
      <formula>AND(IF($Q17=2,1,0),IF($X17&lt;30,1,0))</formula>
    </cfRule>
    <cfRule type="expression" dxfId="19099" priority="203">
      <formula>AND(IF($Q17=3,1,0),IF($X17&lt;30,1,0))</formula>
    </cfRule>
    <cfRule type="expression" dxfId="19098" priority="204">
      <formula>AND(IF($Q17=3,1,IF($Q17=4,1,0)),IF($F17&lt;=85,1,0))</formula>
    </cfRule>
  </conditionalFormatting>
  <conditionalFormatting sqref="AV18">
    <cfRule type="expression" dxfId="19097" priority="199">
      <formula>AV18="X"</formula>
    </cfRule>
    <cfRule type="expression" dxfId="19096" priority="200">
      <formula>AV18="후보"</formula>
    </cfRule>
  </conditionalFormatting>
  <conditionalFormatting sqref="AC18 N18">
    <cfRule type="cellIs" dxfId="19095" priority="197" operator="greaterThan">
      <formula>0.9</formula>
    </cfRule>
    <cfRule type="cellIs" dxfId="19094" priority="198" operator="greaterThan">
      <formula>0.85</formula>
    </cfRule>
  </conditionalFormatting>
  <conditionalFormatting sqref="AV19">
    <cfRule type="expression" dxfId="19093" priority="195">
      <formula>AV19="X"</formula>
    </cfRule>
    <cfRule type="expression" dxfId="19092" priority="196">
      <formula>AV19="후보"</formula>
    </cfRule>
  </conditionalFormatting>
  <conditionalFormatting sqref="AC19">
    <cfRule type="cellIs" dxfId="19091" priority="193" operator="greaterThan">
      <formula>0.9</formula>
    </cfRule>
    <cfRule type="cellIs" dxfId="19090" priority="194" operator="greaterThan">
      <formula>0.85</formula>
    </cfRule>
  </conditionalFormatting>
  <conditionalFormatting sqref="N19">
    <cfRule type="cellIs" dxfId="19089" priority="191" operator="greaterThan">
      <formula>0.9</formula>
    </cfRule>
    <cfRule type="cellIs" dxfId="19088" priority="192" operator="greaterThan">
      <formula>0.85</formula>
    </cfRule>
  </conditionalFormatting>
  <conditionalFormatting sqref="E19">
    <cfRule type="expression" dxfId="19087" priority="187">
      <formula>AND(IF(OR($Q19=1,$Q19=2),1,0),IF($X19&lt;=20,1,0))</formula>
    </cfRule>
    <cfRule type="expression" dxfId="19086" priority="188">
      <formula>AND(IF($Q19=2,1,0),IF($X19&lt;30,1,0))</formula>
    </cfRule>
    <cfRule type="expression" dxfId="19085" priority="189">
      <formula>AND(IF($Q19=3,1,0),IF($X19&lt;30,1,0))</formula>
    </cfRule>
    <cfRule type="expression" dxfId="19084" priority="190">
      <formula>AND(IF($Q19=3,1,IF($Q19=4,1,0)),IF($F19&lt;=85,1,0))</formula>
    </cfRule>
  </conditionalFormatting>
  <conditionalFormatting sqref="X19">
    <cfRule type="expression" dxfId="19083" priority="183">
      <formula>AND(IF(OR($Q19=1,$Q19=2),1,0),IF($X19&lt;=20,1,0))</formula>
    </cfRule>
    <cfRule type="expression" dxfId="19082" priority="184">
      <formula>AND(IF($Q19=2,1,0),IF($X19&lt;30,1,0))</formula>
    </cfRule>
    <cfRule type="expression" dxfId="19081" priority="185">
      <formula>AND(IF($Q19=3,1,0),IF($X19&lt;30,1,0))</formula>
    </cfRule>
    <cfRule type="expression" dxfId="19080" priority="186">
      <formula>AND(IF($Q19=3,1,IF($Q19=4,1,0)),IF($F19&lt;=85,1,0))</formula>
    </cfRule>
  </conditionalFormatting>
  <conditionalFormatting sqref="AI19">
    <cfRule type="expression" dxfId="19079" priority="179">
      <formula>AND(IF(OR($Q19=1,$Q19=2),1,0),IF($X19&lt;=20,1,0))</formula>
    </cfRule>
    <cfRule type="expression" dxfId="19078" priority="180">
      <formula>AND(IF($Q19=2,1,0),IF($X19&lt;30,1,0))</formula>
    </cfRule>
    <cfRule type="expression" dxfId="19077" priority="181">
      <formula>AND(IF($Q19=3,1,0),IF($X19&lt;30,1,0))</formula>
    </cfRule>
    <cfRule type="expression" dxfId="19076" priority="182">
      <formula>AND(IF($Q19=3,1,IF($Q19=4,1,0)),IF($F19&lt;=85,1,0))</formula>
    </cfRule>
  </conditionalFormatting>
  <conditionalFormatting sqref="AV20">
    <cfRule type="expression" dxfId="19075" priority="177">
      <formula>AV20="X"</formula>
    </cfRule>
    <cfRule type="expression" dxfId="19074" priority="178">
      <formula>AV20="후보"</formula>
    </cfRule>
  </conditionalFormatting>
  <conditionalFormatting sqref="AC20">
    <cfRule type="cellIs" dxfId="19073" priority="175" operator="greaterThan">
      <formula>0.9</formula>
    </cfRule>
    <cfRule type="cellIs" dxfId="19072" priority="176" operator="greaterThan">
      <formula>0.85</formula>
    </cfRule>
  </conditionalFormatting>
  <conditionalFormatting sqref="N20">
    <cfRule type="cellIs" dxfId="19071" priority="173" operator="greaterThan">
      <formula>0.9</formula>
    </cfRule>
    <cfRule type="cellIs" dxfId="19070" priority="174" operator="greaterThan">
      <formula>0.85</formula>
    </cfRule>
  </conditionalFormatting>
  <conditionalFormatting sqref="E20">
    <cfRule type="expression" dxfId="19069" priority="169">
      <formula>AND(IF(OR($Q20=1,$Q20=2),1,0),IF($X20&lt;=20,1,0))</formula>
    </cfRule>
    <cfRule type="expression" dxfId="19068" priority="170">
      <formula>AND(IF($Q20=2,1,0),IF($X20&lt;30,1,0))</formula>
    </cfRule>
    <cfRule type="expression" dxfId="19067" priority="171">
      <formula>AND(IF($Q20=3,1,0),IF($X20&lt;30,1,0))</formula>
    </cfRule>
    <cfRule type="expression" dxfId="19066" priority="172">
      <formula>AND(IF($Q20=3,1,IF($Q20=4,1,0)),IF($F20&lt;=85,1,0))</formula>
    </cfRule>
  </conditionalFormatting>
  <conditionalFormatting sqref="X20">
    <cfRule type="expression" dxfId="19065" priority="165">
      <formula>AND(IF(OR($Q20=1,$Q20=2),1,0),IF($X20&lt;=20,1,0))</formula>
    </cfRule>
    <cfRule type="expression" dxfId="19064" priority="166">
      <formula>AND(IF($Q20=2,1,0),IF($X20&lt;30,1,0))</formula>
    </cfRule>
    <cfRule type="expression" dxfId="19063" priority="167">
      <formula>AND(IF($Q20=3,1,0),IF($X20&lt;30,1,0))</formula>
    </cfRule>
    <cfRule type="expression" dxfId="19062" priority="168">
      <formula>AND(IF($Q20=3,1,IF($Q20=4,1,0)),IF($F20&lt;=85,1,0))</formula>
    </cfRule>
  </conditionalFormatting>
  <conditionalFormatting sqref="AI20">
    <cfRule type="expression" dxfId="19061" priority="161">
      <formula>AND(IF(OR($Q20=1,$Q20=2),1,0),IF($X20&lt;=20,1,0))</formula>
    </cfRule>
    <cfRule type="expression" dxfId="19060" priority="162">
      <formula>AND(IF($Q20=2,1,0),IF($X20&lt;30,1,0))</formula>
    </cfRule>
    <cfRule type="expression" dxfId="19059" priority="163">
      <formula>AND(IF($Q20=3,1,0),IF($X20&lt;30,1,0))</formula>
    </cfRule>
    <cfRule type="expression" dxfId="19058" priority="164">
      <formula>AND(IF($Q20=3,1,IF($Q20=4,1,0)),IF($F20&lt;=85,1,0))</formula>
    </cfRule>
  </conditionalFormatting>
  <conditionalFormatting sqref="AV21">
    <cfRule type="expression" dxfId="19057" priority="159">
      <formula>AV21="X"</formula>
    </cfRule>
    <cfRule type="expression" dxfId="19056" priority="160">
      <formula>AV21="후보"</formula>
    </cfRule>
  </conditionalFormatting>
  <conditionalFormatting sqref="AC21">
    <cfRule type="cellIs" dxfId="19055" priority="157" operator="greaterThan">
      <formula>0.9</formula>
    </cfRule>
    <cfRule type="cellIs" dxfId="19054" priority="158" operator="greaterThan">
      <formula>0.85</formula>
    </cfRule>
  </conditionalFormatting>
  <conditionalFormatting sqref="N21">
    <cfRule type="cellIs" dxfId="19053" priority="155" operator="greaterThan">
      <formula>0.9</formula>
    </cfRule>
    <cfRule type="cellIs" dxfId="19052" priority="156" operator="greaterThan">
      <formula>0.85</formula>
    </cfRule>
  </conditionalFormatting>
  <conditionalFormatting sqref="E21">
    <cfRule type="expression" dxfId="19051" priority="151">
      <formula>AND(IF(OR($Q21=1,$Q21=2),1,0),IF($X21&lt;=20,1,0))</formula>
    </cfRule>
    <cfRule type="expression" dxfId="19050" priority="152">
      <formula>AND(IF($Q21=2,1,0),IF($X21&lt;30,1,0))</formula>
    </cfRule>
    <cfRule type="expression" dxfId="19049" priority="153">
      <formula>AND(IF($Q21=3,1,0),IF($X21&lt;30,1,0))</formula>
    </cfRule>
    <cfRule type="expression" dxfId="19048" priority="154">
      <formula>AND(IF($Q21=3,1,IF($Q21=4,1,0)),IF($F21&lt;=85,1,0))</formula>
    </cfRule>
  </conditionalFormatting>
  <conditionalFormatting sqref="X21">
    <cfRule type="expression" dxfId="19047" priority="147">
      <formula>AND(IF(OR($Q21=1,$Q21=2),1,0),IF($X21&lt;=20,1,0))</formula>
    </cfRule>
    <cfRule type="expression" dxfId="19046" priority="148">
      <formula>AND(IF($Q21=2,1,0),IF($X21&lt;30,1,0))</formula>
    </cfRule>
    <cfRule type="expression" dxfId="19045" priority="149">
      <formula>AND(IF($Q21=3,1,0),IF($X21&lt;30,1,0))</formula>
    </cfRule>
    <cfRule type="expression" dxfId="19044" priority="150">
      <formula>AND(IF($Q21=3,1,IF($Q21=4,1,0)),IF($F21&lt;=85,1,0))</formula>
    </cfRule>
  </conditionalFormatting>
  <conditionalFormatting sqref="AI21">
    <cfRule type="expression" dxfId="19043" priority="143">
      <formula>AND(IF(OR($Q21=1,$Q21=2),1,0),IF($X21&lt;=20,1,0))</formula>
    </cfRule>
    <cfRule type="expression" dxfId="19042" priority="144">
      <formula>AND(IF($Q21=2,1,0),IF($X21&lt;30,1,0))</formula>
    </cfRule>
    <cfRule type="expression" dxfId="19041" priority="145">
      <formula>AND(IF($Q21=3,1,0),IF($X21&lt;30,1,0))</formula>
    </cfRule>
    <cfRule type="expression" dxfId="19040" priority="146">
      <formula>AND(IF($Q21=3,1,IF($Q21=4,1,0)),IF($F21&lt;=85,1,0))</formula>
    </cfRule>
  </conditionalFormatting>
  <conditionalFormatting sqref="AV22">
    <cfRule type="expression" dxfId="19039" priority="141">
      <formula>AV22="X"</formula>
    </cfRule>
    <cfRule type="expression" dxfId="19038" priority="142">
      <formula>AV22="후보"</formula>
    </cfRule>
  </conditionalFormatting>
  <conditionalFormatting sqref="AC22">
    <cfRule type="cellIs" dxfId="19037" priority="139" operator="greaterThan">
      <formula>0.9</formula>
    </cfRule>
    <cfRule type="cellIs" dxfId="19036" priority="140" operator="greaterThan">
      <formula>0.85</formula>
    </cfRule>
  </conditionalFormatting>
  <conditionalFormatting sqref="N22">
    <cfRule type="cellIs" dxfId="19035" priority="137" operator="greaterThan">
      <formula>0.9</formula>
    </cfRule>
    <cfRule type="cellIs" dxfId="19034" priority="138" operator="greaterThan">
      <formula>0.85</formula>
    </cfRule>
  </conditionalFormatting>
  <conditionalFormatting sqref="E22">
    <cfRule type="expression" dxfId="19033" priority="133">
      <formula>AND(IF(OR($Q22=1,$Q22=2),1,0),IF($X22&lt;=20,1,0))</formula>
    </cfRule>
    <cfRule type="expression" dxfId="19032" priority="134">
      <formula>AND(IF($Q22=2,1,0),IF($X22&lt;30,1,0))</formula>
    </cfRule>
    <cfRule type="expression" dxfId="19031" priority="135">
      <formula>AND(IF($Q22=3,1,0),IF($X22&lt;30,1,0))</formula>
    </cfRule>
    <cfRule type="expression" dxfId="19030" priority="136">
      <formula>AND(IF($Q22=3,1,IF($Q22=4,1,0)),IF($F22&lt;=85,1,0))</formula>
    </cfRule>
  </conditionalFormatting>
  <conditionalFormatting sqref="X22">
    <cfRule type="expression" dxfId="19029" priority="129">
      <formula>AND(IF(OR($Q22=1,$Q22=2),1,0),IF($X22&lt;=20,1,0))</formula>
    </cfRule>
    <cfRule type="expression" dxfId="19028" priority="130">
      <formula>AND(IF($Q22=2,1,0),IF($X22&lt;30,1,0))</formula>
    </cfRule>
    <cfRule type="expression" dxfId="19027" priority="131">
      <formula>AND(IF($Q22=3,1,0),IF($X22&lt;30,1,0))</formula>
    </cfRule>
    <cfRule type="expression" dxfId="19026" priority="132">
      <formula>AND(IF($Q22=3,1,IF($Q22=4,1,0)),IF($F22&lt;=85,1,0))</formula>
    </cfRule>
  </conditionalFormatting>
  <conditionalFormatting sqref="AI22">
    <cfRule type="expression" dxfId="19025" priority="125">
      <formula>AND(IF(OR($Q22=1,$Q22=2),1,0),IF($X22&lt;=20,1,0))</formula>
    </cfRule>
    <cfRule type="expression" dxfId="19024" priority="126">
      <formula>AND(IF($Q22=2,1,0),IF($X22&lt;30,1,0))</formula>
    </cfRule>
    <cfRule type="expression" dxfId="19023" priority="127">
      <formula>AND(IF($Q22=3,1,0),IF($X22&lt;30,1,0))</formula>
    </cfRule>
    <cfRule type="expression" dxfId="19022" priority="128">
      <formula>AND(IF($Q22=3,1,IF($Q22=4,1,0)),IF($F22&lt;=85,1,0))</formula>
    </cfRule>
  </conditionalFormatting>
  <conditionalFormatting sqref="AV23">
    <cfRule type="expression" dxfId="19021" priority="123">
      <formula>AV23="X"</formula>
    </cfRule>
    <cfRule type="expression" dxfId="19020" priority="124">
      <formula>AV23="후보"</formula>
    </cfRule>
  </conditionalFormatting>
  <conditionalFormatting sqref="AC23 N23">
    <cfRule type="cellIs" dxfId="19019" priority="121" operator="greaterThan">
      <formula>0.9</formula>
    </cfRule>
    <cfRule type="cellIs" dxfId="19018" priority="122" operator="greaterThan">
      <formula>0.85</formula>
    </cfRule>
  </conditionalFormatting>
  <conditionalFormatting sqref="AV24">
    <cfRule type="expression" dxfId="19017" priority="119">
      <formula>AV24="X"</formula>
    </cfRule>
    <cfRule type="expression" dxfId="19016" priority="120">
      <formula>AV24="후보"</formula>
    </cfRule>
  </conditionalFormatting>
  <conditionalFormatting sqref="AC24">
    <cfRule type="cellIs" dxfId="19015" priority="117" operator="greaterThan">
      <formula>0.9</formula>
    </cfRule>
    <cfRule type="cellIs" dxfId="19014" priority="118" operator="greaterThan">
      <formula>0.85</formula>
    </cfRule>
  </conditionalFormatting>
  <conditionalFormatting sqref="N24">
    <cfRule type="cellIs" dxfId="19013" priority="115" operator="greaterThan">
      <formula>0.9</formula>
    </cfRule>
    <cfRule type="cellIs" dxfId="19012" priority="116" operator="greaterThan">
      <formula>0.85</formula>
    </cfRule>
  </conditionalFormatting>
  <conditionalFormatting sqref="E24">
    <cfRule type="expression" dxfId="19011" priority="111">
      <formula>AND(IF(OR($Q24=1,$Q24=2),1,0),IF($X24&lt;=20,1,0))</formula>
    </cfRule>
    <cfRule type="expression" dxfId="19010" priority="112">
      <formula>AND(IF($Q24=2,1,0),IF($X24&lt;30,1,0))</formula>
    </cfRule>
    <cfRule type="expression" dxfId="19009" priority="113">
      <formula>AND(IF($Q24=3,1,0),IF($X24&lt;30,1,0))</formula>
    </cfRule>
    <cfRule type="expression" dxfId="19008" priority="114">
      <formula>AND(IF($Q24=3,1,IF($Q24=4,1,0)),IF($F24&lt;=85,1,0))</formula>
    </cfRule>
  </conditionalFormatting>
  <conditionalFormatting sqref="X24">
    <cfRule type="expression" dxfId="19007" priority="107">
      <formula>AND(IF(OR($Q24=1,$Q24=2),1,0),IF($X24&lt;=20,1,0))</formula>
    </cfRule>
    <cfRule type="expression" dxfId="19006" priority="108">
      <formula>AND(IF($Q24=2,1,0),IF($X24&lt;30,1,0))</formula>
    </cfRule>
    <cfRule type="expression" dxfId="19005" priority="109">
      <formula>AND(IF($Q24=3,1,0),IF($X24&lt;30,1,0))</formula>
    </cfRule>
    <cfRule type="expression" dxfId="19004" priority="110">
      <formula>AND(IF($Q24=3,1,IF($Q24=4,1,0)),IF($F24&lt;=85,1,0))</formula>
    </cfRule>
  </conditionalFormatting>
  <conditionalFormatting sqref="AI24">
    <cfRule type="expression" dxfId="19003" priority="103">
      <formula>AND(IF(OR($Q24=1,$Q24=2),1,0),IF($X24&lt;=20,1,0))</formula>
    </cfRule>
    <cfRule type="expression" dxfId="19002" priority="104">
      <formula>AND(IF($Q24=2,1,0),IF($X24&lt;30,1,0))</formula>
    </cfRule>
    <cfRule type="expression" dxfId="19001" priority="105">
      <formula>AND(IF($Q24=3,1,0),IF($X24&lt;30,1,0))</formula>
    </cfRule>
    <cfRule type="expression" dxfId="19000" priority="106">
      <formula>AND(IF($Q24=3,1,IF($Q24=4,1,0)),IF($F24&lt;=85,1,0))</formula>
    </cfRule>
  </conditionalFormatting>
  <conditionalFormatting sqref="AV25">
    <cfRule type="expression" dxfId="18999" priority="101">
      <formula>AV25="X"</formula>
    </cfRule>
    <cfRule type="expression" dxfId="18998" priority="102">
      <formula>AV25="후보"</formula>
    </cfRule>
  </conditionalFormatting>
  <conditionalFormatting sqref="AC25 N25">
    <cfRule type="cellIs" dxfId="18997" priority="99" operator="greaterThan">
      <formula>0.9</formula>
    </cfRule>
    <cfRule type="cellIs" dxfId="18996" priority="100" operator="greaterThan">
      <formula>0.85</formula>
    </cfRule>
  </conditionalFormatting>
  <conditionalFormatting sqref="AV26">
    <cfRule type="expression" dxfId="18995" priority="97">
      <formula>AV26="X"</formula>
    </cfRule>
    <cfRule type="expression" dxfId="18994" priority="98">
      <formula>AV26="후보"</formula>
    </cfRule>
  </conditionalFormatting>
  <conditionalFormatting sqref="AC26">
    <cfRule type="cellIs" dxfId="18993" priority="95" operator="greaterThan">
      <formula>0.9</formula>
    </cfRule>
    <cfRule type="cellIs" dxfId="18992" priority="96" operator="greaterThan">
      <formula>0.85</formula>
    </cfRule>
  </conditionalFormatting>
  <conditionalFormatting sqref="N26">
    <cfRule type="cellIs" dxfId="18991" priority="93" operator="greaterThan">
      <formula>0.9</formula>
    </cfRule>
    <cfRule type="cellIs" dxfId="18990" priority="94" operator="greaterThan">
      <formula>0.85</formula>
    </cfRule>
  </conditionalFormatting>
  <conditionalFormatting sqref="E26">
    <cfRule type="expression" dxfId="18989" priority="89">
      <formula>AND(IF(OR($Q26=1,$Q26=2),1,0),IF($X26&lt;=20,1,0))</formula>
    </cfRule>
    <cfRule type="expression" dxfId="18988" priority="90">
      <formula>AND(IF($Q26=2,1,0),IF($X26&lt;30,1,0))</formula>
    </cfRule>
    <cfRule type="expression" dxfId="18987" priority="91">
      <formula>AND(IF($Q26=3,1,0),IF($X26&lt;30,1,0))</formula>
    </cfRule>
    <cfRule type="expression" dxfId="18986" priority="92">
      <formula>AND(IF($Q26=3,1,IF($Q26=4,1,0)),IF($F26&lt;=85,1,0))</formula>
    </cfRule>
  </conditionalFormatting>
  <conditionalFormatting sqref="X26">
    <cfRule type="expression" dxfId="18985" priority="85">
      <formula>AND(IF(OR($Q26=1,$Q26=2),1,0),IF($X26&lt;=20,1,0))</formula>
    </cfRule>
    <cfRule type="expression" dxfId="18984" priority="86">
      <formula>AND(IF($Q26=2,1,0),IF($X26&lt;30,1,0))</formula>
    </cfRule>
    <cfRule type="expression" dxfId="18983" priority="87">
      <formula>AND(IF($Q26=3,1,0),IF($X26&lt;30,1,0))</formula>
    </cfRule>
    <cfRule type="expression" dxfId="18982" priority="88">
      <formula>AND(IF($Q26=3,1,IF($Q26=4,1,0)),IF($F26&lt;=85,1,0))</formula>
    </cfRule>
  </conditionalFormatting>
  <conditionalFormatting sqref="AI26">
    <cfRule type="expression" dxfId="18981" priority="81">
      <formula>AND(IF(OR($Q26=1,$Q26=2),1,0),IF($X26&lt;=20,1,0))</formula>
    </cfRule>
    <cfRule type="expression" dxfId="18980" priority="82">
      <formula>AND(IF($Q26=2,1,0),IF($X26&lt;30,1,0))</formula>
    </cfRule>
    <cfRule type="expression" dxfId="18979" priority="83">
      <formula>AND(IF($Q26=3,1,0),IF($X26&lt;30,1,0))</formula>
    </cfRule>
    <cfRule type="expression" dxfId="18978" priority="84">
      <formula>AND(IF($Q26=3,1,IF($Q26=4,1,0)),IF($F26&lt;=85,1,0))</formula>
    </cfRule>
  </conditionalFormatting>
  <conditionalFormatting sqref="AV27">
    <cfRule type="expression" dxfId="18977" priority="79">
      <formula>AV27="X"</formula>
    </cfRule>
    <cfRule type="expression" dxfId="18976" priority="80">
      <formula>AV27="후보"</formula>
    </cfRule>
  </conditionalFormatting>
  <conditionalFormatting sqref="AC27 N27">
    <cfRule type="cellIs" dxfId="18975" priority="77" operator="greaterThan">
      <formula>0.9</formula>
    </cfRule>
    <cfRule type="cellIs" dxfId="18974" priority="78" operator="greaterThan">
      <formula>0.85</formula>
    </cfRule>
  </conditionalFormatting>
  <conditionalFormatting sqref="AV28">
    <cfRule type="expression" dxfId="18973" priority="75">
      <formula>AV28="X"</formula>
    </cfRule>
    <cfRule type="expression" dxfId="18972" priority="76">
      <formula>AV28="후보"</formula>
    </cfRule>
  </conditionalFormatting>
  <conditionalFormatting sqref="AC28">
    <cfRule type="cellIs" dxfId="18971" priority="73" operator="greaterThan">
      <formula>0.9</formula>
    </cfRule>
    <cfRule type="cellIs" dxfId="18970" priority="74" operator="greaterThan">
      <formula>0.85</formula>
    </cfRule>
  </conditionalFormatting>
  <conditionalFormatting sqref="N28">
    <cfRule type="cellIs" dxfId="18969" priority="71" operator="greaterThan">
      <formula>0.9</formula>
    </cfRule>
    <cfRule type="cellIs" dxfId="18968" priority="72" operator="greaterThan">
      <formula>0.85</formula>
    </cfRule>
  </conditionalFormatting>
  <conditionalFormatting sqref="E28">
    <cfRule type="expression" dxfId="18967" priority="67">
      <formula>AND(IF(OR($Q28=1,$Q28=2),1,0),IF($X28&lt;=20,1,0))</formula>
    </cfRule>
    <cfRule type="expression" dxfId="18966" priority="68">
      <formula>AND(IF($Q28=2,1,0),IF($X28&lt;30,1,0))</formula>
    </cfRule>
    <cfRule type="expression" dxfId="18965" priority="69">
      <formula>AND(IF($Q28=3,1,0),IF($X28&lt;30,1,0))</formula>
    </cfRule>
    <cfRule type="expression" dxfId="18964" priority="70">
      <formula>AND(IF($Q28=3,1,IF($Q28=4,1,0)),IF($F28&lt;=85,1,0))</formula>
    </cfRule>
  </conditionalFormatting>
  <conditionalFormatting sqref="X28">
    <cfRule type="expression" dxfId="18963" priority="63">
      <formula>AND(IF(OR($Q28=1,$Q28=2),1,0),IF($X28&lt;=20,1,0))</formula>
    </cfRule>
    <cfRule type="expression" dxfId="18962" priority="64">
      <formula>AND(IF($Q28=2,1,0),IF($X28&lt;30,1,0))</formula>
    </cfRule>
    <cfRule type="expression" dxfId="18961" priority="65">
      <formula>AND(IF($Q28=3,1,0),IF($X28&lt;30,1,0))</formula>
    </cfRule>
    <cfRule type="expression" dxfId="18960" priority="66">
      <formula>AND(IF($Q28=3,1,IF($Q28=4,1,0)),IF($F28&lt;=85,1,0))</formula>
    </cfRule>
  </conditionalFormatting>
  <conditionalFormatting sqref="AI28">
    <cfRule type="expression" dxfId="18959" priority="59">
      <formula>AND(IF(OR($Q28=1,$Q28=2),1,0),IF($X28&lt;=20,1,0))</formula>
    </cfRule>
    <cfRule type="expression" dxfId="18958" priority="60">
      <formula>AND(IF($Q28=2,1,0),IF($X28&lt;30,1,0))</formula>
    </cfRule>
    <cfRule type="expression" dxfId="18957" priority="61">
      <formula>AND(IF($Q28=3,1,0),IF($X28&lt;30,1,0))</formula>
    </cfRule>
    <cfRule type="expression" dxfId="18956" priority="62">
      <formula>AND(IF($Q28=3,1,IF($Q28=4,1,0)),IF($F28&lt;=85,1,0))</formula>
    </cfRule>
  </conditionalFormatting>
  <conditionalFormatting sqref="AV29">
    <cfRule type="expression" dxfId="18955" priority="57">
      <formula>AV29="X"</formula>
    </cfRule>
    <cfRule type="expression" dxfId="18954" priority="58">
      <formula>AV29="후보"</formula>
    </cfRule>
  </conditionalFormatting>
  <conditionalFormatting sqref="AC29">
    <cfRule type="cellIs" dxfId="18953" priority="55" operator="greaterThan">
      <formula>0.9</formula>
    </cfRule>
    <cfRule type="cellIs" dxfId="18952" priority="56" operator="greaterThan">
      <formula>0.85</formula>
    </cfRule>
  </conditionalFormatting>
  <conditionalFormatting sqref="N29">
    <cfRule type="cellIs" dxfId="18951" priority="53" operator="greaterThan">
      <formula>0.9</formula>
    </cfRule>
    <cfRule type="cellIs" dxfId="18950" priority="54" operator="greaterThan">
      <formula>0.85</formula>
    </cfRule>
  </conditionalFormatting>
  <conditionalFormatting sqref="E29">
    <cfRule type="expression" dxfId="18949" priority="49">
      <formula>AND(IF(OR($Q29=1,$Q29=2),1,0),IF($X29&lt;=20,1,0))</formula>
    </cfRule>
    <cfRule type="expression" dxfId="18948" priority="50">
      <formula>AND(IF($Q29=2,1,0),IF($X29&lt;30,1,0))</formula>
    </cfRule>
    <cfRule type="expression" dxfId="18947" priority="51">
      <formula>AND(IF($Q29=3,1,0),IF($X29&lt;30,1,0))</formula>
    </cfRule>
    <cfRule type="expression" dxfId="18946" priority="52">
      <formula>AND(IF($Q29=3,1,IF($Q29=4,1,0)),IF($F29&lt;=85,1,0))</formula>
    </cfRule>
  </conditionalFormatting>
  <conditionalFormatting sqref="X29">
    <cfRule type="expression" dxfId="18945" priority="45">
      <formula>AND(IF(OR($Q29=1,$Q29=2),1,0),IF($X29&lt;=20,1,0))</formula>
    </cfRule>
    <cfRule type="expression" dxfId="18944" priority="46">
      <formula>AND(IF($Q29=2,1,0),IF($X29&lt;30,1,0))</formula>
    </cfRule>
    <cfRule type="expression" dxfId="18943" priority="47">
      <formula>AND(IF($Q29=3,1,0),IF($X29&lt;30,1,0))</formula>
    </cfRule>
    <cfRule type="expression" dxfId="18942" priority="48">
      <formula>AND(IF($Q29=3,1,IF($Q29=4,1,0)),IF($F29&lt;=85,1,0))</formula>
    </cfRule>
  </conditionalFormatting>
  <conditionalFormatting sqref="AI29">
    <cfRule type="expression" dxfId="18941" priority="41">
      <formula>AND(IF(OR($Q29=1,$Q29=2),1,0),IF($X29&lt;=20,1,0))</formula>
    </cfRule>
    <cfRule type="expression" dxfId="18940" priority="42">
      <formula>AND(IF($Q29=2,1,0),IF($X29&lt;30,1,0))</formula>
    </cfRule>
    <cfRule type="expression" dxfId="18939" priority="43">
      <formula>AND(IF($Q29=3,1,0),IF($X29&lt;30,1,0))</formula>
    </cfRule>
    <cfRule type="expression" dxfId="18938" priority="44">
      <formula>AND(IF($Q29=3,1,IF($Q29=4,1,0)),IF($F29&lt;=85,1,0))</formula>
    </cfRule>
  </conditionalFormatting>
  <conditionalFormatting sqref="AV30">
    <cfRule type="expression" dxfId="18937" priority="39">
      <formula>AV30="X"</formula>
    </cfRule>
    <cfRule type="expression" dxfId="18936" priority="40">
      <formula>AV30="후보"</formula>
    </cfRule>
  </conditionalFormatting>
  <conditionalFormatting sqref="AC30 N30">
    <cfRule type="cellIs" dxfId="18935" priority="37" operator="greaterThan">
      <formula>0.9</formula>
    </cfRule>
    <cfRule type="cellIs" dxfId="18934" priority="38" operator="greaterThan">
      <formula>0.85</formula>
    </cfRule>
  </conditionalFormatting>
  <conditionalFormatting sqref="AV31">
    <cfRule type="expression" dxfId="18933" priority="35">
      <formula>AV31="X"</formula>
    </cfRule>
    <cfRule type="expression" dxfId="18932" priority="36">
      <formula>AV31="후보"</formula>
    </cfRule>
  </conditionalFormatting>
  <conditionalFormatting sqref="AC31">
    <cfRule type="cellIs" dxfId="18931" priority="33" operator="greaterThan">
      <formula>0.9</formula>
    </cfRule>
    <cfRule type="cellIs" dxfId="18930" priority="34" operator="greaterThan">
      <formula>0.85</formula>
    </cfRule>
  </conditionalFormatting>
  <conditionalFormatting sqref="N31">
    <cfRule type="cellIs" dxfId="18929" priority="31" operator="greaterThan">
      <formula>0.9</formula>
    </cfRule>
    <cfRule type="cellIs" dxfId="18928" priority="32" operator="greaterThan">
      <formula>0.85</formula>
    </cfRule>
  </conditionalFormatting>
  <conditionalFormatting sqref="E31">
    <cfRule type="expression" dxfId="18927" priority="27">
      <formula>AND(IF(OR($Q31=1,$Q31=2),1,0),IF($X31&lt;=20,1,0))</formula>
    </cfRule>
    <cfRule type="expression" dxfId="18926" priority="28">
      <formula>AND(IF($Q31=2,1,0),IF($X31&lt;30,1,0))</formula>
    </cfRule>
    <cfRule type="expression" dxfId="18925" priority="29">
      <formula>AND(IF($Q31=3,1,0),IF($X31&lt;30,1,0))</formula>
    </cfRule>
    <cfRule type="expression" dxfId="18924" priority="30">
      <formula>AND(IF($Q31=3,1,IF($Q31=4,1,0)),IF($F31&lt;=85,1,0))</formula>
    </cfRule>
  </conditionalFormatting>
  <conditionalFormatting sqref="X31">
    <cfRule type="expression" dxfId="18923" priority="23">
      <formula>AND(IF(OR($Q31=1,$Q31=2),1,0),IF($X31&lt;=20,1,0))</formula>
    </cfRule>
    <cfRule type="expression" dxfId="18922" priority="24">
      <formula>AND(IF($Q31=2,1,0),IF($X31&lt;30,1,0))</formula>
    </cfRule>
    <cfRule type="expression" dxfId="18921" priority="25">
      <formula>AND(IF($Q31=3,1,0),IF($X31&lt;30,1,0))</formula>
    </cfRule>
    <cfRule type="expression" dxfId="18920" priority="26">
      <formula>AND(IF($Q31=3,1,IF($Q31=4,1,0)),IF($F31&lt;=85,1,0))</formula>
    </cfRule>
  </conditionalFormatting>
  <conditionalFormatting sqref="AI31">
    <cfRule type="expression" dxfId="18919" priority="19">
      <formula>AND(IF(OR($Q31=1,$Q31=2),1,0),IF($X31&lt;=20,1,0))</formula>
    </cfRule>
    <cfRule type="expression" dxfId="18918" priority="20">
      <formula>AND(IF($Q31=2,1,0),IF($X31&lt;30,1,0))</formula>
    </cfRule>
    <cfRule type="expression" dxfId="18917" priority="21">
      <formula>AND(IF($Q31=3,1,0),IF($X31&lt;30,1,0))</formula>
    </cfRule>
    <cfRule type="expression" dxfId="18916" priority="22">
      <formula>AND(IF($Q31=3,1,IF($Q31=4,1,0)),IF($F31&lt;=85,1,0))</formula>
    </cfRule>
  </conditionalFormatting>
  <conditionalFormatting sqref="AV32">
    <cfRule type="expression" dxfId="18915" priority="17">
      <formula>AV32="X"</formula>
    </cfRule>
    <cfRule type="expression" dxfId="18914" priority="18">
      <formula>AV32="후보"</formula>
    </cfRule>
  </conditionalFormatting>
  <conditionalFormatting sqref="AC32">
    <cfRule type="cellIs" dxfId="18913" priority="15" operator="greaterThan">
      <formula>0.9</formula>
    </cfRule>
    <cfRule type="cellIs" dxfId="18912" priority="16" operator="greaterThan">
      <formula>0.85</formula>
    </cfRule>
  </conditionalFormatting>
  <conditionalFormatting sqref="N32">
    <cfRule type="cellIs" dxfId="18911" priority="13" operator="greaterThan">
      <formula>0.9</formula>
    </cfRule>
    <cfRule type="cellIs" dxfId="18910" priority="14" operator="greaterThan">
      <formula>0.85</formula>
    </cfRule>
  </conditionalFormatting>
  <conditionalFormatting sqref="E32">
    <cfRule type="expression" dxfId="18909" priority="9">
      <formula>AND(IF(OR($Q32=1,$Q32=2),1,0),IF($X32&lt;=20,1,0))</formula>
    </cfRule>
    <cfRule type="expression" dxfId="18908" priority="10">
      <formula>AND(IF($Q32=2,1,0),IF($X32&lt;30,1,0))</formula>
    </cfRule>
    <cfRule type="expression" dxfId="18907" priority="11">
      <formula>AND(IF($Q32=3,1,0),IF($X32&lt;30,1,0))</formula>
    </cfRule>
    <cfRule type="expression" dxfId="18906" priority="12">
      <formula>AND(IF($Q32=3,1,IF($Q32=4,1,0)),IF($F32&lt;=85,1,0))</formula>
    </cfRule>
  </conditionalFormatting>
  <conditionalFormatting sqref="X32">
    <cfRule type="expression" dxfId="18905" priority="5">
      <formula>AND(IF(OR($Q32=1,$Q32=2),1,0),IF($X32&lt;=20,1,0))</formula>
    </cfRule>
    <cfRule type="expression" dxfId="18904" priority="6">
      <formula>AND(IF($Q32=2,1,0),IF($X32&lt;30,1,0))</formula>
    </cfRule>
    <cfRule type="expression" dxfId="18903" priority="7">
      <formula>AND(IF($Q32=3,1,0),IF($X32&lt;30,1,0))</formula>
    </cfRule>
    <cfRule type="expression" dxfId="18902" priority="8">
      <formula>AND(IF($Q32=3,1,IF($Q32=4,1,0)),IF($F32&lt;=85,1,0))</formula>
    </cfRule>
  </conditionalFormatting>
  <conditionalFormatting sqref="AI32">
    <cfRule type="expression" dxfId="18901" priority="1">
      <formula>AND(IF(OR($Q32=1,$Q32=2),1,0),IF($X32&lt;=20,1,0))</formula>
    </cfRule>
    <cfRule type="expression" dxfId="18900" priority="2">
      <formula>AND(IF($Q32=2,1,0),IF($X32&lt;30,1,0))</formula>
    </cfRule>
    <cfRule type="expression" dxfId="18899" priority="3">
      <formula>AND(IF($Q32=3,1,0),IF($X32&lt;30,1,0))</formula>
    </cfRule>
    <cfRule type="expression" dxfId="18898" priority="4">
      <formula>AND(IF($Q32=3,1,IF($Q32=4,1,0)),IF($F32&lt;=85,1,0))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삼학동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847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삼학동 군산삼학대우('96.07.,381^)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844</v>
      </c>
      <c r="B6" s="10" t="s">
        <v>1279</v>
      </c>
      <c r="C6" s="107">
        <v>381</v>
      </c>
      <c r="D6" s="104">
        <v>81.099999999999994</v>
      </c>
      <c r="E6" s="106">
        <v>25</v>
      </c>
      <c r="F6" s="104">
        <v>59.9</v>
      </c>
      <c r="G6" s="17">
        <v>18</v>
      </c>
      <c r="H6" s="107">
        <v>159</v>
      </c>
      <c r="I6" s="108">
        <v>8500</v>
      </c>
      <c r="J6" s="108" t="s">
        <v>1265</v>
      </c>
      <c r="K6" s="108"/>
      <c r="L6" s="108"/>
      <c r="M6" s="109">
        <f>I6-K6</f>
        <v>8500</v>
      </c>
      <c r="N6" s="4">
        <f>IF(ISERROR(K6/I6),"",K6/I6)</f>
        <v>0</v>
      </c>
      <c r="O6" s="105">
        <f>I6/E6</f>
        <v>340</v>
      </c>
      <c r="P6" s="105">
        <f>K6/E6</f>
        <v>0</v>
      </c>
      <c r="Q6" s="77">
        <v>3</v>
      </c>
      <c r="R6" s="77">
        <v>1</v>
      </c>
      <c r="S6" s="77" t="s">
        <v>1241</v>
      </c>
      <c r="T6" s="5">
        <v>81</v>
      </c>
      <c r="U6" s="9"/>
      <c r="W6" s="104">
        <f t="shared" ref="W6:X8" si="1">D6</f>
        <v>81.099999999999994</v>
      </c>
      <c r="X6" s="106">
        <f t="shared" si="1"/>
        <v>25</v>
      </c>
      <c r="Y6" s="102">
        <f t="shared" ref="Y6:Z8" si="2">H6</f>
        <v>159</v>
      </c>
      <c r="Z6" s="109">
        <f t="shared" si="2"/>
        <v>8500</v>
      </c>
      <c r="AA6" s="109">
        <f>K6</f>
        <v>0</v>
      </c>
      <c r="AB6" s="109">
        <f t="shared" ref="AB6:AD8" si="3">M6</f>
        <v>8500</v>
      </c>
      <c r="AC6" s="4">
        <f t="shared" si="3"/>
        <v>0</v>
      </c>
      <c r="AD6" s="105">
        <f t="shared" si="3"/>
        <v>340</v>
      </c>
      <c r="AE6" s="77" t="str">
        <f>S6</f>
        <v>복</v>
      </c>
      <c r="AF6" s="77" t="str">
        <f>Q6&amp;"/"&amp;R6</f>
        <v>3/1</v>
      </c>
      <c r="AH6" s="20" t="str">
        <f>IF(A6="","",A6)</f>
        <v>군산삼학대우</v>
      </c>
      <c r="AI6" s="106">
        <f t="shared" si="0"/>
        <v>25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844</v>
      </c>
      <c r="B7" s="10" t="s">
        <v>1279</v>
      </c>
      <c r="C7" s="107">
        <v>381</v>
      </c>
      <c r="D7" s="104">
        <v>104.4</v>
      </c>
      <c r="E7" s="106">
        <v>32</v>
      </c>
      <c r="F7" s="104">
        <v>84.9</v>
      </c>
      <c r="G7" s="17">
        <v>26</v>
      </c>
      <c r="H7" s="107">
        <v>132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7">
        <v>3</v>
      </c>
      <c r="R7" s="77">
        <v>2</v>
      </c>
      <c r="S7" s="77" t="s">
        <v>1244</v>
      </c>
      <c r="T7" s="5">
        <v>104</v>
      </c>
      <c r="U7" s="9"/>
      <c r="W7" s="104">
        <f t="shared" si="1"/>
        <v>104.4</v>
      </c>
      <c r="X7" s="106">
        <f t="shared" si="1"/>
        <v>32</v>
      </c>
      <c r="Y7" s="102">
        <f t="shared" si="2"/>
        <v>132</v>
      </c>
      <c r="Z7" s="109">
        <f t="shared" si="2"/>
        <v>0</v>
      </c>
      <c r="AA7" s="109">
        <f>K7</f>
        <v>0</v>
      </c>
      <c r="AB7" s="109">
        <f t="shared" si="3"/>
        <v>0</v>
      </c>
      <c r="AC7" s="4" t="str">
        <f t="shared" si="3"/>
        <v/>
      </c>
      <c r="AD7" s="105">
        <f t="shared" si="3"/>
        <v>0</v>
      </c>
      <c r="AE7" s="77" t="str">
        <f>S7</f>
        <v>계</v>
      </c>
      <c r="AF7" s="77" t="str">
        <f>Q7&amp;"/"&amp;R7</f>
        <v>3/2</v>
      </c>
      <c r="AH7" s="20" t="str">
        <f>IF(A7="","",A7)</f>
        <v>군산삼학대우</v>
      </c>
      <c r="AI7" s="106">
        <f t="shared" si="0"/>
        <v>32</v>
      </c>
      <c r="AJ7" s="77" t="str">
        <f>IF(AI7="","",$AJ$2)</f>
        <v>A-</v>
      </c>
      <c r="AK7" s="77" t="s">
        <v>13</v>
      </c>
      <c r="AL7" s="77" t="s">
        <v>1242</v>
      </c>
      <c r="AM7" s="77" t="s">
        <v>1243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48" x14ac:dyDescent="0.3">
      <c r="A8" s="9" t="s">
        <v>844</v>
      </c>
      <c r="B8" s="10" t="s">
        <v>1279</v>
      </c>
      <c r="C8" s="107">
        <v>381</v>
      </c>
      <c r="D8" s="104">
        <v>155.19999999999999</v>
      </c>
      <c r="E8" s="106">
        <v>47</v>
      </c>
      <c r="F8" s="104">
        <v>131.4</v>
      </c>
      <c r="G8" s="17">
        <v>40</v>
      </c>
      <c r="H8" s="107">
        <v>90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7">
        <v>4</v>
      </c>
      <c r="R8" s="77">
        <v>2</v>
      </c>
      <c r="S8" s="77" t="s">
        <v>1244</v>
      </c>
      <c r="T8" s="5">
        <v>155</v>
      </c>
      <c r="U8" s="9"/>
      <c r="W8" s="104">
        <f t="shared" si="1"/>
        <v>155.19999999999999</v>
      </c>
      <c r="X8" s="106">
        <f t="shared" si="1"/>
        <v>47</v>
      </c>
      <c r="Y8" s="102">
        <f t="shared" si="2"/>
        <v>90</v>
      </c>
      <c r="Z8" s="109">
        <f t="shared" si="2"/>
        <v>0</v>
      </c>
      <c r="AA8" s="109">
        <f>K8</f>
        <v>0</v>
      </c>
      <c r="AB8" s="109">
        <f t="shared" si="3"/>
        <v>0</v>
      </c>
      <c r="AC8" s="4" t="str">
        <f t="shared" si="3"/>
        <v/>
      </c>
      <c r="AD8" s="105">
        <f t="shared" si="3"/>
        <v>0</v>
      </c>
      <c r="AE8" s="77" t="str">
        <f>S8</f>
        <v>계</v>
      </c>
      <c r="AF8" s="77" t="str">
        <f>Q8&amp;"/"&amp;R8</f>
        <v>4/2</v>
      </c>
      <c r="AH8" s="20" t="str">
        <f>IF(A8="","",A8)</f>
        <v>군산삼학대우</v>
      </c>
      <c r="AI8" s="106">
        <f t="shared" si="0"/>
        <v>47</v>
      </c>
      <c r="AJ8" s="77" t="str">
        <f>IF(AI8="","",$AJ$2)</f>
        <v>A-</v>
      </c>
      <c r="AK8" s="77" t="s">
        <v>13</v>
      </c>
      <c r="AL8" s="77" t="s">
        <v>1242</v>
      </c>
      <c r="AM8" s="77" t="s">
        <v>1243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</sheetData>
  <mergeCells count="1">
    <mergeCell ref="AJ1:AN1"/>
  </mergeCells>
  <phoneticPr fontId="2" type="noConversion"/>
  <conditionalFormatting sqref="AV4:AV6">
    <cfRule type="expression" dxfId="18897" priority="55">
      <formula>AV4="X"</formula>
    </cfRule>
    <cfRule type="expression" dxfId="18896" priority="56">
      <formula>AV4="후보"</formula>
    </cfRule>
  </conditionalFormatting>
  <conditionalFormatting sqref="AC1:AC2 AC4:AC6 N4:N5">
    <cfRule type="cellIs" dxfId="18895" priority="53" operator="greaterThan">
      <formula>0.9</formula>
    </cfRule>
    <cfRule type="cellIs" dxfId="18894" priority="54" operator="greaterThan">
      <formula>0.85</formula>
    </cfRule>
  </conditionalFormatting>
  <conditionalFormatting sqref="N1:N2">
    <cfRule type="cellIs" dxfId="18893" priority="51" operator="greaterThan">
      <formula>0.9</formula>
    </cfRule>
    <cfRule type="cellIs" dxfId="18892" priority="52" operator="greaterThan">
      <formula>0.85</formula>
    </cfRule>
  </conditionalFormatting>
  <conditionalFormatting sqref="N6">
    <cfRule type="cellIs" dxfId="18891" priority="49" operator="greaterThan">
      <formula>0.9</formula>
    </cfRule>
    <cfRule type="cellIs" dxfId="18890" priority="50" operator="greaterThan">
      <formula>0.85</formula>
    </cfRule>
  </conditionalFormatting>
  <conditionalFormatting sqref="E6">
    <cfRule type="expression" dxfId="18889" priority="45">
      <formula>AND(IF(OR($Q6=1,$Q6=2),1,0),IF($X6&lt;=20,1,0))</formula>
    </cfRule>
    <cfRule type="expression" dxfId="18888" priority="46">
      <formula>AND(IF($Q6=2,1,0),IF($X6&lt;30,1,0))</formula>
    </cfRule>
    <cfRule type="expression" dxfId="18887" priority="47">
      <formula>AND(IF($Q6=3,1,0),IF($X6&lt;30,1,0))</formula>
    </cfRule>
    <cfRule type="expression" dxfId="18886" priority="48">
      <formula>AND(IF($Q6=3,1,IF($Q6=4,1,0)),IF($F6&lt;=85,1,0))</formula>
    </cfRule>
  </conditionalFormatting>
  <conditionalFormatting sqref="X6">
    <cfRule type="expression" dxfId="18885" priority="41">
      <formula>AND(IF(OR($Q6=1,$Q6=2),1,0),IF($X6&lt;=20,1,0))</formula>
    </cfRule>
    <cfRule type="expression" dxfId="18884" priority="42">
      <formula>AND(IF($Q6=2,1,0),IF($X6&lt;30,1,0))</formula>
    </cfRule>
    <cfRule type="expression" dxfId="18883" priority="43">
      <formula>AND(IF($Q6=3,1,0),IF($X6&lt;30,1,0))</formula>
    </cfRule>
    <cfRule type="expression" dxfId="18882" priority="44">
      <formula>AND(IF($Q6=3,1,IF($Q6=4,1,0)),IF($F6&lt;=85,1,0))</formula>
    </cfRule>
  </conditionalFormatting>
  <conditionalFormatting sqref="AI6">
    <cfRule type="expression" dxfId="18881" priority="37">
      <formula>AND(IF(OR($Q6=1,$Q6=2),1,0),IF($X6&lt;=20,1,0))</formula>
    </cfRule>
    <cfRule type="expression" dxfId="18880" priority="38">
      <formula>AND(IF($Q6=2,1,0),IF($X6&lt;30,1,0))</formula>
    </cfRule>
    <cfRule type="expression" dxfId="18879" priority="39">
      <formula>AND(IF($Q6=3,1,0),IF($X6&lt;30,1,0))</formula>
    </cfRule>
    <cfRule type="expression" dxfId="18878" priority="40">
      <formula>AND(IF($Q6=3,1,IF($Q6=4,1,0)),IF($F6&lt;=85,1,0))</formula>
    </cfRule>
  </conditionalFormatting>
  <conditionalFormatting sqref="AV7">
    <cfRule type="expression" dxfId="18877" priority="35">
      <formula>AV7="X"</formula>
    </cfRule>
    <cfRule type="expression" dxfId="18876" priority="36">
      <formula>AV7="후보"</formula>
    </cfRule>
  </conditionalFormatting>
  <conditionalFormatting sqref="AC7">
    <cfRule type="cellIs" dxfId="18875" priority="33" operator="greaterThan">
      <formula>0.9</formula>
    </cfRule>
    <cfRule type="cellIs" dxfId="18874" priority="34" operator="greaterThan">
      <formula>0.85</formula>
    </cfRule>
  </conditionalFormatting>
  <conditionalFormatting sqref="N7">
    <cfRule type="cellIs" dxfId="18873" priority="31" operator="greaterThan">
      <formula>0.9</formula>
    </cfRule>
    <cfRule type="cellIs" dxfId="18872" priority="32" operator="greaterThan">
      <formula>0.85</formula>
    </cfRule>
  </conditionalFormatting>
  <conditionalFormatting sqref="E7">
    <cfRule type="expression" dxfId="18871" priority="27">
      <formula>AND(IF(OR($Q7=1,$Q7=2),1,0),IF($X7&lt;=20,1,0))</formula>
    </cfRule>
    <cfRule type="expression" dxfId="18870" priority="28">
      <formula>AND(IF($Q7=2,1,0),IF($X7&lt;30,1,0))</formula>
    </cfRule>
    <cfRule type="expression" dxfId="18869" priority="29">
      <formula>AND(IF($Q7=3,1,0),IF($X7&lt;30,1,0))</formula>
    </cfRule>
    <cfRule type="expression" dxfId="18868" priority="30">
      <formula>AND(IF($Q7=3,1,IF($Q7=4,1,0)),IF($F7&lt;=85,1,0))</formula>
    </cfRule>
  </conditionalFormatting>
  <conditionalFormatting sqref="X7">
    <cfRule type="expression" dxfId="18867" priority="23">
      <formula>AND(IF(OR($Q7=1,$Q7=2),1,0),IF($X7&lt;=20,1,0))</formula>
    </cfRule>
    <cfRule type="expression" dxfId="18866" priority="24">
      <formula>AND(IF($Q7=2,1,0),IF($X7&lt;30,1,0))</formula>
    </cfRule>
    <cfRule type="expression" dxfId="18865" priority="25">
      <formula>AND(IF($Q7=3,1,0),IF($X7&lt;30,1,0))</formula>
    </cfRule>
    <cfRule type="expression" dxfId="18864" priority="26">
      <formula>AND(IF($Q7=3,1,IF($Q7=4,1,0)),IF($F7&lt;=85,1,0))</formula>
    </cfRule>
  </conditionalFormatting>
  <conditionalFormatting sqref="AI7">
    <cfRule type="expression" dxfId="18863" priority="19">
      <formula>AND(IF(OR($Q7=1,$Q7=2),1,0),IF($X7&lt;=20,1,0))</formula>
    </cfRule>
    <cfRule type="expression" dxfId="18862" priority="20">
      <formula>AND(IF($Q7=2,1,0),IF($X7&lt;30,1,0))</formula>
    </cfRule>
    <cfRule type="expression" dxfId="18861" priority="21">
      <formula>AND(IF($Q7=3,1,0),IF($X7&lt;30,1,0))</formula>
    </cfRule>
    <cfRule type="expression" dxfId="18860" priority="22">
      <formula>AND(IF($Q7=3,1,IF($Q7=4,1,0)),IF($F7&lt;=85,1,0))</formula>
    </cfRule>
  </conditionalFormatting>
  <conditionalFormatting sqref="AV8">
    <cfRule type="expression" dxfId="18859" priority="17">
      <formula>AV8="X"</formula>
    </cfRule>
    <cfRule type="expression" dxfId="18858" priority="18">
      <formula>AV8="후보"</formula>
    </cfRule>
  </conditionalFormatting>
  <conditionalFormatting sqref="AC8">
    <cfRule type="cellIs" dxfId="18857" priority="15" operator="greaterThan">
      <formula>0.9</formula>
    </cfRule>
    <cfRule type="cellIs" dxfId="18856" priority="16" operator="greaterThan">
      <formula>0.85</formula>
    </cfRule>
  </conditionalFormatting>
  <conditionalFormatting sqref="N8">
    <cfRule type="cellIs" dxfId="18855" priority="13" operator="greaterThan">
      <formula>0.9</formula>
    </cfRule>
    <cfRule type="cellIs" dxfId="18854" priority="14" operator="greaterThan">
      <formula>0.85</formula>
    </cfRule>
  </conditionalFormatting>
  <conditionalFormatting sqref="E8">
    <cfRule type="expression" dxfId="18853" priority="9">
      <formula>AND(IF(OR($Q8=1,$Q8=2),1,0),IF($X8&lt;=20,1,0))</formula>
    </cfRule>
    <cfRule type="expression" dxfId="18852" priority="10">
      <formula>AND(IF($Q8=2,1,0),IF($X8&lt;30,1,0))</formula>
    </cfRule>
    <cfRule type="expression" dxfId="18851" priority="11">
      <formula>AND(IF($Q8=3,1,0),IF($X8&lt;30,1,0))</formula>
    </cfRule>
    <cfRule type="expression" dxfId="18850" priority="12">
      <formula>AND(IF($Q8=3,1,IF($Q8=4,1,0)),IF($F8&lt;=85,1,0))</formula>
    </cfRule>
  </conditionalFormatting>
  <conditionalFormatting sqref="X8">
    <cfRule type="expression" dxfId="18849" priority="5">
      <formula>AND(IF(OR($Q8=1,$Q8=2),1,0),IF($X8&lt;=20,1,0))</formula>
    </cfRule>
    <cfRule type="expression" dxfId="18848" priority="6">
      <formula>AND(IF($Q8=2,1,0),IF($X8&lt;30,1,0))</formula>
    </cfRule>
    <cfRule type="expression" dxfId="18847" priority="7">
      <formula>AND(IF($Q8=3,1,0),IF($X8&lt;30,1,0))</formula>
    </cfRule>
    <cfRule type="expression" dxfId="18846" priority="8">
      <formula>AND(IF($Q8=3,1,IF($Q8=4,1,0)),IF($F8&lt;=85,1,0))</formula>
    </cfRule>
  </conditionalFormatting>
  <conditionalFormatting sqref="AI8">
    <cfRule type="expression" dxfId="18845" priority="1">
      <formula>AND(IF(OR($Q8=1,$Q8=2),1,0),IF($X8&lt;=20,1,0))</formula>
    </cfRule>
    <cfRule type="expression" dxfId="18844" priority="2">
      <formula>AND(IF($Q8=2,1,0),IF($X8&lt;30,1,0))</formula>
    </cfRule>
    <cfRule type="expression" dxfId="18843" priority="3">
      <formula>AND(IF($Q8=3,1,0),IF($X8&lt;30,1,0))</formula>
    </cfRule>
    <cfRule type="expression" dxfId="18842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서흥남동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869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서흥남동 고려타운('92.05.,226^)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882</v>
      </c>
      <c r="B6" s="10" t="s">
        <v>1322</v>
      </c>
      <c r="C6" s="107">
        <v>226</v>
      </c>
      <c r="D6" s="104">
        <v>56.3</v>
      </c>
      <c r="E6" s="106">
        <v>17</v>
      </c>
      <c r="F6" s="104">
        <v>43.1</v>
      </c>
      <c r="G6" s="17">
        <v>13</v>
      </c>
      <c r="H6" s="107">
        <v>12</v>
      </c>
      <c r="I6" s="108"/>
      <c r="J6" s="108"/>
      <c r="K6" s="108"/>
      <c r="L6" s="108"/>
      <c r="M6" s="109">
        <f t="shared" ref="M6:M15" si="2">I6-K6</f>
        <v>0</v>
      </c>
      <c r="N6" s="4" t="str">
        <f t="shared" ref="N6:N15" si="3">IF(ISERROR(K6/I6),"",K6/I6)</f>
        <v/>
      </c>
      <c r="O6" s="105">
        <f t="shared" ref="O6:O15" si="4">I6/E6</f>
        <v>0</v>
      </c>
      <c r="P6" s="105">
        <f t="shared" ref="P6:P15" si="5">K6/E6</f>
        <v>0</v>
      </c>
      <c r="Q6" s="77">
        <v>2</v>
      </c>
      <c r="R6" s="77">
        <v>1</v>
      </c>
      <c r="S6" s="77" t="s">
        <v>1244</v>
      </c>
      <c r="T6" s="5">
        <v>56</v>
      </c>
      <c r="U6" s="9"/>
      <c r="W6" s="104">
        <f t="shared" ref="W6:W15" si="6">D6</f>
        <v>56.3</v>
      </c>
      <c r="X6" s="106">
        <f t="shared" ref="X6:X15" si="7">E6</f>
        <v>17</v>
      </c>
      <c r="Y6" s="102">
        <f t="shared" ref="Y6:Y15" si="8">H6</f>
        <v>12</v>
      </c>
      <c r="Z6" s="109">
        <f t="shared" ref="Z6:Z15" si="9">I6</f>
        <v>0</v>
      </c>
      <c r="AA6" s="109">
        <f t="shared" ref="AA6:AA15" si="10">K6</f>
        <v>0</v>
      </c>
      <c r="AB6" s="109">
        <f t="shared" ref="AB6:AB15" si="11">M6</f>
        <v>0</v>
      </c>
      <c r="AC6" s="4" t="str">
        <f t="shared" ref="AC6:AC15" si="12">N6</f>
        <v/>
      </c>
      <c r="AD6" s="105">
        <f t="shared" ref="AD6:AD15" si="13">O6</f>
        <v>0</v>
      </c>
      <c r="AE6" s="77" t="str">
        <f t="shared" ref="AE6:AE15" si="14">S6</f>
        <v>계</v>
      </c>
      <c r="AF6" s="77" t="str">
        <f t="shared" ref="AF6:AF15" si="15">Q6&amp;"/"&amp;R6</f>
        <v>2/1</v>
      </c>
      <c r="AH6" s="20" t="str">
        <f t="shared" si="1"/>
        <v>고려타운</v>
      </c>
      <c r="AI6" s="106">
        <f t="shared" si="0"/>
        <v>17</v>
      </c>
      <c r="AJ6" s="77" t="str">
        <f t="shared" ref="AJ6:AJ15" si="16"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 t="shared" ref="AN6:AN15" si="17">IF(AI6="","",$AN$2)</f>
        <v>C</v>
      </c>
      <c r="AO6" s="77" t="str">
        <f t="shared" ref="AO6:AO15" si="18">IF(N6="","",IF(N6&gt;=$AO$1/100,"O","X"))</f>
        <v/>
      </c>
      <c r="AP6" s="77" t="str">
        <f t="shared" ref="AP6:AP15" si="19">IF(I6="","",IF(I6&lt;=$AP$1,"O","X"))</f>
        <v/>
      </c>
      <c r="AQ6" s="77" t="str">
        <f t="shared" ref="AQ6:AQ15" si="20">IF(O6="","",IF(O6&lt;=$AQ$1,"O","X"))</f>
        <v>O</v>
      </c>
      <c r="AR6" s="77" t="str">
        <f t="shared" ref="AR6:AR15" si="21">IF(M6="","",IF(M6&lt;=$AR$1,"O","X"))</f>
        <v>O</v>
      </c>
      <c r="AS6" s="77" t="s">
        <v>2</v>
      </c>
      <c r="AT6" s="77" t="str">
        <f t="shared" ref="AT6:AT15" si="22">IF(OR(F6="",AI6=""),"",IF(AND((F6&lt;=85),(AI6&gt;=15)),"O","X"))</f>
        <v>O</v>
      </c>
      <c r="AU6" s="77" t="str">
        <f t="shared" ref="AU6:AU15" si="23">IF(C6="","",IF(C6&gt;=$AU$1,"O","X"))</f>
        <v>X</v>
      </c>
      <c r="AV6" s="77" t="str">
        <f t="shared" ref="AV6:AV15" si="24">IF(AO6="","",IF(AND(AO6="O",AP6="O",AR6="O",AT6="O",AU6="O"),"후보","X"))</f>
        <v/>
      </c>
    </row>
    <row r="7" spans="1:48" x14ac:dyDescent="0.3">
      <c r="A7" s="9" t="s">
        <v>882</v>
      </c>
      <c r="B7" s="10" t="s">
        <v>1322</v>
      </c>
      <c r="C7" s="107">
        <v>226</v>
      </c>
      <c r="D7" s="104">
        <v>64.8</v>
      </c>
      <c r="E7" s="106">
        <v>20</v>
      </c>
      <c r="F7" s="104">
        <v>49</v>
      </c>
      <c r="G7" s="17">
        <v>15</v>
      </c>
      <c r="H7" s="107">
        <v>20</v>
      </c>
      <c r="I7" s="108"/>
      <c r="J7" s="108"/>
      <c r="K7" s="108"/>
      <c r="L7" s="108"/>
      <c r="M7" s="109">
        <f t="shared" si="2"/>
        <v>0</v>
      </c>
      <c r="N7" s="4" t="str">
        <f t="shared" si="3"/>
        <v/>
      </c>
      <c r="O7" s="105">
        <f t="shared" si="4"/>
        <v>0</v>
      </c>
      <c r="P7" s="105">
        <f t="shared" si="5"/>
        <v>0</v>
      </c>
      <c r="Q7" s="77">
        <v>2</v>
      </c>
      <c r="R7" s="77">
        <v>1</v>
      </c>
      <c r="S7" s="77" t="s">
        <v>1244</v>
      </c>
      <c r="T7" s="5">
        <v>64</v>
      </c>
      <c r="U7" s="9"/>
      <c r="W7" s="104">
        <f t="shared" si="6"/>
        <v>64.8</v>
      </c>
      <c r="X7" s="106">
        <f t="shared" si="7"/>
        <v>20</v>
      </c>
      <c r="Y7" s="102">
        <f t="shared" si="8"/>
        <v>20</v>
      </c>
      <c r="Z7" s="109">
        <f t="shared" si="9"/>
        <v>0</v>
      </c>
      <c r="AA7" s="109">
        <f t="shared" si="10"/>
        <v>0</v>
      </c>
      <c r="AB7" s="109">
        <f t="shared" si="11"/>
        <v>0</v>
      </c>
      <c r="AC7" s="4" t="str">
        <f t="shared" si="12"/>
        <v/>
      </c>
      <c r="AD7" s="105">
        <f t="shared" si="13"/>
        <v>0</v>
      </c>
      <c r="AE7" s="77" t="str">
        <f t="shared" si="14"/>
        <v>계</v>
      </c>
      <c r="AF7" s="77" t="str">
        <f t="shared" si="15"/>
        <v>2/1</v>
      </c>
      <c r="AH7" s="20" t="str">
        <f t="shared" si="1"/>
        <v>고려타운</v>
      </c>
      <c r="AI7" s="106">
        <f t="shared" si="0"/>
        <v>20</v>
      </c>
      <c r="AJ7" s="77" t="str">
        <f t="shared" si="16"/>
        <v>A-</v>
      </c>
      <c r="AK7" s="77" t="s">
        <v>13</v>
      </c>
      <c r="AL7" s="77" t="s">
        <v>1242</v>
      </c>
      <c r="AM7" s="77" t="s">
        <v>1243</v>
      </c>
      <c r="AN7" s="77" t="str">
        <f t="shared" si="17"/>
        <v>C</v>
      </c>
      <c r="AO7" s="77" t="str">
        <f t="shared" si="18"/>
        <v/>
      </c>
      <c r="AP7" s="77" t="str">
        <f t="shared" si="19"/>
        <v/>
      </c>
      <c r="AQ7" s="77" t="str">
        <f t="shared" si="20"/>
        <v>O</v>
      </c>
      <c r="AR7" s="77" t="str">
        <f t="shared" si="21"/>
        <v>O</v>
      </c>
      <c r="AS7" s="77" t="s">
        <v>2</v>
      </c>
      <c r="AT7" s="77" t="str">
        <f t="shared" si="22"/>
        <v>O</v>
      </c>
      <c r="AU7" s="77" t="str">
        <f t="shared" si="23"/>
        <v>X</v>
      </c>
      <c r="AV7" s="77" t="str">
        <f t="shared" si="24"/>
        <v/>
      </c>
    </row>
    <row r="8" spans="1:48" x14ac:dyDescent="0.3">
      <c r="A8" s="9" t="s">
        <v>882</v>
      </c>
      <c r="B8" s="10" t="s">
        <v>1322</v>
      </c>
      <c r="C8" s="107">
        <v>226</v>
      </c>
      <c r="D8" s="104">
        <v>74.599999999999994</v>
      </c>
      <c r="E8" s="106">
        <v>23</v>
      </c>
      <c r="F8" s="104">
        <v>58.8</v>
      </c>
      <c r="G8" s="17">
        <v>18</v>
      </c>
      <c r="H8" s="107">
        <v>18</v>
      </c>
      <c r="I8" s="108"/>
      <c r="J8" s="108"/>
      <c r="K8" s="108"/>
      <c r="L8" s="108"/>
      <c r="M8" s="109">
        <f t="shared" si="2"/>
        <v>0</v>
      </c>
      <c r="N8" s="4" t="str">
        <f t="shared" si="3"/>
        <v/>
      </c>
      <c r="O8" s="105">
        <f t="shared" si="4"/>
        <v>0</v>
      </c>
      <c r="P8" s="105">
        <f t="shared" si="5"/>
        <v>0</v>
      </c>
      <c r="Q8" s="77">
        <v>3</v>
      </c>
      <c r="R8" s="77">
        <v>2</v>
      </c>
      <c r="S8" s="77" t="s">
        <v>1244</v>
      </c>
      <c r="T8" s="5" t="s">
        <v>133</v>
      </c>
      <c r="U8" s="9"/>
      <c r="W8" s="104">
        <f t="shared" si="6"/>
        <v>74.599999999999994</v>
      </c>
      <c r="X8" s="106">
        <f t="shared" si="7"/>
        <v>23</v>
      </c>
      <c r="Y8" s="102">
        <f t="shared" si="8"/>
        <v>18</v>
      </c>
      <c r="Z8" s="109">
        <f t="shared" si="9"/>
        <v>0</v>
      </c>
      <c r="AA8" s="109">
        <f t="shared" si="10"/>
        <v>0</v>
      </c>
      <c r="AB8" s="109">
        <f t="shared" si="11"/>
        <v>0</v>
      </c>
      <c r="AC8" s="4" t="str">
        <f t="shared" si="12"/>
        <v/>
      </c>
      <c r="AD8" s="105">
        <f t="shared" si="13"/>
        <v>0</v>
      </c>
      <c r="AE8" s="77" t="str">
        <f t="shared" si="14"/>
        <v>계</v>
      </c>
      <c r="AF8" s="77" t="str">
        <f t="shared" si="15"/>
        <v>3/2</v>
      </c>
      <c r="AH8" s="20" t="str">
        <f t="shared" si="1"/>
        <v>고려타운</v>
      </c>
      <c r="AI8" s="106">
        <f t="shared" si="0"/>
        <v>23</v>
      </c>
      <c r="AJ8" s="77" t="str">
        <f t="shared" si="16"/>
        <v>A-</v>
      </c>
      <c r="AK8" s="77" t="s">
        <v>13</v>
      </c>
      <c r="AL8" s="77" t="s">
        <v>1242</v>
      </c>
      <c r="AM8" s="77" t="s">
        <v>1243</v>
      </c>
      <c r="AN8" s="77" t="str">
        <f t="shared" si="17"/>
        <v>C</v>
      </c>
      <c r="AO8" s="77" t="str">
        <f t="shared" si="18"/>
        <v/>
      </c>
      <c r="AP8" s="77" t="str">
        <f t="shared" si="19"/>
        <v/>
      </c>
      <c r="AQ8" s="77" t="str">
        <f t="shared" si="20"/>
        <v>O</v>
      </c>
      <c r="AR8" s="77" t="str">
        <f t="shared" si="21"/>
        <v>O</v>
      </c>
      <c r="AS8" s="77" t="s">
        <v>2</v>
      </c>
      <c r="AT8" s="77" t="str">
        <f t="shared" si="22"/>
        <v>O</v>
      </c>
      <c r="AU8" s="77" t="str">
        <f t="shared" si="23"/>
        <v>X</v>
      </c>
      <c r="AV8" s="77" t="str">
        <f t="shared" si="24"/>
        <v/>
      </c>
    </row>
    <row r="9" spans="1:48" x14ac:dyDescent="0.3">
      <c r="A9" s="9" t="s">
        <v>882</v>
      </c>
      <c r="B9" s="10" t="s">
        <v>1322</v>
      </c>
      <c r="C9" s="107">
        <v>226</v>
      </c>
      <c r="D9" s="104">
        <v>76.900000000000006</v>
      </c>
      <c r="E9" s="106">
        <v>23</v>
      </c>
      <c r="F9" s="104">
        <v>59.5</v>
      </c>
      <c r="G9" s="17">
        <v>18</v>
      </c>
      <c r="H9" s="107">
        <v>56</v>
      </c>
      <c r="I9" s="108"/>
      <c r="J9" s="108"/>
      <c r="K9" s="108"/>
      <c r="L9" s="108"/>
      <c r="M9" s="109">
        <f t="shared" si="2"/>
        <v>0</v>
      </c>
      <c r="N9" s="4" t="str">
        <f t="shared" si="3"/>
        <v/>
      </c>
      <c r="O9" s="105">
        <f t="shared" si="4"/>
        <v>0</v>
      </c>
      <c r="P9" s="105">
        <f t="shared" si="5"/>
        <v>0</v>
      </c>
      <c r="Q9" s="77">
        <v>3</v>
      </c>
      <c r="R9" s="77">
        <v>2</v>
      </c>
      <c r="S9" s="77" t="s">
        <v>1244</v>
      </c>
      <c r="T9" s="5" t="s">
        <v>887</v>
      </c>
      <c r="U9" s="9"/>
      <c r="W9" s="104">
        <f t="shared" si="6"/>
        <v>76.900000000000006</v>
      </c>
      <c r="X9" s="106">
        <f t="shared" si="7"/>
        <v>23</v>
      </c>
      <c r="Y9" s="102">
        <f t="shared" si="8"/>
        <v>56</v>
      </c>
      <c r="Z9" s="109">
        <f t="shared" si="9"/>
        <v>0</v>
      </c>
      <c r="AA9" s="109">
        <f t="shared" si="10"/>
        <v>0</v>
      </c>
      <c r="AB9" s="109">
        <f t="shared" si="11"/>
        <v>0</v>
      </c>
      <c r="AC9" s="4" t="str">
        <f t="shared" si="12"/>
        <v/>
      </c>
      <c r="AD9" s="105">
        <f t="shared" si="13"/>
        <v>0</v>
      </c>
      <c r="AE9" s="77" t="str">
        <f t="shared" si="14"/>
        <v>계</v>
      </c>
      <c r="AF9" s="77" t="str">
        <f t="shared" si="15"/>
        <v>3/2</v>
      </c>
      <c r="AH9" s="20" t="str">
        <f t="shared" si="1"/>
        <v>고려타운</v>
      </c>
      <c r="AI9" s="106">
        <f t="shared" si="0"/>
        <v>23</v>
      </c>
      <c r="AJ9" s="77" t="str">
        <f t="shared" si="16"/>
        <v>A-</v>
      </c>
      <c r="AK9" s="77" t="s">
        <v>13</v>
      </c>
      <c r="AL9" s="77" t="s">
        <v>1242</v>
      </c>
      <c r="AM9" s="77" t="s">
        <v>1243</v>
      </c>
      <c r="AN9" s="77" t="str">
        <f t="shared" si="17"/>
        <v>C</v>
      </c>
      <c r="AO9" s="77" t="str">
        <f t="shared" si="18"/>
        <v/>
      </c>
      <c r="AP9" s="77" t="str">
        <f t="shared" si="19"/>
        <v/>
      </c>
      <c r="AQ9" s="77" t="str">
        <f t="shared" si="20"/>
        <v>O</v>
      </c>
      <c r="AR9" s="77" t="str">
        <f t="shared" si="21"/>
        <v>O</v>
      </c>
      <c r="AS9" s="77" t="s">
        <v>2</v>
      </c>
      <c r="AT9" s="77" t="str">
        <f t="shared" si="22"/>
        <v>O</v>
      </c>
      <c r="AU9" s="77" t="str">
        <f t="shared" si="23"/>
        <v>X</v>
      </c>
      <c r="AV9" s="77" t="str">
        <f t="shared" si="24"/>
        <v/>
      </c>
    </row>
    <row r="10" spans="1:48" x14ac:dyDescent="0.3">
      <c r="A10" s="9" t="s">
        <v>882</v>
      </c>
      <c r="B10" s="10" t="s">
        <v>1322</v>
      </c>
      <c r="C10" s="107">
        <v>226</v>
      </c>
      <c r="D10" s="104">
        <v>77.5</v>
      </c>
      <c r="E10" s="106">
        <v>23</v>
      </c>
      <c r="F10" s="104">
        <v>59.7</v>
      </c>
      <c r="G10" s="17">
        <v>18</v>
      </c>
      <c r="H10" s="107">
        <v>60</v>
      </c>
      <c r="I10" s="108"/>
      <c r="J10" s="108"/>
      <c r="K10" s="108"/>
      <c r="L10" s="108"/>
      <c r="M10" s="109">
        <f t="shared" si="2"/>
        <v>0</v>
      </c>
      <c r="N10" s="4" t="str">
        <f t="shared" si="3"/>
        <v/>
      </c>
      <c r="O10" s="105">
        <f t="shared" si="4"/>
        <v>0</v>
      </c>
      <c r="P10" s="105">
        <f t="shared" si="5"/>
        <v>0</v>
      </c>
      <c r="Q10" s="77">
        <v>3</v>
      </c>
      <c r="R10" s="77">
        <v>2</v>
      </c>
      <c r="S10" s="77" t="s">
        <v>1244</v>
      </c>
      <c r="T10" s="5" t="s">
        <v>655</v>
      </c>
      <c r="U10" s="9"/>
      <c r="W10" s="104">
        <f t="shared" si="6"/>
        <v>77.5</v>
      </c>
      <c r="X10" s="106">
        <f t="shared" si="7"/>
        <v>23</v>
      </c>
      <c r="Y10" s="102">
        <f t="shared" si="8"/>
        <v>60</v>
      </c>
      <c r="Z10" s="109">
        <f t="shared" si="9"/>
        <v>0</v>
      </c>
      <c r="AA10" s="109">
        <f t="shared" si="10"/>
        <v>0</v>
      </c>
      <c r="AB10" s="109">
        <f t="shared" si="11"/>
        <v>0</v>
      </c>
      <c r="AC10" s="4" t="str">
        <f t="shared" si="12"/>
        <v/>
      </c>
      <c r="AD10" s="105">
        <f t="shared" si="13"/>
        <v>0</v>
      </c>
      <c r="AE10" s="77" t="str">
        <f t="shared" si="14"/>
        <v>계</v>
      </c>
      <c r="AF10" s="77" t="str">
        <f t="shared" si="15"/>
        <v>3/2</v>
      </c>
      <c r="AH10" s="20" t="str">
        <f t="shared" si="1"/>
        <v>고려타운</v>
      </c>
      <c r="AI10" s="106">
        <f t="shared" si="0"/>
        <v>23</v>
      </c>
      <c r="AJ10" s="77" t="str">
        <f t="shared" si="16"/>
        <v>A-</v>
      </c>
      <c r="AK10" s="77" t="s">
        <v>13</v>
      </c>
      <c r="AL10" s="77" t="s">
        <v>1242</v>
      </c>
      <c r="AM10" s="77" t="s">
        <v>1243</v>
      </c>
      <c r="AN10" s="77" t="str">
        <f t="shared" si="17"/>
        <v>C</v>
      </c>
      <c r="AO10" s="77" t="str">
        <f t="shared" si="18"/>
        <v/>
      </c>
      <c r="AP10" s="77" t="str">
        <f t="shared" si="19"/>
        <v/>
      </c>
      <c r="AQ10" s="77" t="str">
        <f t="shared" si="20"/>
        <v>O</v>
      </c>
      <c r="AR10" s="77" t="str">
        <f t="shared" si="21"/>
        <v>O</v>
      </c>
      <c r="AS10" s="77" t="s">
        <v>2</v>
      </c>
      <c r="AT10" s="77" t="str">
        <f t="shared" si="22"/>
        <v>O</v>
      </c>
      <c r="AU10" s="77" t="str">
        <f t="shared" si="23"/>
        <v>X</v>
      </c>
      <c r="AV10" s="77" t="str">
        <f t="shared" si="24"/>
        <v/>
      </c>
    </row>
    <row r="11" spans="1:48" x14ac:dyDescent="0.3">
      <c r="A11" s="9" t="s">
        <v>882</v>
      </c>
      <c r="B11" s="10" t="s">
        <v>1322</v>
      </c>
      <c r="C11" s="107">
        <v>226</v>
      </c>
      <c r="D11" s="104">
        <v>77.5</v>
      </c>
      <c r="E11" s="106">
        <v>23</v>
      </c>
      <c r="F11" s="104">
        <v>59.5</v>
      </c>
      <c r="G11" s="17">
        <v>18</v>
      </c>
      <c r="H11" s="107">
        <v>20</v>
      </c>
      <c r="I11" s="108"/>
      <c r="J11" s="108"/>
      <c r="K11" s="108"/>
      <c r="L11" s="108"/>
      <c r="M11" s="109">
        <f t="shared" si="2"/>
        <v>0</v>
      </c>
      <c r="N11" s="4" t="str">
        <f t="shared" si="3"/>
        <v/>
      </c>
      <c r="O11" s="105">
        <f t="shared" si="4"/>
        <v>0</v>
      </c>
      <c r="P11" s="105">
        <f t="shared" si="5"/>
        <v>0</v>
      </c>
      <c r="Q11" s="77">
        <v>3</v>
      </c>
      <c r="R11" s="77">
        <v>2</v>
      </c>
      <c r="S11" s="77" t="s">
        <v>1244</v>
      </c>
      <c r="T11" s="5" t="s">
        <v>888</v>
      </c>
      <c r="U11" s="9"/>
      <c r="W11" s="104">
        <f t="shared" si="6"/>
        <v>77.5</v>
      </c>
      <c r="X11" s="106">
        <f t="shared" si="7"/>
        <v>23</v>
      </c>
      <c r="Y11" s="102">
        <f t="shared" si="8"/>
        <v>20</v>
      </c>
      <c r="Z11" s="109">
        <f t="shared" si="9"/>
        <v>0</v>
      </c>
      <c r="AA11" s="109">
        <f t="shared" si="10"/>
        <v>0</v>
      </c>
      <c r="AB11" s="109">
        <f t="shared" si="11"/>
        <v>0</v>
      </c>
      <c r="AC11" s="4" t="str">
        <f t="shared" si="12"/>
        <v/>
      </c>
      <c r="AD11" s="105">
        <f t="shared" si="13"/>
        <v>0</v>
      </c>
      <c r="AE11" s="77" t="str">
        <f t="shared" si="14"/>
        <v>계</v>
      </c>
      <c r="AF11" s="77" t="str">
        <f t="shared" si="15"/>
        <v>3/2</v>
      </c>
      <c r="AH11" s="20" t="str">
        <f t="shared" si="1"/>
        <v>고려타운</v>
      </c>
      <c r="AI11" s="106">
        <f t="shared" si="0"/>
        <v>23</v>
      </c>
      <c r="AJ11" s="77" t="str">
        <f t="shared" si="16"/>
        <v>A-</v>
      </c>
      <c r="AK11" s="77" t="s">
        <v>13</v>
      </c>
      <c r="AL11" s="77" t="s">
        <v>1242</v>
      </c>
      <c r="AM11" s="77" t="s">
        <v>1243</v>
      </c>
      <c r="AN11" s="77" t="str">
        <f t="shared" si="17"/>
        <v>C</v>
      </c>
      <c r="AO11" s="77" t="str">
        <f t="shared" si="18"/>
        <v/>
      </c>
      <c r="AP11" s="77" t="str">
        <f t="shared" si="19"/>
        <v/>
      </c>
      <c r="AQ11" s="77" t="str">
        <f t="shared" si="20"/>
        <v>O</v>
      </c>
      <c r="AR11" s="77" t="str">
        <f t="shared" si="21"/>
        <v>O</v>
      </c>
      <c r="AS11" s="77" t="s">
        <v>2</v>
      </c>
      <c r="AT11" s="77" t="str">
        <f t="shared" si="22"/>
        <v>O</v>
      </c>
      <c r="AU11" s="77" t="str">
        <f t="shared" si="23"/>
        <v>X</v>
      </c>
      <c r="AV11" s="77" t="str">
        <f t="shared" si="24"/>
        <v/>
      </c>
    </row>
    <row r="12" spans="1:48" x14ac:dyDescent="0.3">
      <c r="A12" s="9" t="s">
        <v>882</v>
      </c>
      <c r="B12" s="10" t="s">
        <v>1322</v>
      </c>
      <c r="C12" s="107">
        <v>226</v>
      </c>
      <c r="D12" s="104">
        <v>104.9</v>
      </c>
      <c r="E12" s="106">
        <v>32</v>
      </c>
      <c r="F12" s="104">
        <v>84.8</v>
      </c>
      <c r="G12" s="17">
        <v>26</v>
      </c>
      <c r="H12" s="107">
        <v>6</v>
      </c>
      <c r="I12" s="108"/>
      <c r="J12" s="108"/>
      <c r="K12" s="108"/>
      <c r="L12" s="108"/>
      <c r="M12" s="109">
        <f t="shared" si="2"/>
        <v>0</v>
      </c>
      <c r="N12" s="4" t="str">
        <f t="shared" si="3"/>
        <v/>
      </c>
      <c r="O12" s="105">
        <f t="shared" si="4"/>
        <v>0</v>
      </c>
      <c r="P12" s="105">
        <f t="shared" si="5"/>
        <v>0</v>
      </c>
      <c r="Q12" s="77">
        <v>3</v>
      </c>
      <c r="R12" s="77">
        <v>2</v>
      </c>
      <c r="S12" s="77" t="s">
        <v>1244</v>
      </c>
      <c r="T12" s="5" t="s">
        <v>889</v>
      </c>
      <c r="U12" s="9"/>
      <c r="W12" s="104">
        <f t="shared" si="6"/>
        <v>104.9</v>
      </c>
      <c r="X12" s="106">
        <f t="shared" si="7"/>
        <v>32</v>
      </c>
      <c r="Y12" s="102">
        <f t="shared" si="8"/>
        <v>6</v>
      </c>
      <c r="Z12" s="109">
        <f t="shared" si="9"/>
        <v>0</v>
      </c>
      <c r="AA12" s="109">
        <f t="shared" si="10"/>
        <v>0</v>
      </c>
      <c r="AB12" s="109">
        <f t="shared" si="11"/>
        <v>0</v>
      </c>
      <c r="AC12" s="4" t="str">
        <f t="shared" si="12"/>
        <v/>
      </c>
      <c r="AD12" s="105">
        <f t="shared" si="13"/>
        <v>0</v>
      </c>
      <c r="AE12" s="77" t="str">
        <f t="shared" si="14"/>
        <v>계</v>
      </c>
      <c r="AF12" s="77" t="str">
        <f t="shared" si="15"/>
        <v>3/2</v>
      </c>
      <c r="AH12" s="20" t="str">
        <f t="shared" si="1"/>
        <v>고려타운</v>
      </c>
      <c r="AI12" s="106">
        <f t="shared" si="0"/>
        <v>32</v>
      </c>
      <c r="AJ12" s="77" t="str">
        <f t="shared" si="16"/>
        <v>A-</v>
      </c>
      <c r="AK12" s="77" t="s">
        <v>13</v>
      </c>
      <c r="AL12" s="77" t="s">
        <v>1242</v>
      </c>
      <c r="AM12" s="77" t="s">
        <v>1243</v>
      </c>
      <c r="AN12" s="77" t="str">
        <f t="shared" si="17"/>
        <v>C</v>
      </c>
      <c r="AO12" s="77" t="str">
        <f t="shared" si="18"/>
        <v/>
      </c>
      <c r="AP12" s="77" t="str">
        <f t="shared" si="19"/>
        <v/>
      </c>
      <c r="AQ12" s="77" t="str">
        <f t="shared" si="20"/>
        <v>O</v>
      </c>
      <c r="AR12" s="77" t="str">
        <f t="shared" si="21"/>
        <v>O</v>
      </c>
      <c r="AS12" s="77" t="s">
        <v>2</v>
      </c>
      <c r="AT12" s="77" t="str">
        <f t="shared" si="22"/>
        <v>O</v>
      </c>
      <c r="AU12" s="77" t="str">
        <f t="shared" si="23"/>
        <v>X</v>
      </c>
      <c r="AV12" s="77" t="str">
        <f t="shared" si="24"/>
        <v/>
      </c>
    </row>
    <row r="13" spans="1:48" x14ac:dyDescent="0.3">
      <c r="A13" s="9" t="s">
        <v>882</v>
      </c>
      <c r="B13" s="10" t="s">
        <v>1322</v>
      </c>
      <c r="C13" s="107">
        <v>226</v>
      </c>
      <c r="D13" s="104">
        <v>105.4</v>
      </c>
      <c r="E13" s="106">
        <v>32</v>
      </c>
      <c r="F13" s="104">
        <v>84.6</v>
      </c>
      <c r="G13" s="17">
        <v>26</v>
      </c>
      <c r="H13" s="107">
        <v>24</v>
      </c>
      <c r="I13" s="108"/>
      <c r="J13" s="108"/>
      <c r="K13" s="108"/>
      <c r="L13" s="108"/>
      <c r="M13" s="109">
        <f t="shared" si="2"/>
        <v>0</v>
      </c>
      <c r="N13" s="4" t="str">
        <f t="shared" si="3"/>
        <v/>
      </c>
      <c r="O13" s="105">
        <f t="shared" si="4"/>
        <v>0</v>
      </c>
      <c r="P13" s="105">
        <f t="shared" si="5"/>
        <v>0</v>
      </c>
      <c r="Q13" s="77">
        <v>3</v>
      </c>
      <c r="R13" s="77">
        <v>2</v>
      </c>
      <c r="S13" s="77" t="s">
        <v>1244</v>
      </c>
      <c r="T13" s="5" t="s">
        <v>890</v>
      </c>
      <c r="U13" s="9"/>
      <c r="W13" s="104">
        <f t="shared" si="6"/>
        <v>105.4</v>
      </c>
      <c r="X13" s="106">
        <f t="shared" si="7"/>
        <v>32</v>
      </c>
      <c r="Y13" s="102">
        <f t="shared" si="8"/>
        <v>24</v>
      </c>
      <c r="Z13" s="109">
        <f t="shared" si="9"/>
        <v>0</v>
      </c>
      <c r="AA13" s="109">
        <f t="shared" si="10"/>
        <v>0</v>
      </c>
      <c r="AB13" s="109">
        <f t="shared" si="11"/>
        <v>0</v>
      </c>
      <c r="AC13" s="4" t="str">
        <f t="shared" si="12"/>
        <v/>
      </c>
      <c r="AD13" s="105">
        <f t="shared" si="13"/>
        <v>0</v>
      </c>
      <c r="AE13" s="77" t="str">
        <f t="shared" si="14"/>
        <v>계</v>
      </c>
      <c r="AF13" s="77" t="str">
        <f t="shared" si="15"/>
        <v>3/2</v>
      </c>
      <c r="AH13" s="20" t="str">
        <f t="shared" si="1"/>
        <v>고려타운</v>
      </c>
      <c r="AI13" s="106">
        <f t="shared" si="0"/>
        <v>32</v>
      </c>
      <c r="AJ13" s="77" t="str">
        <f t="shared" si="16"/>
        <v>A-</v>
      </c>
      <c r="AK13" s="77" t="s">
        <v>13</v>
      </c>
      <c r="AL13" s="77" t="s">
        <v>1242</v>
      </c>
      <c r="AM13" s="77" t="s">
        <v>1243</v>
      </c>
      <c r="AN13" s="77" t="str">
        <f t="shared" si="17"/>
        <v>C</v>
      </c>
      <c r="AO13" s="77" t="str">
        <f t="shared" si="18"/>
        <v/>
      </c>
      <c r="AP13" s="77" t="str">
        <f t="shared" si="19"/>
        <v/>
      </c>
      <c r="AQ13" s="77" t="str">
        <f t="shared" si="20"/>
        <v>O</v>
      </c>
      <c r="AR13" s="77" t="str">
        <f t="shared" si="21"/>
        <v>O</v>
      </c>
      <c r="AS13" s="77" t="s">
        <v>2</v>
      </c>
      <c r="AT13" s="77" t="str">
        <f t="shared" si="22"/>
        <v>O</v>
      </c>
      <c r="AU13" s="77" t="str">
        <f t="shared" si="23"/>
        <v>X</v>
      </c>
      <c r="AV13" s="77" t="str">
        <f t="shared" si="24"/>
        <v/>
      </c>
    </row>
    <row r="14" spans="1:48" x14ac:dyDescent="0.3">
      <c r="A14" s="9" t="s">
        <v>882</v>
      </c>
      <c r="B14" s="10" t="s">
        <v>1322</v>
      </c>
      <c r="C14" s="107">
        <v>226</v>
      </c>
      <c r="D14" s="104">
        <v>110</v>
      </c>
      <c r="E14" s="106">
        <v>33</v>
      </c>
      <c r="F14" s="104">
        <v>80.599999999999994</v>
      </c>
      <c r="G14" s="17">
        <v>24</v>
      </c>
      <c r="H14" s="107">
        <v>5</v>
      </c>
      <c r="I14" s="108"/>
      <c r="J14" s="108"/>
      <c r="K14" s="108"/>
      <c r="L14" s="108"/>
      <c r="M14" s="109">
        <f t="shared" si="2"/>
        <v>0</v>
      </c>
      <c r="N14" s="4" t="str">
        <f t="shared" si="3"/>
        <v/>
      </c>
      <c r="O14" s="105">
        <f t="shared" si="4"/>
        <v>0</v>
      </c>
      <c r="P14" s="105">
        <f t="shared" si="5"/>
        <v>0</v>
      </c>
      <c r="Q14" s="77">
        <v>3</v>
      </c>
      <c r="R14" s="77">
        <v>2</v>
      </c>
      <c r="S14" s="77" t="s">
        <v>1241</v>
      </c>
      <c r="T14" s="5">
        <v>109</v>
      </c>
      <c r="U14" s="9"/>
      <c r="W14" s="104">
        <f t="shared" si="6"/>
        <v>110</v>
      </c>
      <c r="X14" s="106">
        <f t="shared" si="7"/>
        <v>33</v>
      </c>
      <c r="Y14" s="102">
        <f t="shared" si="8"/>
        <v>5</v>
      </c>
      <c r="Z14" s="109">
        <f t="shared" si="9"/>
        <v>0</v>
      </c>
      <c r="AA14" s="109">
        <f t="shared" si="10"/>
        <v>0</v>
      </c>
      <c r="AB14" s="109">
        <f t="shared" si="11"/>
        <v>0</v>
      </c>
      <c r="AC14" s="4" t="str">
        <f t="shared" si="12"/>
        <v/>
      </c>
      <c r="AD14" s="105">
        <f t="shared" si="13"/>
        <v>0</v>
      </c>
      <c r="AE14" s="77" t="str">
        <f t="shared" si="14"/>
        <v>복</v>
      </c>
      <c r="AF14" s="77" t="str">
        <f t="shared" si="15"/>
        <v>3/2</v>
      </c>
      <c r="AH14" s="20" t="str">
        <f t="shared" si="1"/>
        <v>고려타운</v>
      </c>
      <c r="AI14" s="106">
        <f t="shared" si="0"/>
        <v>33</v>
      </c>
      <c r="AJ14" s="77" t="str">
        <f t="shared" si="16"/>
        <v>A-</v>
      </c>
      <c r="AK14" s="77" t="s">
        <v>13</v>
      </c>
      <c r="AL14" s="77" t="s">
        <v>1242</v>
      </c>
      <c r="AM14" s="77" t="s">
        <v>1243</v>
      </c>
      <c r="AN14" s="77" t="str">
        <f t="shared" si="17"/>
        <v>C</v>
      </c>
      <c r="AO14" s="77" t="str">
        <f t="shared" si="18"/>
        <v/>
      </c>
      <c r="AP14" s="77" t="str">
        <f t="shared" si="19"/>
        <v/>
      </c>
      <c r="AQ14" s="77" t="str">
        <f t="shared" si="20"/>
        <v>O</v>
      </c>
      <c r="AR14" s="77" t="str">
        <f t="shared" si="21"/>
        <v>O</v>
      </c>
      <c r="AS14" s="77" t="s">
        <v>2</v>
      </c>
      <c r="AT14" s="77" t="str">
        <f t="shared" si="22"/>
        <v>O</v>
      </c>
      <c r="AU14" s="77" t="str">
        <f t="shared" si="23"/>
        <v>X</v>
      </c>
      <c r="AV14" s="77" t="str">
        <f t="shared" si="24"/>
        <v/>
      </c>
    </row>
    <row r="15" spans="1:48" x14ac:dyDescent="0.3">
      <c r="A15" s="9" t="s">
        <v>882</v>
      </c>
      <c r="B15" s="10" t="s">
        <v>1322</v>
      </c>
      <c r="C15" s="107">
        <v>226</v>
      </c>
      <c r="D15" s="104">
        <v>110.8</v>
      </c>
      <c r="E15" s="106">
        <v>34</v>
      </c>
      <c r="F15" s="104">
        <v>81.3</v>
      </c>
      <c r="G15" s="17">
        <v>25</v>
      </c>
      <c r="H15" s="107">
        <v>5</v>
      </c>
      <c r="I15" s="108"/>
      <c r="J15" s="108"/>
      <c r="K15" s="108"/>
      <c r="L15" s="108"/>
      <c r="M15" s="109">
        <f t="shared" si="2"/>
        <v>0</v>
      </c>
      <c r="N15" s="4" t="str">
        <f t="shared" si="3"/>
        <v/>
      </c>
      <c r="O15" s="105">
        <f t="shared" si="4"/>
        <v>0</v>
      </c>
      <c r="P15" s="105">
        <f t="shared" si="5"/>
        <v>0</v>
      </c>
      <c r="Q15" s="77">
        <v>3</v>
      </c>
      <c r="R15" s="77">
        <v>2</v>
      </c>
      <c r="S15" s="77" t="s">
        <v>1241</v>
      </c>
      <c r="T15" s="5">
        <v>110</v>
      </c>
      <c r="U15" s="9"/>
      <c r="W15" s="104">
        <f t="shared" si="6"/>
        <v>110.8</v>
      </c>
      <c r="X15" s="106">
        <f t="shared" si="7"/>
        <v>34</v>
      </c>
      <c r="Y15" s="102">
        <f t="shared" si="8"/>
        <v>5</v>
      </c>
      <c r="Z15" s="109">
        <f t="shared" si="9"/>
        <v>0</v>
      </c>
      <c r="AA15" s="109">
        <f t="shared" si="10"/>
        <v>0</v>
      </c>
      <c r="AB15" s="109">
        <f t="shared" si="11"/>
        <v>0</v>
      </c>
      <c r="AC15" s="4" t="str">
        <f t="shared" si="12"/>
        <v/>
      </c>
      <c r="AD15" s="105">
        <f t="shared" si="13"/>
        <v>0</v>
      </c>
      <c r="AE15" s="77" t="str">
        <f t="shared" si="14"/>
        <v>복</v>
      </c>
      <c r="AF15" s="77" t="str">
        <f t="shared" si="15"/>
        <v>3/2</v>
      </c>
      <c r="AH15" s="20" t="str">
        <f t="shared" si="1"/>
        <v>고려타운</v>
      </c>
      <c r="AI15" s="106">
        <f t="shared" si="0"/>
        <v>34</v>
      </c>
      <c r="AJ15" s="77" t="str">
        <f t="shared" si="16"/>
        <v>A-</v>
      </c>
      <c r="AK15" s="77" t="s">
        <v>13</v>
      </c>
      <c r="AL15" s="77" t="s">
        <v>1242</v>
      </c>
      <c r="AM15" s="77" t="s">
        <v>1243</v>
      </c>
      <c r="AN15" s="77" t="str">
        <f t="shared" si="17"/>
        <v>C</v>
      </c>
      <c r="AO15" s="77" t="str">
        <f t="shared" si="18"/>
        <v/>
      </c>
      <c r="AP15" s="77" t="str">
        <f t="shared" si="19"/>
        <v/>
      </c>
      <c r="AQ15" s="77" t="str">
        <f t="shared" si="20"/>
        <v>O</v>
      </c>
      <c r="AR15" s="77" t="str">
        <f t="shared" si="21"/>
        <v>O</v>
      </c>
      <c r="AS15" s="77" t="s">
        <v>2</v>
      </c>
      <c r="AT15" s="77" t="str">
        <f t="shared" si="22"/>
        <v>O</v>
      </c>
      <c r="AU15" s="77" t="str">
        <f t="shared" si="23"/>
        <v>X</v>
      </c>
      <c r="AV15" s="77" t="str">
        <f t="shared" si="24"/>
        <v/>
      </c>
    </row>
  </sheetData>
  <mergeCells count="1">
    <mergeCell ref="AJ1:AN1"/>
  </mergeCells>
  <phoneticPr fontId="2" type="noConversion"/>
  <conditionalFormatting sqref="AV4:AV6">
    <cfRule type="expression" dxfId="18841" priority="181">
      <formula>AV4="X"</formula>
    </cfRule>
    <cfRule type="expression" dxfId="18840" priority="182">
      <formula>AV4="후보"</formula>
    </cfRule>
  </conditionalFormatting>
  <conditionalFormatting sqref="AC1:AC2 AC4:AC6 N4:N5">
    <cfRule type="cellIs" dxfId="18839" priority="179" operator="greaterThan">
      <formula>0.9</formula>
    </cfRule>
    <cfRule type="cellIs" dxfId="18838" priority="180" operator="greaterThan">
      <formula>0.85</formula>
    </cfRule>
  </conditionalFormatting>
  <conditionalFormatting sqref="N1:N2">
    <cfRule type="cellIs" dxfId="18837" priority="177" operator="greaterThan">
      <formula>0.9</formula>
    </cfRule>
    <cfRule type="cellIs" dxfId="18836" priority="178" operator="greaterThan">
      <formula>0.85</formula>
    </cfRule>
  </conditionalFormatting>
  <conditionalFormatting sqref="N6">
    <cfRule type="cellIs" dxfId="18835" priority="175" operator="greaterThan">
      <formula>0.9</formula>
    </cfRule>
    <cfRule type="cellIs" dxfId="18834" priority="176" operator="greaterThan">
      <formula>0.85</formula>
    </cfRule>
  </conditionalFormatting>
  <conditionalFormatting sqref="E6">
    <cfRule type="expression" dxfId="18833" priority="171">
      <formula>AND(IF(OR($Q6=1,$Q6=2),1,0),IF($X6&lt;=20,1,0))</formula>
    </cfRule>
    <cfRule type="expression" dxfId="18832" priority="172">
      <formula>AND(IF($Q6=2,1,0),IF($X6&lt;30,1,0))</formula>
    </cfRule>
    <cfRule type="expression" dxfId="18831" priority="173">
      <formula>AND(IF($Q6=3,1,0),IF($X6&lt;30,1,0))</formula>
    </cfRule>
    <cfRule type="expression" dxfId="18830" priority="174">
      <formula>AND(IF($Q6=3,1,IF($Q6=4,1,0)),IF($F6&lt;=85,1,0))</formula>
    </cfRule>
  </conditionalFormatting>
  <conditionalFormatting sqref="X6">
    <cfRule type="expression" dxfId="18829" priority="167">
      <formula>AND(IF(OR($Q6=1,$Q6=2),1,0),IF($X6&lt;=20,1,0))</formula>
    </cfRule>
    <cfRule type="expression" dxfId="18828" priority="168">
      <formula>AND(IF($Q6=2,1,0),IF($X6&lt;30,1,0))</formula>
    </cfRule>
    <cfRule type="expression" dxfId="18827" priority="169">
      <formula>AND(IF($Q6=3,1,0),IF($X6&lt;30,1,0))</formula>
    </cfRule>
    <cfRule type="expression" dxfId="18826" priority="170">
      <formula>AND(IF($Q6=3,1,IF($Q6=4,1,0)),IF($F6&lt;=85,1,0))</formula>
    </cfRule>
  </conditionalFormatting>
  <conditionalFormatting sqref="AI6">
    <cfRule type="expression" dxfId="18825" priority="163">
      <formula>AND(IF(OR($Q6=1,$Q6=2),1,0),IF($X6&lt;=20,1,0))</formula>
    </cfRule>
    <cfRule type="expression" dxfId="18824" priority="164">
      <formula>AND(IF($Q6=2,1,0),IF($X6&lt;30,1,0))</formula>
    </cfRule>
    <cfRule type="expression" dxfId="18823" priority="165">
      <formula>AND(IF($Q6=3,1,0),IF($X6&lt;30,1,0))</formula>
    </cfRule>
    <cfRule type="expression" dxfId="18822" priority="166">
      <formula>AND(IF($Q6=3,1,IF($Q6=4,1,0)),IF($F6&lt;=85,1,0))</formula>
    </cfRule>
  </conditionalFormatting>
  <conditionalFormatting sqref="AV7">
    <cfRule type="expression" dxfId="18821" priority="161">
      <formula>AV7="X"</formula>
    </cfRule>
    <cfRule type="expression" dxfId="18820" priority="162">
      <formula>AV7="후보"</formula>
    </cfRule>
  </conditionalFormatting>
  <conditionalFormatting sqref="AC7">
    <cfRule type="cellIs" dxfId="18819" priority="159" operator="greaterThan">
      <formula>0.9</formula>
    </cfRule>
    <cfRule type="cellIs" dxfId="18818" priority="160" operator="greaterThan">
      <formula>0.85</formula>
    </cfRule>
  </conditionalFormatting>
  <conditionalFormatting sqref="N7">
    <cfRule type="cellIs" dxfId="18817" priority="157" operator="greaterThan">
      <formula>0.9</formula>
    </cfRule>
    <cfRule type="cellIs" dxfId="18816" priority="158" operator="greaterThan">
      <formula>0.85</formula>
    </cfRule>
  </conditionalFormatting>
  <conditionalFormatting sqref="E7">
    <cfRule type="expression" dxfId="18815" priority="153">
      <formula>AND(IF(OR($Q7=1,$Q7=2),1,0),IF($X7&lt;=20,1,0))</formula>
    </cfRule>
    <cfRule type="expression" dxfId="18814" priority="154">
      <formula>AND(IF($Q7=2,1,0),IF($X7&lt;30,1,0))</formula>
    </cfRule>
    <cfRule type="expression" dxfId="18813" priority="155">
      <formula>AND(IF($Q7=3,1,0),IF($X7&lt;30,1,0))</formula>
    </cfRule>
    <cfRule type="expression" dxfId="18812" priority="156">
      <formula>AND(IF($Q7=3,1,IF($Q7=4,1,0)),IF($F7&lt;=85,1,0))</formula>
    </cfRule>
  </conditionalFormatting>
  <conditionalFormatting sqref="X7">
    <cfRule type="expression" dxfId="18811" priority="149">
      <formula>AND(IF(OR($Q7=1,$Q7=2),1,0),IF($X7&lt;=20,1,0))</formula>
    </cfRule>
    <cfRule type="expression" dxfId="18810" priority="150">
      <formula>AND(IF($Q7=2,1,0),IF($X7&lt;30,1,0))</formula>
    </cfRule>
    <cfRule type="expression" dxfId="18809" priority="151">
      <formula>AND(IF($Q7=3,1,0),IF($X7&lt;30,1,0))</formula>
    </cfRule>
    <cfRule type="expression" dxfId="18808" priority="152">
      <formula>AND(IF($Q7=3,1,IF($Q7=4,1,0)),IF($F7&lt;=85,1,0))</formula>
    </cfRule>
  </conditionalFormatting>
  <conditionalFormatting sqref="AI7">
    <cfRule type="expression" dxfId="18807" priority="145">
      <formula>AND(IF(OR($Q7=1,$Q7=2),1,0),IF($X7&lt;=20,1,0))</formula>
    </cfRule>
    <cfRule type="expression" dxfId="18806" priority="146">
      <formula>AND(IF($Q7=2,1,0),IF($X7&lt;30,1,0))</formula>
    </cfRule>
    <cfRule type="expression" dxfId="18805" priority="147">
      <formula>AND(IF($Q7=3,1,0),IF($X7&lt;30,1,0))</formula>
    </cfRule>
    <cfRule type="expression" dxfId="18804" priority="148">
      <formula>AND(IF($Q7=3,1,IF($Q7=4,1,0)),IF($F7&lt;=85,1,0))</formula>
    </cfRule>
  </conditionalFormatting>
  <conditionalFormatting sqref="AV8">
    <cfRule type="expression" dxfId="18803" priority="143">
      <formula>AV8="X"</formula>
    </cfRule>
    <cfRule type="expression" dxfId="18802" priority="144">
      <formula>AV8="후보"</formula>
    </cfRule>
  </conditionalFormatting>
  <conditionalFormatting sqref="AC8">
    <cfRule type="cellIs" dxfId="18801" priority="141" operator="greaterThan">
      <formula>0.9</formula>
    </cfRule>
    <cfRule type="cellIs" dxfId="18800" priority="142" operator="greaterThan">
      <formula>0.85</formula>
    </cfRule>
  </conditionalFormatting>
  <conditionalFormatting sqref="N8">
    <cfRule type="cellIs" dxfId="18799" priority="139" operator="greaterThan">
      <formula>0.9</formula>
    </cfRule>
    <cfRule type="cellIs" dxfId="18798" priority="140" operator="greaterThan">
      <formula>0.85</formula>
    </cfRule>
  </conditionalFormatting>
  <conditionalFormatting sqref="E8">
    <cfRule type="expression" dxfId="18797" priority="135">
      <formula>AND(IF(OR($Q8=1,$Q8=2),1,0),IF($X8&lt;=20,1,0))</formula>
    </cfRule>
    <cfRule type="expression" dxfId="18796" priority="136">
      <formula>AND(IF($Q8=2,1,0),IF($X8&lt;30,1,0))</formula>
    </cfRule>
    <cfRule type="expression" dxfId="18795" priority="137">
      <formula>AND(IF($Q8=3,1,0),IF($X8&lt;30,1,0))</formula>
    </cfRule>
    <cfRule type="expression" dxfId="18794" priority="138">
      <formula>AND(IF($Q8=3,1,IF($Q8=4,1,0)),IF($F8&lt;=85,1,0))</formula>
    </cfRule>
  </conditionalFormatting>
  <conditionalFormatting sqref="X8">
    <cfRule type="expression" dxfId="18793" priority="131">
      <formula>AND(IF(OR($Q8=1,$Q8=2),1,0),IF($X8&lt;=20,1,0))</formula>
    </cfRule>
    <cfRule type="expression" dxfId="18792" priority="132">
      <formula>AND(IF($Q8=2,1,0),IF($X8&lt;30,1,0))</formula>
    </cfRule>
    <cfRule type="expression" dxfId="18791" priority="133">
      <formula>AND(IF($Q8=3,1,0),IF($X8&lt;30,1,0))</formula>
    </cfRule>
    <cfRule type="expression" dxfId="18790" priority="134">
      <formula>AND(IF($Q8=3,1,IF($Q8=4,1,0)),IF($F8&lt;=85,1,0))</formula>
    </cfRule>
  </conditionalFormatting>
  <conditionalFormatting sqref="AI8">
    <cfRule type="expression" dxfId="18789" priority="127">
      <formula>AND(IF(OR($Q8=1,$Q8=2),1,0),IF($X8&lt;=20,1,0))</formula>
    </cfRule>
    <cfRule type="expression" dxfId="18788" priority="128">
      <formula>AND(IF($Q8=2,1,0),IF($X8&lt;30,1,0))</formula>
    </cfRule>
    <cfRule type="expression" dxfId="18787" priority="129">
      <formula>AND(IF($Q8=3,1,0),IF($X8&lt;30,1,0))</formula>
    </cfRule>
    <cfRule type="expression" dxfId="18786" priority="130">
      <formula>AND(IF($Q8=3,1,IF($Q8=4,1,0)),IF($F8&lt;=85,1,0))</formula>
    </cfRule>
  </conditionalFormatting>
  <conditionalFormatting sqref="AV9">
    <cfRule type="expression" dxfId="18785" priority="125">
      <formula>AV9="X"</formula>
    </cfRule>
    <cfRule type="expression" dxfId="18784" priority="126">
      <formula>AV9="후보"</formula>
    </cfRule>
  </conditionalFormatting>
  <conditionalFormatting sqref="AC9">
    <cfRule type="cellIs" dxfId="18783" priority="123" operator="greaterThan">
      <formula>0.9</formula>
    </cfRule>
    <cfRule type="cellIs" dxfId="18782" priority="124" operator="greaterThan">
      <formula>0.85</formula>
    </cfRule>
  </conditionalFormatting>
  <conditionalFormatting sqref="N9">
    <cfRule type="cellIs" dxfId="18781" priority="121" operator="greaterThan">
      <formula>0.9</formula>
    </cfRule>
    <cfRule type="cellIs" dxfId="18780" priority="122" operator="greaterThan">
      <formula>0.85</formula>
    </cfRule>
  </conditionalFormatting>
  <conditionalFormatting sqref="E9">
    <cfRule type="expression" dxfId="18779" priority="117">
      <formula>AND(IF(OR($Q9=1,$Q9=2),1,0),IF($X9&lt;=20,1,0))</formula>
    </cfRule>
    <cfRule type="expression" dxfId="18778" priority="118">
      <formula>AND(IF($Q9=2,1,0),IF($X9&lt;30,1,0))</formula>
    </cfRule>
    <cfRule type="expression" dxfId="18777" priority="119">
      <formula>AND(IF($Q9=3,1,0),IF($X9&lt;30,1,0))</formula>
    </cfRule>
    <cfRule type="expression" dxfId="18776" priority="120">
      <formula>AND(IF($Q9=3,1,IF($Q9=4,1,0)),IF($F9&lt;=85,1,0))</formula>
    </cfRule>
  </conditionalFormatting>
  <conditionalFormatting sqref="X9">
    <cfRule type="expression" dxfId="18775" priority="113">
      <formula>AND(IF(OR($Q9=1,$Q9=2),1,0),IF($X9&lt;=20,1,0))</formula>
    </cfRule>
    <cfRule type="expression" dxfId="18774" priority="114">
      <formula>AND(IF($Q9=2,1,0),IF($X9&lt;30,1,0))</formula>
    </cfRule>
    <cfRule type="expression" dxfId="18773" priority="115">
      <formula>AND(IF($Q9=3,1,0),IF($X9&lt;30,1,0))</formula>
    </cfRule>
    <cfRule type="expression" dxfId="18772" priority="116">
      <formula>AND(IF($Q9=3,1,IF($Q9=4,1,0)),IF($F9&lt;=85,1,0))</formula>
    </cfRule>
  </conditionalFormatting>
  <conditionalFormatting sqref="AI9">
    <cfRule type="expression" dxfId="18771" priority="109">
      <formula>AND(IF(OR($Q9=1,$Q9=2),1,0),IF($X9&lt;=20,1,0))</formula>
    </cfRule>
    <cfRule type="expression" dxfId="18770" priority="110">
      <formula>AND(IF($Q9=2,1,0),IF($X9&lt;30,1,0))</formula>
    </cfRule>
    <cfRule type="expression" dxfId="18769" priority="111">
      <formula>AND(IF($Q9=3,1,0),IF($X9&lt;30,1,0))</formula>
    </cfRule>
    <cfRule type="expression" dxfId="18768" priority="112">
      <formula>AND(IF($Q9=3,1,IF($Q9=4,1,0)),IF($F9&lt;=85,1,0))</formula>
    </cfRule>
  </conditionalFormatting>
  <conditionalFormatting sqref="AV10">
    <cfRule type="expression" dxfId="18767" priority="107">
      <formula>AV10="X"</formula>
    </cfRule>
    <cfRule type="expression" dxfId="18766" priority="108">
      <formula>AV10="후보"</formula>
    </cfRule>
  </conditionalFormatting>
  <conditionalFormatting sqref="AC10">
    <cfRule type="cellIs" dxfId="18765" priority="105" operator="greaterThan">
      <formula>0.9</formula>
    </cfRule>
    <cfRule type="cellIs" dxfId="18764" priority="106" operator="greaterThan">
      <formula>0.85</formula>
    </cfRule>
  </conditionalFormatting>
  <conditionalFormatting sqref="N10">
    <cfRule type="cellIs" dxfId="18763" priority="103" operator="greaterThan">
      <formula>0.9</formula>
    </cfRule>
    <cfRule type="cellIs" dxfId="18762" priority="104" operator="greaterThan">
      <formula>0.85</formula>
    </cfRule>
  </conditionalFormatting>
  <conditionalFormatting sqref="E10">
    <cfRule type="expression" dxfId="18761" priority="99">
      <formula>AND(IF(OR($Q10=1,$Q10=2),1,0),IF($X10&lt;=20,1,0))</formula>
    </cfRule>
    <cfRule type="expression" dxfId="18760" priority="100">
      <formula>AND(IF($Q10=2,1,0),IF($X10&lt;30,1,0))</formula>
    </cfRule>
    <cfRule type="expression" dxfId="18759" priority="101">
      <formula>AND(IF($Q10=3,1,0),IF($X10&lt;30,1,0))</formula>
    </cfRule>
    <cfRule type="expression" dxfId="18758" priority="102">
      <formula>AND(IF($Q10=3,1,IF($Q10=4,1,0)),IF($F10&lt;=85,1,0))</formula>
    </cfRule>
  </conditionalFormatting>
  <conditionalFormatting sqref="X10">
    <cfRule type="expression" dxfId="18757" priority="95">
      <formula>AND(IF(OR($Q10=1,$Q10=2),1,0),IF($X10&lt;=20,1,0))</formula>
    </cfRule>
    <cfRule type="expression" dxfId="18756" priority="96">
      <formula>AND(IF($Q10=2,1,0),IF($X10&lt;30,1,0))</formula>
    </cfRule>
    <cfRule type="expression" dxfId="18755" priority="97">
      <formula>AND(IF($Q10=3,1,0),IF($X10&lt;30,1,0))</formula>
    </cfRule>
    <cfRule type="expression" dxfId="18754" priority="98">
      <formula>AND(IF($Q10=3,1,IF($Q10=4,1,0)),IF($F10&lt;=85,1,0))</formula>
    </cfRule>
  </conditionalFormatting>
  <conditionalFormatting sqref="AI10">
    <cfRule type="expression" dxfId="18753" priority="91">
      <formula>AND(IF(OR($Q10=1,$Q10=2),1,0),IF($X10&lt;=20,1,0))</formula>
    </cfRule>
    <cfRule type="expression" dxfId="18752" priority="92">
      <formula>AND(IF($Q10=2,1,0),IF($X10&lt;30,1,0))</formula>
    </cfRule>
    <cfRule type="expression" dxfId="18751" priority="93">
      <formula>AND(IF($Q10=3,1,0),IF($X10&lt;30,1,0))</formula>
    </cfRule>
    <cfRule type="expression" dxfId="18750" priority="94">
      <formula>AND(IF($Q10=3,1,IF($Q10=4,1,0)),IF($F10&lt;=85,1,0))</formula>
    </cfRule>
  </conditionalFormatting>
  <conditionalFormatting sqref="AV11">
    <cfRule type="expression" dxfId="18749" priority="89">
      <formula>AV11="X"</formula>
    </cfRule>
    <cfRule type="expression" dxfId="18748" priority="90">
      <formula>AV11="후보"</formula>
    </cfRule>
  </conditionalFormatting>
  <conditionalFormatting sqref="AC11">
    <cfRule type="cellIs" dxfId="18747" priority="87" operator="greaterThan">
      <formula>0.9</formula>
    </cfRule>
    <cfRule type="cellIs" dxfId="18746" priority="88" operator="greaterThan">
      <formula>0.85</formula>
    </cfRule>
  </conditionalFormatting>
  <conditionalFormatting sqref="N11">
    <cfRule type="cellIs" dxfId="18745" priority="85" operator="greaterThan">
      <formula>0.9</formula>
    </cfRule>
    <cfRule type="cellIs" dxfId="18744" priority="86" operator="greaterThan">
      <formula>0.85</formula>
    </cfRule>
  </conditionalFormatting>
  <conditionalFormatting sqref="E11">
    <cfRule type="expression" dxfId="18743" priority="81">
      <formula>AND(IF(OR($Q11=1,$Q11=2),1,0),IF($X11&lt;=20,1,0))</formula>
    </cfRule>
    <cfRule type="expression" dxfId="18742" priority="82">
      <formula>AND(IF($Q11=2,1,0),IF($X11&lt;30,1,0))</formula>
    </cfRule>
    <cfRule type="expression" dxfId="18741" priority="83">
      <formula>AND(IF($Q11=3,1,0),IF($X11&lt;30,1,0))</formula>
    </cfRule>
    <cfRule type="expression" dxfId="18740" priority="84">
      <formula>AND(IF($Q11=3,1,IF($Q11=4,1,0)),IF($F11&lt;=85,1,0))</formula>
    </cfRule>
  </conditionalFormatting>
  <conditionalFormatting sqref="X11">
    <cfRule type="expression" dxfId="18739" priority="77">
      <formula>AND(IF(OR($Q11=1,$Q11=2),1,0),IF($X11&lt;=20,1,0))</formula>
    </cfRule>
    <cfRule type="expression" dxfId="18738" priority="78">
      <formula>AND(IF($Q11=2,1,0),IF($X11&lt;30,1,0))</formula>
    </cfRule>
    <cfRule type="expression" dxfId="18737" priority="79">
      <formula>AND(IF($Q11=3,1,0),IF($X11&lt;30,1,0))</formula>
    </cfRule>
    <cfRule type="expression" dxfId="18736" priority="80">
      <formula>AND(IF($Q11=3,1,IF($Q11=4,1,0)),IF($F11&lt;=85,1,0))</formula>
    </cfRule>
  </conditionalFormatting>
  <conditionalFormatting sqref="AI11">
    <cfRule type="expression" dxfId="18735" priority="73">
      <formula>AND(IF(OR($Q11=1,$Q11=2),1,0),IF($X11&lt;=20,1,0))</formula>
    </cfRule>
    <cfRule type="expression" dxfId="18734" priority="74">
      <formula>AND(IF($Q11=2,1,0),IF($X11&lt;30,1,0))</formula>
    </cfRule>
    <cfRule type="expression" dxfId="18733" priority="75">
      <formula>AND(IF($Q11=3,1,0),IF($X11&lt;30,1,0))</formula>
    </cfRule>
    <cfRule type="expression" dxfId="18732" priority="76">
      <formula>AND(IF($Q11=3,1,IF($Q11=4,1,0)),IF($F11&lt;=85,1,0))</formula>
    </cfRule>
  </conditionalFormatting>
  <conditionalFormatting sqref="AV12">
    <cfRule type="expression" dxfId="18731" priority="71">
      <formula>AV12="X"</formula>
    </cfRule>
    <cfRule type="expression" dxfId="18730" priority="72">
      <formula>AV12="후보"</formula>
    </cfRule>
  </conditionalFormatting>
  <conditionalFormatting sqref="AC12">
    <cfRule type="cellIs" dxfId="18729" priority="69" operator="greaterThan">
      <formula>0.9</formula>
    </cfRule>
    <cfRule type="cellIs" dxfId="18728" priority="70" operator="greaterThan">
      <formula>0.85</formula>
    </cfRule>
  </conditionalFormatting>
  <conditionalFormatting sqref="N12">
    <cfRule type="cellIs" dxfId="18727" priority="67" operator="greaterThan">
      <formula>0.9</formula>
    </cfRule>
    <cfRule type="cellIs" dxfId="18726" priority="68" operator="greaterThan">
      <formula>0.85</formula>
    </cfRule>
  </conditionalFormatting>
  <conditionalFormatting sqref="E12">
    <cfRule type="expression" dxfId="18725" priority="63">
      <formula>AND(IF(OR($Q12=1,$Q12=2),1,0),IF($X12&lt;=20,1,0))</formula>
    </cfRule>
    <cfRule type="expression" dxfId="18724" priority="64">
      <formula>AND(IF($Q12=2,1,0),IF($X12&lt;30,1,0))</formula>
    </cfRule>
    <cfRule type="expression" dxfId="18723" priority="65">
      <formula>AND(IF($Q12=3,1,0),IF($X12&lt;30,1,0))</formula>
    </cfRule>
    <cfRule type="expression" dxfId="18722" priority="66">
      <formula>AND(IF($Q12=3,1,IF($Q12=4,1,0)),IF($F12&lt;=85,1,0))</formula>
    </cfRule>
  </conditionalFormatting>
  <conditionalFormatting sqref="X12">
    <cfRule type="expression" dxfId="18721" priority="59">
      <formula>AND(IF(OR($Q12=1,$Q12=2),1,0),IF($X12&lt;=20,1,0))</formula>
    </cfRule>
    <cfRule type="expression" dxfId="18720" priority="60">
      <formula>AND(IF($Q12=2,1,0),IF($X12&lt;30,1,0))</formula>
    </cfRule>
    <cfRule type="expression" dxfId="18719" priority="61">
      <formula>AND(IF($Q12=3,1,0),IF($X12&lt;30,1,0))</formula>
    </cfRule>
    <cfRule type="expression" dxfId="18718" priority="62">
      <formula>AND(IF($Q12=3,1,IF($Q12=4,1,0)),IF($F12&lt;=85,1,0))</formula>
    </cfRule>
  </conditionalFormatting>
  <conditionalFormatting sqref="AI12">
    <cfRule type="expression" dxfId="18717" priority="55">
      <formula>AND(IF(OR($Q12=1,$Q12=2),1,0),IF($X12&lt;=20,1,0))</formula>
    </cfRule>
    <cfRule type="expression" dxfId="18716" priority="56">
      <formula>AND(IF($Q12=2,1,0),IF($X12&lt;30,1,0))</formula>
    </cfRule>
    <cfRule type="expression" dxfId="18715" priority="57">
      <formula>AND(IF($Q12=3,1,0),IF($X12&lt;30,1,0))</formula>
    </cfRule>
    <cfRule type="expression" dxfId="18714" priority="58">
      <formula>AND(IF($Q12=3,1,IF($Q12=4,1,0)),IF($F12&lt;=85,1,0))</formula>
    </cfRule>
  </conditionalFormatting>
  <conditionalFormatting sqref="AV13">
    <cfRule type="expression" dxfId="18713" priority="53">
      <formula>AV13="X"</formula>
    </cfRule>
    <cfRule type="expression" dxfId="18712" priority="54">
      <formula>AV13="후보"</formula>
    </cfRule>
  </conditionalFormatting>
  <conditionalFormatting sqref="AC13">
    <cfRule type="cellIs" dxfId="18711" priority="51" operator="greaterThan">
      <formula>0.9</formula>
    </cfRule>
    <cfRule type="cellIs" dxfId="18710" priority="52" operator="greaterThan">
      <formula>0.85</formula>
    </cfRule>
  </conditionalFormatting>
  <conditionalFormatting sqref="N13">
    <cfRule type="cellIs" dxfId="18709" priority="49" operator="greaterThan">
      <formula>0.9</formula>
    </cfRule>
    <cfRule type="cellIs" dxfId="18708" priority="50" operator="greaterThan">
      <formula>0.85</formula>
    </cfRule>
  </conditionalFormatting>
  <conditionalFormatting sqref="E13">
    <cfRule type="expression" dxfId="18707" priority="45">
      <formula>AND(IF(OR($Q13=1,$Q13=2),1,0),IF($X13&lt;=20,1,0))</formula>
    </cfRule>
    <cfRule type="expression" dxfId="18706" priority="46">
      <formula>AND(IF($Q13=2,1,0),IF($X13&lt;30,1,0))</formula>
    </cfRule>
    <cfRule type="expression" dxfId="18705" priority="47">
      <formula>AND(IF($Q13=3,1,0),IF($X13&lt;30,1,0))</formula>
    </cfRule>
    <cfRule type="expression" dxfId="18704" priority="48">
      <formula>AND(IF($Q13=3,1,IF($Q13=4,1,0)),IF($F13&lt;=85,1,0))</formula>
    </cfRule>
  </conditionalFormatting>
  <conditionalFormatting sqref="X13">
    <cfRule type="expression" dxfId="18703" priority="41">
      <formula>AND(IF(OR($Q13=1,$Q13=2),1,0),IF($X13&lt;=20,1,0))</formula>
    </cfRule>
    <cfRule type="expression" dxfId="18702" priority="42">
      <formula>AND(IF($Q13=2,1,0),IF($X13&lt;30,1,0))</formula>
    </cfRule>
    <cfRule type="expression" dxfId="18701" priority="43">
      <formula>AND(IF($Q13=3,1,0),IF($X13&lt;30,1,0))</formula>
    </cfRule>
    <cfRule type="expression" dxfId="18700" priority="44">
      <formula>AND(IF($Q13=3,1,IF($Q13=4,1,0)),IF($F13&lt;=85,1,0))</formula>
    </cfRule>
  </conditionalFormatting>
  <conditionalFormatting sqref="AI13">
    <cfRule type="expression" dxfId="18699" priority="37">
      <formula>AND(IF(OR($Q13=1,$Q13=2),1,0),IF($X13&lt;=20,1,0))</formula>
    </cfRule>
    <cfRule type="expression" dxfId="18698" priority="38">
      <formula>AND(IF($Q13=2,1,0),IF($X13&lt;30,1,0))</formula>
    </cfRule>
    <cfRule type="expression" dxfId="18697" priority="39">
      <formula>AND(IF($Q13=3,1,0),IF($X13&lt;30,1,0))</formula>
    </cfRule>
    <cfRule type="expression" dxfId="18696" priority="40">
      <formula>AND(IF($Q13=3,1,IF($Q13=4,1,0)),IF($F13&lt;=85,1,0))</formula>
    </cfRule>
  </conditionalFormatting>
  <conditionalFormatting sqref="AV14">
    <cfRule type="expression" dxfId="18695" priority="35">
      <formula>AV14="X"</formula>
    </cfRule>
    <cfRule type="expression" dxfId="18694" priority="36">
      <formula>AV14="후보"</formula>
    </cfRule>
  </conditionalFormatting>
  <conditionalFormatting sqref="AC14">
    <cfRule type="cellIs" dxfId="18693" priority="33" operator="greaterThan">
      <formula>0.9</formula>
    </cfRule>
    <cfRule type="cellIs" dxfId="18692" priority="34" operator="greaterThan">
      <formula>0.85</formula>
    </cfRule>
  </conditionalFormatting>
  <conditionalFormatting sqref="N14">
    <cfRule type="cellIs" dxfId="18691" priority="31" operator="greaterThan">
      <formula>0.9</formula>
    </cfRule>
    <cfRule type="cellIs" dxfId="18690" priority="32" operator="greaterThan">
      <formula>0.85</formula>
    </cfRule>
  </conditionalFormatting>
  <conditionalFormatting sqref="E14">
    <cfRule type="expression" dxfId="18689" priority="27">
      <formula>AND(IF(OR($Q14=1,$Q14=2),1,0),IF($X14&lt;=20,1,0))</formula>
    </cfRule>
    <cfRule type="expression" dxfId="18688" priority="28">
      <formula>AND(IF($Q14=2,1,0),IF($X14&lt;30,1,0))</formula>
    </cfRule>
    <cfRule type="expression" dxfId="18687" priority="29">
      <formula>AND(IF($Q14=3,1,0),IF($X14&lt;30,1,0))</formula>
    </cfRule>
    <cfRule type="expression" dxfId="18686" priority="30">
      <formula>AND(IF($Q14=3,1,IF($Q14=4,1,0)),IF($F14&lt;=85,1,0))</formula>
    </cfRule>
  </conditionalFormatting>
  <conditionalFormatting sqref="X14">
    <cfRule type="expression" dxfId="18685" priority="23">
      <formula>AND(IF(OR($Q14=1,$Q14=2),1,0),IF($X14&lt;=20,1,0))</formula>
    </cfRule>
    <cfRule type="expression" dxfId="18684" priority="24">
      <formula>AND(IF($Q14=2,1,0),IF($X14&lt;30,1,0))</formula>
    </cfRule>
    <cfRule type="expression" dxfId="18683" priority="25">
      <formula>AND(IF($Q14=3,1,0),IF($X14&lt;30,1,0))</formula>
    </cfRule>
    <cfRule type="expression" dxfId="18682" priority="26">
      <formula>AND(IF($Q14=3,1,IF($Q14=4,1,0)),IF($F14&lt;=85,1,0))</formula>
    </cfRule>
  </conditionalFormatting>
  <conditionalFormatting sqref="AI14">
    <cfRule type="expression" dxfId="18681" priority="19">
      <formula>AND(IF(OR($Q14=1,$Q14=2),1,0),IF($X14&lt;=20,1,0))</formula>
    </cfRule>
    <cfRule type="expression" dxfId="18680" priority="20">
      <formula>AND(IF($Q14=2,1,0),IF($X14&lt;30,1,0))</formula>
    </cfRule>
    <cfRule type="expression" dxfId="18679" priority="21">
      <formula>AND(IF($Q14=3,1,0),IF($X14&lt;30,1,0))</formula>
    </cfRule>
    <cfRule type="expression" dxfId="18678" priority="22">
      <formula>AND(IF($Q14=3,1,IF($Q14=4,1,0)),IF($F14&lt;=85,1,0))</formula>
    </cfRule>
  </conditionalFormatting>
  <conditionalFormatting sqref="AV15">
    <cfRule type="expression" dxfId="18677" priority="17">
      <formula>AV15="X"</formula>
    </cfRule>
    <cfRule type="expression" dxfId="18676" priority="18">
      <formula>AV15="후보"</formula>
    </cfRule>
  </conditionalFormatting>
  <conditionalFormatting sqref="AC15">
    <cfRule type="cellIs" dxfId="18675" priority="15" operator="greaterThan">
      <formula>0.9</formula>
    </cfRule>
    <cfRule type="cellIs" dxfId="18674" priority="16" operator="greaterThan">
      <formula>0.85</formula>
    </cfRule>
  </conditionalFormatting>
  <conditionalFormatting sqref="N15">
    <cfRule type="cellIs" dxfId="18673" priority="13" operator="greaterThan">
      <formula>0.9</formula>
    </cfRule>
    <cfRule type="cellIs" dxfId="18672" priority="14" operator="greaterThan">
      <formula>0.85</formula>
    </cfRule>
  </conditionalFormatting>
  <conditionalFormatting sqref="E15">
    <cfRule type="expression" dxfId="18671" priority="9">
      <formula>AND(IF(OR($Q15=1,$Q15=2),1,0),IF($X15&lt;=20,1,0))</formula>
    </cfRule>
    <cfRule type="expression" dxfId="18670" priority="10">
      <formula>AND(IF($Q15=2,1,0),IF($X15&lt;30,1,0))</formula>
    </cfRule>
    <cfRule type="expression" dxfId="18669" priority="11">
      <formula>AND(IF($Q15=3,1,0),IF($X15&lt;30,1,0))</formula>
    </cfRule>
    <cfRule type="expression" dxfId="18668" priority="12">
      <formula>AND(IF($Q15=3,1,IF($Q15=4,1,0)),IF($F15&lt;=85,1,0))</formula>
    </cfRule>
  </conditionalFormatting>
  <conditionalFormatting sqref="X15">
    <cfRule type="expression" dxfId="18667" priority="5">
      <formula>AND(IF(OR($Q15=1,$Q15=2),1,0),IF($X15&lt;=20,1,0))</formula>
    </cfRule>
    <cfRule type="expression" dxfId="18666" priority="6">
      <formula>AND(IF($Q15=2,1,0),IF($X15&lt;30,1,0))</formula>
    </cfRule>
    <cfRule type="expression" dxfId="18665" priority="7">
      <formula>AND(IF($Q15=3,1,0),IF($X15&lt;30,1,0))</formula>
    </cfRule>
    <cfRule type="expression" dxfId="18664" priority="8">
      <formula>AND(IF($Q15=3,1,IF($Q15=4,1,0)),IF($F15&lt;=85,1,0))</formula>
    </cfRule>
  </conditionalFormatting>
  <conditionalFormatting sqref="AI15">
    <cfRule type="expression" dxfId="18663" priority="1">
      <formula>AND(IF(OR($Q15=1,$Q15=2),1,0),IF($X15&lt;=20,1,0))</formula>
    </cfRule>
    <cfRule type="expression" dxfId="18662" priority="2">
      <formula>AND(IF($Q15=2,1,0),IF($X15&lt;30,1,0))</formula>
    </cfRule>
    <cfRule type="expression" dxfId="18661" priority="3">
      <formula>AND(IF($Q15=3,1,0),IF($X15&lt;30,1,0))</formula>
    </cfRule>
    <cfRule type="expression" dxfId="18660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소룡동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896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소룡동 군산성원('04.07.,675^)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3" si="1"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892</v>
      </c>
      <c r="B6" s="10" t="s">
        <v>1323</v>
      </c>
      <c r="C6" s="107">
        <v>675</v>
      </c>
      <c r="D6" s="104">
        <v>75</v>
      </c>
      <c r="E6" s="106">
        <v>23</v>
      </c>
      <c r="F6" s="104">
        <v>59.7</v>
      </c>
      <c r="G6" s="17">
        <v>18</v>
      </c>
      <c r="H6" s="107">
        <v>270</v>
      </c>
      <c r="I6" s="108">
        <v>10000</v>
      </c>
      <c r="J6" s="108" t="s">
        <v>1268</v>
      </c>
      <c r="K6" s="108"/>
      <c r="L6" s="108"/>
      <c r="M6" s="109">
        <f>I6-K6</f>
        <v>10000</v>
      </c>
      <c r="N6" s="4">
        <f>IF(ISERROR(K6/I6),"",K6/I6)</f>
        <v>0</v>
      </c>
      <c r="O6" s="105">
        <f>I6/E6</f>
        <v>434.78260869565219</v>
      </c>
      <c r="P6" s="105">
        <f>K6/E6</f>
        <v>0</v>
      </c>
      <c r="Q6" s="77">
        <v>3</v>
      </c>
      <c r="R6" s="77">
        <v>1</v>
      </c>
      <c r="S6" s="77" t="s">
        <v>1244</v>
      </c>
      <c r="T6" s="5">
        <v>75</v>
      </c>
      <c r="U6" s="9"/>
      <c r="W6" s="104">
        <f>D6</f>
        <v>75</v>
      </c>
      <c r="X6" s="106">
        <f>E6</f>
        <v>23</v>
      </c>
      <c r="Y6" s="102">
        <f>H6</f>
        <v>270</v>
      </c>
      <c r="Z6" s="109">
        <f>I6</f>
        <v>10000</v>
      </c>
      <c r="AA6" s="109">
        <f>K6</f>
        <v>0</v>
      </c>
      <c r="AB6" s="109">
        <f t="shared" ref="AB6:AD7" si="2">M6</f>
        <v>10000</v>
      </c>
      <c r="AC6" s="4">
        <f t="shared" si="2"/>
        <v>0</v>
      </c>
      <c r="AD6" s="105">
        <f t="shared" si="2"/>
        <v>434.78260869565219</v>
      </c>
      <c r="AE6" s="77" t="str">
        <f>S6</f>
        <v>계</v>
      </c>
      <c r="AF6" s="77" t="str">
        <f>Q6&amp;"/"&amp;R6</f>
        <v>3/1</v>
      </c>
      <c r="AH6" s="20" t="str">
        <f t="shared" si="1"/>
        <v>군산성원</v>
      </c>
      <c r="AI6" s="106">
        <f t="shared" si="0"/>
        <v>23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892</v>
      </c>
      <c r="B7" s="10" t="s">
        <v>1323</v>
      </c>
      <c r="C7" s="107">
        <v>675</v>
      </c>
      <c r="D7" s="104">
        <v>106.8</v>
      </c>
      <c r="E7" s="106">
        <v>32</v>
      </c>
      <c r="F7" s="104">
        <v>85</v>
      </c>
      <c r="G7" s="17">
        <v>26</v>
      </c>
      <c r="H7" s="107">
        <v>405</v>
      </c>
      <c r="I7" s="108">
        <v>10500</v>
      </c>
      <c r="J7" s="108" t="s">
        <v>1251</v>
      </c>
      <c r="K7" s="108">
        <v>9500</v>
      </c>
      <c r="L7" s="108" t="s">
        <v>1272</v>
      </c>
      <c r="M7" s="109">
        <f>I7-K7</f>
        <v>1000</v>
      </c>
      <c r="N7" s="4">
        <f>IF(ISERROR(K7/I7),"",K7/I7)</f>
        <v>0.90476190476190477</v>
      </c>
      <c r="O7" s="105">
        <f>I7/E7</f>
        <v>328.125</v>
      </c>
      <c r="P7" s="105">
        <f>K7/E7</f>
        <v>296.875</v>
      </c>
      <c r="Q7" s="77">
        <v>3</v>
      </c>
      <c r="R7" s="77">
        <v>2</v>
      </c>
      <c r="S7" s="77" t="s">
        <v>1244</v>
      </c>
      <c r="T7" s="5">
        <v>106</v>
      </c>
      <c r="U7" s="9"/>
      <c r="W7" s="104">
        <f>D7</f>
        <v>106.8</v>
      </c>
      <c r="X7" s="106">
        <f>E7</f>
        <v>32</v>
      </c>
      <c r="Y7" s="102">
        <f>H7</f>
        <v>405</v>
      </c>
      <c r="Z7" s="109">
        <f>I7</f>
        <v>10500</v>
      </c>
      <c r="AA7" s="109">
        <f>K7</f>
        <v>9500</v>
      </c>
      <c r="AB7" s="109">
        <f t="shared" si="2"/>
        <v>1000</v>
      </c>
      <c r="AC7" s="4">
        <f t="shared" si="2"/>
        <v>0.90476190476190477</v>
      </c>
      <c r="AD7" s="105">
        <f t="shared" si="2"/>
        <v>328.125</v>
      </c>
      <c r="AE7" s="77" t="str">
        <f>S7</f>
        <v>계</v>
      </c>
      <c r="AF7" s="77" t="str">
        <f>Q7&amp;"/"&amp;R7</f>
        <v>3/2</v>
      </c>
      <c r="AH7" s="20" t="str">
        <f t="shared" si="1"/>
        <v>군산성원</v>
      </c>
      <c r="AI7" s="106">
        <f t="shared" si="0"/>
        <v>32</v>
      </c>
      <c r="AJ7" s="77" t="str">
        <f>IF(AI7="","",$AJ$2)</f>
        <v>A-</v>
      </c>
      <c r="AK7" s="77" t="s">
        <v>13</v>
      </c>
      <c r="AL7" s="77" t="s">
        <v>1242</v>
      </c>
      <c r="AM7" s="77" t="s">
        <v>1243</v>
      </c>
      <c r="AN7" s="77" t="str">
        <f>IF(AI7="","",$AN$2)</f>
        <v>C</v>
      </c>
      <c r="AO7" s="77" t="str">
        <f>IF(N7="","",IF(N7&gt;=$AO$1/100,"O","X"))</f>
        <v>O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후보</v>
      </c>
    </row>
    <row r="8" spans="1:48" x14ac:dyDescent="0.3">
      <c r="A8" s="9"/>
      <c r="B8" s="77"/>
      <c r="C8" s="6"/>
      <c r="D8" s="9"/>
      <c r="E8" s="14"/>
      <c r="F8" s="104"/>
      <c r="G8" s="9"/>
      <c r="H8" s="9"/>
      <c r="I8" s="9"/>
      <c r="J8" s="9"/>
      <c r="K8" s="9"/>
      <c r="L8" s="9"/>
      <c r="M8" s="9"/>
      <c r="N8" s="9"/>
      <c r="O8" s="105"/>
      <c r="P8" s="105"/>
      <c r="Q8" s="106"/>
      <c r="R8" s="106"/>
      <c r="S8" s="9"/>
      <c r="T8" s="47"/>
      <c r="U8" s="9"/>
      <c r="W8" s="67" t="str">
        <f>$A$4&amp;" "&amp;A9&amp;"("&amp;B9&amp;","&amp;C9&amp;"^)"</f>
        <v>소룡동 금강골드빌('03.02.,294^)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3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903</v>
      </c>
      <c r="B9" s="10" t="s">
        <v>1324</v>
      </c>
      <c r="C9" s="107">
        <v>294</v>
      </c>
      <c r="D9" s="104">
        <v>113.6</v>
      </c>
      <c r="E9" s="106">
        <v>34</v>
      </c>
      <c r="F9" s="104">
        <v>84.7</v>
      </c>
      <c r="G9" s="17">
        <v>26</v>
      </c>
      <c r="H9" s="107">
        <v>294</v>
      </c>
      <c r="I9" s="108"/>
      <c r="J9" s="108"/>
      <c r="K9" s="108"/>
      <c r="L9" s="108"/>
      <c r="M9" s="109">
        <f>I9-K9</f>
        <v>0</v>
      </c>
      <c r="N9" s="4" t="str">
        <f>IF(ISERROR(K9/I9),"",K9/I9)</f>
        <v/>
      </c>
      <c r="O9" s="105">
        <f>I9/E9</f>
        <v>0</v>
      </c>
      <c r="P9" s="105">
        <f>K9/E9</f>
        <v>0</v>
      </c>
      <c r="Q9" s="77">
        <v>3</v>
      </c>
      <c r="R9" s="77">
        <v>2</v>
      </c>
      <c r="S9" s="77" t="s">
        <v>1244</v>
      </c>
      <c r="T9" s="5">
        <v>113</v>
      </c>
      <c r="U9" s="9"/>
      <c r="W9" s="104">
        <f>D9</f>
        <v>113.6</v>
      </c>
      <c r="X9" s="106">
        <f>E9</f>
        <v>34</v>
      </c>
      <c r="Y9" s="102">
        <f>H9</f>
        <v>294</v>
      </c>
      <c r="Z9" s="109">
        <f>I9</f>
        <v>0</v>
      </c>
      <c r="AA9" s="109">
        <f>K9</f>
        <v>0</v>
      </c>
      <c r="AB9" s="109">
        <f>M9</f>
        <v>0</v>
      </c>
      <c r="AC9" s="4" t="str">
        <f>N9</f>
        <v/>
      </c>
      <c r="AD9" s="105">
        <f>O9</f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금강골드빌</v>
      </c>
      <c r="AI9" s="106">
        <f t="shared" si="0"/>
        <v>34</v>
      </c>
      <c r="AJ9" s="77" t="str">
        <f>IF(AI9="","",$AJ$2)</f>
        <v>A-</v>
      </c>
      <c r="AK9" s="77" t="s">
        <v>13</v>
      </c>
      <c r="AL9" s="77" t="s">
        <v>1242</v>
      </c>
      <c r="AM9" s="77" t="s">
        <v>1243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X</v>
      </c>
      <c r="AV9" s="77" t="str">
        <f>IF(AO9="","",IF(AND(AO9="O",AP9="O",AR9="O",AT9="O",AU9="O"),"후보","X"))</f>
        <v/>
      </c>
    </row>
    <row r="10" spans="1:48" x14ac:dyDescent="0.3">
      <c r="A10" s="9"/>
      <c r="B10" s="77"/>
      <c r="C10" s="6"/>
      <c r="D10" s="9"/>
      <c r="E10" s="14"/>
      <c r="F10" s="104"/>
      <c r="G10" s="9"/>
      <c r="H10" s="9"/>
      <c r="I10" s="9"/>
      <c r="J10" s="9"/>
      <c r="K10" s="9"/>
      <c r="L10" s="9"/>
      <c r="M10" s="9"/>
      <c r="N10" s="9"/>
      <c r="O10" s="105"/>
      <c r="P10" s="105"/>
      <c r="Q10" s="106"/>
      <c r="R10" s="106"/>
      <c r="S10" s="9"/>
      <c r="T10" s="47"/>
      <c r="U10" s="9"/>
      <c r="W10" s="67" t="str">
        <f>$A$4&amp;" "&amp;A11&amp;"("&amp;B11&amp;","&amp;C11&amp;"^)"</f>
        <v>소룡동 그린서해맨션('93.12.,350^)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3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908</v>
      </c>
      <c r="B11" s="10" t="s">
        <v>1283</v>
      </c>
      <c r="C11" s="107">
        <v>350</v>
      </c>
      <c r="D11" s="104">
        <v>77.8</v>
      </c>
      <c r="E11" s="106">
        <v>24</v>
      </c>
      <c r="F11" s="104">
        <v>59.4</v>
      </c>
      <c r="G11" s="17">
        <v>18</v>
      </c>
      <c r="H11" s="107">
        <v>174</v>
      </c>
      <c r="I11" s="108"/>
      <c r="J11" s="108"/>
      <c r="K11" s="108"/>
      <c r="L11" s="108"/>
      <c r="M11" s="109">
        <f t="shared" ref="M11:M16" si="3">I11-K11</f>
        <v>0</v>
      </c>
      <c r="N11" s="4" t="str">
        <f t="shared" ref="N11:N16" si="4">IF(ISERROR(K11/I11),"",K11/I11)</f>
        <v/>
      </c>
      <c r="O11" s="105">
        <f t="shared" ref="O11:O16" si="5">I11/E11</f>
        <v>0</v>
      </c>
      <c r="P11" s="105">
        <f t="shared" ref="P11:P16" si="6">K11/E11</f>
        <v>0</v>
      </c>
      <c r="Q11" s="77">
        <v>3</v>
      </c>
      <c r="R11" s="77">
        <v>1</v>
      </c>
      <c r="S11" s="77" t="s">
        <v>1241</v>
      </c>
      <c r="T11" s="5" t="s">
        <v>654</v>
      </c>
      <c r="U11" s="9"/>
      <c r="W11" s="104">
        <f t="shared" ref="W11:X16" si="7">D11</f>
        <v>77.8</v>
      </c>
      <c r="X11" s="106">
        <f t="shared" si="7"/>
        <v>24</v>
      </c>
      <c r="Y11" s="102">
        <f t="shared" ref="Y11:Z16" si="8">H11</f>
        <v>174</v>
      </c>
      <c r="Z11" s="109">
        <f t="shared" si="8"/>
        <v>0</v>
      </c>
      <c r="AA11" s="109">
        <f t="shared" ref="AA11:AA16" si="9">K11</f>
        <v>0</v>
      </c>
      <c r="AB11" s="109">
        <f t="shared" ref="AB11:AD16" si="10">M11</f>
        <v>0</v>
      </c>
      <c r="AC11" s="4" t="str">
        <f t="shared" si="10"/>
        <v/>
      </c>
      <c r="AD11" s="105">
        <f t="shared" si="10"/>
        <v>0</v>
      </c>
      <c r="AE11" s="77" t="str">
        <f t="shared" ref="AE11:AE16" si="11">S11</f>
        <v>복</v>
      </c>
      <c r="AF11" s="77" t="str">
        <f t="shared" ref="AF11:AF16" si="12">Q11&amp;"/"&amp;R11</f>
        <v>3/1</v>
      </c>
      <c r="AH11" s="20" t="str">
        <f t="shared" si="1"/>
        <v>그린서해맨션</v>
      </c>
      <c r="AI11" s="106">
        <f t="shared" si="0"/>
        <v>24</v>
      </c>
      <c r="AJ11" s="77" t="str">
        <f t="shared" ref="AJ11:AJ16" si="13">IF(AI11="","",$AJ$2)</f>
        <v>A-</v>
      </c>
      <c r="AK11" s="77" t="s">
        <v>13</v>
      </c>
      <c r="AL11" s="77" t="s">
        <v>1242</v>
      </c>
      <c r="AM11" s="77" t="s">
        <v>1243</v>
      </c>
      <c r="AN11" s="77" t="str">
        <f t="shared" ref="AN11:AN16" si="14">IF(AI11="","",$AN$2)</f>
        <v>C</v>
      </c>
      <c r="AO11" s="77" t="str">
        <f t="shared" ref="AO11:AO16" si="15">IF(N11="","",IF(N11&gt;=$AO$1/100,"O","X"))</f>
        <v/>
      </c>
      <c r="AP11" s="77" t="str">
        <f t="shared" ref="AP11:AP16" si="16">IF(I11="","",IF(I11&lt;=$AP$1,"O","X"))</f>
        <v/>
      </c>
      <c r="AQ11" s="77" t="str">
        <f t="shared" ref="AQ11:AQ16" si="17">IF(O11="","",IF(O11&lt;=$AQ$1,"O","X"))</f>
        <v>O</v>
      </c>
      <c r="AR11" s="77" t="str">
        <f t="shared" ref="AR11:AR16" si="18">IF(M11="","",IF(M11&lt;=$AR$1,"O","X"))</f>
        <v>O</v>
      </c>
      <c r="AS11" s="77" t="s">
        <v>2</v>
      </c>
      <c r="AT11" s="77" t="str">
        <f t="shared" ref="AT11:AT16" si="19">IF(OR(F11="",AI11=""),"",IF(AND((F11&lt;=85),(AI11&gt;=15)),"O","X"))</f>
        <v>O</v>
      </c>
      <c r="AU11" s="77" t="str">
        <f t="shared" ref="AU11:AU16" si="20">IF(C11="","",IF(C11&gt;=$AU$1,"O","X"))</f>
        <v>O</v>
      </c>
      <c r="AV11" s="77" t="str">
        <f t="shared" ref="AV11:AV16" si="21">IF(AO11="","",IF(AND(AO11="O",AP11="O",AR11="O",AT11="O",AU11="O"),"후보","X"))</f>
        <v/>
      </c>
    </row>
    <row r="12" spans="1:48" x14ac:dyDescent="0.3">
      <c r="A12" s="9" t="s">
        <v>908</v>
      </c>
      <c r="B12" s="10" t="s">
        <v>1283</v>
      </c>
      <c r="C12" s="107">
        <v>350</v>
      </c>
      <c r="D12" s="104">
        <v>79.3</v>
      </c>
      <c r="E12" s="106">
        <v>24</v>
      </c>
      <c r="F12" s="104">
        <v>59.4</v>
      </c>
      <c r="G12" s="17">
        <v>18</v>
      </c>
      <c r="H12" s="107">
        <v>60</v>
      </c>
      <c r="I12" s="108"/>
      <c r="J12" s="108"/>
      <c r="K12" s="108"/>
      <c r="L12" s="108"/>
      <c r="M12" s="109">
        <f t="shared" si="3"/>
        <v>0</v>
      </c>
      <c r="N12" s="4" t="str">
        <f t="shared" si="4"/>
        <v/>
      </c>
      <c r="O12" s="105">
        <f t="shared" si="5"/>
        <v>0</v>
      </c>
      <c r="P12" s="105">
        <f t="shared" si="6"/>
        <v>0</v>
      </c>
      <c r="Q12" s="77">
        <v>3</v>
      </c>
      <c r="R12" s="77">
        <v>1</v>
      </c>
      <c r="S12" s="77" t="s">
        <v>1241</v>
      </c>
      <c r="T12" s="5" t="s">
        <v>912</v>
      </c>
      <c r="U12" s="9"/>
      <c r="W12" s="104">
        <f t="shared" si="7"/>
        <v>79.3</v>
      </c>
      <c r="X12" s="106">
        <f t="shared" si="7"/>
        <v>24</v>
      </c>
      <c r="Y12" s="102">
        <f t="shared" si="8"/>
        <v>60</v>
      </c>
      <c r="Z12" s="109">
        <f t="shared" si="8"/>
        <v>0</v>
      </c>
      <c r="AA12" s="109">
        <f t="shared" si="9"/>
        <v>0</v>
      </c>
      <c r="AB12" s="109">
        <f t="shared" si="10"/>
        <v>0</v>
      </c>
      <c r="AC12" s="4" t="str">
        <f t="shared" si="10"/>
        <v/>
      </c>
      <c r="AD12" s="105">
        <f t="shared" si="10"/>
        <v>0</v>
      </c>
      <c r="AE12" s="77" t="str">
        <f t="shared" si="11"/>
        <v>복</v>
      </c>
      <c r="AF12" s="77" t="str">
        <f t="shared" si="12"/>
        <v>3/1</v>
      </c>
      <c r="AH12" s="20" t="str">
        <f t="shared" si="1"/>
        <v>그린서해맨션</v>
      </c>
      <c r="AI12" s="106">
        <f t="shared" si="0"/>
        <v>24</v>
      </c>
      <c r="AJ12" s="77" t="str">
        <f t="shared" si="13"/>
        <v>A-</v>
      </c>
      <c r="AK12" s="77" t="s">
        <v>13</v>
      </c>
      <c r="AL12" s="77" t="s">
        <v>1242</v>
      </c>
      <c r="AM12" s="77" t="s">
        <v>1243</v>
      </c>
      <c r="AN12" s="77" t="str">
        <f t="shared" si="14"/>
        <v>C</v>
      </c>
      <c r="AO12" s="77" t="str">
        <f t="shared" si="15"/>
        <v/>
      </c>
      <c r="AP12" s="77" t="str">
        <f t="shared" si="16"/>
        <v/>
      </c>
      <c r="AQ12" s="77" t="str">
        <f t="shared" si="17"/>
        <v>O</v>
      </c>
      <c r="AR12" s="77" t="str">
        <f t="shared" si="18"/>
        <v>O</v>
      </c>
      <c r="AS12" s="77" t="s">
        <v>2</v>
      </c>
      <c r="AT12" s="77" t="str">
        <f t="shared" si="19"/>
        <v>O</v>
      </c>
      <c r="AU12" s="77" t="str">
        <f t="shared" si="20"/>
        <v>O</v>
      </c>
      <c r="AV12" s="77" t="str">
        <f t="shared" si="21"/>
        <v/>
      </c>
    </row>
    <row r="13" spans="1:48" x14ac:dyDescent="0.3">
      <c r="A13" s="9" t="s">
        <v>908</v>
      </c>
      <c r="B13" s="10" t="s">
        <v>1283</v>
      </c>
      <c r="C13" s="107">
        <v>350</v>
      </c>
      <c r="D13" s="104">
        <v>91.4</v>
      </c>
      <c r="E13" s="106">
        <v>28</v>
      </c>
      <c r="F13" s="104">
        <v>75</v>
      </c>
      <c r="G13" s="17">
        <v>23</v>
      </c>
      <c r="H13" s="107">
        <v>59</v>
      </c>
      <c r="I13" s="108"/>
      <c r="J13" s="108"/>
      <c r="K13" s="108"/>
      <c r="L13" s="108"/>
      <c r="M13" s="109">
        <f t="shared" si="3"/>
        <v>0</v>
      </c>
      <c r="N13" s="4" t="str">
        <f t="shared" si="4"/>
        <v/>
      </c>
      <c r="O13" s="105">
        <f t="shared" si="5"/>
        <v>0</v>
      </c>
      <c r="P13" s="105">
        <f t="shared" si="6"/>
        <v>0</v>
      </c>
      <c r="Q13" s="77">
        <v>3</v>
      </c>
      <c r="R13" s="77">
        <v>1</v>
      </c>
      <c r="S13" s="77" t="s">
        <v>1244</v>
      </c>
      <c r="T13" s="5">
        <v>91</v>
      </c>
      <c r="U13" s="9"/>
      <c r="W13" s="104">
        <f t="shared" si="7"/>
        <v>91.4</v>
      </c>
      <c r="X13" s="106">
        <f t="shared" si="7"/>
        <v>28</v>
      </c>
      <c r="Y13" s="102">
        <f t="shared" si="8"/>
        <v>59</v>
      </c>
      <c r="Z13" s="109">
        <f t="shared" si="8"/>
        <v>0</v>
      </c>
      <c r="AA13" s="109">
        <f t="shared" si="9"/>
        <v>0</v>
      </c>
      <c r="AB13" s="109">
        <f t="shared" si="10"/>
        <v>0</v>
      </c>
      <c r="AC13" s="4" t="str">
        <f t="shared" si="10"/>
        <v/>
      </c>
      <c r="AD13" s="105">
        <f t="shared" si="10"/>
        <v>0</v>
      </c>
      <c r="AE13" s="77" t="str">
        <f t="shared" si="11"/>
        <v>계</v>
      </c>
      <c r="AF13" s="77" t="str">
        <f t="shared" si="12"/>
        <v>3/1</v>
      </c>
      <c r="AH13" s="20" t="str">
        <f t="shared" si="1"/>
        <v>그린서해맨션</v>
      </c>
      <c r="AI13" s="106">
        <f t="shared" si="0"/>
        <v>28</v>
      </c>
      <c r="AJ13" s="77" t="str">
        <f t="shared" si="13"/>
        <v>A-</v>
      </c>
      <c r="AK13" s="77" t="s">
        <v>13</v>
      </c>
      <c r="AL13" s="77" t="s">
        <v>1242</v>
      </c>
      <c r="AM13" s="77" t="s">
        <v>1243</v>
      </c>
      <c r="AN13" s="77" t="str">
        <f t="shared" si="14"/>
        <v>C</v>
      </c>
      <c r="AO13" s="77" t="str">
        <f t="shared" si="15"/>
        <v/>
      </c>
      <c r="AP13" s="77" t="str">
        <f t="shared" si="16"/>
        <v/>
      </c>
      <c r="AQ13" s="77" t="str">
        <f t="shared" si="17"/>
        <v>O</v>
      </c>
      <c r="AR13" s="77" t="str">
        <f t="shared" si="18"/>
        <v>O</v>
      </c>
      <c r="AS13" s="77" t="s">
        <v>2</v>
      </c>
      <c r="AT13" s="77" t="str">
        <f t="shared" si="19"/>
        <v>O</v>
      </c>
      <c r="AU13" s="77" t="str">
        <f t="shared" si="20"/>
        <v>O</v>
      </c>
      <c r="AV13" s="77" t="str">
        <f t="shared" si="21"/>
        <v/>
      </c>
    </row>
    <row r="14" spans="1:48" x14ac:dyDescent="0.3">
      <c r="A14" s="9" t="s">
        <v>908</v>
      </c>
      <c r="B14" s="10" t="s">
        <v>1283</v>
      </c>
      <c r="C14" s="107">
        <v>350</v>
      </c>
      <c r="D14" s="104">
        <v>101.3</v>
      </c>
      <c r="E14" s="106">
        <v>31</v>
      </c>
      <c r="F14" s="104">
        <v>75</v>
      </c>
      <c r="G14" s="17">
        <v>23</v>
      </c>
      <c r="H14" s="107">
        <v>1</v>
      </c>
      <c r="I14" s="108"/>
      <c r="J14" s="108"/>
      <c r="K14" s="108"/>
      <c r="L14" s="108"/>
      <c r="M14" s="109">
        <f t="shared" si="3"/>
        <v>0</v>
      </c>
      <c r="N14" s="4" t="str">
        <f t="shared" si="4"/>
        <v/>
      </c>
      <c r="O14" s="105">
        <f t="shared" si="5"/>
        <v>0</v>
      </c>
      <c r="P14" s="105">
        <f t="shared" si="6"/>
        <v>0</v>
      </c>
      <c r="Q14" s="77">
        <v>3</v>
      </c>
      <c r="R14" s="77">
        <v>2</v>
      </c>
      <c r="S14" s="77" t="s">
        <v>1244</v>
      </c>
      <c r="T14" s="5" t="s">
        <v>468</v>
      </c>
      <c r="U14" s="9"/>
      <c r="W14" s="104">
        <f t="shared" si="7"/>
        <v>101.3</v>
      </c>
      <c r="X14" s="106">
        <f t="shared" si="7"/>
        <v>31</v>
      </c>
      <c r="Y14" s="102">
        <f t="shared" si="8"/>
        <v>1</v>
      </c>
      <c r="Z14" s="109">
        <f t="shared" si="8"/>
        <v>0</v>
      </c>
      <c r="AA14" s="109">
        <f t="shared" si="9"/>
        <v>0</v>
      </c>
      <c r="AB14" s="109">
        <f t="shared" si="10"/>
        <v>0</v>
      </c>
      <c r="AC14" s="4" t="str">
        <f t="shared" si="10"/>
        <v/>
      </c>
      <c r="AD14" s="105">
        <f t="shared" si="10"/>
        <v>0</v>
      </c>
      <c r="AE14" s="77" t="str">
        <f t="shared" si="11"/>
        <v>계</v>
      </c>
      <c r="AF14" s="77" t="str">
        <f t="shared" si="12"/>
        <v>3/2</v>
      </c>
      <c r="AH14" s="20" t="str">
        <f t="shared" si="1"/>
        <v>그린서해맨션</v>
      </c>
      <c r="AI14" s="106">
        <f t="shared" si="0"/>
        <v>31</v>
      </c>
      <c r="AJ14" s="77" t="str">
        <f t="shared" si="13"/>
        <v>A-</v>
      </c>
      <c r="AK14" s="77" t="s">
        <v>13</v>
      </c>
      <c r="AL14" s="77" t="s">
        <v>1242</v>
      </c>
      <c r="AM14" s="77" t="s">
        <v>1243</v>
      </c>
      <c r="AN14" s="77" t="str">
        <f t="shared" si="14"/>
        <v>C</v>
      </c>
      <c r="AO14" s="77" t="str">
        <f t="shared" si="15"/>
        <v/>
      </c>
      <c r="AP14" s="77" t="str">
        <f t="shared" si="16"/>
        <v/>
      </c>
      <c r="AQ14" s="77" t="str">
        <f t="shared" si="17"/>
        <v>O</v>
      </c>
      <c r="AR14" s="77" t="str">
        <f t="shared" si="18"/>
        <v>O</v>
      </c>
      <c r="AS14" s="77" t="s">
        <v>2</v>
      </c>
      <c r="AT14" s="77" t="str">
        <f t="shared" si="19"/>
        <v>O</v>
      </c>
      <c r="AU14" s="77" t="str">
        <f t="shared" si="20"/>
        <v>O</v>
      </c>
      <c r="AV14" s="77" t="str">
        <f t="shared" si="21"/>
        <v/>
      </c>
    </row>
    <row r="15" spans="1:48" x14ac:dyDescent="0.3">
      <c r="A15" s="9" t="s">
        <v>908</v>
      </c>
      <c r="B15" s="10" t="s">
        <v>1283</v>
      </c>
      <c r="C15" s="107">
        <v>350</v>
      </c>
      <c r="D15" s="104">
        <v>103.5</v>
      </c>
      <c r="E15" s="106">
        <v>31</v>
      </c>
      <c r="F15" s="104">
        <v>84.9</v>
      </c>
      <c r="G15" s="17">
        <v>26</v>
      </c>
      <c r="H15" s="107">
        <v>52</v>
      </c>
      <c r="I15" s="108">
        <v>8500</v>
      </c>
      <c r="J15" s="108" t="s">
        <v>1256</v>
      </c>
      <c r="K15" s="108"/>
      <c r="L15" s="108"/>
      <c r="M15" s="109">
        <f t="shared" si="3"/>
        <v>8500</v>
      </c>
      <c r="N15" s="4">
        <f t="shared" si="4"/>
        <v>0</v>
      </c>
      <c r="O15" s="105">
        <f t="shared" si="5"/>
        <v>274.19354838709677</v>
      </c>
      <c r="P15" s="105">
        <f t="shared" si="6"/>
        <v>0</v>
      </c>
      <c r="Q15" s="77">
        <v>3</v>
      </c>
      <c r="R15" s="77">
        <v>2</v>
      </c>
      <c r="S15" s="77" t="s">
        <v>1244</v>
      </c>
      <c r="T15" s="5" t="s">
        <v>913</v>
      </c>
      <c r="U15" s="9"/>
      <c r="W15" s="104">
        <f t="shared" si="7"/>
        <v>103.5</v>
      </c>
      <c r="X15" s="106">
        <f t="shared" si="7"/>
        <v>31</v>
      </c>
      <c r="Y15" s="102">
        <f t="shared" si="8"/>
        <v>52</v>
      </c>
      <c r="Z15" s="109">
        <f t="shared" si="8"/>
        <v>8500</v>
      </c>
      <c r="AA15" s="109">
        <f t="shared" si="9"/>
        <v>0</v>
      </c>
      <c r="AB15" s="109">
        <f t="shared" si="10"/>
        <v>8500</v>
      </c>
      <c r="AC15" s="4">
        <f t="shared" si="10"/>
        <v>0</v>
      </c>
      <c r="AD15" s="105">
        <f t="shared" si="10"/>
        <v>274.19354838709677</v>
      </c>
      <c r="AE15" s="77" t="str">
        <f t="shared" si="11"/>
        <v>계</v>
      </c>
      <c r="AF15" s="77" t="str">
        <f t="shared" si="12"/>
        <v>3/2</v>
      </c>
      <c r="AH15" s="20" t="str">
        <f t="shared" si="1"/>
        <v>그린서해맨션</v>
      </c>
      <c r="AI15" s="106">
        <f t="shared" si="0"/>
        <v>31</v>
      </c>
      <c r="AJ15" s="77" t="str">
        <f t="shared" si="13"/>
        <v>A-</v>
      </c>
      <c r="AK15" s="77" t="s">
        <v>13</v>
      </c>
      <c r="AL15" s="77" t="s">
        <v>1242</v>
      </c>
      <c r="AM15" s="77" t="s">
        <v>1243</v>
      </c>
      <c r="AN15" s="77" t="str">
        <f t="shared" si="14"/>
        <v>C</v>
      </c>
      <c r="AO15" s="77" t="str">
        <f t="shared" si="15"/>
        <v>X</v>
      </c>
      <c r="AP15" s="77" t="str">
        <f t="shared" si="16"/>
        <v>O</v>
      </c>
      <c r="AQ15" s="77" t="str">
        <f t="shared" si="17"/>
        <v>O</v>
      </c>
      <c r="AR15" s="77" t="str">
        <f t="shared" si="18"/>
        <v>X</v>
      </c>
      <c r="AS15" s="77" t="s">
        <v>2</v>
      </c>
      <c r="AT15" s="77" t="str">
        <f t="shared" si="19"/>
        <v>O</v>
      </c>
      <c r="AU15" s="77" t="str">
        <f t="shared" si="20"/>
        <v>O</v>
      </c>
      <c r="AV15" s="77" t="str">
        <f t="shared" si="21"/>
        <v>X</v>
      </c>
    </row>
    <row r="16" spans="1:48" x14ac:dyDescent="0.3">
      <c r="A16" s="9" t="s">
        <v>908</v>
      </c>
      <c r="B16" s="10" t="s">
        <v>1283</v>
      </c>
      <c r="C16" s="107">
        <v>350</v>
      </c>
      <c r="D16" s="104">
        <v>115.2</v>
      </c>
      <c r="E16" s="106">
        <v>35</v>
      </c>
      <c r="F16" s="104">
        <v>84.9</v>
      </c>
      <c r="G16" s="17">
        <v>26</v>
      </c>
      <c r="H16" s="107">
        <v>4</v>
      </c>
      <c r="I16" s="108"/>
      <c r="J16" s="108"/>
      <c r="K16" s="108"/>
      <c r="L16" s="108"/>
      <c r="M16" s="109">
        <f t="shared" si="3"/>
        <v>0</v>
      </c>
      <c r="N16" s="4" t="str">
        <f t="shared" si="4"/>
        <v/>
      </c>
      <c r="O16" s="105">
        <f t="shared" si="5"/>
        <v>0</v>
      </c>
      <c r="P16" s="105">
        <f t="shared" si="6"/>
        <v>0</v>
      </c>
      <c r="Q16" s="77">
        <v>3</v>
      </c>
      <c r="R16" s="77">
        <v>2</v>
      </c>
      <c r="S16" s="77" t="s">
        <v>1241</v>
      </c>
      <c r="T16" s="5">
        <v>115</v>
      </c>
      <c r="U16" s="9"/>
      <c r="W16" s="104">
        <f t="shared" si="7"/>
        <v>115.2</v>
      </c>
      <c r="X16" s="106">
        <f t="shared" si="7"/>
        <v>35</v>
      </c>
      <c r="Y16" s="102">
        <f t="shared" si="8"/>
        <v>4</v>
      </c>
      <c r="Z16" s="109">
        <f t="shared" si="8"/>
        <v>0</v>
      </c>
      <c r="AA16" s="109">
        <f t="shared" si="9"/>
        <v>0</v>
      </c>
      <c r="AB16" s="109">
        <f t="shared" si="10"/>
        <v>0</v>
      </c>
      <c r="AC16" s="4" t="str">
        <f t="shared" si="10"/>
        <v/>
      </c>
      <c r="AD16" s="105">
        <f t="shared" si="10"/>
        <v>0</v>
      </c>
      <c r="AE16" s="77" t="str">
        <f t="shared" si="11"/>
        <v>복</v>
      </c>
      <c r="AF16" s="77" t="str">
        <f t="shared" si="12"/>
        <v>3/2</v>
      </c>
      <c r="AH16" s="20" t="str">
        <f t="shared" si="1"/>
        <v>그린서해맨션</v>
      </c>
      <c r="AI16" s="106">
        <f t="shared" si="0"/>
        <v>35</v>
      </c>
      <c r="AJ16" s="77" t="str">
        <f t="shared" si="13"/>
        <v>A-</v>
      </c>
      <c r="AK16" s="77" t="s">
        <v>13</v>
      </c>
      <c r="AL16" s="77" t="s">
        <v>1242</v>
      </c>
      <c r="AM16" s="77" t="s">
        <v>1243</v>
      </c>
      <c r="AN16" s="77" t="str">
        <f t="shared" si="14"/>
        <v>C</v>
      </c>
      <c r="AO16" s="77" t="str">
        <f t="shared" si="15"/>
        <v/>
      </c>
      <c r="AP16" s="77" t="str">
        <f t="shared" si="16"/>
        <v/>
      </c>
      <c r="AQ16" s="77" t="str">
        <f t="shared" si="17"/>
        <v>O</v>
      </c>
      <c r="AR16" s="77" t="str">
        <f t="shared" si="18"/>
        <v>O</v>
      </c>
      <c r="AS16" s="77" t="s">
        <v>2</v>
      </c>
      <c r="AT16" s="77" t="str">
        <f t="shared" si="19"/>
        <v>O</v>
      </c>
      <c r="AU16" s="77" t="str">
        <f t="shared" si="20"/>
        <v>O</v>
      </c>
      <c r="AV16" s="77" t="str">
        <f t="shared" si="21"/>
        <v/>
      </c>
    </row>
    <row r="17" spans="1:48" x14ac:dyDescent="0.3">
      <c r="A17" s="9"/>
      <c r="B17" s="77"/>
      <c r="C17" s="6"/>
      <c r="D17" s="9"/>
      <c r="E17" s="14"/>
      <c r="F17" s="104"/>
      <c r="G17" s="9"/>
      <c r="H17" s="9"/>
      <c r="I17" s="9"/>
      <c r="J17" s="9"/>
      <c r="K17" s="9"/>
      <c r="L17" s="9"/>
      <c r="M17" s="9"/>
      <c r="N17" s="9"/>
      <c r="O17" s="105"/>
      <c r="P17" s="105"/>
      <c r="Q17" s="106"/>
      <c r="R17" s="106"/>
      <c r="S17" s="9"/>
      <c r="T17" s="47"/>
      <c r="U17" s="9"/>
      <c r="W17" s="67" t="str">
        <f>$A$4&amp;" "&amp;A18&amp;"("&amp;B18&amp;","&amp;C18&amp;"^)"</f>
        <v>소룡동 동아('90.10.,702^)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3" t="str">
        <f t="shared" si="0"/>
        <v/>
      </c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</row>
    <row r="18" spans="1:48" x14ac:dyDescent="0.3">
      <c r="A18" s="9" t="s">
        <v>914</v>
      </c>
      <c r="B18" s="10" t="s">
        <v>1325</v>
      </c>
      <c r="C18" s="107">
        <v>702</v>
      </c>
      <c r="D18" s="104">
        <v>79.5</v>
      </c>
      <c r="E18" s="106">
        <v>24</v>
      </c>
      <c r="F18" s="104">
        <v>60.5</v>
      </c>
      <c r="G18" s="17">
        <v>18</v>
      </c>
      <c r="H18" s="107">
        <v>251</v>
      </c>
      <c r="I18" s="108">
        <v>6000</v>
      </c>
      <c r="J18" s="108" t="s">
        <v>1256</v>
      </c>
      <c r="K18" s="108"/>
      <c r="L18" s="108"/>
      <c r="M18" s="109">
        <f>I18-K18</f>
        <v>6000</v>
      </c>
      <c r="N18" s="4">
        <f>IF(ISERROR(K18/I18),"",K18/I18)</f>
        <v>0</v>
      </c>
      <c r="O18" s="105">
        <f>I18/E18</f>
        <v>250</v>
      </c>
      <c r="P18" s="105">
        <f>K18/E18</f>
        <v>0</v>
      </c>
      <c r="Q18" s="77">
        <v>3</v>
      </c>
      <c r="R18" s="77">
        <v>1</v>
      </c>
      <c r="S18" s="77" t="s">
        <v>1244</v>
      </c>
      <c r="T18" s="5" t="s">
        <v>282</v>
      </c>
      <c r="U18" s="9"/>
      <c r="W18" s="104">
        <f t="shared" ref="W18:X21" si="22">D18</f>
        <v>79.5</v>
      </c>
      <c r="X18" s="106">
        <f t="shared" si="22"/>
        <v>24</v>
      </c>
      <c r="Y18" s="102">
        <f t="shared" ref="Y18:Z21" si="23">H18</f>
        <v>251</v>
      </c>
      <c r="Z18" s="109">
        <f t="shared" si="23"/>
        <v>6000</v>
      </c>
      <c r="AA18" s="109">
        <f>K18</f>
        <v>0</v>
      </c>
      <c r="AB18" s="109">
        <f t="shared" ref="AB18:AD21" si="24">M18</f>
        <v>6000</v>
      </c>
      <c r="AC18" s="4">
        <f t="shared" si="24"/>
        <v>0</v>
      </c>
      <c r="AD18" s="105">
        <f t="shared" si="24"/>
        <v>250</v>
      </c>
      <c r="AE18" s="77" t="str">
        <f>S18</f>
        <v>계</v>
      </c>
      <c r="AF18" s="77" t="str">
        <f>Q18&amp;"/"&amp;R18</f>
        <v>3/1</v>
      </c>
      <c r="AH18" s="20" t="str">
        <f t="shared" si="1"/>
        <v>동아</v>
      </c>
      <c r="AI18" s="106">
        <f t="shared" si="0"/>
        <v>24</v>
      </c>
      <c r="AJ18" s="77" t="str">
        <f>IF(AI18="","",$AJ$2)</f>
        <v>A-</v>
      </c>
      <c r="AK18" s="77" t="s">
        <v>13</v>
      </c>
      <c r="AL18" s="77" t="s">
        <v>1242</v>
      </c>
      <c r="AM18" s="77" t="s">
        <v>1243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O</v>
      </c>
      <c r="AQ18" s="77" t="str">
        <f>IF(O18="","",IF(O18&lt;=$AQ$1,"O","X"))</f>
        <v>O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 t="s">
        <v>914</v>
      </c>
      <c r="B19" s="10" t="s">
        <v>1325</v>
      </c>
      <c r="C19" s="107">
        <v>702</v>
      </c>
      <c r="D19" s="104">
        <v>79.2</v>
      </c>
      <c r="E19" s="106">
        <v>24</v>
      </c>
      <c r="F19" s="104">
        <v>60.7</v>
      </c>
      <c r="G19" s="17">
        <v>18</v>
      </c>
      <c r="H19" s="107">
        <v>1</v>
      </c>
      <c r="I19" s="108"/>
      <c r="J19" s="108"/>
      <c r="K19" s="108"/>
      <c r="L19" s="108"/>
      <c r="M19" s="109">
        <f>I19-K19</f>
        <v>0</v>
      </c>
      <c r="N19" s="4" t="str">
        <f>IF(ISERROR(K19/I19),"",K19/I19)</f>
        <v/>
      </c>
      <c r="O19" s="105">
        <f>I19/E19</f>
        <v>0</v>
      </c>
      <c r="P19" s="105">
        <f>K19/E19</f>
        <v>0</v>
      </c>
      <c r="Q19" s="77">
        <v>2</v>
      </c>
      <c r="R19" s="77">
        <v>1</v>
      </c>
      <c r="S19" s="77" t="s">
        <v>1244</v>
      </c>
      <c r="T19" s="5" t="s">
        <v>912</v>
      </c>
      <c r="U19" s="9"/>
      <c r="W19" s="104">
        <f t="shared" si="22"/>
        <v>79.2</v>
      </c>
      <c r="X19" s="106">
        <f t="shared" si="22"/>
        <v>24</v>
      </c>
      <c r="Y19" s="102">
        <f t="shared" si="23"/>
        <v>1</v>
      </c>
      <c r="Z19" s="109">
        <f t="shared" si="23"/>
        <v>0</v>
      </c>
      <c r="AA19" s="109">
        <f>K19</f>
        <v>0</v>
      </c>
      <c r="AB19" s="109">
        <f t="shared" si="24"/>
        <v>0</v>
      </c>
      <c r="AC19" s="4" t="str">
        <f t="shared" si="24"/>
        <v/>
      </c>
      <c r="AD19" s="105">
        <f t="shared" si="24"/>
        <v>0</v>
      </c>
      <c r="AE19" s="77" t="str">
        <f>S19</f>
        <v>계</v>
      </c>
      <c r="AF19" s="77" t="str">
        <f>Q19&amp;"/"&amp;R19</f>
        <v>2/1</v>
      </c>
      <c r="AH19" s="20" t="str">
        <f t="shared" si="1"/>
        <v>동아</v>
      </c>
      <c r="AI19" s="106">
        <f t="shared" si="0"/>
        <v>24</v>
      </c>
      <c r="AJ19" s="77" t="str">
        <f>IF(AI19="","",$AJ$2)</f>
        <v>A-</v>
      </c>
      <c r="AK19" s="77" t="s">
        <v>13</v>
      </c>
      <c r="AL19" s="77" t="s">
        <v>1242</v>
      </c>
      <c r="AM19" s="77" t="s">
        <v>1243</v>
      </c>
      <c r="AN19" s="77" t="str">
        <f>IF(AI19="","",$AN$2)</f>
        <v>C</v>
      </c>
      <c r="AO19" s="77" t="str">
        <f>IF(N19="","",IF(N19&gt;=$AO$1/100,"O","X"))</f>
        <v/>
      </c>
      <c r="AP19" s="77" t="str">
        <f>IF(I19="","",IF(I19&lt;=$AP$1,"O","X"))</f>
        <v/>
      </c>
      <c r="AQ19" s="77" t="str">
        <f>IF(O19="","",IF(O19&lt;=$AQ$1,"O","X"))</f>
        <v>O</v>
      </c>
      <c r="AR19" s="77" t="str">
        <f>IF(M19="","",IF(M19&lt;=$AR$1,"O","X"))</f>
        <v>O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/>
      </c>
    </row>
    <row r="20" spans="1:48" x14ac:dyDescent="0.3">
      <c r="A20" s="9" t="s">
        <v>914</v>
      </c>
      <c r="B20" s="10" t="s">
        <v>1325</v>
      </c>
      <c r="C20" s="107">
        <v>702</v>
      </c>
      <c r="D20" s="104">
        <v>93.6</v>
      </c>
      <c r="E20" s="106">
        <v>28</v>
      </c>
      <c r="F20" s="104">
        <v>75.599999999999994</v>
      </c>
      <c r="G20" s="17">
        <v>23</v>
      </c>
      <c r="H20" s="107">
        <v>240</v>
      </c>
      <c r="I20" s="108"/>
      <c r="J20" s="108"/>
      <c r="K20" s="108"/>
      <c r="L20" s="108"/>
      <c r="M20" s="109">
        <f>I20-K20</f>
        <v>0</v>
      </c>
      <c r="N20" s="4" t="str">
        <f>IF(ISERROR(K20/I20),"",K20/I20)</f>
        <v/>
      </c>
      <c r="O20" s="105">
        <f>I20/E20</f>
        <v>0</v>
      </c>
      <c r="P20" s="105">
        <f>K20/E20</f>
        <v>0</v>
      </c>
      <c r="Q20" s="77">
        <v>3</v>
      </c>
      <c r="R20" s="77">
        <v>1</v>
      </c>
      <c r="S20" s="77" t="s">
        <v>1244</v>
      </c>
      <c r="T20" s="5">
        <v>93</v>
      </c>
      <c r="U20" s="9"/>
      <c r="W20" s="104">
        <f t="shared" si="22"/>
        <v>93.6</v>
      </c>
      <c r="X20" s="106">
        <f t="shared" si="22"/>
        <v>28</v>
      </c>
      <c r="Y20" s="102">
        <f t="shared" si="23"/>
        <v>240</v>
      </c>
      <c r="Z20" s="109">
        <f t="shared" si="23"/>
        <v>0</v>
      </c>
      <c r="AA20" s="109">
        <f>K20</f>
        <v>0</v>
      </c>
      <c r="AB20" s="109">
        <f t="shared" si="24"/>
        <v>0</v>
      </c>
      <c r="AC20" s="4" t="str">
        <f t="shared" si="24"/>
        <v/>
      </c>
      <c r="AD20" s="105">
        <f t="shared" si="24"/>
        <v>0</v>
      </c>
      <c r="AE20" s="77" t="str">
        <f>S20</f>
        <v>계</v>
      </c>
      <c r="AF20" s="77" t="str">
        <f>Q20&amp;"/"&amp;R20</f>
        <v>3/1</v>
      </c>
      <c r="AH20" s="20" t="str">
        <f t="shared" si="1"/>
        <v>동아</v>
      </c>
      <c r="AI20" s="106">
        <f t="shared" si="0"/>
        <v>28</v>
      </c>
      <c r="AJ20" s="77" t="str">
        <f>IF(AI20="","",$AJ$2)</f>
        <v>A-</v>
      </c>
      <c r="AK20" s="77" t="s">
        <v>13</v>
      </c>
      <c r="AL20" s="77" t="s">
        <v>1242</v>
      </c>
      <c r="AM20" s="77" t="s">
        <v>1243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/>
      </c>
    </row>
    <row r="21" spans="1:48" x14ac:dyDescent="0.3">
      <c r="A21" s="9" t="s">
        <v>914</v>
      </c>
      <c r="B21" s="10" t="s">
        <v>1325</v>
      </c>
      <c r="C21" s="107">
        <v>702</v>
      </c>
      <c r="D21" s="104">
        <v>103.9</v>
      </c>
      <c r="E21" s="106">
        <v>31</v>
      </c>
      <c r="F21" s="104">
        <v>84.9</v>
      </c>
      <c r="G21" s="17">
        <v>26</v>
      </c>
      <c r="H21" s="107">
        <v>210</v>
      </c>
      <c r="I21" s="108">
        <v>9500</v>
      </c>
      <c r="J21" s="108" t="s">
        <v>1280</v>
      </c>
      <c r="K21" s="108"/>
      <c r="L21" s="108"/>
      <c r="M21" s="109">
        <f>I21-K21</f>
        <v>9500</v>
      </c>
      <c r="N21" s="4">
        <f>IF(ISERROR(K21/I21),"",K21/I21)</f>
        <v>0</v>
      </c>
      <c r="O21" s="105">
        <f>I21/E21</f>
        <v>306.45161290322579</v>
      </c>
      <c r="P21" s="105">
        <f>K21/E21</f>
        <v>0</v>
      </c>
      <c r="Q21" s="77">
        <v>3</v>
      </c>
      <c r="R21" s="77">
        <v>2</v>
      </c>
      <c r="S21" s="77" t="s">
        <v>1244</v>
      </c>
      <c r="T21" s="5">
        <v>103</v>
      </c>
      <c r="U21" s="9"/>
      <c r="W21" s="104">
        <f t="shared" si="22"/>
        <v>103.9</v>
      </c>
      <c r="X21" s="106">
        <f t="shared" si="22"/>
        <v>31</v>
      </c>
      <c r="Y21" s="102">
        <f t="shared" si="23"/>
        <v>210</v>
      </c>
      <c r="Z21" s="109">
        <f t="shared" si="23"/>
        <v>9500</v>
      </c>
      <c r="AA21" s="109">
        <f>K21</f>
        <v>0</v>
      </c>
      <c r="AB21" s="109">
        <f t="shared" si="24"/>
        <v>9500</v>
      </c>
      <c r="AC21" s="4">
        <f t="shared" si="24"/>
        <v>0</v>
      </c>
      <c r="AD21" s="105">
        <f t="shared" si="24"/>
        <v>306.45161290322579</v>
      </c>
      <c r="AE21" s="77" t="str">
        <f>S21</f>
        <v>계</v>
      </c>
      <c r="AF21" s="77" t="str">
        <f>Q21&amp;"/"&amp;R21</f>
        <v>3/2</v>
      </c>
      <c r="AH21" s="20" t="str">
        <f t="shared" si="1"/>
        <v>동아</v>
      </c>
      <c r="AI21" s="106">
        <f t="shared" si="0"/>
        <v>31</v>
      </c>
      <c r="AJ21" s="77" t="str">
        <f>IF(AI21="","",$AJ$2)</f>
        <v>A-</v>
      </c>
      <c r="AK21" s="77" t="s">
        <v>13</v>
      </c>
      <c r="AL21" s="77" t="s">
        <v>1242</v>
      </c>
      <c r="AM21" s="77" t="s">
        <v>1243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O</v>
      </c>
      <c r="AQ21" s="77" t="str">
        <f>IF(O21="","",IF(O21&lt;=$AQ$1,"O","X"))</f>
        <v>O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/>
      <c r="B22" s="77"/>
      <c r="C22" s="6"/>
      <c r="D22" s="9"/>
      <c r="E22" s="14"/>
      <c r="F22" s="104"/>
      <c r="G22" s="9"/>
      <c r="H22" s="9"/>
      <c r="I22" s="9"/>
      <c r="J22" s="9"/>
      <c r="K22" s="9"/>
      <c r="L22" s="9"/>
      <c r="M22" s="9"/>
      <c r="N22" s="9"/>
      <c r="O22" s="105"/>
      <c r="P22" s="105"/>
      <c r="Q22" s="106"/>
      <c r="R22" s="106"/>
      <c r="S22" s="9"/>
      <c r="T22" s="47"/>
      <c r="U22" s="9"/>
      <c r="W22" s="67" t="str">
        <f>$A$4&amp;" "&amp;A23&amp;"("&amp;B23&amp;","&amp;C23&amp;"^)"</f>
        <v>소룡동 소룡진흥('91.05.,499^)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3" t="str">
        <f t="shared" si="0"/>
        <v/>
      </c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</row>
    <row r="23" spans="1:48" x14ac:dyDescent="0.3">
      <c r="A23" s="9" t="s">
        <v>926</v>
      </c>
      <c r="B23" s="10" t="s">
        <v>1326</v>
      </c>
      <c r="C23" s="107">
        <v>499</v>
      </c>
      <c r="D23" s="104">
        <v>57.5</v>
      </c>
      <c r="E23" s="106">
        <v>17</v>
      </c>
      <c r="F23" s="104">
        <v>43.7</v>
      </c>
      <c r="G23" s="17">
        <v>13</v>
      </c>
      <c r="H23" s="107">
        <v>123</v>
      </c>
      <c r="I23" s="108"/>
      <c r="J23" s="108"/>
      <c r="K23" s="108"/>
      <c r="L23" s="108"/>
      <c r="M23" s="109">
        <f t="shared" ref="M23:M29" si="25">I23-K23</f>
        <v>0</v>
      </c>
      <c r="N23" s="4" t="str">
        <f t="shared" ref="N23:N29" si="26">IF(ISERROR(K23/I23),"",K23/I23)</f>
        <v/>
      </c>
      <c r="O23" s="105">
        <f t="shared" ref="O23:O29" si="27">I23/E23</f>
        <v>0</v>
      </c>
      <c r="P23" s="105">
        <f t="shared" ref="P23:P29" si="28">K23/E23</f>
        <v>0</v>
      </c>
      <c r="Q23" s="77">
        <v>2</v>
      </c>
      <c r="R23" s="77">
        <v>1</v>
      </c>
      <c r="S23" s="77" t="s">
        <v>1244</v>
      </c>
      <c r="T23" s="5">
        <v>57</v>
      </c>
      <c r="U23" s="9"/>
      <c r="W23" s="104">
        <f t="shared" ref="W23:X29" si="29">D23</f>
        <v>57.5</v>
      </c>
      <c r="X23" s="106">
        <f t="shared" si="29"/>
        <v>17</v>
      </c>
      <c r="Y23" s="102">
        <f t="shared" ref="Y23:Z29" si="30">H23</f>
        <v>123</v>
      </c>
      <c r="Z23" s="109">
        <f t="shared" si="30"/>
        <v>0</v>
      </c>
      <c r="AA23" s="109">
        <f t="shared" ref="AA23:AA29" si="31">K23</f>
        <v>0</v>
      </c>
      <c r="AB23" s="109">
        <f t="shared" ref="AB23:AD29" si="32">M23</f>
        <v>0</v>
      </c>
      <c r="AC23" s="4" t="str">
        <f t="shared" si="32"/>
        <v/>
      </c>
      <c r="AD23" s="105">
        <f t="shared" si="32"/>
        <v>0</v>
      </c>
      <c r="AE23" s="77" t="str">
        <f t="shared" ref="AE23:AE29" si="33">S23</f>
        <v>계</v>
      </c>
      <c r="AF23" s="77" t="str">
        <f t="shared" ref="AF23:AF29" si="34">Q23&amp;"/"&amp;R23</f>
        <v>2/1</v>
      </c>
      <c r="AH23" s="20" t="str">
        <f t="shared" si="1"/>
        <v>소룡진흥</v>
      </c>
      <c r="AI23" s="106">
        <f t="shared" si="0"/>
        <v>17</v>
      </c>
      <c r="AJ23" s="77" t="str">
        <f t="shared" ref="AJ23:AJ29" si="35">IF(AI23="","",$AJ$2)</f>
        <v>A-</v>
      </c>
      <c r="AK23" s="77" t="s">
        <v>13</v>
      </c>
      <c r="AL23" s="77" t="s">
        <v>1242</v>
      </c>
      <c r="AM23" s="77" t="s">
        <v>1243</v>
      </c>
      <c r="AN23" s="77" t="str">
        <f t="shared" ref="AN23:AN29" si="36">IF(AI23="","",$AN$2)</f>
        <v>C</v>
      </c>
      <c r="AO23" s="77" t="str">
        <f t="shared" ref="AO23:AO29" si="37">IF(N23="","",IF(N23&gt;=$AO$1/100,"O","X"))</f>
        <v/>
      </c>
      <c r="AP23" s="77" t="str">
        <f t="shared" ref="AP23:AP29" si="38">IF(I23="","",IF(I23&lt;=$AP$1,"O","X"))</f>
        <v/>
      </c>
      <c r="AQ23" s="77" t="str">
        <f t="shared" ref="AQ23:AQ29" si="39">IF(O23="","",IF(O23&lt;=$AQ$1,"O","X"))</f>
        <v>O</v>
      </c>
      <c r="AR23" s="77" t="str">
        <f t="shared" ref="AR23:AR29" si="40">IF(M23="","",IF(M23&lt;=$AR$1,"O","X"))</f>
        <v>O</v>
      </c>
      <c r="AS23" s="77" t="s">
        <v>2</v>
      </c>
      <c r="AT23" s="77" t="str">
        <f t="shared" ref="AT23:AT29" si="41">IF(OR(F23="",AI23=""),"",IF(AND((F23&lt;=85),(AI23&gt;=15)),"O","X"))</f>
        <v>O</v>
      </c>
      <c r="AU23" s="77" t="str">
        <f t="shared" ref="AU23:AU29" si="42">IF(C23="","",IF(C23&gt;=$AU$1,"O","X"))</f>
        <v>O</v>
      </c>
      <c r="AV23" s="77" t="str">
        <f t="shared" ref="AV23:AV29" si="43">IF(AO23="","",IF(AND(AO23="O",AP23="O",AR23="O",AT23="O",AU23="O"),"후보","X"))</f>
        <v/>
      </c>
    </row>
    <row r="24" spans="1:48" x14ac:dyDescent="0.3">
      <c r="A24" s="9" t="s">
        <v>926</v>
      </c>
      <c r="B24" s="10" t="s">
        <v>1326</v>
      </c>
      <c r="C24" s="107">
        <v>499</v>
      </c>
      <c r="D24" s="104">
        <v>63.4</v>
      </c>
      <c r="E24" s="106">
        <v>19</v>
      </c>
      <c r="F24" s="104">
        <v>49.3</v>
      </c>
      <c r="G24" s="17">
        <v>15</v>
      </c>
      <c r="H24" s="107">
        <v>50</v>
      </c>
      <c r="I24" s="108">
        <v>3800</v>
      </c>
      <c r="J24" s="108" t="s">
        <v>1250</v>
      </c>
      <c r="K24" s="108"/>
      <c r="L24" s="108"/>
      <c r="M24" s="109">
        <f t="shared" si="25"/>
        <v>3800</v>
      </c>
      <c r="N24" s="4">
        <f t="shared" si="26"/>
        <v>0</v>
      </c>
      <c r="O24" s="105">
        <f t="shared" si="27"/>
        <v>200</v>
      </c>
      <c r="P24" s="105">
        <f t="shared" si="28"/>
        <v>0</v>
      </c>
      <c r="Q24" s="77">
        <v>2</v>
      </c>
      <c r="R24" s="77">
        <v>1</v>
      </c>
      <c r="S24" s="77" t="s">
        <v>1244</v>
      </c>
      <c r="T24" s="5">
        <v>63</v>
      </c>
      <c r="U24" s="9"/>
      <c r="W24" s="104">
        <f t="shared" si="29"/>
        <v>63.4</v>
      </c>
      <c r="X24" s="106">
        <f t="shared" si="29"/>
        <v>19</v>
      </c>
      <c r="Y24" s="102">
        <f t="shared" si="30"/>
        <v>50</v>
      </c>
      <c r="Z24" s="109">
        <f t="shared" si="30"/>
        <v>3800</v>
      </c>
      <c r="AA24" s="109">
        <f t="shared" si="31"/>
        <v>0</v>
      </c>
      <c r="AB24" s="109">
        <f t="shared" si="32"/>
        <v>3800</v>
      </c>
      <c r="AC24" s="4">
        <f t="shared" si="32"/>
        <v>0</v>
      </c>
      <c r="AD24" s="105">
        <f t="shared" si="32"/>
        <v>200</v>
      </c>
      <c r="AE24" s="77" t="str">
        <f t="shared" si="33"/>
        <v>계</v>
      </c>
      <c r="AF24" s="77" t="str">
        <f t="shared" si="34"/>
        <v>2/1</v>
      </c>
      <c r="AH24" s="20" t="str">
        <f t="shared" si="1"/>
        <v>소룡진흥</v>
      </c>
      <c r="AI24" s="106">
        <f t="shared" si="0"/>
        <v>19</v>
      </c>
      <c r="AJ24" s="77" t="str">
        <f t="shared" si="35"/>
        <v>A-</v>
      </c>
      <c r="AK24" s="77" t="s">
        <v>13</v>
      </c>
      <c r="AL24" s="77" t="s">
        <v>1242</v>
      </c>
      <c r="AM24" s="77" t="s">
        <v>1243</v>
      </c>
      <c r="AN24" s="77" t="str">
        <f t="shared" si="36"/>
        <v>C</v>
      </c>
      <c r="AO24" s="77" t="str">
        <f t="shared" si="37"/>
        <v>X</v>
      </c>
      <c r="AP24" s="77" t="str">
        <f t="shared" si="38"/>
        <v>O</v>
      </c>
      <c r="AQ24" s="77" t="str">
        <f t="shared" si="39"/>
        <v>O</v>
      </c>
      <c r="AR24" s="77" t="str">
        <f t="shared" si="40"/>
        <v>O</v>
      </c>
      <c r="AS24" s="77" t="s">
        <v>2</v>
      </c>
      <c r="AT24" s="77" t="str">
        <f t="shared" si="41"/>
        <v>O</v>
      </c>
      <c r="AU24" s="77" t="str">
        <f t="shared" si="42"/>
        <v>O</v>
      </c>
      <c r="AV24" s="77" t="str">
        <f t="shared" si="43"/>
        <v>X</v>
      </c>
    </row>
    <row r="25" spans="1:48" x14ac:dyDescent="0.3">
      <c r="A25" s="9" t="s">
        <v>926</v>
      </c>
      <c r="B25" s="10" t="s">
        <v>1326</v>
      </c>
      <c r="C25" s="107">
        <v>499</v>
      </c>
      <c r="D25" s="104">
        <v>70.2</v>
      </c>
      <c r="E25" s="106">
        <v>21</v>
      </c>
      <c r="F25" s="104">
        <v>59.2</v>
      </c>
      <c r="G25" s="17">
        <v>18</v>
      </c>
      <c r="H25" s="107">
        <v>25</v>
      </c>
      <c r="I25" s="108"/>
      <c r="J25" s="108"/>
      <c r="K25" s="108"/>
      <c r="L25" s="108"/>
      <c r="M25" s="109">
        <f t="shared" si="25"/>
        <v>0</v>
      </c>
      <c r="N25" s="4" t="str">
        <f t="shared" si="26"/>
        <v/>
      </c>
      <c r="O25" s="105">
        <f t="shared" si="27"/>
        <v>0</v>
      </c>
      <c r="P25" s="105">
        <f t="shared" si="28"/>
        <v>0</v>
      </c>
      <c r="Q25" s="77">
        <v>2</v>
      </c>
      <c r="R25" s="77">
        <v>1</v>
      </c>
      <c r="S25" s="77" t="s">
        <v>1244</v>
      </c>
      <c r="T25" s="5">
        <v>70</v>
      </c>
      <c r="U25" s="9"/>
      <c r="W25" s="104">
        <f t="shared" si="29"/>
        <v>70.2</v>
      </c>
      <c r="X25" s="106">
        <f t="shared" si="29"/>
        <v>21</v>
      </c>
      <c r="Y25" s="102">
        <f t="shared" si="30"/>
        <v>25</v>
      </c>
      <c r="Z25" s="109">
        <f t="shared" si="30"/>
        <v>0</v>
      </c>
      <c r="AA25" s="109">
        <f t="shared" si="31"/>
        <v>0</v>
      </c>
      <c r="AB25" s="109">
        <f t="shared" si="32"/>
        <v>0</v>
      </c>
      <c r="AC25" s="4" t="str">
        <f t="shared" si="32"/>
        <v/>
      </c>
      <c r="AD25" s="105">
        <f t="shared" si="32"/>
        <v>0</v>
      </c>
      <c r="AE25" s="77" t="str">
        <f t="shared" si="33"/>
        <v>계</v>
      </c>
      <c r="AF25" s="77" t="str">
        <f t="shared" si="34"/>
        <v>2/1</v>
      </c>
      <c r="AH25" s="20" t="str">
        <f t="shared" si="1"/>
        <v>소룡진흥</v>
      </c>
      <c r="AI25" s="106">
        <f t="shared" si="0"/>
        <v>21</v>
      </c>
      <c r="AJ25" s="77" t="str">
        <f t="shared" si="35"/>
        <v>A-</v>
      </c>
      <c r="AK25" s="77" t="s">
        <v>13</v>
      </c>
      <c r="AL25" s="77" t="s">
        <v>1242</v>
      </c>
      <c r="AM25" s="77" t="s">
        <v>1243</v>
      </c>
      <c r="AN25" s="77" t="str">
        <f t="shared" si="36"/>
        <v>C</v>
      </c>
      <c r="AO25" s="77" t="str">
        <f t="shared" si="37"/>
        <v/>
      </c>
      <c r="AP25" s="77" t="str">
        <f t="shared" si="38"/>
        <v/>
      </c>
      <c r="AQ25" s="77" t="str">
        <f t="shared" si="39"/>
        <v>O</v>
      </c>
      <c r="AR25" s="77" t="str">
        <f t="shared" si="40"/>
        <v>O</v>
      </c>
      <c r="AS25" s="77" t="s">
        <v>2</v>
      </c>
      <c r="AT25" s="77" t="str">
        <f t="shared" si="41"/>
        <v>O</v>
      </c>
      <c r="AU25" s="77" t="str">
        <f t="shared" si="42"/>
        <v>O</v>
      </c>
      <c r="AV25" s="77" t="str">
        <f t="shared" si="43"/>
        <v/>
      </c>
    </row>
    <row r="26" spans="1:48" x14ac:dyDescent="0.3">
      <c r="A26" s="9" t="s">
        <v>926</v>
      </c>
      <c r="B26" s="10" t="s">
        <v>1326</v>
      </c>
      <c r="C26" s="107">
        <v>499</v>
      </c>
      <c r="D26" s="104">
        <v>78.400000000000006</v>
      </c>
      <c r="E26" s="106">
        <v>24</v>
      </c>
      <c r="F26" s="104">
        <v>59.8</v>
      </c>
      <c r="G26" s="17">
        <v>18</v>
      </c>
      <c r="H26" s="107">
        <v>48</v>
      </c>
      <c r="I26" s="108">
        <v>5350</v>
      </c>
      <c r="J26" s="108" t="s">
        <v>1250</v>
      </c>
      <c r="K26" s="108"/>
      <c r="L26" s="108"/>
      <c r="M26" s="109">
        <f t="shared" si="25"/>
        <v>5350</v>
      </c>
      <c r="N26" s="4">
        <f t="shared" si="26"/>
        <v>0</v>
      </c>
      <c r="O26" s="105">
        <f t="shared" si="27"/>
        <v>222.91666666666666</v>
      </c>
      <c r="P26" s="105">
        <f t="shared" si="28"/>
        <v>0</v>
      </c>
      <c r="Q26" s="77">
        <v>3</v>
      </c>
      <c r="R26" s="77">
        <v>1</v>
      </c>
      <c r="S26" s="77" t="s">
        <v>1241</v>
      </c>
      <c r="T26" s="5" t="s">
        <v>724</v>
      </c>
      <c r="U26" s="9"/>
      <c r="W26" s="104">
        <f t="shared" si="29"/>
        <v>78.400000000000006</v>
      </c>
      <c r="X26" s="106">
        <f t="shared" si="29"/>
        <v>24</v>
      </c>
      <c r="Y26" s="102">
        <f t="shared" si="30"/>
        <v>48</v>
      </c>
      <c r="Z26" s="109">
        <f t="shared" si="30"/>
        <v>5350</v>
      </c>
      <c r="AA26" s="109">
        <f t="shared" si="31"/>
        <v>0</v>
      </c>
      <c r="AB26" s="109">
        <f t="shared" si="32"/>
        <v>5350</v>
      </c>
      <c r="AC26" s="4">
        <f t="shared" si="32"/>
        <v>0</v>
      </c>
      <c r="AD26" s="105">
        <f t="shared" si="32"/>
        <v>222.91666666666666</v>
      </c>
      <c r="AE26" s="77" t="str">
        <f t="shared" si="33"/>
        <v>복</v>
      </c>
      <c r="AF26" s="77" t="str">
        <f t="shared" si="34"/>
        <v>3/1</v>
      </c>
      <c r="AH26" s="20" t="str">
        <f t="shared" si="1"/>
        <v>소룡진흥</v>
      </c>
      <c r="AI26" s="106">
        <f t="shared" si="0"/>
        <v>24</v>
      </c>
      <c r="AJ26" s="77" t="str">
        <f t="shared" si="35"/>
        <v>A-</v>
      </c>
      <c r="AK26" s="77" t="s">
        <v>13</v>
      </c>
      <c r="AL26" s="77" t="s">
        <v>1242</v>
      </c>
      <c r="AM26" s="77" t="s">
        <v>1243</v>
      </c>
      <c r="AN26" s="77" t="str">
        <f t="shared" si="36"/>
        <v>C</v>
      </c>
      <c r="AO26" s="77" t="str">
        <f t="shared" si="37"/>
        <v>X</v>
      </c>
      <c r="AP26" s="77" t="str">
        <f t="shared" si="38"/>
        <v>O</v>
      </c>
      <c r="AQ26" s="77" t="str">
        <f t="shared" si="39"/>
        <v>O</v>
      </c>
      <c r="AR26" s="77" t="str">
        <f t="shared" si="40"/>
        <v>X</v>
      </c>
      <c r="AS26" s="77" t="s">
        <v>2</v>
      </c>
      <c r="AT26" s="77" t="str">
        <f t="shared" si="41"/>
        <v>O</v>
      </c>
      <c r="AU26" s="77" t="str">
        <f t="shared" si="42"/>
        <v>O</v>
      </c>
      <c r="AV26" s="77" t="str">
        <f t="shared" si="43"/>
        <v>X</v>
      </c>
    </row>
    <row r="27" spans="1:48" x14ac:dyDescent="0.3">
      <c r="A27" s="9" t="s">
        <v>926</v>
      </c>
      <c r="B27" s="10" t="s">
        <v>1326</v>
      </c>
      <c r="C27" s="107">
        <v>499</v>
      </c>
      <c r="D27" s="104">
        <v>80.7</v>
      </c>
      <c r="E27" s="106">
        <v>24</v>
      </c>
      <c r="F27" s="104">
        <v>68.099999999999994</v>
      </c>
      <c r="G27" s="17">
        <v>21</v>
      </c>
      <c r="H27" s="107">
        <v>25</v>
      </c>
      <c r="I27" s="108"/>
      <c r="J27" s="108"/>
      <c r="K27" s="108"/>
      <c r="L27" s="108"/>
      <c r="M27" s="109">
        <f t="shared" si="25"/>
        <v>0</v>
      </c>
      <c r="N27" s="4" t="str">
        <f t="shared" si="26"/>
        <v/>
      </c>
      <c r="O27" s="105">
        <f t="shared" si="27"/>
        <v>0</v>
      </c>
      <c r="P27" s="105">
        <f t="shared" si="28"/>
        <v>0</v>
      </c>
      <c r="Q27" s="77">
        <v>3</v>
      </c>
      <c r="R27" s="77">
        <v>1</v>
      </c>
      <c r="S27" s="77" t="s">
        <v>1244</v>
      </c>
      <c r="T27" s="5" t="s">
        <v>176</v>
      </c>
      <c r="U27" s="9"/>
      <c r="W27" s="104">
        <f t="shared" si="29"/>
        <v>80.7</v>
      </c>
      <c r="X27" s="106">
        <f t="shared" si="29"/>
        <v>24</v>
      </c>
      <c r="Y27" s="102">
        <f t="shared" si="30"/>
        <v>25</v>
      </c>
      <c r="Z27" s="109">
        <f t="shared" si="30"/>
        <v>0</v>
      </c>
      <c r="AA27" s="109">
        <f t="shared" si="31"/>
        <v>0</v>
      </c>
      <c r="AB27" s="109">
        <f t="shared" si="32"/>
        <v>0</v>
      </c>
      <c r="AC27" s="4" t="str">
        <f t="shared" si="32"/>
        <v/>
      </c>
      <c r="AD27" s="105">
        <f t="shared" si="32"/>
        <v>0</v>
      </c>
      <c r="AE27" s="77" t="str">
        <f t="shared" si="33"/>
        <v>계</v>
      </c>
      <c r="AF27" s="77" t="str">
        <f t="shared" si="34"/>
        <v>3/1</v>
      </c>
      <c r="AH27" s="20" t="str">
        <f t="shared" si="1"/>
        <v>소룡진흥</v>
      </c>
      <c r="AI27" s="106">
        <f t="shared" si="0"/>
        <v>24</v>
      </c>
      <c r="AJ27" s="77" t="str">
        <f t="shared" si="35"/>
        <v>A-</v>
      </c>
      <c r="AK27" s="77" t="s">
        <v>13</v>
      </c>
      <c r="AL27" s="77" t="s">
        <v>1242</v>
      </c>
      <c r="AM27" s="77" t="s">
        <v>1243</v>
      </c>
      <c r="AN27" s="77" t="str">
        <f t="shared" si="36"/>
        <v>C</v>
      </c>
      <c r="AO27" s="77" t="str">
        <f t="shared" si="37"/>
        <v/>
      </c>
      <c r="AP27" s="77" t="str">
        <f t="shared" si="38"/>
        <v/>
      </c>
      <c r="AQ27" s="77" t="str">
        <f t="shared" si="39"/>
        <v>O</v>
      </c>
      <c r="AR27" s="77" t="str">
        <f t="shared" si="40"/>
        <v>O</v>
      </c>
      <c r="AS27" s="77" t="s">
        <v>2</v>
      </c>
      <c r="AT27" s="77" t="str">
        <f t="shared" si="41"/>
        <v>O</v>
      </c>
      <c r="AU27" s="77" t="str">
        <f t="shared" si="42"/>
        <v>O</v>
      </c>
      <c r="AV27" s="77" t="str">
        <f t="shared" si="43"/>
        <v/>
      </c>
    </row>
    <row r="28" spans="1:48" x14ac:dyDescent="0.3">
      <c r="A28" s="9" t="s">
        <v>926</v>
      </c>
      <c r="B28" s="10" t="s">
        <v>1326</v>
      </c>
      <c r="C28" s="107">
        <v>499</v>
      </c>
      <c r="D28" s="104">
        <v>88.3</v>
      </c>
      <c r="E28" s="106">
        <v>27</v>
      </c>
      <c r="F28" s="104">
        <v>72</v>
      </c>
      <c r="G28" s="17">
        <v>22</v>
      </c>
      <c r="H28" s="107">
        <v>128</v>
      </c>
      <c r="I28" s="108">
        <v>6700</v>
      </c>
      <c r="J28" s="108" t="s">
        <v>1280</v>
      </c>
      <c r="K28" s="108"/>
      <c r="L28" s="108"/>
      <c r="M28" s="109">
        <f t="shared" si="25"/>
        <v>6700</v>
      </c>
      <c r="N28" s="4">
        <f t="shared" si="26"/>
        <v>0</v>
      </c>
      <c r="O28" s="105">
        <f t="shared" si="27"/>
        <v>248.14814814814815</v>
      </c>
      <c r="P28" s="105">
        <f t="shared" si="28"/>
        <v>0</v>
      </c>
      <c r="Q28" s="77">
        <v>3</v>
      </c>
      <c r="R28" s="77">
        <v>2</v>
      </c>
      <c r="S28" s="77" t="s">
        <v>1244</v>
      </c>
      <c r="T28" s="5">
        <v>88</v>
      </c>
      <c r="U28" s="9"/>
      <c r="W28" s="104">
        <f t="shared" si="29"/>
        <v>88.3</v>
      </c>
      <c r="X28" s="106">
        <f t="shared" si="29"/>
        <v>27</v>
      </c>
      <c r="Y28" s="102">
        <f t="shared" si="30"/>
        <v>128</v>
      </c>
      <c r="Z28" s="109">
        <f t="shared" si="30"/>
        <v>6700</v>
      </c>
      <c r="AA28" s="109">
        <f t="shared" si="31"/>
        <v>0</v>
      </c>
      <c r="AB28" s="109">
        <f t="shared" si="32"/>
        <v>6700</v>
      </c>
      <c r="AC28" s="4">
        <f t="shared" si="32"/>
        <v>0</v>
      </c>
      <c r="AD28" s="105">
        <f t="shared" si="32"/>
        <v>248.14814814814815</v>
      </c>
      <c r="AE28" s="77" t="str">
        <f t="shared" si="33"/>
        <v>계</v>
      </c>
      <c r="AF28" s="77" t="str">
        <f t="shared" si="34"/>
        <v>3/2</v>
      </c>
      <c r="AH28" s="20" t="str">
        <f t="shared" si="1"/>
        <v>소룡진흥</v>
      </c>
      <c r="AI28" s="106">
        <f t="shared" si="0"/>
        <v>27</v>
      </c>
      <c r="AJ28" s="77" t="str">
        <f t="shared" si="35"/>
        <v>A-</v>
      </c>
      <c r="AK28" s="77" t="s">
        <v>13</v>
      </c>
      <c r="AL28" s="77" t="s">
        <v>1242</v>
      </c>
      <c r="AM28" s="77" t="s">
        <v>1243</v>
      </c>
      <c r="AN28" s="77" t="str">
        <f t="shared" si="36"/>
        <v>C</v>
      </c>
      <c r="AO28" s="77" t="str">
        <f t="shared" si="37"/>
        <v>X</v>
      </c>
      <c r="AP28" s="77" t="str">
        <f t="shared" si="38"/>
        <v>O</v>
      </c>
      <c r="AQ28" s="77" t="str">
        <f t="shared" si="39"/>
        <v>O</v>
      </c>
      <c r="AR28" s="77" t="str">
        <f t="shared" si="40"/>
        <v>X</v>
      </c>
      <c r="AS28" s="77" t="s">
        <v>2</v>
      </c>
      <c r="AT28" s="77" t="str">
        <f t="shared" si="41"/>
        <v>O</v>
      </c>
      <c r="AU28" s="77" t="str">
        <f t="shared" si="42"/>
        <v>O</v>
      </c>
      <c r="AV28" s="77" t="str">
        <f t="shared" si="43"/>
        <v>X</v>
      </c>
    </row>
    <row r="29" spans="1:48" x14ac:dyDescent="0.3">
      <c r="A29" s="9" t="s">
        <v>926</v>
      </c>
      <c r="B29" s="10" t="s">
        <v>1326</v>
      </c>
      <c r="C29" s="107">
        <v>499</v>
      </c>
      <c r="D29" s="104">
        <v>102.8</v>
      </c>
      <c r="E29" s="106">
        <v>31</v>
      </c>
      <c r="F29" s="104">
        <v>85</v>
      </c>
      <c r="G29" s="17">
        <v>26</v>
      </c>
      <c r="H29" s="107">
        <v>100</v>
      </c>
      <c r="I29" s="108"/>
      <c r="J29" s="108"/>
      <c r="K29" s="108"/>
      <c r="L29" s="108"/>
      <c r="M29" s="109">
        <f t="shared" si="25"/>
        <v>0</v>
      </c>
      <c r="N29" s="4" t="str">
        <f t="shared" si="26"/>
        <v/>
      </c>
      <c r="O29" s="105">
        <f t="shared" si="27"/>
        <v>0</v>
      </c>
      <c r="P29" s="105">
        <f t="shared" si="28"/>
        <v>0</v>
      </c>
      <c r="Q29" s="77">
        <v>3</v>
      </c>
      <c r="R29" s="77">
        <v>2</v>
      </c>
      <c r="S29" s="77" t="s">
        <v>1244</v>
      </c>
      <c r="T29" s="5">
        <v>102</v>
      </c>
      <c r="U29" s="9"/>
      <c r="W29" s="104">
        <f t="shared" si="29"/>
        <v>102.8</v>
      </c>
      <c r="X29" s="106">
        <f t="shared" si="29"/>
        <v>31</v>
      </c>
      <c r="Y29" s="102">
        <f t="shared" si="30"/>
        <v>100</v>
      </c>
      <c r="Z29" s="109">
        <f t="shared" si="30"/>
        <v>0</v>
      </c>
      <c r="AA29" s="109">
        <f t="shared" si="31"/>
        <v>0</v>
      </c>
      <c r="AB29" s="109">
        <f t="shared" si="32"/>
        <v>0</v>
      </c>
      <c r="AC29" s="4" t="str">
        <f t="shared" si="32"/>
        <v/>
      </c>
      <c r="AD29" s="105">
        <f t="shared" si="32"/>
        <v>0</v>
      </c>
      <c r="AE29" s="77" t="str">
        <f t="shared" si="33"/>
        <v>계</v>
      </c>
      <c r="AF29" s="77" t="str">
        <f t="shared" si="34"/>
        <v>3/2</v>
      </c>
      <c r="AH29" s="20" t="str">
        <f t="shared" si="1"/>
        <v>소룡진흥</v>
      </c>
      <c r="AI29" s="106">
        <f t="shared" si="0"/>
        <v>31</v>
      </c>
      <c r="AJ29" s="77" t="str">
        <f t="shared" si="35"/>
        <v>A-</v>
      </c>
      <c r="AK29" s="77" t="s">
        <v>13</v>
      </c>
      <c r="AL29" s="77" t="s">
        <v>1242</v>
      </c>
      <c r="AM29" s="77" t="s">
        <v>1243</v>
      </c>
      <c r="AN29" s="77" t="str">
        <f t="shared" si="36"/>
        <v>C</v>
      </c>
      <c r="AO29" s="77" t="str">
        <f t="shared" si="37"/>
        <v/>
      </c>
      <c r="AP29" s="77" t="str">
        <f t="shared" si="38"/>
        <v/>
      </c>
      <c r="AQ29" s="77" t="str">
        <f t="shared" si="39"/>
        <v>O</v>
      </c>
      <c r="AR29" s="77" t="str">
        <f t="shared" si="40"/>
        <v>O</v>
      </c>
      <c r="AS29" s="77" t="s">
        <v>2</v>
      </c>
      <c r="AT29" s="77" t="str">
        <f t="shared" si="41"/>
        <v>O</v>
      </c>
      <c r="AU29" s="77" t="str">
        <f t="shared" si="42"/>
        <v>O</v>
      </c>
      <c r="AV29" s="77" t="str">
        <f t="shared" si="43"/>
        <v/>
      </c>
    </row>
    <row r="30" spans="1:48" x14ac:dyDescent="0.3">
      <c r="A30" s="9"/>
      <c r="B30" s="77"/>
      <c r="C30" s="6"/>
      <c r="D30" s="9"/>
      <c r="E30" s="14"/>
      <c r="F30" s="104"/>
      <c r="G30" s="9"/>
      <c r="H30" s="9"/>
      <c r="I30" s="9"/>
      <c r="J30" s="9"/>
      <c r="K30" s="9"/>
      <c r="L30" s="9"/>
      <c r="M30" s="9"/>
      <c r="N30" s="9"/>
      <c r="O30" s="105"/>
      <c r="P30" s="105"/>
      <c r="Q30" s="106"/>
      <c r="R30" s="106"/>
      <c r="S30" s="9"/>
      <c r="T30" s="47"/>
      <c r="U30" s="9"/>
      <c r="W30" s="67" t="str">
        <f>$A$4&amp;" "&amp;A31&amp;"("&amp;B31&amp;","&amp;C31&amp;"^)"</f>
        <v>소룡동 스카이타운('08.08.,398^)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3" t="str">
        <f t="shared" si="0"/>
        <v/>
      </c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</row>
    <row r="31" spans="1:48" x14ac:dyDescent="0.3">
      <c r="A31" s="9" t="s">
        <v>931</v>
      </c>
      <c r="B31" s="10" t="s">
        <v>1284</v>
      </c>
      <c r="C31" s="107">
        <v>398</v>
      </c>
      <c r="D31" s="104">
        <v>41.3</v>
      </c>
      <c r="E31" s="106">
        <v>12</v>
      </c>
      <c r="F31" s="104">
        <v>31.8</v>
      </c>
      <c r="G31" s="17">
        <v>10</v>
      </c>
      <c r="H31" s="107">
        <v>390</v>
      </c>
      <c r="I31" s="108"/>
      <c r="J31" s="108"/>
      <c r="K31" s="108"/>
      <c r="L31" s="108"/>
      <c r="M31" s="109">
        <f>I31-K31</f>
        <v>0</v>
      </c>
      <c r="N31" s="4" t="str">
        <f>IF(ISERROR(K31/I31),"",K31/I31)</f>
        <v/>
      </c>
      <c r="O31" s="105">
        <f>I31/E31</f>
        <v>0</v>
      </c>
      <c r="P31" s="105">
        <f>K31/E31</f>
        <v>0</v>
      </c>
      <c r="Q31" s="77">
        <v>1</v>
      </c>
      <c r="R31" s="77">
        <v>1</v>
      </c>
      <c r="S31" s="77" t="s">
        <v>1241</v>
      </c>
      <c r="T31" s="5">
        <v>41</v>
      </c>
      <c r="U31" s="9"/>
      <c r="W31" s="104">
        <f>D31</f>
        <v>41.3</v>
      </c>
      <c r="X31" s="106">
        <f>E31</f>
        <v>12</v>
      </c>
      <c r="Y31" s="102">
        <f>H31</f>
        <v>390</v>
      </c>
      <c r="Z31" s="109">
        <f>I31</f>
        <v>0</v>
      </c>
      <c r="AA31" s="109">
        <f>K31</f>
        <v>0</v>
      </c>
      <c r="AB31" s="109">
        <f t="shared" ref="AB31:AD32" si="44">M31</f>
        <v>0</v>
      </c>
      <c r="AC31" s="4" t="str">
        <f t="shared" si="44"/>
        <v/>
      </c>
      <c r="AD31" s="105">
        <f t="shared" si="44"/>
        <v>0</v>
      </c>
      <c r="AE31" s="77" t="str">
        <f>S31</f>
        <v>복</v>
      </c>
      <c r="AF31" s="77" t="str">
        <f>Q31&amp;"/"&amp;R31</f>
        <v>1/1</v>
      </c>
      <c r="AH31" s="20" t="str">
        <f t="shared" si="1"/>
        <v>스카이타운</v>
      </c>
      <c r="AI31" s="106">
        <f t="shared" si="0"/>
        <v>12</v>
      </c>
      <c r="AJ31" s="77" t="str">
        <f>IF(AI31="","",$AJ$2)</f>
        <v>A-</v>
      </c>
      <c r="AK31" s="77" t="s">
        <v>13</v>
      </c>
      <c r="AL31" s="77" t="s">
        <v>1242</v>
      </c>
      <c r="AM31" s="77" t="s">
        <v>1243</v>
      </c>
      <c r="AN31" s="77" t="str">
        <f>IF(AI31="","",$AN$2)</f>
        <v>C</v>
      </c>
      <c r="AO31" s="77" t="str">
        <f>IF(N31="","",IF(N31&gt;=$AO$1/100,"O","X"))</f>
        <v/>
      </c>
      <c r="AP31" s="77" t="str">
        <f>IF(I31="","",IF(I31&lt;=$AP$1,"O","X"))</f>
        <v/>
      </c>
      <c r="AQ31" s="77" t="str">
        <f>IF(O31="","",IF(O31&lt;=$AQ$1,"O","X"))</f>
        <v>O</v>
      </c>
      <c r="AR31" s="77" t="str">
        <f>IF(M31="","",IF(M31&lt;=$AR$1,"O","X"))</f>
        <v>O</v>
      </c>
      <c r="AS31" s="77" t="s">
        <v>2</v>
      </c>
      <c r="AT31" s="77" t="str">
        <f>IF(OR(F31="",AI31=""),"",IF(AND((F31&lt;=85),(AI31&gt;=15)),"O","X"))</f>
        <v>X</v>
      </c>
      <c r="AU31" s="77" t="str">
        <f>IF(C31="","",IF(C31&gt;=$AU$1,"O","X"))</f>
        <v>O</v>
      </c>
      <c r="AV31" s="77" t="str">
        <f>IF(AO31="","",IF(AND(AO31="O",AP31="O",AR31="O",AT31="O",AU31="O"),"후보","X"))</f>
        <v/>
      </c>
    </row>
    <row r="32" spans="1:48" x14ac:dyDescent="0.3">
      <c r="A32" s="9" t="s">
        <v>931</v>
      </c>
      <c r="B32" s="10" t="s">
        <v>1284</v>
      </c>
      <c r="C32" s="107">
        <v>398</v>
      </c>
      <c r="D32" s="104">
        <v>53.8</v>
      </c>
      <c r="E32" s="106">
        <v>16</v>
      </c>
      <c r="F32" s="104">
        <v>41.5</v>
      </c>
      <c r="G32" s="17">
        <v>13</v>
      </c>
      <c r="H32" s="107">
        <v>8</v>
      </c>
      <c r="I32" s="108"/>
      <c r="J32" s="108"/>
      <c r="K32" s="108"/>
      <c r="L32" s="108"/>
      <c r="M32" s="109">
        <f>I32-K32</f>
        <v>0</v>
      </c>
      <c r="N32" s="4" t="str">
        <f>IF(ISERROR(K32/I32),"",K32/I32)</f>
        <v/>
      </c>
      <c r="O32" s="105">
        <f>I32/E32</f>
        <v>0</v>
      </c>
      <c r="P32" s="105">
        <f>K32/E32</f>
        <v>0</v>
      </c>
      <c r="Q32" s="77">
        <v>2</v>
      </c>
      <c r="R32" s="77">
        <v>1</v>
      </c>
      <c r="S32" s="77" t="s">
        <v>1241</v>
      </c>
      <c r="T32" s="5">
        <v>53</v>
      </c>
      <c r="U32" s="9"/>
      <c r="W32" s="104">
        <f>D32</f>
        <v>53.8</v>
      </c>
      <c r="X32" s="106">
        <f>E32</f>
        <v>16</v>
      </c>
      <c r="Y32" s="102">
        <f>H32</f>
        <v>8</v>
      </c>
      <c r="Z32" s="109">
        <f>I32</f>
        <v>0</v>
      </c>
      <c r="AA32" s="109">
        <f>K32</f>
        <v>0</v>
      </c>
      <c r="AB32" s="109">
        <f t="shared" si="44"/>
        <v>0</v>
      </c>
      <c r="AC32" s="4" t="str">
        <f t="shared" si="44"/>
        <v/>
      </c>
      <c r="AD32" s="105">
        <f t="shared" si="44"/>
        <v>0</v>
      </c>
      <c r="AE32" s="77" t="str">
        <f>S32</f>
        <v>복</v>
      </c>
      <c r="AF32" s="77" t="str">
        <f>Q32&amp;"/"&amp;R32</f>
        <v>2/1</v>
      </c>
      <c r="AH32" s="20" t="str">
        <f t="shared" si="1"/>
        <v>스카이타운</v>
      </c>
      <c r="AI32" s="106">
        <f t="shared" si="0"/>
        <v>16</v>
      </c>
      <c r="AJ32" s="77" t="str">
        <f>IF(AI32="","",$AJ$2)</f>
        <v>A-</v>
      </c>
      <c r="AK32" s="77" t="s">
        <v>13</v>
      </c>
      <c r="AL32" s="77" t="s">
        <v>1242</v>
      </c>
      <c r="AM32" s="77" t="s">
        <v>1243</v>
      </c>
      <c r="AN32" s="77" t="str">
        <f>IF(AI32="","",$AN$2)</f>
        <v>C</v>
      </c>
      <c r="AO32" s="77" t="str">
        <f>IF(N32="","",IF(N32&gt;=$AO$1/100,"O","X"))</f>
        <v/>
      </c>
      <c r="AP32" s="77" t="str">
        <f>IF(I32="","",IF(I32&lt;=$AP$1,"O","X"))</f>
        <v/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/>
      </c>
    </row>
    <row r="33" spans="1:48" x14ac:dyDescent="0.3">
      <c r="A33" s="9"/>
      <c r="B33" s="77"/>
      <c r="C33" s="6"/>
      <c r="D33" s="9"/>
      <c r="E33" s="14"/>
      <c r="F33" s="104"/>
      <c r="G33" s="9"/>
      <c r="H33" s="9"/>
      <c r="I33" s="9"/>
      <c r="J33" s="9"/>
      <c r="K33" s="9"/>
      <c r="L33" s="9"/>
      <c r="M33" s="9"/>
      <c r="N33" s="9"/>
      <c r="O33" s="105"/>
      <c r="P33" s="105"/>
      <c r="Q33" s="106"/>
      <c r="R33" s="106"/>
      <c r="S33" s="9"/>
      <c r="T33" s="47"/>
      <c r="U33" s="9"/>
      <c r="W33" s="67" t="str">
        <f>$A$4&amp;" "&amp;A34&amp;"("&amp;B34&amp;","&amp;C34&amp;"^)"</f>
        <v>소룡동 소룡제이파크('06.06.,972^)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3" t="str">
        <f t="shared" si="0"/>
        <v/>
      </c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</row>
    <row r="34" spans="1:48" x14ac:dyDescent="0.3">
      <c r="A34" s="9" t="s">
        <v>946</v>
      </c>
      <c r="B34" s="10" t="s">
        <v>1302</v>
      </c>
      <c r="C34" s="107">
        <v>972</v>
      </c>
      <c r="D34" s="104">
        <v>77.7</v>
      </c>
      <c r="E34" s="106">
        <v>23</v>
      </c>
      <c r="F34" s="104">
        <v>59.6</v>
      </c>
      <c r="G34" s="17">
        <v>18</v>
      </c>
      <c r="H34" s="107">
        <v>144</v>
      </c>
      <c r="I34" s="108"/>
      <c r="J34" s="108"/>
      <c r="K34" s="108"/>
      <c r="L34" s="108"/>
      <c r="M34" s="109">
        <f>I34-K34</f>
        <v>0</v>
      </c>
      <c r="N34" s="4" t="str">
        <f>IF(ISERROR(K34/I34),"",K34/I34)</f>
        <v/>
      </c>
      <c r="O34" s="105">
        <f>I34/E34</f>
        <v>0</v>
      </c>
      <c r="P34" s="105">
        <f>K34/E34</f>
        <v>0</v>
      </c>
      <c r="Q34" s="77">
        <v>2</v>
      </c>
      <c r="R34" s="77">
        <v>1</v>
      </c>
      <c r="S34" s="77" t="s">
        <v>1244</v>
      </c>
      <c r="T34" s="5" t="s">
        <v>654</v>
      </c>
      <c r="U34" s="9"/>
      <c r="W34" s="104">
        <f t="shared" ref="W34:X36" si="45">D34</f>
        <v>77.7</v>
      </c>
      <c r="X34" s="106">
        <f t="shared" si="45"/>
        <v>23</v>
      </c>
      <c r="Y34" s="102">
        <f t="shared" ref="Y34:Z36" si="46">H34</f>
        <v>144</v>
      </c>
      <c r="Z34" s="109">
        <f t="shared" si="46"/>
        <v>0</v>
      </c>
      <c r="AA34" s="109">
        <f>K34</f>
        <v>0</v>
      </c>
      <c r="AB34" s="109">
        <f t="shared" ref="AB34:AD36" si="47">M34</f>
        <v>0</v>
      </c>
      <c r="AC34" s="4" t="str">
        <f t="shared" si="47"/>
        <v/>
      </c>
      <c r="AD34" s="105">
        <f t="shared" si="47"/>
        <v>0</v>
      </c>
      <c r="AE34" s="77" t="str">
        <f>S34</f>
        <v>계</v>
      </c>
      <c r="AF34" s="77" t="str">
        <f>Q34&amp;"/"&amp;R34</f>
        <v>2/1</v>
      </c>
      <c r="AH34" s="20" t="str">
        <f t="shared" si="1"/>
        <v>소룡제이파크</v>
      </c>
      <c r="AI34" s="106">
        <f t="shared" si="0"/>
        <v>23</v>
      </c>
      <c r="AJ34" s="77" t="str">
        <f>IF(AI34="","",$AJ$2)</f>
        <v>A-</v>
      </c>
      <c r="AK34" s="77" t="s">
        <v>13</v>
      </c>
      <c r="AL34" s="77" t="s">
        <v>1242</v>
      </c>
      <c r="AM34" s="77" t="s">
        <v>1243</v>
      </c>
      <c r="AN34" s="77" t="str">
        <f>IF(AI34="","",$AN$2)</f>
        <v>C</v>
      </c>
      <c r="AO34" s="77" t="str">
        <f>IF(N34="","",IF(N34&gt;=$AO$1/100,"O","X"))</f>
        <v/>
      </c>
      <c r="AP34" s="77" t="str">
        <f>IF(I34="","",IF(I34&lt;=$AP$1,"O","X"))</f>
        <v/>
      </c>
      <c r="AQ34" s="77" t="str">
        <f>IF(O34="","",IF(O34&lt;=$AQ$1,"O","X"))</f>
        <v>O</v>
      </c>
      <c r="AR34" s="77" t="str">
        <f>IF(M34="","",IF(M34&lt;=$AR$1,"O","X"))</f>
        <v>O</v>
      </c>
      <c r="AS34" s="77" t="s">
        <v>2</v>
      </c>
      <c r="AT34" s="77" t="str">
        <f>IF(OR(F34="",AI34=""),"",IF(AND((F34&lt;=85),(AI34&gt;=15)),"O","X"))</f>
        <v>O</v>
      </c>
      <c r="AU34" s="77" t="str">
        <f>IF(C34="","",IF(C34&gt;=$AU$1,"O","X"))</f>
        <v>O</v>
      </c>
      <c r="AV34" s="77" t="str">
        <f>IF(AO34="","",IF(AND(AO34="O",AP34="O",AR34="O",AT34="O",AU34="O"),"후보","X"))</f>
        <v/>
      </c>
    </row>
    <row r="35" spans="1:48" x14ac:dyDescent="0.3">
      <c r="A35" s="9" t="s">
        <v>946</v>
      </c>
      <c r="B35" s="10" t="s">
        <v>1302</v>
      </c>
      <c r="C35" s="107">
        <v>972</v>
      </c>
      <c r="D35" s="104">
        <v>78.8</v>
      </c>
      <c r="E35" s="106">
        <v>24</v>
      </c>
      <c r="F35" s="104">
        <v>60</v>
      </c>
      <c r="G35" s="17">
        <v>18</v>
      </c>
      <c r="H35" s="107">
        <v>252</v>
      </c>
      <c r="I35" s="108">
        <v>9700</v>
      </c>
      <c r="J35" s="108" t="s">
        <v>1245</v>
      </c>
      <c r="K35" s="108"/>
      <c r="L35" s="108"/>
      <c r="M35" s="109">
        <f>I35-K35</f>
        <v>9700</v>
      </c>
      <c r="N35" s="4">
        <f>IF(ISERROR(K35/I35),"",K35/I35)</f>
        <v>0</v>
      </c>
      <c r="O35" s="105">
        <f>I35/E35</f>
        <v>404.16666666666669</v>
      </c>
      <c r="P35" s="105">
        <f>K35/E35</f>
        <v>0</v>
      </c>
      <c r="Q35" s="77">
        <v>2</v>
      </c>
      <c r="R35" s="77">
        <v>1</v>
      </c>
      <c r="S35" s="77" t="s">
        <v>1244</v>
      </c>
      <c r="T35" s="5" t="s">
        <v>950</v>
      </c>
      <c r="U35" s="9"/>
      <c r="W35" s="104">
        <f t="shared" si="45"/>
        <v>78.8</v>
      </c>
      <c r="X35" s="106">
        <f t="shared" si="45"/>
        <v>24</v>
      </c>
      <c r="Y35" s="102">
        <f t="shared" si="46"/>
        <v>252</v>
      </c>
      <c r="Z35" s="109">
        <f t="shared" si="46"/>
        <v>9700</v>
      </c>
      <c r="AA35" s="109">
        <f>K35</f>
        <v>0</v>
      </c>
      <c r="AB35" s="109">
        <f t="shared" si="47"/>
        <v>9700</v>
      </c>
      <c r="AC35" s="4">
        <f t="shared" si="47"/>
        <v>0</v>
      </c>
      <c r="AD35" s="105">
        <f t="shared" si="47"/>
        <v>404.16666666666669</v>
      </c>
      <c r="AE35" s="77" t="str">
        <f>S35</f>
        <v>계</v>
      </c>
      <c r="AF35" s="77" t="str">
        <f>Q35&amp;"/"&amp;R35</f>
        <v>2/1</v>
      </c>
      <c r="AH35" s="20" t="str">
        <f t="shared" si="1"/>
        <v>소룡제이파크</v>
      </c>
      <c r="AI35" s="106">
        <f t="shared" si="0"/>
        <v>24</v>
      </c>
      <c r="AJ35" s="77" t="str">
        <f>IF(AI35="","",$AJ$2)</f>
        <v>A-</v>
      </c>
      <c r="AK35" s="77" t="s">
        <v>13</v>
      </c>
      <c r="AL35" s="77" t="s">
        <v>1242</v>
      </c>
      <c r="AM35" s="77" t="s">
        <v>1243</v>
      </c>
      <c r="AN35" s="77" t="str">
        <f>IF(AI35="","",$AN$2)</f>
        <v>C</v>
      </c>
      <c r="AO35" s="77" t="str">
        <f>IF(N35="","",IF(N35&gt;=$AO$1/100,"O","X"))</f>
        <v>X</v>
      </c>
      <c r="AP35" s="77" t="str">
        <f>IF(I35="","",IF(I35&lt;=$AP$1,"O","X"))</f>
        <v>O</v>
      </c>
      <c r="AQ35" s="77" t="str">
        <f>IF(O35="","",IF(O35&lt;=$AQ$1,"O","X"))</f>
        <v>O</v>
      </c>
      <c r="AR35" s="77" t="str">
        <f>IF(M35="","",IF(M35&lt;=$AR$1,"O","X"))</f>
        <v>X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O</v>
      </c>
      <c r="AV35" s="77" t="str">
        <f>IF(AO35="","",IF(AND(AO35="O",AP35="O",AR35="O",AT35="O",AU35="O"),"후보","X"))</f>
        <v>X</v>
      </c>
    </row>
    <row r="36" spans="1:48" x14ac:dyDescent="0.3">
      <c r="A36" s="9" t="s">
        <v>946</v>
      </c>
      <c r="B36" s="10" t="s">
        <v>1302</v>
      </c>
      <c r="C36" s="107">
        <v>972</v>
      </c>
      <c r="D36" s="104">
        <v>106.3</v>
      </c>
      <c r="E36" s="106">
        <v>32</v>
      </c>
      <c r="F36" s="104">
        <v>84.5</v>
      </c>
      <c r="G36" s="17">
        <v>26</v>
      </c>
      <c r="H36" s="107">
        <v>576</v>
      </c>
      <c r="I36" s="108"/>
      <c r="J36" s="108"/>
      <c r="K36" s="108"/>
      <c r="L36" s="108"/>
      <c r="M36" s="109">
        <f>I36-K36</f>
        <v>0</v>
      </c>
      <c r="N36" s="4" t="str">
        <f>IF(ISERROR(K36/I36),"",K36/I36)</f>
        <v/>
      </c>
      <c r="O36" s="105">
        <f>I36/E36</f>
        <v>0</v>
      </c>
      <c r="P36" s="105">
        <f>K36/E36</f>
        <v>0</v>
      </c>
      <c r="Q36" s="77">
        <v>3</v>
      </c>
      <c r="R36" s="77">
        <v>2</v>
      </c>
      <c r="S36" s="77" t="s">
        <v>1244</v>
      </c>
      <c r="T36" s="5">
        <v>106</v>
      </c>
      <c r="U36" s="9"/>
      <c r="W36" s="104">
        <f t="shared" si="45"/>
        <v>106.3</v>
      </c>
      <c r="X36" s="106">
        <f t="shared" si="45"/>
        <v>32</v>
      </c>
      <c r="Y36" s="102">
        <f t="shared" si="46"/>
        <v>576</v>
      </c>
      <c r="Z36" s="109">
        <f t="shared" si="46"/>
        <v>0</v>
      </c>
      <c r="AA36" s="109">
        <f>K36</f>
        <v>0</v>
      </c>
      <c r="AB36" s="109">
        <f t="shared" si="47"/>
        <v>0</v>
      </c>
      <c r="AC36" s="4" t="str">
        <f t="shared" si="47"/>
        <v/>
      </c>
      <c r="AD36" s="105">
        <f t="shared" si="47"/>
        <v>0</v>
      </c>
      <c r="AE36" s="77" t="str">
        <f>S36</f>
        <v>계</v>
      </c>
      <c r="AF36" s="77" t="str">
        <f>Q36&amp;"/"&amp;R36</f>
        <v>3/2</v>
      </c>
      <c r="AH36" s="20" t="str">
        <f t="shared" si="1"/>
        <v>소룡제이파크</v>
      </c>
      <c r="AI36" s="106">
        <f t="shared" si="0"/>
        <v>32</v>
      </c>
      <c r="AJ36" s="77" t="str">
        <f>IF(AI36="","",$AJ$2)</f>
        <v>A-</v>
      </c>
      <c r="AK36" s="77" t="s">
        <v>13</v>
      </c>
      <c r="AL36" s="77" t="s">
        <v>1242</v>
      </c>
      <c r="AM36" s="77" t="s">
        <v>1243</v>
      </c>
      <c r="AN36" s="77" t="str">
        <f>IF(AI36="","",$AN$2)</f>
        <v>C</v>
      </c>
      <c r="AO36" s="77" t="str">
        <f>IF(N36="","",IF(N36&gt;=$AO$1/100,"O","X"))</f>
        <v/>
      </c>
      <c r="AP36" s="77" t="str">
        <f>IF(I36="","",IF(I36&lt;=$AP$1,"O","X"))</f>
        <v/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O</v>
      </c>
      <c r="AV36" s="77" t="str">
        <f>IF(AO36="","",IF(AND(AO36="O",AP36="O",AR36="O",AT36="O",AU36="O"),"후보","X"))</f>
        <v/>
      </c>
    </row>
    <row r="37" spans="1:48" x14ac:dyDescent="0.3">
      <c r="A37" s="9"/>
      <c r="B37" s="77"/>
      <c r="C37" s="6"/>
      <c r="D37" s="9"/>
      <c r="E37" s="14"/>
      <c r="F37" s="104"/>
      <c r="G37" s="9"/>
      <c r="H37" s="9"/>
      <c r="I37" s="9"/>
      <c r="J37" s="9"/>
      <c r="K37" s="9"/>
      <c r="L37" s="9"/>
      <c r="M37" s="9"/>
      <c r="N37" s="9"/>
      <c r="O37" s="105"/>
      <c r="P37" s="105"/>
      <c r="Q37" s="106"/>
      <c r="R37" s="106"/>
      <c r="S37" s="9"/>
      <c r="T37" s="47"/>
      <c r="U37" s="9"/>
      <c r="W37" s="67" t="str">
        <f>$A$4&amp;" "&amp;A38&amp;"("&amp;B38&amp;","&amp;C38&amp;"^)"</f>
        <v>소룡동 신도시('01.12.,720^)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si="1"/>
        <v/>
      </c>
      <c r="AI37" s="103" t="str">
        <f t="shared" si="0"/>
        <v/>
      </c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</row>
    <row r="38" spans="1:48" x14ac:dyDescent="0.3">
      <c r="A38" s="9" t="s">
        <v>955</v>
      </c>
      <c r="B38" s="10" t="s">
        <v>1327</v>
      </c>
      <c r="C38" s="107">
        <v>720</v>
      </c>
      <c r="D38" s="104">
        <v>63</v>
      </c>
      <c r="E38" s="106">
        <v>19</v>
      </c>
      <c r="F38" s="104">
        <v>45.4</v>
      </c>
      <c r="G38" s="17">
        <v>14</v>
      </c>
      <c r="H38" s="107">
        <v>416</v>
      </c>
      <c r="I38" s="108">
        <v>4700</v>
      </c>
      <c r="J38" s="108" t="s">
        <v>1305</v>
      </c>
      <c r="K38" s="108"/>
      <c r="L38" s="108"/>
      <c r="M38" s="109">
        <f>I38-K38</f>
        <v>4700</v>
      </c>
      <c r="N38" s="4">
        <f>IF(ISERROR(K38/I38),"",K38/I38)</f>
        <v>0</v>
      </c>
      <c r="O38" s="105">
        <f>I38/E38</f>
        <v>247.36842105263159</v>
      </c>
      <c r="P38" s="105">
        <f>K38/E38</f>
        <v>0</v>
      </c>
      <c r="Q38" s="77">
        <v>2</v>
      </c>
      <c r="R38" s="77">
        <v>1</v>
      </c>
      <c r="S38" s="77" t="s">
        <v>1241</v>
      </c>
      <c r="T38" s="5" t="s">
        <v>957</v>
      </c>
      <c r="U38" s="9"/>
      <c r="W38" s="104">
        <f>D38</f>
        <v>63</v>
      </c>
      <c r="X38" s="106">
        <f>E38</f>
        <v>19</v>
      </c>
      <c r="Y38" s="102">
        <f>H38</f>
        <v>416</v>
      </c>
      <c r="Z38" s="109">
        <f>I38</f>
        <v>4700</v>
      </c>
      <c r="AA38" s="109">
        <f>K38</f>
        <v>0</v>
      </c>
      <c r="AB38" s="109">
        <f t="shared" ref="AB38:AD39" si="48">M38</f>
        <v>4700</v>
      </c>
      <c r="AC38" s="4">
        <f t="shared" si="48"/>
        <v>0</v>
      </c>
      <c r="AD38" s="105">
        <f t="shared" si="48"/>
        <v>247.36842105263159</v>
      </c>
      <c r="AE38" s="77" t="str">
        <f>S38</f>
        <v>복</v>
      </c>
      <c r="AF38" s="77" t="str">
        <f>Q38&amp;"/"&amp;R38</f>
        <v>2/1</v>
      </c>
      <c r="AH38" s="20" t="str">
        <f t="shared" si="1"/>
        <v>신도시</v>
      </c>
      <c r="AI38" s="106">
        <f t="shared" si="0"/>
        <v>19</v>
      </c>
      <c r="AJ38" s="77" t="str">
        <f>IF(AI38="","",$AJ$2)</f>
        <v>A-</v>
      </c>
      <c r="AK38" s="77" t="s">
        <v>13</v>
      </c>
      <c r="AL38" s="77" t="s">
        <v>1242</v>
      </c>
      <c r="AM38" s="77" t="s">
        <v>1243</v>
      </c>
      <c r="AN38" s="77" t="str">
        <f>IF(AI38="","",$AN$2)</f>
        <v>C</v>
      </c>
      <c r="AO38" s="77" t="str">
        <f>IF(N38="","",IF(N38&gt;=$AO$1/100,"O","X"))</f>
        <v>X</v>
      </c>
      <c r="AP38" s="77" t="str">
        <f>IF(I38="","",IF(I38&lt;=$AP$1,"O","X"))</f>
        <v>O</v>
      </c>
      <c r="AQ38" s="77" t="str">
        <f>IF(O38="","",IF(O38&lt;=$AQ$1,"O","X"))</f>
        <v>O</v>
      </c>
      <c r="AR38" s="77" t="str">
        <f>IF(M38="","",IF(M38&lt;=$AR$1,"O","X"))</f>
        <v>O</v>
      </c>
      <c r="AS38" s="77" t="s">
        <v>2</v>
      </c>
      <c r="AT38" s="77" t="str">
        <f>IF(OR(F38="",AI38=""),"",IF(AND((F38&lt;=85),(AI38&gt;=15)),"O","X"))</f>
        <v>O</v>
      </c>
      <c r="AU38" s="77" t="str">
        <f>IF(C38="","",IF(C38&gt;=$AU$1,"O","X"))</f>
        <v>O</v>
      </c>
      <c r="AV38" s="77" t="str">
        <f>IF(AO38="","",IF(AND(AO38="O",AP38="O",AR38="O",AT38="O",AU38="O"),"후보","X"))</f>
        <v>X</v>
      </c>
    </row>
    <row r="39" spans="1:48" x14ac:dyDescent="0.3">
      <c r="A39" s="9" t="s">
        <v>955</v>
      </c>
      <c r="B39" s="10" t="s">
        <v>1327</v>
      </c>
      <c r="C39" s="107">
        <v>720</v>
      </c>
      <c r="D39" s="104">
        <v>63.6</v>
      </c>
      <c r="E39" s="106">
        <v>19</v>
      </c>
      <c r="F39" s="104">
        <v>46.5</v>
      </c>
      <c r="G39" s="17">
        <v>14</v>
      </c>
      <c r="H39" s="107">
        <v>304</v>
      </c>
      <c r="I39" s="108"/>
      <c r="J39" s="108"/>
      <c r="K39" s="108"/>
      <c r="L39" s="108"/>
      <c r="M39" s="109">
        <f>I39-K39</f>
        <v>0</v>
      </c>
      <c r="N39" s="4" t="str">
        <f>IF(ISERROR(K39/I39),"",K39/I39)</f>
        <v/>
      </c>
      <c r="O39" s="105">
        <f>I39/E39</f>
        <v>0</v>
      </c>
      <c r="P39" s="105">
        <f>K39/E39</f>
        <v>0</v>
      </c>
      <c r="Q39" s="77">
        <v>2</v>
      </c>
      <c r="R39" s="77">
        <v>1</v>
      </c>
      <c r="S39" s="77" t="s">
        <v>1241</v>
      </c>
      <c r="T39" s="5" t="s">
        <v>564</v>
      </c>
      <c r="U39" s="9"/>
      <c r="W39" s="104">
        <f>D39</f>
        <v>63.6</v>
      </c>
      <c r="X39" s="106">
        <f>E39</f>
        <v>19</v>
      </c>
      <c r="Y39" s="102">
        <f>H39</f>
        <v>304</v>
      </c>
      <c r="Z39" s="109">
        <f>I39</f>
        <v>0</v>
      </c>
      <c r="AA39" s="109">
        <f>K39</f>
        <v>0</v>
      </c>
      <c r="AB39" s="109">
        <f t="shared" si="48"/>
        <v>0</v>
      </c>
      <c r="AC39" s="4" t="str">
        <f t="shared" si="48"/>
        <v/>
      </c>
      <c r="AD39" s="105">
        <f t="shared" si="48"/>
        <v>0</v>
      </c>
      <c r="AE39" s="77" t="str">
        <f>S39</f>
        <v>복</v>
      </c>
      <c r="AF39" s="77" t="str">
        <f>Q39&amp;"/"&amp;R39</f>
        <v>2/1</v>
      </c>
      <c r="AH39" s="20" t="str">
        <f t="shared" si="1"/>
        <v>신도시</v>
      </c>
      <c r="AI39" s="106">
        <f t="shared" si="0"/>
        <v>19</v>
      </c>
      <c r="AJ39" s="77" t="str">
        <f>IF(AI39="","",$AJ$2)</f>
        <v>A-</v>
      </c>
      <c r="AK39" s="77" t="s">
        <v>13</v>
      </c>
      <c r="AL39" s="77" t="s">
        <v>1242</v>
      </c>
      <c r="AM39" s="77" t="s">
        <v>1243</v>
      </c>
      <c r="AN39" s="77" t="str">
        <f>IF(AI39="","",$AN$2)</f>
        <v>C</v>
      </c>
      <c r="AO39" s="77" t="str">
        <f>IF(N39="","",IF(N39&gt;=$AO$1/100,"O","X"))</f>
        <v/>
      </c>
      <c r="AP39" s="77" t="str">
        <f>IF(I39="","",IF(I39&lt;=$AP$1,"O","X"))</f>
        <v/>
      </c>
      <c r="AQ39" s="77" t="str">
        <f>IF(O39="","",IF(O39&lt;=$AQ$1,"O","X"))</f>
        <v>O</v>
      </c>
      <c r="AR39" s="77" t="str">
        <f>IF(M39="","",IF(M39&lt;=$AR$1,"O","X"))</f>
        <v>O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O</v>
      </c>
      <c r="AV39" s="77" t="str">
        <f>IF(AO39="","",IF(AND(AO39="O",AP39="O",AR39="O",AT39="O",AU39="O"),"후보","X"))</f>
        <v/>
      </c>
    </row>
    <row r="40" spans="1:48" x14ac:dyDescent="0.3">
      <c r="A40" s="9"/>
      <c r="B40" s="77"/>
      <c r="C40" s="6"/>
      <c r="D40" s="9"/>
      <c r="E40" s="14"/>
      <c r="F40" s="104"/>
      <c r="G40" s="9"/>
      <c r="H40" s="9"/>
      <c r="I40" s="9"/>
      <c r="J40" s="9"/>
      <c r="K40" s="9"/>
      <c r="L40" s="9"/>
      <c r="M40" s="9"/>
      <c r="N40" s="9"/>
      <c r="O40" s="105"/>
      <c r="P40" s="105"/>
      <c r="Q40" s="106"/>
      <c r="R40" s="106"/>
      <c r="S40" s="9"/>
      <c r="T40" s="47"/>
      <c r="U40" s="9"/>
      <c r="W40" s="67" t="str">
        <f>$A$4&amp;" "&amp;A41&amp;"("&amp;B41&amp;","&amp;C41&amp;"^)"</f>
        <v>소룡동 이화('92.02.,204^)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1"/>
        <v/>
      </c>
      <c r="AI40" s="103" t="str">
        <f t="shared" si="0"/>
        <v/>
      </c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</row>
    <row r="41" spans="1:48" x14ac:dyDescent="0.3">
      <c r="A41" s="9" t="s">
        <v>961</v>
      </c>
      <c r="B41" s="10" t="s">
        <v>1328</v>
      </c>
      <c r="C41" s="107">
        <v>204</v>
      </c>
      <c r="D41" s="104">
        <v>58.6</v>
      </c>
      <c r="E41" s="106">
        <v>18</v>
      </c>
      <c r="F41" s="104">
        <v>44.8</v>
      </c>
      <c r="G41" s="17">
        <v>14</v>
      </c>
      <c r="H41" s="107">
        <v>60</v>
      </c>
      <c r="I41" s="108"/>
      <c r="J41" s="108"/>
      <c r="K41" s="108"/>
      <c r="L41" s="108"/>
      <c r="M41" s="109">
        <f>I41-K41</f>
        <v>0</v>
      </c>
      <c r="N41" s="4" t="str">
        <f>IF(ISERROR(K41/I41),"",K41/I41)</f>
        <v/>
      </c>
      <c r="O41" s="105">
        <f>I41/E41</f>
        <v>0</v>
      </c>
      <c r="P41" s="105">
        <f>K41/E41</f>
        <v>0</v>
      </c>
      <c r="Q41" s="77">
        <v>2</v>
      </c>
      <c r="R41" s="77">
        <v>1</v>
      </c>
      <c r="S41" s="77" t="s">
        <v>1244</v>
      </c>
      <c r="T41" s="5">
        <v>58</v>
      </c>
      <c r="U41" s="9"/>
      <c r="W41" s="104">
        <f t="shared" ref="W41:X43" si="49">D41</f>
        <v>58.6</v>
      </c>
      <c r="X41" s="106">
        <f t="shared" si="49"/>
        <v>18</v>
      </c>
      <c r="Y41" s="102">
        <f t="shared" ref="Y41:Z43" si="50">H41</f>
        <v>60</v>
      </c>
      <c r="Z41" s="109">
        <f t="shared" si="50"/>
        <v>0</v>
      </c>
      <c r="AA41" s="109">
        <f>K41</f>
        <v>0</v>
      </c>
      <c r="AB41" s="109">
        <f t="shared" ref="AB41:AD43" si="51">M41</f>
        <v>0</v>
      </c>
      <c r="AC41" s="4" t="str">
        <f t="shared" si="51"/>
        <v/>
      </c>
      <c r="AD41" s="105">
        <f t="shared" si="51"/>
        <v>0</v>
      </c>
      <c r="AE41" s="77" t="str">
        <f>S41</f>
        <v>계</v>
      </c>
      <c r="AF41" s="77" t="str">
        <f>Q41&amp;"/"&amp;R41</f>
        <v>2/1</v>
      </c>
      <c r="AH41" s="20" t="str">
        <f t="shared" si="1"/>
        <v>이화</v>
      </c>
      <c r="AI41" s="106">
        <f t="shared" si="0"/>
        <v>18</v>
      </c>
      <c r="AJ41" s="77" t="str">
        <f>IF(AI41="","",$AJ$2)</f>
        <v>A-</v>
      </c>
      <c r="AK41" s="77" t="s">
        <v>13</v>
      </c>
      <c r="AL41" s="77" t="s">
        <v>1242</v>
      </c>
      <c r="AM41" s="77" t="s">
        <v>1243</v>
      </c>
      <c r="AN41" s="77" t="str">
        <f>IF(AI41="","",$AN$2)</f>
        <v>C</v>
      </c>
      <c r="AO41" s="77" t="str">
        <f>IF(N41="","",IF(N41&gt;=$AO$1/100,"O","X"))</f>
        <v/>
      </c>
      <c r="AP41" s="77" t="str">
        <f>IF(I41="","",IF(I41&lt;=$AP$1,"O","X"))</f>
        <v/>
      </c>
      <c r="AQ41" s="77" t="str">
        <f>IF(O41="","",IF(O41&lt;=$AQ$1,"O","X"))</f>
        <v>O</v>
      </c>
      <c r="AR41" s="77" t="str">
        <f>IF(M41="","",IF(M41&lt;=$AR$1,"O","X"))</f>
        <v>O</v>
      </c>
      <c r="AS41" s="77" t="s">
        <v>2</v>
      </c>
      <c r="AT41" s="77" t="str">
        <f>IF(OR(F41="",AI41=""),"",IF(AND((F41&lt;=85),(AI41&gt;=15)),"O","X"))</f>
        <v>O</v>
      </c>
      <c r="AU41" s="77" t="str">
        <f>IF(C41="","",IF(C41&gt;=$AU$1,"O","X"))</f>
        <v>X</v>
      </c>
      <c r="AV41" s="77" t="str">
        <f>IF(AO41="","",IF(AND(AO41="O",AP41="O",AR41="O",AT41="O",AU41="O"),"후보","X"))</f>
        <v/>
      </c>
    </row>
    <row r="42" spans="1:48" x14ac:dyDescent="0.3">
      <c r="A42" s="9" t="s">
        <v>961</v>
      </c>
      <c r="B42" s="10" t="s">
        <v>1328</v>
      </c>
      <c r="C42" s="107">
        <v>204</v>
      </c>
      <c r="D42" s="104">
        <v>69.3</v>
      </c>
      <c r="E42" s="106">
        <v>21</v>
      </c>
      <c r="F42" s="104">
        <v>53.9</v>
      </c>
      <c r="G42" s="17">
        <v>16</v>
      </c>
      <c r="H42" s="107">
        <v>132</v>
      </c>
      <c r="I42" s="108"/>
      <c r="J42" s="108"/>
      <c r="K42" s="108"/>
      <c r="L42" s="108"/>
      <c r="M42" s="109">
        <f>I42-K42</f>
        <v>0</v>
      </c>
      <c r="N42" s="4" t="str">
        <f>IF(ISERROR(K42/I42),"",K42/I42)</f>
        <v/>
      </c>
      <c r="O42" s="105">
        <f>I42/E42</f>
        <v>0</v>
      </c>
      <c r="P42" s="105">
        <f>K42/E42</f>
        <v>0</v>
      </c>
      <c r="Q42" s="77">
        <v>3</v>
      </c>
      <c r="R42" s="77">
        <v>1</v>
      </c>
      <c r="S42" s="77" t="s">
        <v>1244</v>
      </c>
      <c r="T42" s="5">
        <v>69</v>
      </c>
      <c r="U42" s="9"/>
      <c r="W42" s="104">
        <f t="shared" si="49"/>
        <v>69.3</v>
      </c>
      <c r="X42" s="106">
        <f t="shared" si="49"/>
        <v>21</v>
      </c>
      <c r="Y42" s="102">
        <f t="shared" si="50"/>
        <v>132</v>
      </c>
      <c r="Z42" s="109">
        <f t="shared" si="50"/>
        <v>0</v>
      </c>
      <c r="AA42" s="109">
        <f>K42</f>
        <v>0</v>
      </c>
      <c r="AB42" s="109">
        <f t="shared" si="51"/>
        <v>0</v>
      </c>
      <c r="AC42" s="4" t="str">
        <f t="shared" si="51"/>
        <v/>
      </c>
      <c r="AD42" s="105">
        <f t="shared" si="51"/>
        <v>0</v>
      </c>
      <c r="AE42" s="77" t="str">
        <f>S42</f>
        <v>계</v>
      </c>
      <c r="AF42" s="77" t="str">
        <f>Q42&amp;"/"&amp;R42</f>
        <v>3/1</v>
      </c>
      <c r="AH42" s="20" t="str">
        <f t="shared" si="1"/>
        <v>이화</v>
      </c>
      <c r="AI42" s="106">
        <f t="shared" si="0"/>
        <v>21</v>
      </c>
      <c r="AJ42" s="77" t="str">
        <f>IF(AI42="","",$AJ$2)</f>
        <v>A-</v>
      </c>
      <c r="AK42" s="77" t="s">
        <v>13</v>
      </c>
      <c r="AL42" s="77" t="s">
        <v>1242</v>
      </c>
      <c r="AM42" s="77" t="s">
        <v>1243</v>
      </c>
      <c r="AN42" s="77" t="str">
        <f>IF(AI42="","",$AN$2)</f>
        <v>C</v>
      </c>
      <c r="AO42" s="77" t="str">
        <f>IF(N42="","",IF(N42&gt;=$AO$1/100,"O","X"))</f>
        <v/>
      </c>
      <c r="AP42" s="77" t="str">
        <f>IF(I42="","",IF(I42&lt;=$AP$1,"O","X"))</f>
        <v/>
      </c>
      <c r="AQ42" s="77" t="str">
        <f>IF(O42="","",IF(O42&lt;=$AQ$1,"O","X"))</f>
        <v>O</v>
      </c>
      <c r="AR42" s="77" t="str">
        <f>IF(M42="","",IF(M42&lt;=$AR$1,"O","X"))</f>
        <v>O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X</v>
      </c>
      <c r="AV42" s="77" t="str">
        <f>IF(AO42="","",IF(AND(AO42="O",AP42="O",AR42="O",AT42="O",AU42="O"),"후보","X"))</f>
        <v/>
      </c>
    </row>
    <row r="43" spans="1:48" x14ac:dyDescent="0.3">
      <c r="A43" s="9" t="s">
        <v>961</v>
      </c>
      <c r="B43" s="10" t="s">
        <v>1328</v>
      </c>
      <c r="C43" s="107">
        <v>204</v>
      </c>
      <c r="D43" s="104">
        <v>75.099999999999994</v>
      </c>
      <c r="E43" s="106">
        <v>23</v>
      </c>
      <c r="F43" s="104">
        <v>58.9</v>
      </c>
      <c r="G43" s="17">
        <v>18</v>
      </c>
      <c r="H43" s="107">
        <v>12</v>
      </c>
      <c r="I43" s="108"/>
      <c r="J43" s="108"/>
      <c r="K43" s="108"/>
      <c r="L43" s="108"/>
      <c r="M43" s="109">
        <f>I43-K43</f>
        <v>0</v>
      </c>
      <c r="N43" s="4" t="str">
        <f>IF(ISERROR(K43/I43),"",K43/I43)</f>
        <v/>
      </c>
      <c r="O43" s="105">
        <f>I43/E43</f>
        <v>0</v>
      </c>
      <c r="P43" s="105">
        <f>K43/E43</f>
        <v>0</v>
      </c>
      <c r="Q43" s="77">
        <v>3</v>
      </c>
      <c r="R43" s="77">
        <v>1</v>
      </c>
      <c r="S43" s="77" t="s">
        <v>1244</v>
      </c>
      <c r="T43" s="5">
        <v>75</v>
      </c>
      <c r="U43" s="9"/>
      <c r="W43" s="104">
        <f t="shared" si="49"/>
        <v>75.099999999999994</v>
      </c>
      <c r="X43" s="106">
        <f t="shared" si="49"/>
        <v>23</v>
      </c>
      <c r="Y43" s="102">
        <f t="shared" si="50"/>
        <v>12</v>
      </c>
      <c r="Z43" s="109">
        <f t="shared" si="50"/>
        <v>0</v>
      </c>
      <c r="AA43" s="109">
        <f>K43</f>
        <v>0</v>
      </c>
      <c r="AB43" s="109">
        <f t="shared" si="51"/>
        <v>0</v>
      </c>
      <c r="AC43" s="4" t="str">
        <f t="shared" si="51"/>
        <v/>
      </c>
      <c r="AD43" s="105">
        <f t="shared" si="51"/>
        <v>0</v>
      </c>
      <c r="AE43" s="77" t="str">
        <f>S43</f>
        <v>계</v>
      </c>
      <c r="AF43" s="77" t="str">
        <f>Q43&amp;"/"&amp;R43</f>
        <v>3/1</v>
      </c>
      <c r="AH43" s="20" t="str">
        <f t="shared" si="1"/>
        <v>이화</v>
      </c>
      <c r="AI43" s="106">
        <f t="shared" si="0"/>
        <v>23</v>
      </c>
      <c r="AJ43" s="77" t="str">
        <f>IF(AI43="","",$AJ$2)</f>
        <v>A-</v>
      </c>
      <c r="AK43" s="77" t="s">
        <v>13</v>
      </c>
      <c r="AL43" s="77" t="s">
        <v>1242</v>
      </c>
      <c r="AM43" s="77" t="s">
        <v>1243</v>
      </c>
      <c r="AN43" s="77" t="str">
        <f>IF(AI43="","",$AN$2)</f>
        <v>C</v>
      </c>
      <c r="AO43" s="77" t="str">
        <f>IF(N43="","",IF(N43&gt;=$AO$1/100,"O","X"))</f>
        <v/>
      </c>
      <c r="AP43" s="77" t="str">
        <f>IF(I43="","",IF(I43&lt;=$AP$1,"O","X"))</f>
        <v/>
      </c>
      <c r="AQ43" s="77" t="str">
        <f>IF(O43="","",IF(O43&lt;=$AQ$1,"O","X"))</f>
        <v>O</v>
      </c>
      <c r="AR43" s="77" t="str">
        <f>IF(M43="","",IF(M43&lt;=$AR$1,"O","X"))</f>
        <v>O</v>
      </c>
      <c r="AS43" s="77" t="s">
        <v>2</v>
      </c>
      <c r="AT43" s="77" t="str">
        <f>IF(OR(F43="",AI43=""),"",IF(AND((F43&lt;=85),(AI43&gt;=15)),"O","X"))</f>
        <v>O</v>
      </c>
      <c r="AU43" s="77" t="str">
        <f>IF(C43="","",IF(C43&gt;=$AU$1,"O","X"))</f>
        <v>X</v>
      </c>
      <c r="AV43" s="77" t="str">
        <f>IF(AO43="","",IF(AND(AO43="O",AP43="O",AR43="O",AT43="O",AU43="O"),"후보","X"))</f>
        <v/>
      </c>
    </row>
  </sheetData>
  <mergeCells count="1">
    <mergeCell ref="AJ1:AN1"/>
  </mergeCells>
  <phoneticPr fontId="2" type="noConversion"/>
  <conditionalFormatting sqref="AV4:AV6">
    <cfRule type="expression" dxfId="18659" priority="573">
      <formula>AV4="X"</formula>
    </cfRule>
    <cfRule type="expression" dxfId="18658" priority="574">
      <formula>AV4="후보"</formula>
    </cfRule>
  </conditionalFormatting>
  <conditionalFormatting sqref="AC1:AC2 AC4:AC6 N4:N5">
    <cfRule type="cellIs" dxfId="18657" priority="571" operator="greaterThan">
      <formula>0.9</formula>
    </cfRule>
    <cfRule type="cellIs" dxfId="18656" priority="572" operator="greaterThan">
      <formula>0.85</formula>
    </cfRule>
  </conditionalFormatting>
  <conditionalFormatting sqref="N1:N2">
    <cfRule type="cellIs" dxfId="18655" priority="569" operator="greaterThan">
      <formula>0.9</formula>
    </cfRule>
    <cfRule type="cellIs" dxfId="18654" priority="570" operator="greaterThan">
      <formula>0.85</formula>
    </cfRule>
  </conditionalFormatting>
  <conditionalFormatting sqref="N6">
    <cfRule type="cellIs" dxfId="18653" priority="567" operator="greaterThan">
      <formula>0.9</formula>
    </cfRule>
    <cfRule type="cellIs" dxfId="18652" priority="568" operator="greaterThan">
      <formula>0.85</formula>
    </cfRule>
  </conditionalFormatting>
  <conditionalFormatting sqref="E6">
    <cfRule type="expression" dxfId="18651" priority="563">
      <formula>AND(IF(OR($Q6=1,$Q6=2),1,0),IF($X6&lt;=20,1,0))</formula>
    </cfRule>
    <cfRule type="expression" dxfId="18650" priority="564">
      <formula>AND(IF($Q6=2,1,0),IF($X6&lt;30,1,0))</formula>
    </cfRule>
    <cfRule type="expression" dxfId="18649" priority="565">
      <formula>AND(IF($Q6=3,1,0),IF($X6&lt;30,1,0))</formula>
    </cfRule>
    <cfRule type="expression" dxfId="18648" priority="566">
      <formula>AND(IF($Q6=3,1,IF($Q6=4,1,0)),IF($F6&lt;=85,1,0))</formula>
    </cfRule>
  </conditionalFormatting>
  <conditionalFormatting sqref="X6">
    <cfRule type="expression" dxfId="18647" priority="559">
      <formula>AND(IF(OR($Q6=1,$Q6=2),1,0),IF($X6&lt;=20,1,0))</formula>
    </cfRule>
    <cfRule type="expression" dxfId="18646" priority="560">
      <formula>AND(IF($Q6=2,1,0),IF($X6&lt;30,1,0))</formula>
    </cfRule>
    <cfRule type="expression" dxfId="18645" priority="561">
      <formula>AND(IF($Q6=3,1,0),IF($X6&lt;30,1,0))</formula>
    </cfRule>
    <cfRule type="expression" dxfId="18644" priority="562">
      <formula>AND(IF($Q6=3,1,IF($Q6=4,1,0)),IF($F6&lt;=85,1,0))</formula>
    </cfRule>
  </conditionalFormatting>
  <conditionalFormatting sqref="AI6">
    <cfRule type="expression" dxfId="18643" priority="555">
      <formula>AND(IF(OR($Q6=1,$Q6=2),1,0),IF($X6&lt;=20,1,0))</formula>
    </cfRule>
    <cfRule type="expression" dxfId="18642" priority="556">
      <formula>AND(IF($Q6=2,1,0),IF($X6&lt;30,1,0))</formula>
    </cfRule>
    <cfRule type="expression" dxfId="18641" priority="557">
      <formula>AND(IF($Q6=3,1,0),IF($X6&lt;30,1,0))</formula>
    </cfRule>
    <cfRule type="expression" dxfId="18640" priority="558">
      <formula>AND(IF($Q6=3,1,IF($Q6=4,1,0)),IF($F6&lt;=85,1,0))</formula>
    </cfRule>
  </conditionalFormatting>
  <conditionalFormatting sqref="AV7">
    <cfRule type="expression" dxfId="18639" priority="553">
      <formula>AV7="X"</formula>
    </cfRule>
    <cfRule type="expression" dxfId="18638" priority="554">
      <formula>AV7="후보"</formula>
    </cfRule>
  </conditionalFormatting>
  <conditionalFormatting sqref="AC7">
    <cfRule type="cellIs" dxfId="18637" priority="551" operator="greaterThan">
      <formula>0.9</formula>
    </cfRule>
    <cfRule type="cellIs" dxfId="18636" priority="552" operator="greaterThan">
      <formula>0.85</formula>
    </cfRule>
  </conditionalFormatting>
  <conditionalFormatting sqref="N7">
    <cfRule type="cellIs" dxfId="18635" priority="549" operator="greaterThan">
      <formula>0.9</formula>
    </cfRule>
    <cfRule type="cellIs" dxfId="18634" priority="550" operator="greaterThan">
      <formula>0.85</formula>
    </cfRule>
  </conditionalFormatting>
  <conditionalFormatting sqref="E7">
    <cfRule type="expression" dxfId="18633" priority="545">
      <formula>AND(IF(OR($Q7=1,$Q7=2),1,0),IF($X7&lt;=20,1,0))</formula>
    </cfRule>
    <cfRule type="expression" dxfId="18632" priority="546">
      <formula>AND(IF($Q7=2,1,0),IF($X7&lt;30,1,0))</formula>
    </cfRule>
    <cfRule type="expression" dxfId="18631" priority="547">
      <formula>AND(IF($Q7=3,1,0),IF($X7&lt;30,1,0))</formula>
    </cfRule>
    <cfRule type="expression" dxfId="18630" priority="548">
      <formula>AND(IF($Q7=3,1,IF($Q7=4,1,0)),IF($F7&lt;=85,1,0))</formula>
    </cfRule>
  </conditionalFormatting>
  <conditionalFormatting sqref="X7">
    <cfRule type="expression" dxfId="18629" priority="541">
      <formula>AND(IF(OR($Q7=1,$Q7=2),1,0),IF($X7&lt;=20,1,0))</formula>
    </cfRule>
    <cfRule type="expression" dxfId="18628" priority="542">
      <formula>AND(IF($Q7=2,1,0),IF($X7&lt;30,1,0))</formula>
    </cfRule>
    <cfRule type="expression" dxfId="18627" priority="543">
      <formula>AND(IF($Q7=3,1,0),IF($X7&lt;30,1,0))</formula>
    </cfRule>
    <cfRule type="expression" dxfId="18626" priority="544">
      <formula>AND(IF($Q7=3,1,IF($Q7=4,1,0)),IF($F7&lt;=85,1,0))</formula>
    </cfRule>
  </conditionalFormatting>
  <conditionalFormatting sqref="AI7">
    <cfRule type="expression" dxfId="18625" priority="537">
      <formula>AND(IF(OR($Q7=1,$Q7=2),1,0),IF($X7&lt;=20,1,0))</formula>
    </cfRule>
    <cfRule type="expression" dxfId="18624" priority="538">
      <formula>AND(IF($Q7=2,1,0),IF($X7&lt;30,1,0))</formula>
    </cfRule>
    <cfRule type="expression" dxfId="18623" priority="539">
      <formula>AND(IF($Q7=3,1,0),IF($X7&lt;30,1,0))</formula>
    </cfRule>
    <cfRule type="expression" dxfId="18622" priority="540">
      <formula>AND(IF($Q7=3,1,IF($Q7=4,1,0)),IF($F7&lt;=85,1,0))</formula>
    </cfRule>
  </conditionalFormatting>
  <conditionalFormatting sqref="AV8">
    <cfRule type="expression" dxfId="18621" priority="535">
      <formula>AV8="X"</formula>
    </cfRule>
    <cfRule type="expression" dxfId="18620" priority="536">
      <formula>AV8="후보"</formula>
    </cfRule>
  </conditionalFormatting>
  <conditionalFormatting sqref="AC8 N8">
    <cfRule type="cellIs" dxfId="18619" priority="533" operator="greaterThan">
      <formula>0.9</formula>
    </cfRule>
    <cfRule type="cellIs" dxfId="18618" priority="534" operator="greaterThan">
      <formula>0.85</formula>
    </cfRule>
  </conditionalFormatting>
  <conditionalFormatting sqref="AV9">
    <cfRule type="expression" dxfId="18617" priority="531">
      <formula>AV9="X"</formula>
    </cfRule>
    <cfRule type="expression" dxfId="18616" priority="532">
      <formula>AV9="후보"</formula>
    </cfRule>
  </conditionalFormatting>
  <conditionalFormatting sqref="AC9">
    <cfRule type="cellIs" dxfId="18615" priority="529" operator="greaterThan">
      <formula>0.9</formula>
    </cfRule>
    <cfRule type="cellIs" dxfId="18614" priority="530" operator="greaterThan">
      <formula>0.85</formula>
    </cfRule>
  </conditionalFormatting>
  <conditionalFormatting sqref="N9">
    <cfRule type="cellIs" dxfId="18613" priority="527" operator="greaterThan">
      <formula>0.9</formula>
    </cfRule>
    <cfRule type="cellIs" dxfId="18612" priority="528" operator="greaterThan">
      <formula>0.85</formula>
    </cfRule>
  </conditionalFormatting>
  <conditionalFormatting sqref="E9">
    <cfRule type="expression" dxfId="18611" priority="523">
      <formula>AND(IF(OR($Q9=1,$Q9=2),1,0),IF($X9&lt;=20,1,0))</formula>
    </cfRule>
    <cfRule type="expression" dxfId="18610" priority="524">
      <formula>AND(IF($Q9=2,1,0),IF($X9&lt;30,1,0))</formula>
    </cfRule>
    <cfRule type="expression" dxfId="18609" priority="525">
      <formula>AND(IF($Q9=3,1,0),IF($X9&lt;30,1,0))</formula>
    </cfRule>
    <cfRule type="expression" dxfId="18608" priority="526">
      <formula>AND(IF($Q9=3,1,IF($Q9=4,1,0)),IF($F9&lt;=85,1,0))</formula>
    </cfRule>
  </conditionalFormatting>
  <conditionalFormatting sqref="X9">
    <cfRule type="expression" dxfId="18607" priority="519">
      <formula>AND(IF(OR($Q9=1,$Q9=2),1,0),IF($X9&lt;=20,1,0))</formula>
    </cfRule>
    <cfRule type="expression" dxfId="18606" priority="520">
      <formula>AND(IF($Q9=2,1,0),IF($X9&lt;30,1,0))</formula>
    </cfRule>
    <cfRule type="expression" dxfId="18605" priority="521">
      <formula>AND(IF($Q9=3,1,0),IF($X9&lt;30,1,0))</formula>
    </cfRule>
    <cfRule type="expression" dxfId="18604" priority="522">
      <formula>AND(IF($Q9=3,1,IF($Q9=4,1,0)),IF($F9&lt;=85,1,0))</formula>
    </cfRule>
  </conditionalFormatting>
  <conditionalFormatting sqref="AI9">
    <cfRule type="expression" dxfId="18603" priority="515">
      <formula>AND(IF(OR($Q9=1,$Q9=2),1,0),IF($X9&lt;=20,1,0))</formula>
    </cfRule>
    <cfRule type="expression" dxfId="18602" priority="516">
      <formula>AND(IF($Q9=2,1,0),IF($X9&lt;30,1,0))</formula>
    </cfRule>
    <cfRule type="expression" dxfId="18601" priority="517">
      <formula>AND(IF($Q9=3,1,0),IF($X9&lt;30,1,0))</formula>
    </cfRule>
    <cfRule type="expression" dxfId="18600" priority="518">
      <formula>AND(IF($Q9=3,1,IF($Q9=4,1,0)),IF($F9&lt;=85,1,0))</formula>
    </cfRule>
  </conditionalFormatting>
  <conditionalFormatting sqref="AV10">
    <cfRule type="expression" dxfId="18599" priority="513">
      <formula>AV10="X"</formula>
    </cfRule>
    <cfRule type="expression" dxfId="18598" priority="514">
      <formula>AV10="후보"</formula>
    </cfRule>
  </conditionalFormatting>
  <conditionalFormatting sqref="AC10 N10">
    <cfRule type="cellIs" dxfId="18597" priority="511" operator="greaterThan">
      <formula>0.9</formula>
    </cfRule>
    <cfRule type="cellIs" dxfId="18596" priority="512" operator="greaterThan">
      <formula>0.85</formula>
    </cfRule>
  </conditionalFormatting>
  <conditionalFormatting sqref="AV11">
    <cfRule type="expression" dxfId="18595" priority="509">
      <formula>AV11="X"</formula>
    </cfRule>
    <cfRule type="expression" dxfId="18594" priority="510">
      <formula>AV11="후보"</formula>
    </cfRule>
  </conditionalFormatting>
  <conditionalFormatting sqref="AC11">
    <cfRule type="cellIs" dxfId="18593" priority="507" operator="greaterThan">
      <formula>0.9</formula>
    </cfRule>
    <cfRule type="cellIs" dxfId="18592" priority="508" operator="greaterThan">
      <formula>0.85</formula>
    </cfRule>
  </conditionalFormatting>
  <conditionalFormatting sqref="N11">
    <cfRule type="cellIs" dxfId="18591" priority="505" operator="greaterThan">
      <formula>0.9</formula>
    </cfRule>
    <cfRule type="cellIs" dxfId="18590" priority="506" operator="greaterThan">
      <formula>0.85</formula>
    </cfRule>
  </conditionalFormatting>
  <conditionalFormatting sqref="E11">
    <cfRule type="expression" dxfId="18589" priority="501">
      <formula>AND(IF(OR($Q11=1,$Q11=2),1,0),IF($X11&lt;=20,1,0))</formula>
    </cfRule>
    <cfRule type="expression" dxfId="18588" priority="502">
      <formula>AND(IF($Q11=2,1,0),IF($X11&lt;30,1,0))</formula>
    </cfRule>
    <cfRule type="expression" dxfId="18587" priority="503">
      <formula>AND(IF($Q11=3,1,0),IF($X11&lt;30,1,0))</formula>
    </cfRule>
    <cfRule type="expression" dxfId="18586" priority="504">
      <formula>AND(IF($Q11=3,1,IF($Q11=4,1,0)),IF($F11&lt;=85,1,0))</formula>
    </cfRule>
  </conditionalFormatting>
  <conditionalFormatting sqref="X11">
    <cfRule type="expression" dxfId="18585" priority="497">
      <formula>AND(IF(OR($Q11=1,$Q11=2),1,0),IF($X11&lt;=20,1,0))</formula>
    </cfRule>
    <cfRule type="expression" dxfId="18584" priority="498">
      <formula>AND(IF($Q11=2,1,0),IF($X11&lt;30,1,0))</formula>
    </cfRule>
    <cfRule type="expression" dxfId="18583" priority="499">
      <formula>AND(IF($Q11=3,1,0),IF($X11&lt;30,1,0))</formula>
    </cfRule>
    <cfRule type="expression" dxfId="18582" priority="500">
      <formula>AND(IF($Q11=3,1,IF($Q11=4,1,0)),IF($F11&lt;=85,1,0))</formula>
    </cfRule>
  </conditionalFormatting>
  <conditionalFormatting sqref="AI11">
    <cfRule type="expression" dxfId="18581" priority="493">
      <formula>AND(IF(OR($Q11=1,$Q11=2),1,0),IF($X11&lt;=20,1,0))</formula>
    </cfRule>
    <cfRule type="expression" dxfId="18580" priority="494">
      <formula>AND(IF($Q11=2,1,0),IF($X11&lt;30,1,0))</formula>
    </cfRule>
    <cfRule type="expression" dxfId="18579" priority="495">
      <formula>AND(IF($Q11=3,1,0),IF($X11&lt;30,1,0))</formula>
    </cfRule>
    <cfRule type="expression" dxfId="18578" priority="496">
      <formula>AND(IF($Q11=3,1,IF($Q11=4,1,0)),IF($F11&lt;=85,1,0))</formula>
    </cfRule>
  </conditionalFormatting>
  <conditionalFormatting sqref="AV12">
    <cfRule type="expression" dxfId="18577" priority="491">
      <formula>AV12="X"</formula>
    </cfRule>
    <cfRule type="expression" dxfId="18576" priority="492">
      <formula>AV12="후보"</formula>
    </cfRule>
  </conditionalFormatting>
  <conditionalFormatting sqref="AC12">
    <cfRule type="cellIs" dxfId="18575" priority="489" operator="greaterThan">
      <formula>0.9</formula>
    </cfRule>
    <cfRule type="cellIs" dxfId="18574" priority="490" operator="greaterThan">
      <formula>0.85</formula>
    </cfRule>
  </conditionalFormatting>
  <conditionalFormatting sqref="N12">
    <cfRule type="cellIs" dxfId="18573" priority="487" operator="greaterThan">
      <formula>0.9</formula>
    </cfRule>
    <cfRule type="cellIs" dxfId="18572" priority="488" operator="greaterThan">
      <formula>0.85</formula>
    </cfRule>
  </conditionalFormatting>
  <conditionalFormatting sqref="E12">
    <cfRule type="expression" dxfId="18571" priority="483">
      <formula>AND(IF(OR($Q12=1,$Q12=2),1,0),IF($X12&lt;=20,1,0))</formula>
    </cfRule>
    <cfRule type="expression" dxfId="18570" priority="484">
      <formula>AND(IF($Q12=2,1,0),IF($X12&lt;30,1,0))</formula>
    </cfRule>
    <cfRule type="expression" dxfId="18569" priority="485">
      <formula>AND(IF($Q12=3,1,0),IF($X12&lt;30,1,0))</formula>
    </cfRule>
    <cfRule type="expression" dxfId="18568" priority="486">
      <formula>AND(IF($Q12=3,1,IF($Q12=4,1,0)),IF($F12&lt;=85,1,0))</formula>
    </cfRule>
  </conditionalFormatting>
  <conditionalFormatting sqref="X12">
    <cfRule type="expression" dxfId="18567" priority="479">
      <formula>AND(IF(OR($Q12=1,$Q12=2),1,0),IF($X12&lt;=20,1,0))</formula>
    </cfRule>
    <cfRule type="expression" dxfId="18566" priority="480">
      <formula>AND(IF($Q12=2,1,0),IF($X12&lt;30,1,0))</formula>
    </cfRule>
    <cfRule type="expression" dxfId="18565" priority="481">
      <formula>AND(IF($Q12=3,1,0),IF($X12&lt;30,1,0))</formula>
    </cfRule>
    <cfRule type="expression" dxfId="18564" priority="482">
      <formula>AND(IF($Q12=3,1,IF($Q12=4,1,0)),IF($F12&lt;=85,1,0))</formula>
    </cfRule>
  </conditionalFormatting>
  <conditionalFormatting sqref="AI12">
    <cfRule type="expression" dxfId="18563" priority="475">
      <formula>AND(IF(OR($Q12=1,$Q12=2),1,0),IF($X12&lt;=20,1,0))</formula>
    </cfRule>
    <cfRule type="expression" dxfId="18562" priority="476">
      <formula>AND(IF($Q12=2,1,0),IF($X12&lt;30,1,0))</formula>
    </cfRule>
    <cfRule type="expression" dxfId="18561" priority="477">
      <formula>AND(IF($Q12=3,1,0),IF($X12&lt;30,1,0))</formula>
    </cfRule>
    <cfRule type="expression" dxfId="18560" priority="478">
      <formula>AND(IF($Q12=3,1,IF($Q12=4,1,0)),IF($F12&lt;=85,1,0))</formula>
    </cfRule>
  </conditionalFormatting>
  <conditionalFormatting sqref="AV13">
    <cfRule type="expression" dxfId="18559" priority="473">
      <formula>AV13="X"</formula>
    </cfRule>
    <cfRule type="expression" dxfId="18558" priority="474">
      <formula>AV13="후보"</formula>
    </cfRule>
  </conditionalFormatting>
  <conditionalFormatting sqref="AC13">
    <cfRule type="cellIs" dxfId="18557" priority="471" operator="greaterThan">
      <formula>0.9</formula>
    </cfRule>
    <cfRule type="cellIs" dxfId="18556" priority="472" operator="greaterThan">
      <formula>0.85</formula>
    </cfRule>
  </conditionalFormatting>
  <conditionalFormatting sqref="N13">
    <cfRule type="cellIs" dxfId="18555" priority="469" operator="greaterThan">
      <formula>0.9</formula>
    </cfRule>
    <cfRule type="cellIs" dxfId="18554" priority="470" operator="greaterThan">
      <formula>0.85</formula>
    </cfRule>
  </conditionalFormatting>
  <conditionalFormatting sqref="E13">
    <cfRule type="expression" dxfId="18553" priority="465">
      <formula>AND(IF(OR($Q13=1,$Q13=2),1,0),IF($X13&lt;=20,1,0))</formula>
    </cfRule>
    <cfRule type="expression" dxfId="18552" priority="466">
      <formula>AND(IF($Q13=2,1,0),IF($X13&lt;30,1,0))</formula>
    </cfRule>
    <cfRule type="expression" dxfId="18551" priority="467">
      <formula>AND(IF($Q13=3,1,0),IF($X13&lt;30,1,0))</formula>
    </cfRule>
    <cfRule type="expression" dxfId="18550" priority="468">
      <formula>AND(IF($Q13=3,1,IF($Q13=4,1,0)),IF($F13&lt;=85,1,0))</formula>
    </cfRule>
  </conditionalFormatting>
  <conditionalFormatting sqref="X13">
    <cfRule type="expression" dxfId="18549" priority="461">
      <formula>AND(IF(OR($Q13=1,$Q13=2),1,0),IF($X13&lt;=20,1,0))</formula>
    </cfRule>
    <cfRule type="expression" dxfId="18548" priority="462">
      <formula>AND(IF($Q13=2,1,0),IF($X13&lt;30,1,0))</formula>
    </cfRule>
    <cfRule type="expression" dxfId="18547" priority="463">
      <formula>AND(IF($Q13=3,1,0),IF($X13&lt;30,1,0))</formula>
    </cfRule>
    <cfRule type="expression" dxfId="18546" priority="464">
      <formula>AND(IF($Q13=3,1,IF($Q13=4,1,0)),IF($F13&lt;=85,1,0))</formula>
    </cfRule>
  </conditionalFormatting>
  <conditionalFormatting sqref="AI13">
    <cfRule type="expression" dxfId="18545" priority="457">
      <formula>AND(IF(OR($Q13=1,$Q13=2),1,0),IF($X13&lt;=20,1,0))</formula>
    </cfRule>
    <cfRule type="expression" dxfId="18544" priority="458">
      <formula>AND(IF($Q13=2,1,0),IF($X13&lt;30,1,0))</formula>
    </cfRule>
    <cfRule type="expression" dxfId="18543" priority="459">
      <formula>AND(IF($Q13=3,1,0),IF($X13&lt;30,1,0))</formula>
    </cfRule>
    <cfRule type="expression" dxfId="18542" priority="460">
      <formula>AND(IF($Q13=3,1,IF($Q13=4,1,0)),IF($F13&lt;=85,1,0))</formula>
    </cfRule>
  </conditionalFormatting>
  <conditionalFormatting sqref="AV14">
    <cfRule type="expression" dxfId="18541" priority="455">
      <formula>AV14="X"</formula>
    </cfRule>
    <cfRule type="expression" dxfId="18540" priority="456">
      <formula>AV14="후보"</formula>
    </cfRule>
  </conditionalFormatting>
  <conditionalFormatting sqref="AC14">
    <cfRule type="cellIs" dxfId="18539" priority="453" operator="greaterThan">
      <formula>0.9</formula>
    </cfRule>
    <cfRule type="cellIs" dxfId="18538" priority="454" operator="greaterThan">
      <formula>0.85</formula>
    </cfRule>
  </conditionalFormatting>
  <conditionalFormatting sqref="N14">
    <cfRule type="cellIs" dxfId="18537" priority="451" operator="greaterThan">
      <formula>0.9</formula>
    </cfRule>
    <cfRule type="cellIs" dxfId="18536" priority="452" operator="greaterThan">
      <formula>0.85</formula>
    </cfRule>
  </conditionalFormatting>
  <conditionalFormatting sqref="E14">
    <cfRule type="expression" dxfId="18535" priority="447">
      <formula>AND(IF(OR($Q14=1,$Q14=2),1,0),IF($X14&lt;=20,1,0))</formula>
    </cfRule>
    <cfRule type="expression" dxfId="18534" priority="448">
      <formula>AND(IF($Q14=2,1,0),IF($X14&lt;30,1,0))</formula>
    </cfRule>
    <cfRule type="expression" dxfId="18533" priority="449">
      <formula>AND(IF($Q14=3,1,0),IF($X14&lt;30,1,0))</formula>
    </cfRule>
    <cfRule type="expression" dxfId="18532" priority="450">
      <formula>AND(IF($Q14=3,1,IF($Q14=4,1,0)),IF($F14&lt;=85,1,0))</formula>
    </cfRule>
  </conditionalFormatting>
  <conditionalFormatting sqref="X14">
    <cfRule type="expression" dxfId="18531" priority="443">
      <formula>AND(IF(OR($Q14=1,$Q14=2),1,0),IF($X14&lt;=20,1,0))</formula>
    </cfRule>
    <cfRule type="expression" dxfId="18530" priority="444">
      <formula>AND(IF($Q14=2,1,0),IF($X14&lt;30,1,0))</formula>
    </cfRule>
    <cfRule type="expression" dxfId="18529" priority="445">
      <formula>AND(IF($Q14=3,1,0),IF($X14&lt;30,1,0))</formula>
    </cfRule>
    <cfRule type="expression" dxfId="18528" priority="446">
      <formula>AND(IF($Q14=3,1,IF($Q14=4,1,0)),IF($F14&lt;=85,1,0))</formula>
    </cfRule>
  </conditionalFormatting>
  <conditionalFormatting sqref="AI14">
    <cfRule type="expression" dxfId="18527" priority="439">
      <formula>AND(IF(OR($Q14=1,$Q14=2),1,0),IF($X14&lt;=20,1,0))</formula>
    </cfRule>
    <cfRule type="expression" dxfId="18526" priority="440">
      <formula>AND(IF($Q14=2,1,0),IF($X14&lt;30,1,0))</formula>
    </cfRule>
    <cfRule type="expression" dxfId="18525" priority="441">
      <formula>AND(IF($Q14=3,1,0),IF($X14&lt;30,1,0))</formula>
    </cfRule>
    <cfRule type="expression" dxfId="18524" priority="442">
      <formula>AND(IF($Q14=3,1,IF($Q14=4,1,0)),IF($F14&lt;=85,1,0))</formula>
    </cfRule>
  </conditionalFormatting>
  <conditionalFormatting sqref="AV15">
    <cfRule type="expression" dxfId="18523" priority="437">
      <formula>AV15="X"</formula>
    </cfRule>
    <cfRule type="expression" dxfId="18522" priority="438">
      <formula>AV15="후보"</formula>
    </cfRule>
  </conditionalFormatting>
  <conditionalFormatting sqref="AC15">
    <cfRule type="cellIs" dxfId="18521" priority="435" operator="greaterThan">
      <formula>0.9</formula>
    </cfRule>
    <cfRule type="cellIs" dxfId="18520" priority="436" operator="greaterThan">
      <formula>0.85</formula>
    </cfRule>
  </conditionalFormatting>
  <conditionalFormatting sqref="N15">
    <cfRule type="cellIs" dxfId="18519" priority="433" operator="greaterThan">
      <formula>0.9</formula>
    </cfRule>
    <cfRule type="cellIs" dxfId="18518" priority="434" operator="greaterThan">
      <formula>0.85</formula>
    </cfRule>
  </conditionalFormatting>
  <conditionalFormatting sqref="E15">
    <cfRule type="expression" dxfId="18517" priority="429">
      <formula>AND(IF(OR($Q15=1,$Q15=2),1,0),IF($X15&lt;=20,1,0))</formula>
    </cfRule>
    <cfRule type="expression" dxfId="18516" priority="430">
      <formula>AND(IF($Q15=2,1,0),IF($X15&lt;30,1,0))</formula>
    </cfRule>
    <cfRule type="expression" dxfId="18515" priority="431">
      <formula>AND(IF($Q15=3,1,0),IF($X15&lt;30,1,0))</formula>
    </cfRule>
    <cfRule type="expression" dxfId="18514" priority="432">
      <formula>AND(IF($Q15=3,1,IF($Q15=4,1,0)),IF($F15&lt;=85,1,0))</formula>
    </cfRule>
  </conditionalFormatting>
  <conditionalFormatting sqref="X15">
    <cfRule type="expression" dxfId="18513" priority="425">
      <formula>AND(IF(OR($Q15=1,$Q15=2),1,0),IF($X15&lt;=20,1,0))</formula>
    </cfRule>
    <cfRule type="expression" dxfId="18512" priority="426">
      <formula>AND(IF($Q15=2,1,0),IF($X15&lt;30,1,0))</formula>
    </cfRule>
    <cfRule type="expression" dxfId="18511" priority="427">
      <formula>AND(IF($Q15=3,1,0),IF($X15&lt;30,1,0))</formula>
    </cfRule>
    <cfRule type="expression" dxfId="18510" priority="428">
      <formula>AND(IF($Q15=3,1,IF($Q15=4,1,0)),IF($F15&lt;=85,1,0))</formula>
    </cfRule>
  </conditionalFormatting>
  <conditionalFormatting sqref="AI15">
    <cfRule type="expression" dxfId="18509" priority="421">
      <formula>AND(IF(OR($Q15=1,$Q15=2),1,0),IF($X15&lt;=20,1,0))</formula>
    </cfRule>
    <cfRule type="expression" dxfId="18508" priority="422">
      <formula>AND(IF($Q15=2,1,0),IF($X15&lt;30,1,0))</formula>
    </cfRule>
    <cfRule type="expression" dxfId="18507" priority="423">
      <formula>AND(IF($Q15=3,1,0),IF($X15&lt;30,1,0))</formula>
    </cfRule>
    <cfRule type="expression" dxfId="18506" priority="424">
      <formula>AND(IF($Q15=3,1,IF($Q15=4,1,0)),IF($F15&lt;=85,1,0))</formula>
    </cfRule>
  </conditionalFormatting>
  <conditionalFormatting sqref="AV16">
    <cfRule type="expression" dxfId="18505" priority="419">
      <formula>AV16="X"</formula>
    </cfRule>
    <cfRule type="expression" dxfId="18504" priority="420">
      <formula>AV16="후보"</formula>
    </cfRule>
  </conditionalFormatting>
  <conditionalFormatting sqref="AC16">
    <cfRule type="cellIs" dxfId="18503" priority="417" operator="greaterThan">
      <formula>0.9</formula>
    </cfRule>
    <cfRule type="cellIs" dxfId="18502" priority="418" operator="greaterThan">
      <formula>0.85</formula>
    </cfRule>
  </conditionalFormatting>
  <conditionalFormatting sqref="N16">
    <cfRule type="cellIs" dxfId="18501" priority="415" operator="greaterThan">
      <formula>0.9</formula>
    </cfRule>
    <cfRule type="cellIs" dxfId="18500" priority="416" operator="greaterThan">
      <formula>0.85</formula>
    </cfRule>
  </conditionalFormatting>
  <conditionalFormatting sqref="E16">
    <cfRule type="expression" dxfId="18499" priority="411">
      <formula>AND(IF(OR($Q16=1,$Q16=2),1,0),IF($X16&lt;=20,1,0))</formula>
    </cfRule>
    <cfRule type="expression" dxfId="18498" priority="412">
      <formula>AND(IF($Q16=2,1,0),IF($X16&lt;30,1,0))</formula>
    </cfRule>
    <cfRule type="expression" dxfId="18497" priority="413">
      <formula>AND(IF($Q16=3,1,0),IF($X16&lt;30,1,0))</formula>
    </cfRule>
    <cfRule type="expression" dxfId="18496" priority="414">
      <formula>AND(IF($Q16=3,1,IF($Q16=4,1,0)),IF($F16&lt;=85,1,0))</formula>
    </cfRule>
  </conditionalFormatting>
  <conditionalFormatting sqref="X16">
    <cfRule type="expression" dxfId="18495" priority="407">
      <formula>AND(IF(OR($Q16=1,$Q16=2),1,0),IF($X16&lt;=20,1,0))</formula>
    </cfRule>
    <cfRule type="expression" dxfId="18494" priority="408">
      <formula>AND(IF($Q16=2,1,0),IF($X16&lt;30,1,0))</formula>
    </cfRule>
    <cfRule type="expression" dxfId="18493" priority="409">
      <formula>AND(IF($Q16=3,1,0),IF($X16&lt;30,1,0))</formula>
    </cfRule>
    <cfRule type="expression" dxfId="18492" priority="410">
      <formula>AND(IF($Q16=3,1,IF($Q16=4,1,0)),IF($F16&lt;=85,1,0))</formula>
    </cfRule>
  </conditionalFormatting>
  <conditionalFormatting sqref="AI16">
    <cfRule type="expression" dxfId="18491" priority="403">
      <formula>AND(IF(OR($Q16=1,$Q16=2),1,0),IF($X16&lt;=20,1,0))</formula>
    </cfRule>
    <cfRule type="expression" dxfId="18490" priority="404">
      <formula>AND(IF($Q16=2,1,0),IF($X16&lt;30,1,0))</formula>
    </cfRule>
    <cfRule type="expression" dxfId="18489" priority="405">
      <formula>AND(IF($Q16=3,1,0),IF($X16&lt;30,1,0))</formula>
    </cfRule>
    <cfRule type="expression" dxfId="18488" priority="406">
      <formula>AND(IF($Q16=3,1,IF($Q16=4,1,0)),IF($F16&lt;=85,1,0))</formula>
    </cfRule>
  </conditionalFormatting>
  <conditionalFormatting sqref="AV17">
    <cfRule type="expression" dxfId="18487" priority="401">
      <formula>AV17="X"</formula>
    </cfRule>
    <cfRule type="expression" dxfId="18486" priority="402">
      <formula>AV17="후보"</formula>
    </cfRule>
  </conditionalFormatting>
  <conditionalFormatting sqref="AC17 N17">
    <cfRule type="cellIs" dxfId="18485" priority="399" operator="greaterThan">
      <formula>0.9</formula>
    </cfRule>
    <cfRule type="cellIs" dxfId="18484" priority="400" operator="greaterThan">
      <formula>0.85</formula>
    </cfRule>
  </conditionalFormatting>
  <conditionalFormatting sqref="AV18">
    <cfRule type="expression" dxfId="18483" priority="397">
      <formula>AV18="X"</formula>
    </cfRule>
    <cfRule type="expression" dxfId="18482" priority="398">
      <formula>AV18="후보"</formula>
    </cfRule>
  </conditionalFormatting>
  <conditionalFormatting sqref="AC18">
    <cfRule type="cellIs" dxfId="18481" priority="395" operator="greaterThan">
      <formula>0.9</formula>
    </cfRule>
    <cfRule type="cellIs" dxfId="18480" priority="396" operator="greaterThan">
      <formula>0.85</formula>
    </cfRule>
  </conditionalFormatting>
  <conditionalFormatting sqref="N18">
    <cfRule type="cellIs" dxfId="18479" priority="393" operator="greaterThan">
      <formula>0.9</formula>
    </cfRule>
    <cfRule type="cellIs" dxfId="18478" priority="394" operator="greaterThan">
      <formula>0.85</formula>
    </cfRule>
  </conditionalFormatting>
  <conditionalFormatting sqref="E18">
    <cfRule type="expression" dxfId="18477" priority="389">
      <formula>AND(IF(OR($Q18=1,$Q18=2),1,0),IF($X18&lt;=20,1,0))</formula>
    </cfRule>
    <cfRule type="expression" dxfId="18476" priority="390">
      <formula>AND(IF($Q18=2,1,0),IF($X18&lt;30,1,0))</formula>
    </cfRule>
    <cfRule type="expression" dxfId="18475" priority="391">
      <formula>AND(IF($Q18=3,1,0),IF($X18&lt;30,1,0))</formula>
    </cfRule>
    <cfRule type="expression" dxfId="18474" priority="392">
      <formula>AND(IF($Q18=3,1,IF($Q18=4,1,0)),IF($F18&lt;=85,1,0))</formula>
    </cfRule>
  </conditionalFormatting>
  <conditionalFormatting sqref="X18">
    <cfRule type="expression" dxfId="18473" priority="385">
      <formula>AND(IF(OR($Q18=1,$Q18=2),1,0),IF($X18&lt;=20,1,0))</formula>
    </cfRule>
    <cfRule type="expression" dxfId="18472" priority="386">
      <formula>AND(IF($Q18=2,1,0),IF($X18&lt;30,1,0))</formula>
    </cfRule>
    <cfRule type="expression" dxfId="18471" priority="387">
      <formula>AND(IF($Q18=3,1,0),IF($X18&lt;30,1,0))</formula>
    </cfRule>
    <cfRule type="expression" dxfId="18470" priority="388">
      <formula>AND(IF($Q18=3,1,IF($Q18=4,1,0)),IF($F18&lt;=85,1,0))</formula>
    </cfRule>
  </conditionalFormatting>
  <conditionalFormatting sqref="AI18">
    <cfRule type="expression" dxfId="18469" priority="381">
      <formula>AND(IF(OR($Q18=1,$Q18=2),1,0),IF($X18&lt;=20,1,0))</formula>
    </cfRule>
    <cfRule type="expression" dxfId="18468" priority="382">
      <formula>AND(IF($Q18=2,1,0),IF($X18&lt;30,1,0))</formula>
    </cfRule>
    <cfRule type="expression" dxfId="18467" priority="383">
      <formula>AND(IF($Q18=3,1,0),IF($X18&lt;30,1,0))</formula>
    </cfRule>
    <cfRule type="expression" dxfId="18466" priority="384">
      <formula>AND(IF($Q18=3,1,IF($Q18=4,1,0)),IF($F18&lt;=85,1,0))</formula>
    </cfRule>
  </conditionalFormatting>
  <conditionalFormatting sqref="AV19">
    <cfRule type="expression" dxfId="18465" priority="379">
      <formula>AV19="X"</formula>
    </cfRule>
    <cfRule type="expression" dxfId="18464" priority="380">
      <formula>AV19="후보"</formula>
    </cfRule>
  </conditionalFormatting>
  <conditionalFormatting sqref="AC19">
    <cfRule type="cellIs" dxfId="18463" priority="377" operator="greaterThan">
      <formula>0.9</formula>
    </cfRule>
    <cfRule type="cellIs" dxfId="18462" priority="378" operator="greaterThan">
      <formula>0.85</formula>
    </cfRule>
  </conditionalFormatting>
  <conditionalFormatting sqref="N19">
    <cfRule type="cellIs" dxfId="18461" priority="375" operator="greaterThan">
      <formula>0.9</formula>
    </cfRule>
    <cfRule type="cellIs" dxfId="18460" priority="376" operator="greaterThan">
      <formula>0.85</formula>
    </cfRule>
  </conditionalFormatting>
  <conditionalFormatting sqref="E19">
    <cfRule type="expression" dxfId="18459" priority="371">
      <formula>AND(IF(OR($Q19=1,$Q19=2),1,0),IF($X19&lt;=20,1,0))</formula>
    </cfRule>
    <cfRule type="expression" dxfId="18458" priority="372">
      <formula>AND(IF($Q19=2,1,0),IF($X19&lt;30,1,0))</formula>
    </cfRule>
    <cfRule type="expression" dxfId="18457" priority="373">
      <formula>AND(IF($Q19=3,1,0),IF($X19&lt;30,1,0))</formula>
    </cfRule>
    <cfRule type="expression" dxfId="18456" priority="374">
      <formula>AND(IF($Q19=3,1,IF($Q19=4,1,0)),IF($F19&lt;=85,1,0))</formula>
    </cfRule>
  </conditionalFormatting>
  <conditionalFormatting sqref="X19">
    <cfRule type="expression" dxfId="18455" priority="367">
      <formula>AND(IF(OR($Q19=1,$Q19=2),1,0),IF($X19&lt;=20,1,0))</formula>
    </cfRule>
    <cfRule type="expression" dxfId="18454" priority="368">
      <formula>AND(IF($Q19=2,1,0),IF($X19&lt;30,1,0))</formula>
    </cfRule>
    <cfRule type="expression" dxfId="18453" priority="369">
      <formula>AND(IF($Q19=3,1,0),IF($X19&lt;30,1,0))</formula>
    </cfRule>
    <cfRule type="expression" dxfId="18452" priority="370">
      <formula>AND(IF($Q19=3,1,IF($Q19=4,1,0)),IF($F19&lt;=85,1,0))</formula>
    </cfRule>
  </conditionalFormatting>
  <conditionalFormatting sqref="AI19">
    <cfRule type="expression" dxfId="18451" priority="363">
      <formula>AND(IF(OR($Q19=1,$Q19=2),1,0),IF($X19&lt;=20,1,0))</formula>
    </cfRule>
    <cfRule type="expression" dxfId="18450" priority="364">
      <formula>AND(IF($Q19=2,1,0),IF($X19&lt;30,1,0))</formula>
    </cfRule>
    <cfRule type="expression" dxfId="18449" priority="365">
      <formula>AND(IF($Q19=3,1,0),IF($X19&lt;30,1,0))</formula>
    </cfRule>
    <cfRule type="expression" dxfId="18448" priority="366">
      <formula>AND(IF($Q19=3,1,IF($Q19=4,1,0)),IF($F19&lt;=85,1,0))</formula>
    </cfRule>
  </conditionalFormatting>
  <conditionalFormatting sqref="AV20">
    <cfRule type="expression" dxfId="18447" priority="361">
      <formula>AV20="X"</formula>
    </cfRule>
    <cfRule type="expression" dxfId="18446" priority="362">
      <formula>AV20="후보"</formula>
    </cfRule>
  </conditionalFormatting>
  <conditionalFormatting sqref="AC20">
    <cfRule type="cellIs" dxfId="18445" priority="359" operator="greaterThan">
      <formula>0.9</formula>
    </cfRule>
    <cfRule type="cellIs" dxfId="18444" priority="360" operator="greaterThan">
      <formula>0.85</formula>
    </cfRule>
  </conditionalFormatting>
  <conditionalFormatting sqref="N20">
    <cfRule type="cellIs" dxfId="18443" priority="357" operator="greaterThan">
      <formula>0.9</formula>
    </cfRule>
    <cfRule type="cellIs" dxfId="18442" priority="358" operator="greaterThan">
      <formula>0.85</formula>
    </cfRule>
  </conditionalFormatting>
  <conditionalFormatting sqref="E20">
    <cfRule type="expression" dxfId="18441" priority="353">
      <formula>AND(IF(OR($Q20=1,$Q20=2),1,0),IF($X20&lt;=20,1,0))</formula>
    </cfRule>
    <cfRule type="expression" dxfId="18440" priority="354">
      <formula>AND(IF($Q20=2,1,0),IF($X20&lt;30,1,0))</formula>
    </cfRule>
    <cfRule type="expression" dxfId="18439" priority="355">
      <formula>AND(IF($Q20=3,1,0),IF($X20&lt;30,1,0))</formula>
    </cfRule>
    <cfRule type="expression" dxfId="18438" priority="356">
      <formula>AND(IF($Q20=3,1,IF($Q20=4,1,0)),IF($F20&lt;=85,1,0))</formula>
    </cfRule>
  </conditionalFormatting>
  <conditionalFormatting sqref="X20">
    <cfRule type="expression" dxfId="18437" priority="349">
      <formula>AND(IF(OR($Q20=1,$Q20=2),1,0),IF($X20&lt;=20,1,0))</formula>
    </cfRule>
    <cfRule type="expression" dxfId="18436" priority="350">
      <formula>AND(IF($Q20=2,1,0),IF($X20&lt;30,1,0))</formula>
    </cfRule>
    <cfRule type="expression" dxfId="18435" priority="351">
      <formula>AND(IF($Q20=3,1,0),IF($X20&lt;30,1,0))</formula>
    </cfRule>
    <cfRule type="expression" dxfId="18434" priority="352">
      <formula>AND(IF($Q20=3,1,IF($Q20=4,1,0)),IF($F20&lt;=85,1,0))</formula>
    </cfRule>
  </conditionalFormatting>
  <conditionalFormatting sqref="AI20">
    <cfRule type="expression" dxfId="18433" priority="345">
      <formula>AND(IF(OR($Q20=1,$Q20=2),1,0),IF($X20&lt;=20,1,0))</formula>
    </cfRule>
    <cfRule type="expression" dxfId="18432" priority="346">
      <formula>AND(IF($Q20=2,1,0),IF($X20&lt;30,1,0))</formula>
    </cfRule>
    <cfRule type="expression" dxfId="18431" priority="347">
      <formula>AND(IF($Q20=3,1,0),IF($X20&lt;30,1,0))</formula>
    </cfRule>
    <cfRule type="expression" dxfId="18430" priority="348">
      <formula>AND(IF($Q20=3,1,IF($Q20=4,1,0)),IF($F20&lt;=85,1,0))</formula>
    </cfRule>
  </conditionalFormatting>
  <conditionalFormatting sqref="AV21">
    <cfRule type="expression" dxfId="18429" priority="343">
      <formula>AV21="X"</formula>
    </cfRule>
    <cfRule type="expression" dxfId="18428" priority="344">
      <formula>AV21="후보"</formula>
    </cfRule>
  </conditionalFormatting>
  <conditionalFormatting sqref="AC21">
    <cfRule type="cellIs" dxfId="18427" priority="341" operator="greaterThan">
      <formula>0.9</formula>
    </cfRule>
    <cfRule type="cellIs" dxfId="18426" priority="342" operator="greaterThan">
      <formula>0.85</formula>
    </cfRule>
  </conditionalFormatting>
  <conditionalFormatting sqref="N21">
    <cfRule type="cellIs" dxfId="18425" priority="339" operator="greaterThan">
      <formula>0.9</formula>
    </cfRule>
    <cfRule type="cellIs" dxfId="18424" priority="340" operator="greaterThan">
      <formula>0.85</formula>
    </cfRule>
  </conditionalFormatting>
  <conditionalFormatting sqref="E21">
    <cfRule type="expression" dxfId="18423" priority="335">
      <formula>AND(IF(OR($Q21=1,$Q21=2),1,0),IF($X21&lt;=20,1,0))</formula>
    </cfRule>
    <cfRule type="expression" dxfId="18422" priority="336">
      <formula>AND(IF($Q21=2,1,0),IF($X21&lt;30,1,0))</formula>
    </cfRule>
    <cfRule type="expression" dxfId="18421" priority="337">
      <formula>AND(IF($Q21=3,1,0),IF($X21&lt;30,1,0))</formula>
    </cfRule>
    <cfRule type="expression" dxfId="18420" priority="338">
      <formula>AND(IF($Q21=3,1,IF($Q21=4,1,0)),IF($F21&lt;=85,1,0))</formula>
    </cfRule>
  </conditionalFormatting>
  <conditionalFormatting sqref="X21">
    <cfRule type="expression" dxfId="18419" priority="331">
      <formula>AND(IF(OR($Q21=1,$Q21=2),1,0),IF($X21&lt;=20,1,0))</formula>
    </cfRule>
    <cfRule type="expression" dxfId="18418" priority="332">
      <formula>AND(IF($Q21=2,1,0),IF($X21&lt;30,1,0))</formula>
    </cfRule>
    <cfRule type="expression" dxfId="18417" priority="333">
      <formula>AND(IF($Q21=3,1,0),IF($X21&lt;30,1,0))</formula>
    </cfRule>
    <cfRule type="expression" dxfId="18416" priority="334">
      <formula>AND(IF($Q21=3,1,IF($Q21=4,1,0)),IF($F21&lt;=85,1,0))</formula>
    </cfRule>
  </conditionalFormatting>
  <conditionalFormatting sqref="AI21">
    <cfRule type="expression" dxfId="18415" priority="327">
      <formula>AND(IF(OR($Q21=1,$Q21=2),1,0),IF($X21&lt;=20,1,0))</formula>
    </cfRule>
    <cfRule type="expression" dxfId="18414" priority="328">
      <formula>AND(IF($Q21=2,1,0),IF($X21&lt;30,1,0))</formula>
    </cfRule>
    <cfRule type="expression" dxfId="18413" priority="329">
      <formula>AND(IF($Q21=3,1,0),IF($X21&lt;30,1,0))</formula>
    </cfRule>
    <cfRule type="expression" dxfId="18412" priority="330">
      <formula>AND(IF($Q21=3,1,IF($Q21=4,1,0)),IF($F21&lt;=85,1,0))</formula>
    </cfRule>
  </conditionalFormatting>
  <conditionalFormatting sqref="AV22">
    <cfRule type="expression" dxfId="18411" priority="325">
      <formula>AV22="X"</formula>
    </cfRule>
    <cfRule type="expression" dxfId="18410" priority="326">
      <formula>AV22="후보"</formula>
    </cfRule>
  </conditionalFormatting>
  <conditionalFormatting sqref="AC22 N22">
    <cfRule type="cellIs" dxfId="18409" priority="323" operator="greaterThan">
      <formula>0.9</formula>
    </cfRule>
    <cfRule type="cellIs" dxfId="18408" priority="324" operator="greaterThan">
      <formula>0.85</formula>
    </cfRule>
  </conditionalFormatting>
  <conditionalFormatting sqref="AV23">
    <cfRule type="expression" dxfId="18407" priority="321">
      <formula>AV23="X"</formula>
    </cfRule>
    <cfRule type="expression" dxfId="18406" priority="322">
      <formula>AV23="후보"</formula>
    </cfRule>
  </conditionalFormatting>
  <conditionalFormatting sqref="AC23">
    <cfRule type="cellIs" dxfId="18405" priority="319" operator="greaterThan">
      <formula>0.9</formula>
    </cfRule>
    <cfRule type="cellIs" dxfId="18404" priority="320" operator="greaterThan">
      <formula>0.85</formula>
    </cfRule>
  </conditionalFormatting>
  <conditionalFormatting sqref="N23">
    <cfRule type="cellIs" dxfId="18403" priority="317" operator="greaterThan">
      <formula>0.9</formula>
    </cfRule>
    <cfRule type="cellIs" dxfId="18402" priority="318" operator="greaterThan">
      <formula>0.85</formula>
    </cfRule>
  </conditionalFormatting>
  <conditionalFormatting sqref="E23">
    <cfRule type="expression" dxfId="18401" priority="313">
      <formula>AND(IF(OR($Q23=1,$Q23=2),1,0),IF($X23&lt;=20,1,0))</formula>
    </cfRule>
    <cfRule type="expression" dxfId="18400" priority="314">
      <formula>AND(IF($Q23=2,1,0),IF($X23&lt;30,1,0))</formula>
    </cfRule>
    <cfRule type="expression" dxfId="18399" priority="315">
      <formula>AND(IF($Q23=3,1,0),IF($X23&lt;30,1,0))</formula>
    </cfRule>
    <cfRule type="expression" dxfId="18398" priority="316">
      <formula>AND(IF($Q23=3,1,IF($Q23=4,1,0)),IF($F23&lt;=85,1,0))</formula>
    </cfRule>
  </conditionalFormatting>
  <conditionalFormatting sqref="X23">
    <cfRule type="expression" dxfId="18397" priority="309">
      <formula>AND(IF(OR($Q23=1,$Q23=2),1,0),IF($X23&lt;=20,1,0))</formula>
    </cfRule>
    <cfRule type="expression" dxfId="18396" priority="310">
      <formula>AND(IF($Q23=2,1,0),IF($X23&lt;30,1,0))</formula>
    </cfRule>
    <cfRule type="expression" dxfId="18395" priority="311">
      <formula>AND(IF($Q23=3,1,0),IF($X23&lt;30,1,0))</formula>
    </cfRule>
    <cfRule type="expression" dxfId="18394" priority="312">
      <formula>AND(IF($Q23=3,1,IF($Q23=4,1,0)),IF($F23&lt;=85,1,0))</formula>
    </cfRule>
  </conditionalFormatting>
  <conditionalFormatting sqref="AI23">
    <cfRule type="expression" dxfId="18393" priority="305">
      <formula>AND(IF(OR($Q23=1,$Q23=2),1,0),IF($X23&lt;=20,1,0))</formula>
    </cfRule>
    <cfRule type="expression" dxfId="18392" priority="306">
      <formula>AND(IF($Q23=2,1,0),IF($X23&lt;30,1,0))</formula>
    </cfRule>
    <cfRule type="expression" dxfId="18391" priority="307">
      <formula>AND(IF($Q23=3,1,0),IF($X23&lt;30,1,0))</formula>
    </cfRule>
    <cfRule type="expression" dxfId="18390" priority="308">
      <formula>AND(IF($Q23=3,1,IF($Q23=4,1,0)),IF($F23&lt;=85,1,0))</formula>
    </cfRule>
  </conditionalFormatting>
  <conditionalFormatting sqref="AV24">
    <cfRule type="expression" dxfId="18389" priority="303">
      <formula>AV24="X"</formula>
    </cfRule>
    <cfRule type="expression" dxfId="18388" priority="304">
      <formula>AV24="후보"</formula>
    </cfRule>
  </conditionalFormatting>
  <conditionalFormatting sqref="AC24">
    <cfRule type="cellIs" dxfId="18387" priority="301" operator="greaterThan">
      <formula>0.9</formula>
    </cfRule>
    <cfRule type="cellIs" dxfId="18386" priority="302" operator="greaterThan">
      <formula>0.85</formula>
    </cfRule>
  </conditionalFormatting>
  <conditionalFormatting sqref="N24">
    <cfRule type="cellIs" dxfId="18385" priority="299" operator="greaterThan">
      <formula>0.9</formula>
    </cfRule>
    <cfRule type="cellIs" dxfId="18384" priority="300" operator="greaterThan">
      <formula>0.85</formula>
    </cfRule>
  </conditionalFormatting>
  <conditionalFormatting sqref="E24">
    <cfRule type="expression" dxfId="18383" priority="295">
      <formula>AND(IF(OR($Q24=1,$Q24=2),1,0),IF($X24&lt;=20,1,0))</formula>
    </cfRule>
    <cfRule type="expression" dxfId="18382" priority="296">
      <formula>AND(IF($Q24=2,1,0),IF($X24&lt;30,1,0))</formula>
    </cfRule>
    <cfRule type="expression" dxfId="18381" priority="297">
      <formula>AND(IF($Q24=3,1,0),IF($X24&lt;30,1,0))</formula>
    </cfRule>
    <cfRule type="expression" dxfId="18380" priority="298">
      <formula>AND(IF($Q24=3,1,IF($Q24=4,1,0)),IF($F24&lt;=85,1,0))</formula>
    </cfRule>
  </conditionalFormatting>
  <conditionalFormatting sqref="X24">
    <cfRule type="expression" dxfId="18379" priority="291">
      <formula>AND(IF(OR($Q24=1,$Q24=2),1,0),IF($X24&lt;=20,1,0))</formula>
    </cfRule>
    <cfRule type="expression" dxfId="18378" priority="292">
      <formula>AND(IF($Q24=2,1,0),IF($X24&lt;30,1,0))</formula>
    </cfRule>
    <cfRule type="expression" dxfId="18377" priority="293">
      <formula>AND(IF($Q24=3,1,0),IF($X24&lt;30,1,0))</formula>
    </cfRule>
    <cfRule type="expression" dxfId="18376" priority="294">
      <formula>AND(IF($Q24=3,1,IF($Q24=4,1,0)),IF($F24&lt;=85,1,0))</formula>
    </cfRule>
  </conditionalFormatting>
  <conditionalFormatting sqref="AI24">
    <cfRule type="expression" dxfId="18375" priority="287">
      <formula>AND(IF(OR($Q24=1,$Q24=2),1,0),IF($X24&lt;=20,1,0))</formula>
    </cfRule>
    <cfRule type="expression" dxfId="18374" priority="288">
      <formula>AND(IF($Q24=2,1,0),IF($X24&lt;30,1,0))</formula>
    </cfRule>
    <cfRule type="expression" dxfId="18373" priority="289">
      <formula>AND(IF($Q24=3,1,0),IF($X24&lt;30,1,0))</formula>
    </cfRule>
    <cfRule type="expression" dxfId="18372" priority="290">
      <formula>AND(IF($Q24=3,1,IF($Q24=4,1,0)),IF($F24&lt;=85,1,0))</formula>
    </cfRule>
  </conditionalFormatting>
  <conditionalFormatting sqref="AV25">
    <cfRule type="expression" dxfId="18371" priority="285">
      <formula>AV25="X"</formula>
    </cfRule>
    <cfRule type="expression" dxfId="18370" priority="286">
      <formula>AV25="후보"</formula>
    </cfRule>
  </conditionalFormatting>
  <conditionalFormatting sqref="AC25">
    <cfRule type="cellIs" dxfId="18369" priority="283" operator="greaterThan">
      <formula>0.9</formula>
    </cfRule>
    <cfRule type="cellIs" dxfId="18368" priority="284" operator="greaterThan">
      <formula>0.85</formula>
    </cfRule>
  </conditionalFormatting>
  <conditionalFormatting sqref="N25">
    <cfRule type="cellIs" dxfId="18367" priority="281" operator="greaterThan">
      <formula>0.9</formula>
    </cfRule>
    <cfRule type="cellIs" dxfId="18366" priority="282" operator="greaterThan">
      <formula>0.85</formula>
    </cfRule>
  </conditionalFormatting>
  <conditionalFormatting sqref="E25">
    <cfRule type="expression" dxfId="18365" priority="277">
      <formula>AND(IF(OR($Q25=1,$Q25=2),1,0),IF($X25&lt;=20,1,0))</formula>
    </cfRule>
    <cfRule type="expression" dxfId="18364" priority="278">
      <formula>AND(IF($Q25=2,1,0),IF($X25&lt;30,1,0))</formula>
    </cfRule>
    <cfRule type="expression" dxfId="18363" priority="279">
      <formula>AND(IF($Q25=3,1,0),IF($X25&lt;30,1,0))</formula>
    </cfRule>
    <cfRule type="expression" dxfId="18362" priority="280">
      <formula>AND(IF($Q25=3,1,IF($Q25=4,1,0)),IF($F25&lt;=85,1,0))</formula>
    </cfRule>
  </conditionalFormatting>
  <conditionalFormatting sqref="X25">
    <cfRule type="expression" dxfId="18361" priority="273">
      <formula>AND(IF(OR($Q25=1,$Q25=2),1,0),IF($X25&lt;=20,1,0))</formula>
    </cfRule>
    <cfRule type="expression" dxfId="18360" priority="274">
      <formula>AND(IF($Q25=2,1,0),IF($X25&lt;30,1,0))</formula>
    </cfRule>
    <cfRule type="expression" dxfId="18359" priority="275">
      <formula>AND(IF($Q25=3,1,0),IF($X25&lt;30,1,0))</formula>
    </cfRule>
    <cfRule type="expression" dxfId="18358" priority="276">
      <formula>AND(IF($Q25=3,1,IF($Q25=4,1,0)),IF($F25&lt;=85,1,0))</formula>
    </cfRule>
  </conditionalFormatting>
  <conditionalFormatting sqref="AI25">
    <cfRule type="expression" dxfId="18357" priority="269">
      <formula>AND(IF(OR($Q25=1,$Q25=2),1,0),IF($X25&lt;=20,1,0))</formula>
    </cfRule>
    <cfRule type="expression" dxfId="18356" priority="270">
      <formula>AND(IF($Q25=2,1,0),IF($X25&lt;30,1,0))</formula>
    </cfRule>
    <cfRule type="expression" dxfId="18355" priority="271">
      <formula>AND(IF($Q25=3,1,0),IF($X25&lt;30,1,0))</formula>
    </cfRule>
    <cfRule type="expression" dxfId="18354" priority="272">
      <formula>AND(IF($Q25=3,1,IF($Q25=4,1,0)),IF($F25&lt;=85,1,0))</formula>
    </cfRule>
  </conditionalFormatting>
  <conditionalFormatting sqref="AV26">
    <cfRule type="expression" dxfId="18353" priority="267">
      <formula>AV26="X"</formula>
    </cfRule>
    <cfRule type="expression" dxfId="18352" priority="268">
      <formula>AV26="후보"</formula>
    </cfRule>
  </conditionalFormatting>
  <conditionalFormatting sqref="AC26">
    <cfRule type="cellIs" dxfId="18351" priority="265" operator="greaterThan">
      <formula>0.9</formula>
    </cfRule>
    <cfRule type="cellIs" dxfId="18350" priority="266" operator="greaterThan">
      <formula>0.85</formula>
    </cfRule>
  </conditionalFormatting>
  <conditionalFormatting sqref="N26">
    <cfRule type="cellIs" dxfId="18349" priority="263" operator="greaterThan">
      <formula>0.9</formula>
    </cfRule>
    <cfRule type="cellIs" dxfId="18348" priority="264" operator="greaterThan">
      <formula>0.85</formula>
    </cfRule>
  </conditionalFormatting>
  <conditionalFormatting sqref="E26">
    <cfRule type="expression" dxfId="18347" priority="259">
      <formula>AND(IF(OR($Q26=1,$Q26=2),1,0),IF($X26&lt;=20,1,0))</formula>
    </cfRule>
    <cfRule type="expression" dxfId="18346" priority="260">
      <formula>AND(IF($Q26=2,1,0),IF($X26&lt;30,1,0))</formula>
    </cfRule>
    <cfRule type="expression" dxfId="18345" priority="261">
      <formula>AND(IF($Q26=3,1,0),IF($X26&lt;30,1,0))</formula>
    </cfRule>
    <cfRule type="expression" dxfId="18344" priority="262">
      <formula>AND(IF($Q26=3,1,IF($Q26=4,1,0)),IF($F26&lt;=85,1,0))</formula>
    </cfRule>
  </conditionalFormatting>
  <conditionalFormatting sqref="X26">
    <cfRule type="expression" dxfId="18343" priority="255">
      <formula>AND(IF(OR($Q26=1,$Q26=2),1,0),IF($X26&lt;=20,1,0))</formula>
    </cfRule>
    <cfRule type="expression" dxfId="18342" priority="256">
      <formula>AND(IF($Q26=2,1,0),IF($X26&lt;30,1,0))</formula>
    </cfRule>
    <cfRule type="expression" dxfId="18341" priority="257">
      <formula>AND(IF($Q26=3,1,0),IF($X26&lt;30,1,0))</formula>
    </cfRule>
    <cfRule type="expression" dxfId="18340" priority="258">
      <formula>AND(IF($Q26=3,1,IF($Q26=4,1,0)),IF($F26&lt;=85,1,0))</formula>
    </cfRule>
  </conditionalFormatting>
  <conditionalFormatting sqref="AI26">
    <cfRule type="expression" dxfId="18339" priority="251">
      <formula>AND(IF(OR($Q26=1,$Q26=2),1,0),IF($X26&lt;=20,1,0))</formula>
    </cfRule>
    <cfRule type="expression" dxfId="18338" priority="252">
      <formula>AND(IF($Q26=2,1,0),IF($X26&lt;30,1,0))</formula>
    </cfRule>
    <cfRule type="expression" dxfId="18337" priority="253">
      <formula>AND(IF($Q26=3,1,0),IF($X26&lt;30,1,0))</formula>
    </cfRule>
    <cfRule type="expression" dxfId="18336" priority="254">
      <formula>AND(IF($Q26=3,1,IF($Q26=4,1,0)),IF($F26&lt;=85,1,0))</formula>
    </cfRule>
  </conditionalFormatting>
  <conditionalFormatting sqref="AV27">
    <cfRule type="expression" dxfId="18335" priority="249">
      <formula>AV27="X"</formula>
    </cfRule>
    <cfRule type="expression" dxfId="18334" priority="250">
      <formula>AV27="후보"</formula>
    </cfRule>
  </conditionalFormatting>
  <conditionalFormatting sqref="AC27">
    <cfRule type="cellIs" dxfId="18333" priority="247" operator="greaterThan">
      <formula>0.9</formula>
    </cfRule>
    <cfRule type="cellIs" dxfId="18332" priority="248" operator="greaterThan">
      <formula>0.85</formula>
    </cfRule>
  </conditionalFormatting>
  <conditionalFormatting sqref="N27">
    <cfRule type="cellIs" dxfId="18331" priority="245" operator="greaterThan">
      <formula>0.9</formula>
    </cfRule>
    <cfRule type="cellIs" dxfId="18330" priority="246" operator="greaterThan">
      <formula>0.85</formula>
    </cfRule>
  </conditionalFormatting>
  <conditionalFormatting sqref="E27">
    <cfRule type="expression" dxfId="18329" priority="241">
      <formula>AND(IF(OR($Q27=1,$Q27=2),1,0),IF($X27&lt;=20,1,0))</formula>
    </cfRule>
    <cfRule type="expression" dxfId="18328" priority="242">
      <formula>AND(IF($Q27=2,1,0),IF($X27&lt;30,1,0))</formula>
    </cfRule>
    <cfRule type="expression" dxfId="18327" priority="243">
      <formula>AND(IF($Q27=3,1,0),IF($X27&lt;30,1,0))</formula>
    </cfRule>
    <cfRule type="expression" dxfId="18326" priority="244">
      <formula>AND(IF($Q27=3,1,IF($Q27=4,1,0)),IF($F27&lt;=85,1,0))</formula>
    </cfRule>
  </conditionalFormatting>
  <conditionalFormatting sqref="X27">
    <cfRule type="expression" dxfId="18325" priority="237">
      <formula>AND(IF(OR($Q27=1,$Q27=2),1,0),IF($X27&lt;=20,1,0))</formula>
    </cfRule>
    <cfRule type="expression" dxfId="18324" priority="238">
      <formula>AND(IF($Q27=2,1,0),IF($X27&lt;30,1,0))</formula>
    </cfRule>
    <cfRule type="expression" dxfId="18323" priority="239">
      <formula>AND(IF($Q27=3,1,0),IF($X27&lt;30,1,0))</formula>
    </cfRule>
    <cfRule type="expression" dxfId="18322" priority="240">
      <formula>AND(IF($Q27=3,1,IF($Q27=4,1,0)),IF($F27&lt;=85,1,0))</formula>
    </cfRule>
  </conditionalFormatting>
  <conditionalFormatting sqref="AI27">
    <cfRule type="expression" dxfId="18321" priority="233">
      <formula>AND(IF(OR($Q27=1,$Q27=2),1,0),IF($X27&lt;=20,1,0))</formula>
    </cfRule>
    <cfRule type="expression" dxfId="18320" priority="234">
      <formula>AND(IF($Q27=2,1,0),IF($X27&lt;30,1,0))</formula>
    </cfRule>
    <cfRule type="expression" dxfId="18319" priority="235">
      <formula>AND(IF($Q27=3,1,0),IF($X27&lt;30,1,0))</formula>
    </cfRule>
    <cfRule type="expression" dxfId="18318" priority="236">
      <formula>AND(IF($Q27=3,1,IF($Q27=4,1,0)),IF($F27&lt;=85,1,0))</formula>
    </cfRule>
  </conditionalFormatting>
  <conditionalFormatting sqref="AV28">
    <cfRule type="expression" dxfId="18317" priority="231">
      <formula>AV28="X"</formula>
    </cfRule>
    <cfRule type="expression" dxfId="18316" priority="232">
      <formula>AV28="후보"</formula>
    </cfRule>
  </conditionalFormatting>
  <conditionalFormatting sqref="AC28">
    <cfRule type="cellIs" dxfId="18315" priority="229" operator="greaterThan">
      <formula>0.9</formula>
    </cfRule>
    <cfRule type="cellIs" dxfId="18314" priority="230" operator="greaterThan">
      <formula>0.85</formula>
    </cfRule>
  </conditionalFormatting>
  <conditionalFormatting sqref="N28">
    <cfRule type="cellIs" dxfId="18313" priority="227" operator="greaterThan">
      <formula>0.9</formula>
    </cfRule>
    <cfRule type="cellIs" dxfId="18312" priority="228" operator="greaterThan">
      <formula>0.85</formula>
    </cfRule>
  </conditionalFormatting>
  <conditionalFormatting sqref="E28">
    <cfRule type="expression" dxfId="18311" priority="223">
      <formula>AND(IF(OR($Q28=1,$Q28=2),1,0),IF($X28&lt;=20,1,0))</formula>
    </cfRule>
    <cfRule type="expression" dxfId="18310" priority="224">
      <formula>AND(IF($Q28=2,1,0),IF($X28&lt;30,1,0))</formula>
    </cfRule>
    <cfRule type="expression" dxfId="18309" priority="225">
      <formula>AND(IF($Q28=3,1,0),IF($X28&lt;30,1,0))</formula>
    </cfRule>
    <cfRule type="expression" dxfId="18308" priority="226">
      <formula>AND(IF($Q28=3,1,IF($Q28=4,1,0)),IF($F28&lt;=85,1,0))</formula>
    </cfRule>
  </conditionalFormatting>
  <conditionalFormatting sqref="X28">
    <cfRule type="expression" dxfId="18307" priority="219">
      <formula>AND(IF(OR($Q28=1,$Q28=2),1,0),IF($X28&lt;=20,1,0))</formula>
    </cfRule>
    <cfRule type="expression" dxfId="18306" priority="220">
      <formula>AND(IF($Q28=2,1,0),IF($X28&lt;30,1,0))</formula>
    </cfRule>
    <cfRule type="expression" dxfId="18305" priority="221">
      <formula>AND(IF($Q28=3,1,0),IF($X28&lt;30,1,0))</formula>
    </cfRule>
    <cfRule type="expression" dxfId="18304" priority="222">
      <formula>AND(IF($Q28=3,1,IF($Q28=4,1,0)),IF($F28&lt;=85,1,0))</formula>
    </cfRule>
  </conditionalFormatting>
  <conditionalFormatting sqref="AI28">
    <cfRule type="expression" dxfId="18303" priority="215">
      <formula>AND(IF(OR($Q28=1,$Q28=2),1,0),IF($X28&lt;=20,1,0))</formula>
    </cfRule>
    <cfRule type="expression" dxfId="18302" priority="216">
      <formula>AND(IF($Q28=2,1,0),IF($X28&lt;30,1,0))</formula>
    </cfRule>
    <cfRule type="expression" dxfId="18301" priority="217">
      <formula>AND(IF($Q28=3,1,0),IF($X28&lt;30,1,0))</formula>
    </cfRule>
    <cfRule type="expression" dxfId="18300" priority="218">
      <formula>AND(IF($Q28=3,1,IF($Q28=4,1,0)),IF($F28&lt;=85,1,0))</formula>
    </cfRule>
  </conditionalFormatting>
  <conditionalFormatting sqref="AV29">
    <cfRule type="expression" dxfId="18299" priority="213">
      <formula>AV29="X"</formula>
    </cfRule>
    <cfRule type="expression" dxfId="18298" priority="214">
      <formula>AV29="후보"</formula>
    </cfRule>
  </conditionalFormatting>
  <conditionalFormatting sqref="AC29">
    <cfRule type="cellIs" dxfId="18297" priority="211" operator="greaterThan">
      <formula>0.9</formula>
    </cfRule>
    <cfRule type="cellIs" dxfId="18296" priority="212" operator="greaterThan">
      <formula>0.85</formula>
    </cfRule>
  </conditionalFormatting>
  <conditionalFormatting sqref="N29">
    <cfRule type="cellIs" dxfId="18295" priority="209" operator="greaterThan">
      <formula>0.9</formula>
    </cfRule>
    <cfRule type="cellIs" dxfId="18294" priority="210" operator="greaterThan">
      <formula>0.85</formula>
    </cfRule>
  </conditionalFormatting>
  <conditionalFormatting sqref="E29">
    <cfRule type="expression" dxfId="18293" priority="205">
      <formula>AND(IF(OR($Q29=1,$Q29=2),1,0),IF($X29&lt;=20,1,0))</formula>
    </cfRule>
    <cfRule type="expression" dxfId="18292" priority="206">
      <formula>AND(IF($Q29=2,1,0),IF($X29&lt;30,1,0))</formula>
    </cfRule>
    <cfRule type="expression" dxfId="18291" priority="207">
      <formula>AND(IF($Q29=3,1,0),IF($X29&lt;30,1,0))</formula>
    </cfRule>
    <cfRule type="expression" dxfId="18290" priority="208">
      <formula>AND(IF($Q29=3,1,IF($Q29=4,1,0)),IF($F29&lt;=85,1,0))</formula>
    </cfRule>
  </conditionalFormatting>
  <conditionalFormatting sqref="X29">
    <cfRule type="expression" dxfId="18289" priority="201">
      <formula>AND(IF(OR($Q29=1,$Q29=2),1,0),IF($X29&lt;=20,1,0))</formula>
    </cfRule>
    <cfRule type="expression" dxfId="18288" priority="202">
      <formula>AND(IF($Q29=2,1,0),IF($X29&lt;30,1,0))</formula>
    </cfRule>
    <cfRule type="expression" dxfId="18287" priority="203">
      <formula>AND(IF($Q29=3,1,0),IF($X29&lt;30,1,0))</formula>
    </cfRule>
    <cfRule type="expression" dxfId="18286" priority="204">
      <formula>AND(IF($Q29=3,1,IF($Q29=4,1,0)),IF($F29&lt;=85,1,0))</formula>
    </cfRule>
  </conditionalFormatting>
  <conditionalFormatting sqref="AI29">
    <cfRule type="expression" dxfId="18285" priority="197">
      <formula>AND(IF(OR($Q29=1,$Q29=2),1,0),IF($X29&lt;=20,1,0))</formula>
    </cfRule>
    <cfRule type="expression" dxfId="18284" priority="198">
      <formula>AND(IF($Q29=2,1,0),IF($X29&lt;30,1,0))</formula>
    </cfRule>
    <cfRule type="expression" dxfId="18283" priority="199">
      <formula>AND(IF($Q29=3,1,0),IF($X29&lt;30,1,0))</formula>
    </cfRule>
    <cfRule type="expression" dxfId="18282" priority="200">
      <formula>AND(IF($Q29=3,1,IF($Q29=4,1,0)),IF($F29&lt;=85,1,0))</formula>
    </cfRule>
  </conditionalFormatting>
  <conditionalFormatting sqref="AV30">
    <cfRule type="expression" dxfId="18281" priority="195">
      <formula>AV30="X"</formula>
    </cfRule>
    <cfRule type="expression" dxfId="18280" priority="196">
      <formula>AV30="후보"</formula>
    </cfRule>
  </conditionalFormatting>
  <conditionalFormatting sqref="AC30 N30">
    <cfRule type="cellIs" dxfId="18279" priority="193" operator="greaterThan">
      <formula>0.9</formula>
    </cfRule>
    <cfRule type="cellIs" dxfId="18278" priority="194" operator="greaterThan">
      <formula>0.85</formula>
    </cfRule>
  </conditionalFormatting>
  <conditionalFormatting sqref="AV31">
    <cfRule type="expression" dxfId="18277" priority="191">
      <formula>AV31="X"</formula>
    </cfRule>
    <cfRule type="expression" dxfId="18276" priority="192">
      <formula>AV31="후보"</formula>
    </cfRule>
  </conditionalFormatting>
  <conditionalFormatting sqref="AC31">
    <cfRule type="cellIs" dxfId="18275" priority="189" operator="greaterThan">
      <formula>0.9</formula>
    </cfRule>
    <cfRule type="cellIs" dxfId="18274" priority="190" operator="greaterThan">
      <formula>0.85</formula>
    </cfRule>
  </conditionalFormatting>
  <conditionalFormatting sqref="N31">
    <cfRule type="cellIs" dxfId="18273" priority="187" operator="greaterThan">
      <formula>0.9</formula>
    </cfRule>
    <cfRule type="cellIs" dxfId="18272" priority="188" operator="greaterThan">
      <formula>0.85</formula>
    </cfRule>
  </conditionalFormatting>
  <conditionalFormatting sqref="E31">
    <cfRule type="expression" dxfId="18271" priority="183">
      <formula>AND(IF(OR($Q31=1,$Q31=2),1,0),IF($X31&lt;=20,1,0))</formula>
    </cfRule>
    <cfRule type="expression" dxfId="18270" priority="184">
      <formula>AND(IF($Q31=2,1,0),IF($X31&lt;30,1,0))</formula>
    </cfRule>
    <cfRule type="expression" dxfId="18269" priority="185">
      <formula>AND(IF($Q31=3,1,0),IF($X31&lt;30,1,0))</formula>
    </cfRule>
    <cfRule type="expression" dxfId="18268" priority="186">
      <formula>AND(IF($Q31=3,1,IF($Q31=4,1,0)),IF($F31&lt;=85,1,0))</formula>
    </cfRule>
  </conditionalFormatting>
  <conditionalFormatting sqref="X31">
    <cfRule type="expression" dxfId="18267" priority="179">
      <formula>AND(IF(OR($Q31=1,$Q31=2),1,0),IF($X31&lt;=20,1,0))</formula>
    </cfRule>
    <cfRule type="expression" dxfId="18266" priority="180">
      <formula>AND(IF($Q31=2,1,0),IF($X31&lt;30,1,0))</formula>
    </cfRule>
    <cfRule type="expression" dxfId="18265" priority="181">
      <formula>AND(IF($Q31=3,1,0),IF($X31&lt;30,1,0))</formula>
    </cfRule>
    <cfRule type="expression" dxfId="18264" priority="182">
      <formula>AND(IF($Q31=3,1,IF($Q31=4,1,0)),IF($F31&lt;=85,1,0))</formula>
    </cfRule>
  </conditionalFormatting>
  <conditionalFormatting sqref="AI31">
    <cfRule type="expression" dxfId="18263" priority="175">
      <formula>AND(IF(OR($Q31=1,$Q31=2),1,0),IF($X31&lt;=20,1,0))</formula>
    </cfRule>
    <cfRule type="expression" dxfId="18262" priority="176">
      <formula>AND(IF($Q31=2,1,0),IF($X31&lt;30,1,0))</formula>
    </cfRule>
    <cfRule type="expression" dxfId="18261" priority="177">
      <formula>AND(IF($Q31=3,1,0),IF($X31&lt;30,1,0))</formula>
    </cfRule>
    <cfRule type="expression" dxfId="18260" priority="178">
      <formula>AND(IF($Q31=3,1,IF($Q31=4,1,0)),IF($F31&lt;=85,1,0))</formula>
    </cfRule>
  </conditionalFormatting>
  <conditionalFormatting sqref="AV32">
    <cfRule type="expression" dxfId="18259" priority="173">
      <formula>AV32="X"</formula>
    </cfRule>
    <cfRule type="expression" dxfId="18258" priority="174">
      <formula>AV32="후보"</formula>
    </cfRule>
  </conditionalFormatting>
  <conditionalFormatting sqref="AC32">
    <cfRule type="cellIs" dxfId="18257" priority="171" operator="greaterThan">
      <formula>0.9</formula>
    </cfRule>
    <cfRule type="cellIs" dxfId="18256" priority="172" operator="greaterThan">
      <formula>0.85</formula>
    </cfRule>
  </conditionalFormatting>
  <conditionalFormatting sqref="N32">
    <cfRule type="cellIs" dxfId="18255" priority="169" operator="greaterThan">
      <formula>0.9</formula>
    </cfRule>
    <cfRule type="cellIs" dxfId="18254" priority="170" operator="greaterThan">
      <formula>0.85</formula>
    </cfRule>
  </conditionalFormatting>
  <conditionalFormatting sqref="E32">
    <cfRule type="expression" dxfId="18253" priority="165">
      <formula>AND(IF(OR($Q32=1,$Q32=2),1,0),IF($X32&lt;=20,1,0))</formula>
    </cfRule>
    <cfRule type="expression" dxfId="18252" priority="166">
      <formula>AND(IF($Q32=2,1,0),IF($X32&lt;30,1,0))</formula>
    </cfRule>
    <cfRule type="expression" dxfId="18251" priority="167">
      <formula>AND(IF($Q32=3,1,0),IF($X32&lt;30,1,0))</formula>
    </cfRule>
    <cfRule type="expression" dxfId="18250" priority="168">
      <formula>AND(IF($Q32=3,1,IF($Q32=4,1,0)),IF($F32&lt;=85,1,0))</formula>
    </cfRule>
  </conditionalFormatting>
  <conditionalFormatting sqref="X32">
    <cfRule type="expression" dxfId="18249" priority="161">
      <formula>AND(IF(OR($Q32=1,$Q32=2),1,0),IF($X32&lt;=20,1,0))</formula>
    </cfRule>
    <cfRule type="expression" dxfId="18248" priority="162">
      <formula>AND(IF($Q32=2,1,0),IF($X32&lt;30,1,0))</formula>
    </cfRule>
    <cfRule type="expression" dxfId="18247" priority="163">
      <formula>AND(IF($Q32=3,1,0),IF($X32&lt;30,1,0))</formula>
    </cfRule>
    <cfRule type="expression" dxfId="18246" priority="164">
      <formula>AND(IF($Q32=3,1,IF($Q32=4,1,0)),IF($F32&lt;=85,1,0))</formula>
    </cfRule>
  </conditionalFormatting>
  <conditionalFormatting sqref="AI32">
    <cfRule type="expression" dxfId="18245" priority="157">
      <formula>AND(IF(OR($Q32=1,$Q32=2),1,0),IF($X32&lt;=20,1,0))</formula>
    </cfRule>
    <cfRule type="expression" dxfId="18244" priority="158">
      <formula>AND(IF($Q32=2,1,0),IF($X32&lt;30,1,0))</formula>
    </cfRule>
    <cfRule type="expression" dxfId="18243" priority="159">
      <formula>AND(IF($Q32=3,1,0),IF($X32&lt;30,1,0))</formula>
    </cfRule>
    <cfRule type="expression" dxfId="18242" priority="160">
      <formula>AND(IF($Q32=3,1,IF($Q32=4,1,0)),IF($F32&lt;=85,1,0))</formula>
    </cfRule>
  </conditionalFormatting>
  <conditionalFormatting sqref="AV33">
    <cfRule type="expression" dxfId="18241" priority="155">
      <formula>AV33="X"</formula>
    </cfRule>
    <cfRule type="expression" dxfId="18240" priority="156">
      <formula>AV33="후보"</formula>
    </cfRule>
  </conditionalFormatting>
  <conditionalFormatting sqref="AC33 N33">
    <cfRule type="cellIs" dxfId="18239" priority="153" operator="greaterThan">
      <formula>0.9</formula>
    </cfRule>
    <cfRule type="cellIs" dxfId="18238" priority="154" operator="greaterThan">
      <formula>0.85</formula>
    </cfRule>
  </conditionalFormatting>
  <conditionalFormatting sqref="AV34">
    <cfRule type="expression" dxfId="18237" priority="151">
      <formula>AV34="X"</formula>
    </cfRule>
    <cfRule type="expression" dxfId="18236" priority="152">
      <formula>AV34="후보"</formula>
    </cfRule>
  </conditionalFormatting>
  <conditionalFormatting sqref="AC34">
    <cfRule type="cellIs" dxfId="18235" priority="149" operator="greaterThan">
      <formula>0.9</formula>
    </cfRule>
    <cfRule type="cellIs" dxfId="18234" priority="150" operator="greaterThan">
      <formula>0.85</formula>
    </cfRule>
  </conditionalFormatting>
  <conditionalFormatting sqref="N34">
    <cfRule type="cellIs" dxfId="18233" priority="147" operator="greaterThan">
      <formula>0.9</formula>
    </cfRule>
    <cfRule type="cellIs" dxfId="18232" priority="148" operator="greaterThan">
      <formula>0.85</formula>
    </cfRule>
  </conditionalFormatting>
  <conditionalFormatting sqref="E34">
    <cfRule type="expression" dxfId="18231" priority="143">
      <formula>AND(IF(OR($Q34=1,$Q34=2),1,0),IF($X34&lt;=20,1,0))</formula>
    </cfRule>
    <cfRule type="expression" dxfId="18230" priority="144">
      <formula>AND(IF($Q34=2,1,0),IF($X34&lt;30,1,0))</formula>
    </cfRule>
    <cfRule type="expression" dxfId="18229" priority="145">
      <formula>AND(IF($Q34=3,1,0),IF($X34&lt;30,1,0))</formula>
    </cfRule>
    <cfRule type="expression" dxfId="18228" priority="146">
      <formula>AND(IF($Q34=3,1,IF($Q34=4,1,0)),IF($F34&lt;=85,1,0))</formula>
    </cfRule>
  </conditionalFormatting>
  <conditionalFormatting sqref="X34">
    <cfRule type="expression" dxfId="18227" priority="139">
      <formula>AND(IF(OR($Q34=1,$Q34=2),1,0),IF($X34&lt;=20,1,0))</formula>
    </cfRule>
    <cfRule type="expression" dxfId="18226" priority="140">
      <formula>AND(IF($Q34=2,1,0),IF($X34&lt;30,1,0))</formula>
    </cfRule>
    <cfRule type="expression" dxfId="18225" priority="141">
      <formula>AND(IF($Q34=3,1,0),IF($X34&lt;30,1,0))</formula>
    </cfRule>
    <cfRule type="expression" dxfId="18224" priority="142">
      <formula>AND(IF($Q34=3,1,IF($Q34=4,1,0)),IF($F34&lt;=85,1,0))</formula>
    </cfRule>
  </conditionalFormatting>
  <conditionalFormatting sqref="AI34">
    <cfRule type="expression" dxfId="18223" priority="135">
      <formula>AND(IF(OR($Q34=1,$Q34=2),1,0),IF($X34&lt;=20,1,0))</formula>
    </cfRule>
    <cfRule type="expression" dxfId="18222" priority="136">
      <formula>AND(IF($Q34=2,1,0),IF($X34&lt;30,1,0))</formula>
    </cfRule>
    <cfRule type="expression" dxfId="18221" priority="137">
      <formula>AND(IF($Q34=3,1,0),IF($X34&lt;30,1,0))</formula>
    </cfRule>
    <cfRule type="expression" dxfId="18220" priority="138">
      <formula>AND(IF($Q34=3,1,IF($Q34=4,1,0)),IF($F34&lt;=85,1,0))</formula>
    </cfRule>
  </conditionalFormatting>
  <conditionalFormatting sqref="AV35">
    <cfRule type="expression" dxfId="18219" priority="133">
      <formula>AV35="X"</formula>
    </cfRule>
    <cfRule type="expression" dxfId="18218" priority="134">
      <formula>AV35="후보"</formula>
    </cfRule>
  </conditionalFormatting>
  <conditionalFormatting sqref="AC35">
    <cfRule type="cellIs" dxfId="18217" priority="131" operator="greaterThan">
      <formula>0.9</formula>
    </cfRule>
    <cfRule type="cellIs" dxfId="18216" priority="132" operator="greaterThan">
      <formula>0.85</formula>
    </cfRule>
  </conditionalFormatting>
  <conditionalFormatting sqref="N35">
    <cfRule type="cellIs" dxfId="18215" priority="129" operator="greaterThan">
      <formula>0.9</formula>
    </cfRule>
    <cfRule type="cellIs" dxfId="18214" priority="130" operator="greaterThan">
      <formula>0.85</formula>
    </cfRule>
  </conditionalFormatting>
  <conditionalFormatting sqref="E35">
    <cfRule type="expression" dxfId="18213" priority="125">
      <formula>AND(IF(OR($Q35=1,$Q35=2),1,0),IF($X35&lt;=20,1,0))</formula>
    </cfRule>
    <cfRule type="expression" dxfId="18212" priority="126">
      <formula>AND(IF($Q35=2,1,0),IF($X35&lt;30,1,0))</formula>
    </cfRule>
    <cfRule type="expression" dxfId="18211" priority="127">
      <formula>AND(IF($Q35=3,1,0),IF($X35&lt;30,1,0))</formula>
    </cfRule>
    <cfRule type="expression" dxfId="18210" priority="128">
      <formula>AND(IF($Q35=3,1,IF($Q35=4,1,0)),IF($F35&lt;=85,1,0))</formula>
    </cfRule>
  </conditionalFormatting>
  <conditionalFormatting sqref="X35">
    <cfRule type="expression" dxfId="18209" priority="121">
      <formula>AND(IF(OR($Q35=1,$Q35=2),1,0),IF($X35&lt;=20,1,0))</formula>
    </cfRule>
    <cfRule type="expression" dxfId="18208" priority="122">
      <formula>AND(IF($Q35=2,1,0),IF($X35&lt;30,1,0))</formula>
    </cfRule>
    <cfRule type="expression" dxfId="18207" priority="123">
      <formula>AND(IF($Q35=3,1,0),IF($X35&lt;30,1,0))</formula>
    </cfRule>
    <cfRule type="expression" dxfId="18206" priority="124">
      <formula>AND(IF($Q35=3,1,IF($Q35=4,1,0)),IF($F35&lt;=85,1,0))</formula>
    </cfRule>
  </conditionalFormatting>
  <conditionalFormatting sqref="AI35">
    <cfRule type="expression" dxfId="18205" priority="117">
      <formula>AND(IF(OR($Q35=1,$Q35=2),1,0),IF($X35&lt;=20,1,0))</formula>
    </cfRule>
    <cfRule type="expression" dxfId="18204" priority="118">
      <formula>AND(IF($Q35=2,1,0),IF($X35&lt;30,1,0))</formula>
    </cfRule>
    <cfRule type="expression" dxfId="18203" priority="119">
      <formula>AND(IF($Q35=3,1,0),IF($X35&lt;30,1,0))</formula>
    </cfRule>
    <cfRule type="expression" dxfId="18202" priority="120">
      <formula>AND(IF($Q35=3,1,IF($Q35=4,1,0)),IF($F35&lt;=85,1,0))</formula>
    </cfRule>
  </conditionalFormatting>
  <conditionalFormatting sqref="AV36">
    <cfRule type="expression" dxfId="18201" priority="115">
      <formula>AV36="X"</formula>
    </cfRule>
    <cfRule type="expression" dxfId="18200" priority="116">
      <formula>AV36="후보"</formula>
    </cfRule>
  </conditionalFormatting>
  <conditionalFormatting sqref="AC36">
    <cfRule type="cellIs" dxfId="18199" priority="113" operator="greaterThan">
      <formula>0.9</formula>
    </cfRule>
    <cfRule type="cellIs" dxfId="18198" priority="114" operator="greaterThan">
      <formula>0.85</formula>
    </cfRule>
  </conditionalFormatting>
  <conditionalFormatting sqref="N36">
    <cfRule type="cellIs" dxfId="18197" priority="111" operator="greaterThan">
      <formula>0.9</formula>
    </cfRule>
    <cfRule type="cellIs" dxfId="18196" priority="112" operator="greaterThan">
      <formula>0.85</formula>
    </cfRule>
  </conditionalFormatting>
  <conditionalFormatting sqref="E36">
    <cfRule type="expression" dxfId="18195" priority="107">
      <formula>AND(IF(OR($Q36=1,$Q36=2),1,0),IF($X36&lt;=20,1,0))</formula>
    </cfRule>
    <cfRule type="expression" dxfId="18194" priority="108">
      <formula>AND(IF($Q36=2,1,0),IF($X36&lt;30,1,0))</formula>
    </cfRule>
    <cfRule type="expression" dxfId="18193" priority="109">
      <formula>AND(IF($Q36=3,1,0),IF($X36&lt;30,1,0))</formula>
    </cfRule>
    <cfRule type="expression" dxfId="18192" priority="110">
      <formula>AND(IF($Q36=3,1,IF($Q36=4,1,0)),IF($F36&lt;=85,1,0))</formula>
    </cfRule>
  </conditionalFormatting>
  <conditionalFormatting sqref="X36">
    <cfRule type="expression" dxfId="18191" priority="103">
      <formula>AND(IF(OR($Q36=1,$Q36=2),1,0),IF($X36&lt;=20,1,0))</formula>
    </cfRule>
    <cfRule type="expression" dxfId="18190" priority="104">
      <formula>AND(IF($Q36=2,1,0),IF($X36&lt;30,1,0))</formula>
    </cfRule>
    <cfRule type="expression" dxfId="18189" priority="105">
      <formula>AND(IF($Q36=3,1,0),IF($X36&lt;30,1,0))</formula>
    </cfRule>
    <cfRule type="expression" dxfId="18188" priority="106">
      <formula>AND(IF($Q36=3,1,IF($Q36=4,1,0)),IF($F36&lt;=85,1,0))</formula>
    </cfRule>
  </conditionalFormatting>
  <conditionalFormatting sqref="AI36">
    <cfRule type="expression" dxfId="18187" priority="99">
      <formula>AND(IF(OR($Q36=1,$Q36=2),1,0),IF($X36&lt;=20,1,0))</formula>
    </cfRule>
    <cfRule type="expression" dxfId="18186" priority="100">
      <formula>AND(IF($Q36=2,1,0),IF($X36&lt;30,1,0))</formula>
    </cfRule>
    <cfRule type="expression" dxfId="18185" priority="101">
      <formula>AND(IF($Q36=3,1,0),IF($X36&lt;30,1,0))</formula>
    </cfRule>
    <cfRule type="expression" dxfId="18184" priority="102">
      <formula>AND(IF($Q36=3,1,IF($Q36=4,1,0)),IF($F36&lt;=85,1,0))</formula>
    </cfRule>
  </conditionalFormatting>
  <conditionalFormatting sqref="AV37">
    <cfRule type="expression" dxfId="18183" priority="97">
      <formula>AV37="X"</formula>
    </cfRule>
    <cfRule type="expression" dxfId="18182" priority="98">
      <formula>AV37="후보"</formula>
    </cfRule>
  </conditionalFormatting>
  <conditionalFormatting sqref="AC37 N37">
    <cfRule type="cellIs" dxfId="18181" priority="95" operator="greaterThan">
      <formula>0.9</formula>
    </cfRule>
    <cfRule type="cellIs" dxfId="18180" priority="96" operator="greaterThan">
      <formula>0.85</formula>
    </cfRule>
  </conditionalFormatting>
  <conditionalFormatting sqref="AV38">
    <cfRule type="expression" dxfId="18179" priority="93">
      <formula>AV38="X"</formula>
    </cfRule>
    <cfRule type="expression" dxfId="18178" priority="94">
      <formula>AV38="후보"</formula>
    </cfRule>
  </conditionalFormatting>
  <conditionalFormatting sqref="AC38">
    <cfRule type="cellIs" dxfId="18177" priority="91" operator="greaterThan">
      <formula>0.9</formula>
    </cfRule>
    <cfRule type="cellIs" dxfId="18176" priority="92" operator="greaterThan">
      <formula>0.85</formula>
    </cfRule>
  </conditionalFormatting>
  <conditionalFormatting sqref="N38">
    <cfRule type="cellIs" dxfId="18175" priority="89" operator="greaterThan">
      <formula>0.9</formula>
    </cfRule>
    <cfRule type="cellIs" dxfId="18174" priority="90" operator="greaterThan">
      <formula>0.85</formula>
    </cfRule>
  </conditionalFormatting>
  <conditionalFormatting sqref="E38">
    <cfRule type="expression" dxfId="18173" priority="85">
      <formula>AND(IF(OR($Q38=1,$Q38=2),1,0),IF($X38&lt;=20,1,0))</formula>
    </cfRule>
    <cfRule type="expression" dxfId="18172" priority="86">
      <formula>AND(IF($Q38=2,1,0),IF($X38&lt;30,1,0))</formula>
    </cfRule>
    <cfRule type="expression" dxfId="18171" priority="87">
      <formula>AND(IF($Q38=3,1,0),IF($X38&lt;30,1,0))</formula>
    </cfRule>
    <cfRule type="expression" dxfId="18170" priority="88">
      <formula>AND(IF($Q38=3,1,IF($Q38=4,1,0)),IF($F38&lt;=85,1,0))</formula>
    </cfRule>
  </conditionalFormatting>
  <conditionalFormatting sqref="X38">
    <cfRule type="expression" dxfId="18169" priority="81">
      <formula>AND(IF(OR($Q38=1,$Q38=2),1,0),IF($X38&lt;=20,1,0))</formula>
    </cfRule>
    <cfRule type="expression" dxfId="18168" priority="82">
      <formula>AND(IF($Q38=2,1,0),IF($X38&lt;30,1,0))</formula>
    </cfRule>
    <cfRule type="expression" dxfId="18167" priority="83">
      <formula>AND(IF($Q38=3,1,0),IF($X38&lt;30,1,0))</formula>
    </cfRule>
    <cfRule type="expression" dxfId="18166" priority="84">
      <formula>AND(IF($Q38=3,1,IF($Q38=4,1,0)),IF($F38&lt;=85,1,0))</formula>
    </cfRule>
  </conditionalFormatting>
  <conditionalFormatting sqref="AI38">
    <cfRule type="expression" dxfId="18165" priority="77">
      <formula>AND(IF(OR($Q38=1,$Q38=2),1,0),IF($X38&lt;=20,1,0))</formula>
    </cfRule>
    <cfRule type="expression" dxfId="18164" priority="78">
      <formula>AND(IF($Q38=2,1,0),IF($X38&lt;30,1,0))</formula>
    </cfRule>
    <cfRule type="expression" dxfId="18163" priority="79">
      <formula>AND(IF($Q38=3,1,0),IF($X38&lt;30,1,0))</formula>
    </cfRule>
    <cfRule type="expression" dxfId="18162" priority="80">
      <formula>AND(IF($Q38=3,1,IF($Q38=4,1,0)),IF($F38&lt;=85,1,0))</formula>
    </cfRule>
  </conditionalFormatting>
  <conditionalFormatting sqref="AV39">
    <cfRule type="expression" dxfId="18161" priority="75">
      <formula>AV39="X"</formula>
    </cfRule>
    <cfRule type="expression" dxfId="18160" priority="76">
      <formula>AV39="후보"</formula>
    </cfRule>
  </conditionalFormatting>
  <conditionalFormatting sqref="AC39">
    <cfRule type="cellIs" dxfId="18159" priority="73" operator="greaterThan">
      <formula>0.9</formula>
    </cfRule>
    <cfRule type="cellIs" dxfId="18158" priority="74" operator="greaterThan">
      <formula>0.85</formula>
    </cfRule>
  </conditionalFormatting>
  <conditionalFormatting sqref="N39">
    <cfRule type="cellIs" dxfId="18157" priority="71" operator="greaterThan">
      <formula>0.9</formula>
    </cfRule>
    <cfRule type="cellIs" dxfId="18156" priority="72" operator="greaterThan">
      <formula>0.85</formula>
    </cfRule>
  </conditionalFormatting>
  <conditionalFormatting sqref="E39">
    <cfRule type="expression" dxfId="18155" priority="67">
      <formula>AND(IF(OR($Q39=1,$Q39=2),1,0),IF($X39&lt;=20,1,0))</formula>
    </cfRule>
    <cfRule type="expression" dxfId="18154" priority="68">
      <formula>AND(IF($Q39=2,1,0),IF($X39&lt;30,1,0))</formula>
    </cfRule>
    <cfRule type="expression" dxfId="18153" priority="69">
      <formula>AND(IF($Q39=3,1,0),IF($X39&lt;30,1,0))</formula>
    </cfRule>
    <cfRule type="expression" dxfId="18152" priority="70">
      <formula>AND(IF($Q39=3,1,IF($Q39=4,1,0)),IF($F39&lt;=85,1,0))</formula>
    </cfRule>
  </conditionalFormatting>
  <conditionalFormatting sqref="X39">
    <cfRule type="expression" dxfId="18151" priority="63">
      <formula>AND(IF(OR($Q39=1,$Q39=2),1,0),IF($X39&lt;=20,1,0))</formula>
    </cfRule>
    <cfRule type="expression" dxfId="18150" priority="64">
      <formula>AND(IF($Q39=2,1,0),IF($X39&lt;30,1,0))</formula>
    </cfRule>
    <cfRule type="expression" dxfId="18149" priority="65">
      <formula>AND(IF($Q39=3,1,0),IF($X39&lt;30,1,0))</formula>
    </cfRule>
    <cfRule type="expression" dxfId="18148" priority="66">
      <formula>AND(IF($Q39=3,1,IF($Q39=4,1,0)),IF($F39&lt;=85,1,0))</formula>
    </cfRule>
  </conditionalFormatting>
  <conditionalFormatting sqref="AI39">
    <cfRule type="expression" dxfId="18147" priority="59">
      <formula>AND(IF(OR($Q39=1,$Q39=2),1,0),IF($X39&lt;=20,1,0))</formula>
    </cfRule>
    <cfRule type="expression" dxfId="18146" priority="60">
      <formula>AND(IF($Q39=2,1,0),IF($X39&lt;30,1,0))</formula>
    </cfRule>
    <cfRule type="expression" dxfId="18145" priority="61">
      <formula>AND(IF($Q39=3,1,0),IF($X39&lt;30,1,0))</formula>
    </cfRule>
    <cfRule type="expression" dxfId="18144" priority="62">
      <formula>AND(IF($Q39=3,1,IF($Q39=4,1,0)),IF($F39&lt;=85,1,0))</formula>
    </cfRule>
  </conditionalFormatting>
  <conditionalFormatting sqref="AV40">
    <cfRule type="expression" dxfId="18143" priority="57">
      <formula>AV40="X"</formula>
    </cfRule>
    <cfRule type="expression" dxfId="18142" priority="58">
      <formula>AV40="후보"</formula>
    </cfRule>
  </conditionalFormatting>
  <conditionalFormatting sqref="AC40 N40">
    <cfRule type="cellIs" dxfId="18141" priority="55" operator="greaterThan">
      <formula>0.9</formula>
    </cfRule>
    <cfRule type="cellIs" dxfId="18140" priority="56" operator="greaterThan">
      <formula>0.85</formula>
    </cfRule>
  </conditionalFormatting>
  <conditionalFormatting sqref="AV41">
    <cfRule type="expression" dxfId="18139" priority="53">
      <formula>AV41="X"</formula>
    </cfRule>
    <cfRule type="expression" dxfId="18138" priority="54">
      <formula>AV41="후보"</formula>
    </cfRule>
  </conditionalFormatting>
  <conditionalFormatting sqref="AC41">
    <cfRule type="cellIs" dxfId="18137" priority="51" operator="greaterThan">
      <formula>0.9</formula>
    </cfRule>
    <cfRule type="cellIs" dxfId="18136" priority="52" operator="greaterThan">
      <formula>0.85</formula>
    </cfRule>
  </conditionalFormatting>
  <conditionalFormatting sqref="N41">
    <cfRule type="cellIs" dxfId="18135" priority="49" operator="greaterThan">
      <formula>0.9</formula>
    </cfRule>
    <cfRule type="cellIs" dxfId="18134" priority="50" operator="greaterThan">
      <formula>0.85</formula>
    </cfRule>
  </conditionalFormatting>
  <conditionalFormatting sqref="E41">
    <cfRule type="expression" dxfId="18133" priority="45">
      <formula>AND(IF(OR($Q41=1,$Q41=2),1,0),IF($X41&lt;=20,1,0))</formula>
    </cfRule>
    <cfRule type="expression" dxfId="18132" priority="46">
      <formula>AND(IF($Q41=2,1,0),IF($X41&lt;30,1,0))</formula>
    </cfRule>
    <cfRule type="expression" dxfId="18131" priority="47">
      <formula>AND(IF($Q41=3,1,0),IF($X41&lt;30,1,0))</formula>
    </cfRule>
    <cfRule type="expression" dxfId="18130" priority="48">
      <formula>AND(IF($Q41=3,1,IF($Q41=4,1,0)),IF($F41&lt;=85,1,0))</formula>
    </cfRule>
  </conditionalFormatting>
  <conditionalFormatting sqref="X41">
    <cfRule type="expression" dxfId="18129" priority="41">
      <formula>AND(IF(OR($Q41=1,$Q41=2),1,0),IF($X41&lt;=20,1,0))</formula>
    </cfRule>
    <cfRule type="expression" dxfId="18128" priority="42">
      <formula>AND(IF($Q41=2,1,0),IF($X41&lt;30,1,0))</formula>
    </cfRule>
    <cfRule type="expression" dxfId="18127" priority="43">
      <formula>AND(IF($Q41=3,1,0),IF($X41&lt;30,1,0))</formula>
    </cfRule>
    <cfRule type="expression" dxfId="18126" priority="44">
      <formula>AND(IF($Q41=3,1,IF($Q41=4,1,0)),IF($F41&lt;=85,1,0))</formula>
    </cfRule>
  </conditionalFormatting>
  <conditionalFormatting sqref="AI41">
    <cfRule type="expression" dxfId="18125" priority="37">
      <formula>AND(IF(OR($Q41=1,$Q41=2),1,0),IF($X41&lt;=20,1,0))</formula>
    </cfRule>
    <cfRule type="expression" dxfId="18124" priority="38">
      <formula>AND(IF($Q41=2,1,0),IF($X41&lt;30,1,0))</formula>
    </cfRule>
    <cfRule type="expression" dxfId="18123" priority="39">
      <formula>AND(IF($Q41=3,1,0),IF($X41&lt;30,1,0))</formula>
    </cfRule>
    <cfRule type="expression" dxfId="18122" priority="40">
      <formula>AND(IF($Q41=3,1,IF($Q41=4,1,0)),IF($F41&lt;=85,1,0))</formula>
    </cfRule>
  </conditionalFormatting>
  <conditionalFormatting sqref="AV42">
    <cfRule type="expression" dxfId="18121" priority="35">
      <formula>AV42="X"</formula>
    </cfRule>
    <cfRule type="expression" dxfId="18120" priority="36">
      <formula>AV42="후보"</formula>
    </cfRule>
  </conditionalFormatting>
  <conditionalFormatting sqref="AC42">
    <cfRule type="cellIs" dxfId="18119" priority="33" operator="greaterThan">
      <formula>0.9</formula>
    </cfRule>
    <cfRule type="cellIs" dxfId="18118" priority="34" operator="greaterThan">
      <formula>0.85</formula>
    </cfRule>
  </conditionalFormatting>
  <conditionalFormatting sqref="N42">
    <cfRule type="cellIs" dxfId="18117" priority="31" operator="greaterThan">
      <formula>0.9</formula>
    </cfRule>
    <cfRule type="cellIs" dxfId="18116" priority="32" operator="greaterThan">
      <formula>0.85</formula>
    </cfRule>
  </conditionalFormatting>
  <conditionalFormatting sqref="E42">
    <cfRule type="expression" dxfId="18115" priority="27">
      <formula>AND(IF(OR($Q42=1,$Q42=2),1,0),IF($X42&lt;=20,1,0))</formula>
    </cfRule>
    <cfRule type="expression" dxfId="18114" priority="28">
      <formula>AND(IF($Q42=2,1,0),IF($X42&lt;30,1,0))</formula>
    </cfRule>
    <cfRule type="expression" dxfId="18113" priority="29">
      <formula>AND(IF($Q42=3,1,0),IF($X42&lt;30,1,0))</formula>
    </cfRule>
    <cfRule type="expression" dxfId="18112" priority="30">
      <formula>AND(IF($Q42=3,1,IF($Q42=4,1,0)),IF($F42&lt;=85,1,0))</formula>
    </cfRule>
  </conditionalFormatting>
  <conditionalFormatting sqref="X42">
    <cfRule type="expression" dxfId="18111" priority="23">
      <formula>AND(IF(OR($Q42=1,$Q42=2),1,0),IF($X42&lt;=20,1,0))</formula>
    </cfRule>
    <cfRule type="expression" dxfId="18110" priority="24">
      <formula>AND(IF($Q42=2,1,0),IF($X42&lt;30,1,0))</formula>
    </cfRule>
    <cfRule type="expression" dxfId="18109" priority="25">
      <formula>AND(IF($Q42=3,1,0),IF($X42&lt;30,1,0))</formula>
    </cfRule>
    <cfRule type="expression" dxfId="18108" priority="26">
      <formula>AND(IF($Q42=3,1,IF($Q42=4,1,0)),IF($F42&lt;=85,1,0))</formula>
    </cfRule>
  </conditionalFormatting>
  <conditionalFormatting sqref="AI42">
    <cfRule type="expression" dxfId="18107" priority="19">
      <formula>AND(IF(OR($Q42=1,$Q42=2),1,0),IF($X42&lt;=20,1,0))</formula>
    </cfRule>
    <cfRule type="expression" dxfId="18106" priority="20">
      <formula>AND(IF($Q42=2,1,0),IF($X42&lt;30,1,0))</formula>
    </cfRule>
    <cfRule type="expression" dxfId="18105" priority="21">
      <formula>AND(IF($Q42=3,1,0),IF($X42&lt;30,1,0))</formula>
    </cfRule>
    <cfRule type="expression" dxfId="18104" priority="22">
      <formula>AND(IF($Q42=3,1,IF($Q42=4,1,0)),IF($F42&lt;=85,1,0))</formula>
    </cfRule>
  </conditionalFormatting>
  <conditionalFormatting sqref="AV43">
    <cfRule type="expression" dxfId="18103" priority="17">
      <formula>AV43="X"</formula>
    </cfRule>
    <cfRule type="expression" dxfId="18102" priority="18">
      <formula>AV43="후보"</formula>
    </cfRule>
  </conditionalFormatting>
  <conditionalFormatting sqref="AC43">
    <cfRule type="cellIs" dxfId="18101" priority="15" operator="greaterThan">
      <formula>0.9</formula>
    </cfRule>
    <cfRule type="cellIs" dxfId="18100" priority="16" operator="greaterThan">
      <formula>0.85</formula>
    </cfRule>
  </conditionalFormatting>
  <conditionalFormatting sqref="N43">
    <cfRule type="cellIs" dxfId="18099" priority="13" operator="greaterThan">
      <formula>0.9</formula>
    </cfRule>
    <cfRule type="cellIs" dxfId="18098" priority="14" operator="greaterThan">
      <formula>0.85</formula>
    </cfRule>
  </conditionalFormatting>
  <conditionalFormatting sqref="E43">
    <cfRule type="expression" dxfId="18097" priority="9">
      <formula>AND(IF(OR($Q43=1,$Q43=2),1,0),IF($X43&lt;=20,1,0))</formula>
    </cfRule>
    <cfRule type="expression" dxfId="18096" priority="10">
      <formula>AND(IF($Q43=2,1,0),IF($X43&lt;30,1,0))</formula>
    </cfRule>
    <cfRule type="expression" dxfId="18095" priority="11">
      <formula>AND(IF($Q43=3,1,0),IF($X43&lt;30,1,0))</formula>
    </cfRule>
    <cfRule type="expression" dxfId="18094" priority="12">
      <formula>AND(IF($Q43=3,1,IF($Q43=4,1,0)),IF($F43&lt;=85,1,0))</formula>
    </cfRule>
  </conditionalFormatting>
  <conditionalFormatting sqref="X43">
    <cfRule type="expression" dxfId="18093" priority="5">
      <formula>AND(IF(OR($Q43=1,$Q43=2),1,0),IF($X43&lt;=20,1,0))</formula>
    </cfRule>
    <cfRule type="expression" dxfId="18092" priority="6">
      <formula>AND(IF($Q43=2,1,0),IF($X43&lt;30,1,0))</formula>
    </cfRule>
    <cfRule type="expression" dxfId="18091" priority="7">
      <formula>AND(IF($Q43=3,1,0),IF($X43&lt;30,1,0))</formula>
    </cfRule>
    <cfRule type="expression" dxfId="18090" priority="8">
      <formula>AND(IF($Q43=3,1,IF($Q43=4,1,0)),IF($F43&lt;=85,1,0))</formula>
    </cfRule>
  </conditionalFormatting>
  <conditionalFormatting sqref="AI43">
    <cfRule type="expression" dxfId="18089" priority="1">
      <formula>AND(IF(OR($Q43=1,$Q43=2),1,0),IF($X43&lt;=20,1,0))</formula>
    </cfRule>
    <cfRule type="expression" dxfId="18088" priority="2">
      <formula>AND(IF($Q43=2,1,0),IF($X43&lt;30,1,0))</formula>
    </cfRule>
    <cfRule type="expression" dxfId="18087" priority="3">
      <formula>AND(IF($Q43=3,1,0),IF($X43&lt;30,1,0))</formula>
    </cfRule>
    <cfRule type="expression" dxfId="18086" priority="4">
      <formula>AND(IF($Q43=3,1,IF($Q43=4,1,0)),IF($F43&lt;=85,1,0))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수송동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971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수송동 한라비발디2단지('08.11.,782^)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973</v>
      </c>
      <c r="B6" s="10" t="s">
        <v>1329</v>
      </c>
      <c r="C6" s="107">
        <v>782</v>
      </c>
      <c r="D6" s="104">
        <v>113.3</v>
      </c>
      <c r="E6" s="106">
        <v>34</v>
      </c>
      <c r="F6" s="104">
        <v>85</v>
      </c>
      <c r="G6" s="17">
        <v>26</v>
      </c>
      <c r="H6" s="107">
        <v>480</v>
      </c>
      <c r="I6" s="108">
        <v>32000</v>
      </c>
      <c r="J6" s="108" t="s">
        <v>1294</v>
      </c>
      <c r="K6" s="108">
        <v>27000</v>
      </c>
      <c r="L6" s="108" t="s">
        <v>1251</v>
      </c>
      <c r="M6" s="109">
        <f>I6-K6</f>
        <v>5000</v>
      </c>
      <c r="N6" s="4">
        <f>IF(ISERROR(K6/I6),"",K6/I6)</f>
        <v>0.84375</v>
      </c>
      <c r="O6" s="105">
        <f>I6/E6</f>
        <v>941.17647058823525</v>
      </c>
      <c r="P6" s="105">
        <f>K6/E6</f>
        <v>794.11764705882354</v>
      </c>
      <c r="Q6" s="77">
        <v>3</v>
      </c>
      <c r="R6" s="77">
        <v>2</v>
      </c>
      <c r="S6" s="77" t="s">
        <v>1244</v>
      </c>
      <c r="T6" s="5">
        <v>113</v>
      </c>
      <c r="U6" s="9"/>
      <c r="W6" s="104">
        <f t="shared" ref="W6:X8" si="2">D6</f>
        <v>113.3</v>
      </c>
      <c r="X6" s="106">
        <f t="shared" si="2"/>
        <v>34</v>
      </c>
      <c r="Y6" s="102">
        <f t="shared" ref="Y6:Z8" si="3">H6</f>
        <v>480</v>
      </c>
      <c r="Z6" s="109">
        <f t="shared" si="3"/>
        <v>32000</v>
      </c>
      <c r="AA6" s="109">
        <f>K6</f>
        <v>27000</v>
      </c>
      <c r="AB6" s="109">
        <f t="shared" ref="AB6:AD8" si="4">M6</f>
        <v>5000</v>
      </c>
      <c r="AC6" s="4">
        <f t="shared" si="4"/>
        <v>0.84375</v>
      </c>
      <c r="AD6" s="105">
        <f t="shared" si="4"/>
        <v>941.17647058823525</v>
      </c>
      <c r="AE6" s="77" t="str">
        <f>S6</f>
        <v>계</v>
      </c>
      <c r="AF6" s="77" t="str">
        <f>Q6&amp;"/"&amp;R6</f>
        <v>3/2</v>
      </c>
      <c r="AH6" s="20" t="str">
        <f t="shared" si="1"/>
        <v>한라비발디2단지</v>
      </c>
      <c r="AI6" s="106">
        <f t="shared" si="0"/>
        <v>34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>O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후보</v>
      </c>
    </row>
    <row r="7" spans="1:48" x14ac:dyDescent="0.3">
      <c r="A7" s="9" t="s">
        <v>973</v>
      </c>
      <c r="B7" s="10" t="s">
        <v>1329</v>
      </c>
      <c r="C7" s="107">
        <v>782</v>
      </c>
      <c r="D7" s="104">
        <v>114.2</v>
      </c>
      <c r="E7" s="106">
        <v>35</v>
      </c>
      <c r="F7" s="104">
        <v>85</v>
      </c>
      <c r="G7" s="17">
        <v>26</v>
      </c>
      <c r="H7" s="107">
        <v>160</v>
      </c>
      <c r="I7" s="108">
        <v>33000</v>
      </c>
      <c r="J7" s="108" t="s">
        <v>1268</v>
      </c>
      <c r="K7" s="108">
        <v>25000</v>
      </c>
      <c r="L7" s="108" t="s">
        <v>1294</v>
      </c>
      <c r="M7" s="109">
        <f>I7-K7</f>
        <v>8000</v>
      </c>
      <c r="N7" s="4">
        <f>IF(ISERROR(K7/I7),"",K7/I7)</f>
        <v>0.75757575757575757</v>
      </c>
      <c r="O7" s="105">
        <f>I7/E7</f>
        <v>942.85714285714289</v>
      </c>
      <c r="P7" s="105">
        <f>K7/E7</f>
        <v>714.28571428571433</v>
      </c>
      <c r="Q7" s="77">
        <v>3</v>
      </c>
      <c r="R7" s="77">
        <v>2</v>
      </c>
      <c r="S7" s="77" t="s">
        <v>1244</v>
      </c>
      <c r="T7" s="5" t="s">
        <v>978</v>
      </c>
      <c r="U7" s="9"/>
      <c r="W7" s="104">
        <f t="shared" si="2"/>
        <v>114.2</v>
      </c>
      <c r="X7" s="106">
        <f t="shared" si="2"/>
        <v>35</v>
      </c>
      <c r="Y7" s="102">
        <f t="shared" si="3"/>
        <v>160</v>
      </c>
      <c r="Z7" s="109">
        <f t="shared" si="3"/>
        <v>33000</v>
      </c>
      <c r="AA7" s="109">
        <f>K7</f>
        <v>25000</v>
      </c>
      <c r="AB7" s="109">
        <f t="shared" si="4"/>
        <v>8000</v>
      </c>
      <c r="AC7" s="4">
        <f t="shared" si="4"/>
        <v>0.75757575757575757</v>
      </c>
      <c r="AD7" s="105">
        <f t="shared" si="4"/>
        <v>942.85714285714289</v>
      </c>
      <c r="AE7" s="77" t="str">
        <f>S7</f>
        <v>계</v>
      </c>
      <c r="AF7" s="77" t="str">
        <f>Q7&amp;"/"&amp;R7</f>
        <v>3/2</v>
      </c>
      <c r="AH7" s="20" t="str">
        <f t="shared" si="1"/>
        <v>한라비발디2단지</v>
      </c>
      <c r="AI7" s="106">
        <f t="shared" si="0"/>
        <v>35</v>
      </c>
      <c r="AJ7" s="77" t="str">
        <f>IF(AI7="","",$AJ$2)</f>
        <v>A-</v>
      </c>
      <c r="AK7" s="77" t="s">
        <v>13</v>
      </c>
      <c r="AL7" s="77" t="s">
        <v>1242</v>
      </c>
      <c r="AM7" s="77" t="s">
        <v>1243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973</v>
      </c>
      <c r="B8" s="10" t="s">
        <v>1329</v>
      </c>
      <c r="C8" s="107">
        <v>782</v>
      </c>
      <c r="D8" s="104">
        <v>115.2</v>
      </c>
      <c r="E8" s="106">
        <v>35</v>
      </c>
      <c r="F8" s="104">
        <v>85</v>
      </c>
      <c r="G8" s="17">
        <v>26</v>
      </c>
      <c r="H8" s="107">
        <v>142</v>
      </c>
      <c r="I8" s="108">
        <v>33000</v>
      </c>
      <c r="J8" s="108" t="s">
        <v>1245</v>
      </c>
      <c r="K8" s="108"/>
      <c r="L8" s="108"/>
      <c r="M8" s="109">
        <f>I8-K8</f>
        <v>33000</v>
      </c>
      <c r="N8" s="4">
        <f>IF(ISERROR(K8/I8),"",K8/I8)</f>
        <v>0</v>
      </c>
      <c r="O8" s="105">
        <f>I8/E8</f>
        <v>942.85714285714289</v>
      </c>
      <c r="P8" s="105">
        <f>K8/E8</f>
        <v>0</v>
      </c>
      <c r="Q8" s="77">
        <v>3</v>
      </c>
      <c r="R8" s="77">
        <v>2</v>
      </c>
      <c r="S8" s="77" t="s">
        <v>1244</v>
      </c>
      <c r="T8" s="5" t="s">
        <v>544</v>
      </c>
      <c r="U8" s="9"/>
      <c r="W8" s="104">
        <f t="shared" si="2"/>
        <v>115.2</v>
      </c>
      <c r="X8" s="106">
        <f t="shared" si="2"/>
        <v>35</v>
      </c>
      <c r="Y8" s="102">
        <f t="shared" si="3"/>
        <v>142</v>
      </c>
      <c r="Z8" s="109">
        <f t="shared" si="3"/>
        <v>33000</v>
      </c>
      <c r="AA8" s="109">
        <f>K8</f>
        <v>0</v>
      </c>
      <c r="AB8" s="109">
        <f t="shared" si="4"/>
        <v>33000</v>
      </c>
      <c r="AC8" s="4">
        <f t="shared" si="4"/>
        <v>0</v>
      </c>
      <c r="AD8" s="105">
        <f t="shared" si="4"/>
        <v>942.85714285714289</v>
      </c>
      <c r="AE8" s="77" t="str">
        <f>S8</f>
        <v>계</v>
      </c>
      <c r="AF8" s="77" t="str">
        <f>Q8&amp;"/"&amp;R8</f>
        <v>3/2</v>
      </c>
      <c r="AH8" s="20" t="str">
        <f t="shared" si="1"/>
        <v>한라비발디2단지</v>
      </c>
      <c r="AI8" s="106">
        <f t="shared" si="0"/>
        <v>35</v>
      </c>
      <c r="AJ8" s="77" t="str">
        <f>IF(AI8="","",$AJ$2)</f>
        <v>A-</v>
      </c>
      <c r="AK8" s="77" t="s">
        <v>13</v>
      </c>
      <c r="AL8" s="77" t="s">
        <v>1242</v>
      </c>
      <c r="AM8" s="77" t="s">
        <v>1243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O</v>
      </c>
      <c r="AQ8" s="77" t="str">
        <f>IF(O8="","",IF(O8&lt;=$AQ$1,"O","X"))</f>
        <v>O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/>
      <c r="B9" s="77"/>
      <c r="C9" s="6"/>
      <c r="D9" s="9"/>
      <c r="E9" s="14"/>
      <c r="F9" s="104"/>
      <c r="G9" s="9"/>
      <c r="H9" s="9"/>
      <c r="I9" s="9"/>
      <c r="J9" s="9"/>
      <c r="K9" s="9"/>
      <c r="L9" s="9"/>
      <c r="M9" s="9"/>
      <c r="N9" s="9"/>
      <c r="O9" s="105"/>
      <c r="P9" s="105"/>
      <c r="Q9" s="106"/>
      <c r="R9" s="106"/>
      <c r="S9" s="9"/>
      <c r="T9" s="47"/>
      <c r="U9" s="9"/>
      <c r="W9" s="67" t="str">
        <f>$A$4&amp;" "&amp;A10&amp;"("&amp;B10&amp;","&amp;C10&amp;"^)"</f>
        <v>수송동 한라비발디1단지('08.11.,332^)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3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979</v>
      </c>
      <c r="B10" s="10" t="s">
        <v>1329</v>
      </c>
      <c r="C10" s="107">
        <v>332</v>
      </c>
      <c r="D10" s="104">
        <v>133</v>
      </c>
      <c r="E10" s="106">
        <v>40</v>
      </c>
      <c r="F10" s="104">
        <v>100.4</v>
      </c>
      <c r="G10" s="17">
        <v>30</v>
      </c>
      <c r="H10" s="107">
        <v>59</v>
      </c>
      <c r="I10" s="108"/>
      <c r="J10" s="108"/>
      <c r="K10" s="108"/>
      <c r="L10" s="108"/>
      <c r="M10" s="109">
        <f t="shared" ref="M10:M15" si="5">I10-K10</f>
        <v>0</v>
      </c>
      <c r="N10" s="4" t="str">
        <f t="shared" ref="N10:N15" si="6">IF(ISERROR(K10/I10),"",K10/I10)</f>
        <v/>
      </c>
      <c r="O10" s="105">
        <f t="shared" ref="O10:O15" si="7">I10/E10</f>
        <v>0</v>
      </c>
      <c r="P10" s="105">
        <f t="shared" ref="P10:P15" si="8">K10/E10</f>
        <v>0</v>
      </c>
      <c r="Q10" s="77">
        <v>3</v>
      </c>
      <c r="R10" s="77">
        <v>2</v>
      </c>
      <c r="S10" s="77" t="s">
        <v>1244</v>
      </c>
      <c r="T10" s="5" t="s">
        <v>980</v>
      </c>
      <c r="U10" s="9"/>
      <c r="W10" s="104">
        <f t="shared" ref="W10:X15" si="9">D10</f>
        <v>133</v>
      </c>
      <c r="X10" s="106">
        <f t="shared" si="9"/>
        <v>40</v>
      </c>
      <c r="Y10" s="102">
        <f t="shared" ref="Y10:Z15" si="10">H10</f>
        <v>59</v>
      </c>
      <c r="Z10" s="109">
        <f t="shared" si="10"/>
        <v>0</v>
      </c>
      <c r="AA10" s="109">
        <f t="shared" ref="AA10:AA15" si="11">K10</f>
        <v>0</v>
      </c>
      <c r="AB10" s="109">
        <f t="shared" ref="AB10:AD15" si="12">M10</f>
        <v>0</v>
      </c>
      <c r="AC10" s="4" t="str">
        <f t="shared" si="12"/>
        <v/>
      </c>
      <c r="AD10" s="105">
        <f t="shared" si="12"/>
        <v>0</v>
      </c>
      <c r="AE10" s="77" t="str">
        <f t="shared" ref="AE10:AE15" si="13">S10</f>
        <v>계</v>
      </c>
      <c r="AF10" s="77" t="str">
        <f t="shared" ref="AF10:AF15" si="14">Q10&amp;"/"&amp;R10</f>
        <v>3/2</v>
      </c>
      <c r="AH10" s="20" t="str">
        <f t="shared" si="1"/>
        <v>한라비발디1단지</v>
      </c>
      <c r="AI10" s="106">
        <f t="shared" si="0"/>
        <v>40</v>
      </c>
      <c r="AJ10" s="77" t="str">
        <f t="shared" ref="AJ10:AJ15" si="15">IF(AI10="","",$AJ$2)</f>
        <v>A-</v>
      </c>
      <c r="AK10" s="77" t="s">
        <v>13</v>
      </c>
      <c r="AL10" s="77" t="s">
        <v>1242</v>
      </c>
      <c r="AM10" s="77" t="s">
        <v>1243</v>
      </c>
      <c r="AN10" s="77" t="str">
        <f t="shared" ref="AN10:AN15" si="16">IF(AI10="","",$AN$2)</f>
        <v>C</v>
      </c>
      <c r="AO10" s="77" t="str">
        <f t="shared" ref="AO10:AO15" si="17">IF(N10="","",IF(N10&gt;=$AO$1/100,"O","X"))</f>
        <v/>
      </c>
      <c r="AP10" s="77" t="str">
        <f t="shared" ref="AP10:AP15" si="18">IF(I10="","",IF(I10&lt;=$AP$1,"O","X"))</f>
        <v/>
      </c>
      <c r="AQ10" s="77" t="str">
        <f t="shared" ref="AQ10:AQ15" si="19">IF(O10="","",IF(O10&lt;=$AQ$1,"O","X"))</f>
        <v>O</v>
      </c>
      <c r="AR10" s="77" t="str">
        <f t="shared" ref="AR10:AR15" si="20">IF(M10="","",IF(M10&lt;=$AR$1,"O","X"))</f>
        <v>O</v>
      </c>
      <c r="AS10" s="77" t="s">
        <v>2</v>
      </c>
      <c r="AT10" s="77" t="str">
        <f t="shared" ref="AT10:AT15" si="21">IF(OR(F10="",AI10=""),"",IF(AND((F10&lt;=85),(AI10&gt;=15)),"O","X"))</f>
        <v>X</v>
      </c>
      <c r="AU10" s="77" t="str">
        <f t="shared" ref="AU10:AU15" si="22">IF(C10="","",IF(C10&gt;=$AU$1,"O","X"))</f>
        <v>O</v>
      </c>
      <c r="AV10" s="77" t="str">
        <f t="shared" ref="AV10:AV15" si="23">IF(AO10="","",IF(AND(AO10="O",AP10="O",AR10="O",AT10="O",AU10="O"),"후보","X"))</f>
        <v/>
      </c>
    </row>
    <row r="11" spans="1:48" x14ac:dyDescent="0.3">
      <c r="A11" s="9" t="s">
        <v>979</v>
      </c>
      <c r="B11" s="10" t="s">
        <v>1329</v>
      </c>
      <c r="C11" s="107">
        <v>332</v>
      </c>
      <c r="D11" s="104">
        <v>135.30000000000001</v>
      </c>
      <c r="E11" s="106">
        <v>41</v>
      </c>
      <c r="F11" s="104">
        <v>103.6</v>
      </c>
      <c r="G11" s="17">
        <v>31</v>
      </c>
      <c r="H11" s="107">
        <v>39</v>
      </c>
      <c r="I11" s="108">
        <v>42000</v>
      </c>
      <c r="J11" s="108" t="s">
        <v>1251</v>
      </c>
      <c r="K11" s="108"/>
      <c r="L11" s="108"/>
      <c r="M11" s="109">
        <f t="shared" si="5"/>
        <v>42000</v>
      </c>
      <c r="N11" s="4">
        <f t="shared" si="6"/>
        <v>0</v>
      </c>
      <c r="O11" s="105">
        <f t="shared" si="7"/>
        <v>1024.3902439024391</v>
      </c>
      <c r="P11" s="105">
        <f t="shared" si="8"/>
        <v>0</v>
      </c>
      <c r="Q11" s="77">
        <v>3</v>
      </c>
      <c r="R11" s="77">
        <v>2</v>
      </c>
      <c r="S11" s="77" t="s">
        <v>1244</v>
      </c>
      <c r="T11" s="5" t="s">
        <v>732</v>
      </c>
      <c r="U11" s="9"/>
      <c r="W11" s="104">
        <f t="shared" si="9"/>
        <v>135.30000000000001</v>
      </c>
      <c r="X11" s="106">
        <f t="shared" si="9"/>
        <v>41</v>
      </c>
      <c r="Y11" s="102">
        <f t="shared" si="10"/>
        <v>39</v>
      </c>
      <c r="Z11" s="109">
        <f t="shared" si="10"/>
        <v>42000</v>
      </c>
      <c r="AA11" s="109">
        <f t="shared" si="11"/>
        <v>0</v>
      </c>
      <c r="AB11" s="109">
        <f t="shared" si="12"/>
        <v>42000</v>
      </c>
      <c r="AC11" s="4">
        <f t="shared" si="12"/>
        <v>0</v>
      </c>
      <c r="AD11" s="105">
        <f t="shared" si="12"/>
        <v>1024.3902439024391</v>
      </c>
      <c r="AE11" s="77" t="str">
        <f t="shared" si="13"/>
        <v>계</v>
      </c>
      <c r="AF11" s="77" t="str">
        <f t="shared" si="14"/>
        <v>3/2</v>
      </c>
      <c r="AH11" s="20" t="str">
        <f t="shared" si="1"/>
        <v>한라비발디1단지</v>
      </c>
      <c r="AI11" s="106">
        <f t="shared" si="0"/>
        <v>41</v>
      </c>
      <c r="AJ11" s="77" t="str">
        <f t="shared" si="15"/>
        <v>A-</v>
      </c>
      <c r="AK11" s="77" t="s">
        <v>13</v>
      </c>
      <c r="AL11" s="77" t="s">
        <v>1242</v>
      </c>
      <c r="AM11" s="77" t="s">
        <v>1243</v>
      </c>
      <c r="AN11" s="77" t="str">
        <f t="shared" si="16"/>
        <v>C</v>
      </c>
      <c r="AO11" s="77" t="str">
        <f t="shared" si="17"/>
        <v>X</v>
      </c>
      <c r="AP11" s="77" t="str">
        <f t="shared" si="18"/>
        <v>O</v>
      </c>
      <c r="AQ11" s="77" t="str">
        <f t="shared" si="19"/>
        <v>O</v>
      </c>
      <c r="AR11" s="77" t="str">
        <f t="shared" si="20"/>
        <v>X</v>
      </c>
      <c r="AS11" s="77" t="s">
        <v>2</v>
      </c>
      <c r="AT11" s="77" t="str">
        <f t="shared" si="21"/>
        <v>X</v>
      </c>
      <c r="AU11" s="77" t="str">
        <f t="shared" si="22"/>
        <v>O</v>
      </c>
      <c r="AV11" s="77" t="str">
        <f t="shared" si="23"/>
        <v>X</v>
      </c>
    </row>
    <row r="12" spans="1:48" x14ac:dyDescent="0.3">
      <c r="A12" s="9" t="s">
        <v>979</v>
      </c>
      <c r="B12" s="10" t="s">
        <v>1329</v>
      </c>
      <c r="C12" s="107">
        <v>332</v>
      </c>
      <c r="D12" s="104">
        <v>159.19999999999999</v>
      </c>
      <c r="E12" s="106">
        <v>48</v>
      </c>
      <c r="F12" s="104">
        <v>123.1</v>
      </c>
      <c r="G12" s="17">
        <v>37</v>
      </c>
      <c r="H12" s="107">
        <v>80</v>
      </c>
      <c r="I12" s="108"/>
      <c r="J12" s="108"/>
      <c r="K12" s="108"/>
      <c r="L12" s="108"/>
      <c r="M12" s="109">
        <f t="shared" si="5"/>
        <v>0</v>
      </c>
      <c r="N12" s="4" t="str">
        <f t="shared" si="6"/>
        <v/>
      </c>
      <c r="O12" s="105">
        <f t="shared" si="7"/>
        <v>0</v>
      </c>
      <c r="P12" s="105">
        <f t="shared" si="8"/>
        <v>0</v>
      </c>
      <c r="Q12" s="77">
        <v>4</v>
      </c>
      <c r="R12" s="77">
        <v>2</v>
      </c>
      <c r="S12" s="77" t="s">
        <v>1244</v>
      </c>
      <c r="T12" s="5" t="s">
        <v>984</v>
      </c>
      <c r="U12" s="9"/>
      <c r="W12" s="104">
        <f t="shared" si="9"/>
        <v>159.19999999999999</v>
      </c>
      <c r="X12" s="106">
        <f t="shared" si="9"/>
        <v>48</v>
      </c>
      <c r="Y12" s="102">
        <f t="shared" si="10"/>
        <v>80</v>
      </c>
      <c r="Z12" s="109">
        <f t="shared" si="10"/>
        <v>0</v>
      </c>
      <c r="AA12" s="109">
        <f t="shared" si="11"/>
        <v>0</v>
      </c>
      <c r="AB12" s="109">
        <f t="shared" si="12"/>
        <v>0</v>
      </c>
      <c r="AC12" s="4" t="str">
        <f t="shared" si="12"/>
        <v/>
      </c>
      <c r="AD12" s="105">
        <f t="shared" si="12"/>
        <v>0</v>
      </c>
      <c r="AE12" s="77" t="str">
        <f t="shared" si="13"/>
        <v>계</v>
      </c>
      <c r="AF12" s="77" t="str">
        <f t="shared" si="14"/>
        <v>4/2</v>
      </c>
      <c r="AH12" s="20" t="str">
        <f t="shared" si="1"/>
        <v>한라비발디1단지</v>
      </c>
      <c r="AI12" s="106">
        <f t="shared" si="0"/>
        <v>48</v>
      </c>
      <c r="AJ12" s="77" t="str">
        <f t="shared" si="15"/>
        <v>A-</v>
      </c>
      <c r="AK12" s="77" t="s">
        <v>13</v>
      </c>
      <c r="AL12" s="77" t="s">
        <v>1242</v>
      </c>
      <c r="AM12" s="77" t="s">
        <v>1243</v>
      </c>
      <c r="AN12" s="77" t="str">
        <f t="shared" si="16"/>
        <v>C</v>
      </c>
      <c r="AO12" s="77" t="str">
        <f t="shared" si="17"/>
        <v/>
      </c>
      <c r="AP12" s="77" t="str">
        <f t="shared" si="18"/>
        <v/>
      </c>
      <c r="AQ12" s="77" t="str">
        <f t="shared" si="19"/>
        <v>O</v>
      </c>
      <c r="AR12" s="77" t="str">
        <f t="shared" si="20"/>
        <v>O</v>
      </c>
      <c r="AS12" s="77" t="s">
        <v>2</v>
      </c>
      <c r="AT12" s="77" t="str">
        <f t="shared" si="21"/>
        <v>X</v>
      </c>
      <c r="AU12" s="77" t="str">
        <f t="shared" si="22"/>
        <v>O</v>
      </c>
      <c r="AV12" s="77" t="str">
        <f t="shared" si="23"/>
        <v/>
      </c>
    </row>
    <row r="13" spans="1:48" x14ac:dyDescent="0.3">
      <c r="A13" s="9" t="s">
        <v>979</v>
      </c>
      <c r="B13" s="10" t="s">
        <v>1329</v>
      </c>
      <c r="C13" s="107">
        <v>332</v>
      </c>
      <c r="D13" s="104">
        <v>161.5</v>
      </c>
      <c r="E13" s="106">
        <v>49</v>
      </c>
      <c r="F13" s="104">
        <v>132.30000000000001</v>
      </c>
      <c r="G13" s="17">
        <v>40</v>
      </c>
      <c r="H13" s="107">
        <v>79</v>
      </c>
      <c r="I13" s="108"/>
      <c r="J13" s="108"/>
      <c r="K13" s="108"/>
      <c r="L13" s="108"/>
      <c r="M13" s="109">
        <f t="shared" si="5"/>
        <v>0</v>
      </c>
      <c r="N13" s="4" t="str">
        <f t="shared" si="6"/>
        <v/>
      </c>
      <c r="O13" s="105">
        <f t="shared" si="7"/>
        <v>0</v>
      </c>
      <c r="P13" s="105">
        <f t="shared" si="8"/>
        <v>0</v>
      </c>
      <c r="Q13" s="77">
        <v>4</v>
      </c>
      <c r="R13" s="77">
        <v>2</v>
      </c>
      <c r="S13" s="77" t="s">
        <v>1244</v>
      </c>
      <c r="T13" s="5" t="s">
        <v>985</v>
      </c>
      <c r="U13" s="9"/>
      <c r="W13" s="104">
        <f t="shared" si="9"/>
        <v>161.5</v>
      </c>
      <c r="X13" s="106">
        <f t="shared" si="9"/>
        <v>49</v>
      </c>
      <c r="Y13" s="102">
        <f t="shared" si="10"/>
        <v>79</v>
      </c>
      <c r="Z13" s="109">
        <f t="shared" si="10"/>
        <v>0</v>
      </c>
      <c r="AA13" s="109">
        <f t="shared" si="11"/>
        <v>0</v>
      </c>
      <c r="AB13" s="109">
        <f t="shared" si="12"/>
        <v>0</v>
      </c>
      <c r="AC13" s="4" t="str">
        <f t="shared" si="12"/>
        <v/>
      </c>
      <c r="AD13" s="105">
        <f t="shared" si="12"/>
        <v>0</v>
      </c>
      <c r="AE13" s="77" t="str">
        <f t="shared" si="13"/>
        <v>계</v>
      </c>
      <c r="AF13" s="77" t="str">
        <f t="shared" si="14"/>
        <v>4/2</v>
      </c>
      <c r="AH13" s="20" t="str">
        <f t="shared" si="1"/>
        <v>한라비발디1단지</v>
      </c>
      <c r="AI13" s="106">
        <f t="shared" si="0"/>
        <v>49</v>
      </c>
      <c r="AJ13" s="77" t="str">
        <f t="shared" si="15"/>
        <v>A-</v>
      </c>
      <c r="AK13" s="77" t="s">
        <v>13</v>
      </c>
      <c r="AL13" s="77" t="s">
        <v>1242</v>
      </c>
      <c r="AM13" s="77" t="s">
        <v>1243</v>
      </c>
      <c r="AN13" s="77" t="str">
        <f t="shared" si="16"/>
        <v>C</v>
      </c>
      <c r="AO13" s="77" t="str">
        <f t="shared" si="17"/>
        <v/>
      </c>
      <c r="AP13" s="77" t="str">
        <f t="shared" si="18"/>
        <v/>
      </c>
      <c r="AQ13" s="77" t="str">
        <f t="shared" si="19"/>
        <v>O</v>
      </c>
      <c r="AR13" s="77" t="str">
        <f t="shared" si="20"/>
        <v>O</v>
      </c>
      <c r="AS13" s="77" t="s">
        <v>2</v>
      </c>
      <c r="AT13" s="77" t="str">
        <f t="shared" si="21"/>
        <v>X</v>
      </c>
      <c r="AU13" s="77" t="str">
        <f t="shared" si="22"/>
        <v>O</v>
      </c>
      <c r="AV13" s="77" t="str">
        <f t="shared" si="23"/>
        <v/>
      </c>
    </row>
    <row r="14" spans="1:48" x14ac:dyDescent="0.3">
      <c r="A14" s="9" t="s">
        <v>979</v>
      </c>
      <c r="B14" s="10" t="s">
        <v>1329</v>
      </c>
      <c r="C14" s="107">
        <v>332</v>
      </c>
      <c r="D14" s="104">
        <v>189.5</v>
      </c>
      <c r="E14" s="106">
        <v>57</v>
      </c>
      <c r="F14" s="104">
        <v>155.9</v>
      </c>
      <c r="G14" s="17">
        <v>47</v>
      </c>
      <c r="H14" s="107">
        <v>71</v>
      </c>
      <c r="I14" s="108">
        <v>58000</v>
      </c>
      <c r="J14" s="108" t="s">
        <v>1294</v>
      </c>
      <c r="K14" s="108"/>
      <c r="L14" s="108"/>
      <c r="M14" s="109">
        <f t="shared" si="5"/>
        <v>58000</v>
      </c>
      <c r="N14" s="4">
        <f t="shared" si="6"/>
        <v>0</v>
      </c>
      <c r="O14" s="105">
        <f t="shared" si="7"/>
        <v>1017.5438596491229</v>
      </c>
      <c r="P14" s="105">
        <f t="shared" si="8"/>
        <v>0</v>
      </c>
      <c r="Q14" s="77">
        <v>4</v>
      </c>
      <c r="R14" s="77">
        <v>2</v>
      </c>
      <c r="S14" s="77" t="s">
        <v>1244</v>
      </c>
      <c r="T14" s="5">
        <v>189</v>
      </c>
      <c r="U14" s="9"/>
      <c r="W14" s="104">
        <f t="shared" si="9"/>
        <v>189.5</v>
      </c>
      <c r="X14" s="106">
        <f t="shared" si="9"/>
        <v>57</v>
      </c>
      <c r="Y14" s="102">
        <f t="shared" si="10"/>
        <v>71</v>
      </c>
      <c r="Z14" s="109">
        <f t="shared" si="10"/>
        <v>58000</v>
      </c>
      <c r="AA14" s="109">
        <f t="shared" si="11"/>
        <v>0</v>
      </c>
      <c r="AB14" s="109">
        <f t="shared" si="12"/>
        <v>58000</v>
      </c>
      <c r="AC14" s="4">
        <f t="shared" si="12"/>
        <v>0</v>
      </c>
      <c r="AD14" s="105">
        <f t="shared" si="12"/>
        <v>1017.5438596491229</v>
      </c>
      <c r="AE14" s="77" t="str">
        <f t="shared" si="13"/>
        <v>계</v>
      </c>
      <c r="AF14" s="77" t="str">
        <f t="shared" si="14"/>
        <v>4/2</v>
      </c>
      <c r="AH14" s="20" t="str">
        <f t="shared" si="1"/>
        <v>한라비발디1단지</v>
      </c>
      <c r="AI14" s="106">
        <f t="shared" si="0"/>
        <v>57</v>
      </c>
      <c r="AJ14" s="77" t="str">
        <f t="shared" si="15"/>
        <v>A-</v>
      </c>
      <c r="AK14" s="77" t="s">
        <v>13</v>
      </c>
      <c r="AL14" s="77" t="s">
        <v>1242</v>
      </c>
      <c r="AM14" s="77" t="s">
        <v>1243</v>
      </c>
      <c r="AN14" s="77" t="str">
        <f t="shared" si="16"/>
        <v>C</v>
      </c>
      <c r="AO14" s="77" t="str">
        <f t="shared" si="17"/>
        <v>X</v>
      </c>
      <c r="AP14" s="77" t="str">
        <f t="shared" si="18"/>
        <v>X</v>
      </c>
      <c r="AQ14" s="77" t="str">
        <f t="shared" si="19"/>
        <v>O</v>
      </c>
      <c r="AR14" s="77" t="str">
        <f t="shared" si="20"/>
        <v>X</v>
      </c>
      <c r="AS14" s="77" t="s">
        <v>2</v>
      </c>
      <c r="AT14" s="77" t="str">
        <f t="shared" si="21"/>
        <v>X</v>
      </c>
      <c r="AU14" s="77" t="str">
        <f t="shared" si="22"/>
        <v>O</v>
      </c>
      <c r="AV14" s="77" t="str">
        <f t="shared" si="23"/>
        <v>X</v>
      </c>
    </row>
    <row r="15" spans="1:48" x14ac:dyDescent="0.3">
      <c r="A15" s="9" t="s">
        <v>979</v>
      </c>
      <c r="B15" s="10" t="s">
        <v>1329</v>
      </c>
      <c r="C15" s="107">
        <v>332</v>
      </c>
      <c r="D15" s="104">
        <v>320.89999999999998</v>
      </c>
      <c r="E15" s="106">
        <v>97</v>
      </c>
      <c r="F15" s="104">
        <v>261.2</v>
      </c>
      <c r="G15" s="17">
        <v>79</v>
      </c>
      <c r="H15" s="107">
        <v>4</v>
      </c>
      <c r="I15" s="108"/>
      <c r="J15" s="108"/>
      <c r="K15" s="108"/>
      <c r="L15" s="108"/>
      <c r="M15" s="109">
        <f t="shared" si="5"/>
        <v>0</v>
      </c>
      <c r="N15" s="4" t="str">
        <f t="shared" si="6"/>
        <v/>
      </c>
      <c r="O15" s="105">
        <f t="shared" si="7"/>
        <v>0</v>
      </c>
      <c r="P15" s="105">
        <f t="shared" si="8"/>
        <v>0</v>
      </c>
      <c r="Q15" s="77">
        <v>6</v>
      </c>
      <c r="R15" s="77">
        <v>4</v>
      </c>
      <c r="S15" s="77" t="s">
        <v>1244</v>
      </c>
      <c r="T15" s="5">
        <v>320</v>
      </c>
      <c r="U15" s="9"/>
      <c r="W15" s="104">
        <f t="shared" si="9"/>
        <v>320.89999999999998</v>
      </c>
      <c r="X15" s="106">
        <f t="shared" si="9"/>
        <v>97</v>
      </c>
      <c r="Y15" s="102">
        <f t="shared" si="10"/>
        <v>4</v>
      </c>
      <c r="Z15" s="109">
        <f t="shared" si="10"/>
        <v>0</v>
      </c>
      <c r="AA15" s="109">
        <f t="shared" si="11"/>
        <v>0</v>
      </c>
      <c r="AB15" s="109">
        <f t="shared" si="12"/>
        <v>0</v>
      </c>
      <c r="AC15" s="4" t="str">
        <f t="shared" si="12"/>
        <v/>
      </c>
      <c r="AD15" s="105">
        <f t="shared" si="12"/>
        <v>0</v>
      </c>
      <c r="AE15" s="77" t="str">
        <f t="shared" si="13"/>
        <v>계</v>
      </c>
      <c r="AF15" s="77" t="str">
        <f t="shared" si="14"/>
        <v>6/4</v>
      </c>
      <c r="AH15" s="20" t="str">
        <f t="shared" si="1"/>
        <v>한라비발디1단지</v>
      </c>
      <c r="AI15" s="106">
        <f t="shared" si="0"/>
        <v>97</v>
      </c>
      <c r="AJ15" s="77" t="str">
        <f t="shared" si="15"/>
        <v>A-</v>
      </c>
      <c r="AK15" s="77" t="s">
        <v>13</v>
      </c>
      <c r="AL15" s="77" t="s">
        <v>1242</v>
      </c>
      <c r="AM15" s="77" t="s">
        <v>1243</v>
      </c>
      <c r="AN15" s="77" t="str">
        <f t="shared" si="16"/>
        <v>C</v>
      </c>
      <c r="AO15" s="77" t="str">
        <f t="shared" si="17"/>
        <v/>
      </c>
      <c r="AP15" s="77" t="str">
        <f t="shared" si="18"/>
        <v/>
      </c>
      <c r="AQ15" s="77" t="str">
        <f t="shared" si="19"/>
        <v>O</v>
      </c>
      <c r="AR15" s="77" t="str">
        <f t="shared" si="20"/>
        <v>O</v>
      </c>
      <c r="AS15" s="77" t="s">
        <v>2</v>
      </c>
      <c r="AT15" s="77" t="str">
        <f t="shared" si="21"/>
        <v>X</v>
      </c>
      <c r="AU15" s="77" t="str">
        <f t="shared" si="22"/>
        <v>O</v>
      </c>
      <c r="AV15" s="77" t="str">
        <f t="shared" si="23"/>
        <v/>
      </c>
    </row>
    <row r="16" spans="1:48" x14ac:dyDescent="0.3">
      <c r="A16" s="9"/>
      <c r="B16" s="77"/>
      <c r="C16" s="6"/>
      <c r="D16" s="9"/>
      <c r="E16" s="14"/>
      <c r="F16" s="104"/>
      <c r="G16" s="9"/>
      <c r="H16" s="9"/>
      <c r="I16" s="9"/>
      <c r="J16" s="9"/>
      <c r="K16" s="9"/>
      <c r="L16" s="9"/>
      <c r="M16" s="9"/>
      <c r="N16" s="9"/>
      <c r="O16" s="105"/>
      <c r="P16" s="105"/>
      <c r="Q16" s="106"/>
      <c r="R16" s="106"/>
      <c r="S16" s="9"/>
      <c r="T16" s="47"/>
      <c r="U16" s="9"/>
      <c r="W16" s="67" t="str">
        <f>$A$4&amp;" "&amp;A17&amp;"("&amp;B17&amp;","&amp;C17&amp;"^)"</f>
        <v>수송동 동신('91.09.,660^)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3" t="str">
        <f t="shared" si="0"/>
        <v/>
      </c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</row>
    <row r="17" spans="1:48" x14ac:dyDescent="0.3">
      <c r="A17" s="9" t="s">
        <v>155</v>
      </c>
      <c r="B17" s="10" t="s">
        <v>1273</v>
      </c>
      <c r="C17" s="107">
        <v>660</v>
      </c>
      <c r="D17" s="104">
        <v>73.599999999999994</v>
      </c>
      <c r="E17" s="106">
        <v>22</v>
      </c>
      <c r="F17" s="104">
        <v>59.5</v>
      </c>
      <c r="G17" s="17">
        <v>18</v>
      </c>
      <c r="H17" s="107">
        <v>120</v>
      </c>
      <c r="I17" s="108"/>
      <c r="J17" s="108"/>
      <c r="K17" s="108"/>
      <c r="L17" s="108"/>
      <c r="M17" s="109">
        <f>I17-K17</f>
        <v>0</v>
      </c>
      <c r="N17" s="4" t="str">
        <f>IF(ISERROR(K17/I17),"",K17/I17)</f>
        <v/>
      </c>
      <c r="O17" s="105">
        <f>I17/E17</f>
        <v>0</v>
      </c>
      <c r="P17" s="105">
        <f>K17/E17</f>
        <v>0</v>
      </c>
      <c r="Q17" s="77">
        <v>2</v>
      </c>
      <c r="R17" s="77">
        <v>1</v>
      </c>
      <c r="S17" s="77" t="s">
        <v>1244</v>
      </c>
      <c r="T17" s="5">
        <v>73</v>
      </c>
      <c r="U17" s="9"/>
      <c r="W17" s="104">
        <f t="shared" ref="W17:X21" si="24">D17</f>
        <v>73.599999999999994</v>
      </c>
      <c r="X17" s="106">
        <f t="shared" si="24"/>
        <v>22</v>
      </c>
      <c r="Y17" s="102">
        <f t="shared" ref="Y17:Z21" si="25">H17</f>
        <v>120</v>
      </c>
      <c r="Z17" s="109">
        <f t="shared" si="25"/>
        <v>0</v>
      </c>
      <c r="AA17" s="109">
        <f>K17</f>
        <v>0</v>
      </c>
      <c r="AB17" s="109">
        <f t="shared" ref="AB17:AD21" si="26">M17</f>
        <v>0</v>
      </c>
      <c r="AC17" s="4" t="str">
        <f t="shared" si="26"/>
        <v/>
      </c>
      <c r="AD17" s="105">
        <f t="shared" si="26"/>
        <v>0</v>
      </c>
      <c r="AE17" s="77" t="str">
        <f>S17</f>
        <v>계</v>
      </c>
      <c r="AF17" s="77" t="str">
        <f>Q17&amp;"/"&amp;R17</f>
        <v>2/1</v>
      </c>
      <c r="AH17" s="20" t="str">
        <f t="shared" si="1"/>
        <v>동신</v>
      </c>
      <c r="AI17" s="106">
        <f t="shared" si="0"/>
        <v>22</v>
      </c>
      <c r="AJ17" s="77" t="str">
        <f>IF(AI17="","",$AJ$2)</f>
        <v>A-</v>
      </c>
      <c r="AK17" s="77" t="s">
        <v>13</v>
      </c>
      <c r="AL17" s="77" t="s">
        <v>1242</v>
      </c>
      <c r="AM17" s="77" t="s">
        <v>1243</v>
      </c>
      <c r="AN17" s="77" t="str">
        <f>IF(AI17="","",$AN$2)</f>
        <v>C</v>
      </c>
      <c r="AO17" s="77" t="str">
        <f>IF(N17="","",IF(N17&gt;=$AO$1/100,"O","X"))</f>
        <v/>
      </c>
      <c r="AP17" s="77" t="str">
        <f>IF(I17="","",IF(I17&lt;=$AP$1,"O","X"))</f>
        <v/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/>
      </c>
    </row>
    <row r="18" spans="1:48" x14ac:dyDescent="0.3">
      <c r="A18" s="9" t="s">
        <v>155</v>
      </c>
      <c r="B18" s="10" t="s">
        <v>1273</v>
      </c>
      <c r="C18" s="107">
        <v>660</v>
      </c>
      <c r="D18" s="104">
        <v>83.5</v>
      </c>
      <c r="E18" s="106">
        <v>25</v>
      </c>
      <c r="F18" s="104">
        <v>67.400000000000006</v>
      </c>
      <c r="G18" s="17">
        <v>20</v>
      </c>
      <c r="H18" s="107">
        <v>120</v>
      </c>
      <c r="I18" s="108">
        <v>7500</v>
      </c>
      <c r="J18" s="108" t="s">
        <v>1272</v>
      </c>
      <c r="K18" s="108"/>
      <c r="L18" s="108"/>
      <c r="M18" s="109">
        <f>I18-K18</f>
        <v>7500</v>
      </c>
      <c r="N18" s="4">
        <f>IF(ISERROR(K18/I18),"",K18/I18)</f>
        <v>0</v>
      </c>
      <c r="O18" s="105">
        <f>I18/E18</f>
        <v>300</v>
      </c>
      <c r="P18" s="105">
        <f>K18/E18</f>
        <v>0</v>
      </c>
      <c r="Q18" s="77">
        <v>3</v>
      </c>
      <c r="R18" s="77">
        <v>1</v>
      </c>
      <c r="S18" s="77" t="s">
        <v>1241</v>
      </c>
      <c r="T18" s="5">
        <v>83</v>
      </c>
      <c r="U18" s="9"/>
      <c r="W18" s="104">
        <f t="shared" si="24"/>
        <v>83.5</v>
      </c>
      <c r="X18" s="106">
        <f t="shared" si="24"/>
        <v>25</v>
      </c>
      <c r="Y18" s="102">
        <f t="shared" si="25"/>
        <v>120</v>
      </c>
      <c r="Z18" s="109">
        <f t="shared" si="25"/>
        <v>7500</v>
      </c>
      <c r="AA18" s="109">
        <f>K18</f>
        <v>0</v>
      </c>
      <c r="AB18" s="109">
        <f t="shared" si="26"/>
        <v>7500</v>
      </c>
      <c r="AC18" s="4">
        <f t="shared" si="26"/>
        <v>0</v>
      </c>
      <c r="AD18" s="105">
        <f t="shared" si="26"/>
        <v>300</v>
      </c>
      <c r="AE18" s="77" t="str">
        <f>S18</f>
        <v>복</v>
      </c>
      <c r="AF18" s="77" t="str">
        <f>Q18&amp;"/"&amp;R18</f>
        <v>3/1</v>
      </c>
      <c r="AH18" s="20" t="str">
        <f t="shared" si="1"/>
        <v>동신</v>
      </c>
      <c r="AI18" s="106">
        <f t="shared" si="0"/>
        <v>25</v>
      </c>
      <c r="AJ18" s="77" t="str">
        <f>IF(AI18="","",$AJ$2)</f>
        <v>A-</v>
      </c>
      <c r="AK18" s="77" t="s">
        <v>13</v>
      </c>
      <c r="AL18" s="77" t="s">
        <v>1242</v>
      </c>
      <c r="AM18" s="77" t="s">
        <v>1243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O</v>
      </c>
      <c r="AQ18" s="77" t="str">
        <f>IF(O18="","",IF(O18&lt;=$AQ$1,"O","X"))</f>
        <v>O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 t="s">
        <v>155</v>
      </c>
      <c r="B19" s="10" t="s">
        <v>1273</v>
      </c>
      <c r="C19" s="107">
        <v>660</v>
      </c>
      <c r="D19" s="104">
        <v>94.6</v>
      </c>
      <c r="E19" s="106">
        <v>29</v>
      </c>
      <c r="F19" s="104">
        <v>76.400000000000006</v>
      </c>
      <c r="G19" s="17">
        <v>23</v>
      </c>
      <c r="H19" s="107">
        <v>60</v>
      </c>
      <c r="I19" s="108"/>
      <c r="J19" s="108"/>
      <c r="K19" s="108"/>
      <c r="L19" s="108"/>
      <c r="M19" s="109">
        <f>I19-K19</f>
        <v>0</v>
      </c>
      <c r="N19" s="4" t="str">
        <f>IF(ISERROR(K19/I19),"",K19/I19)</f>
        <v/>
      </c>
      <c r="O19" s="105">
        <f>I19/E19</f>
        <v>0</v>
      </c>
      <c r="P19" s="105">
        <f>K19/E19</f>
        <v>0</v>
      </c>
      <c r="Q19" s="77">
        <v>3</v>
      </c>
      <c r="R19" s="77">
        <v>2</v>
      </c>
      <c r="S19" s="77" t="s">
        <v>1241</v>
      </c>
      <c r="T19" s="5">
        <v>94</v>
      </c>
      <c r="U19" s="9"/>
      <c r="W19" s="104">
        <f t="shared" si="24"/>
        <v>94.6</v>
      </c>
      <c r="X19" s="106">
        <f t="shared" si="24"/>
        <v>29</v>
      </c>
      <c r="Y19" s="102">
        <f t="shared" si="25"/>
        <v>60</v>
      </c>
      <c r="Z19" s="109">
        <f t="shared" si="25"/>
        <v>0</v>
      </c>
      <c r="AA19" s="109">
        <f>K19</f>
        <v>0</v>
      </c>
      <c r="AB19" s="109">
        <f t="shared" si="26"/>
        <v>0</v>
      </c>
      <c r="AC19" s="4" t="str">
        <f t="shared" si="26"/>
        <v/>
      </c>
      <c r="AD19" s="105">
        <f t="shared" si="26"/>
        <v>0</v>
      </c>
      <c r="AE19" s="77" t="str">
        <f>S19</f>
        <v>복</v>
      </c>
      <c r="AF19" s="77" t="str">
        <f>Q19&amp;"/"&amp;R19</f>
        <v>3/2</v>
      </c>
      <c r="AH19" s="20" t="str">
        <f t="shared" si="1"/>
        <v>동신</v>
      </c>
      <c r="AI19" s="106">
        <f t="shared" si="0"/>
        <v>29</v>
      </c>
      <c r="AJ19" s="77" t="str">
        <f>IF(AI19="","",$AJ$2)</f>
        <v>A-</v>
      </c>
      <c r="AK19" s="77" t="s">
        <v>13</v>
      </c>
      <c r="AL19" s="77" t="s">
        <v>1242</v>
      </c>
      <c r="AM19" s="77" t="s">
        <v>1243</v>
      </c>
      <c r="AN19" s="77" t="str">
        <f>IF(AI19="","",$AN$2)</f>
        <v>C</v>
      </c>
      <c r="AO19" s="77" t="str">
        <f>IF(N19="","",IF(N19&gt;=$AO$1/100,"O","X"))</f>
        <v/>
      </c>
      <c r="AP19" s="77" t="str">
        <f>IF(I19="","",IF(I19&lt;=$AP$1,"O","X"))</f>
        <v/>
      </c>
      <c r="AQ19" s="77" t="str">
        <f>IF(O19="","",IF(O19&lt;=$AQ$1,"O","X"))</f>
        <v>O</v>
      </c>
      <c r="AR19" s="77" t="str">
        <f>IF(M19="","",IF(M19&lt;=$AR$1,"O","X"))</f>
        <v>O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/>
      </c>
    </row>
    <row r="20" spans="1:48" x14ac:dyDescent="0.3">
      <c r="A20" s="9" t="s">
        <v>155</v>
      </c>
      <c r="B20" s="10" t="s">
        <v>1273</v>
      </c>
      <c r="C20" s="107">
        <v>660</v>
      </c>
      <c r="D20" s="104">
        <v>97.2</v>
      </c>
      <c r="E20" s="106">
        <v>29</v>
      </c>
      <c r="F20" s="104">
        <v>78.5</v>
      </c>
      <c r="G20" s="17">
        <v>24</v>
      </c>
      <c r="H20" s="107">
        <v>120</v>
      </c>
      <c r="I20" s="108"/>
      <c r="J20" s="108"/>
      <c r="K20" s="108"/>
      <c r="L20" s="108"/>
      <c r="M20" s="109">
        <f>I20-K20</f>
        <v>0</v>
      </c>
      <c r="N20" s="4" t="str">
        <f>IF(ISERROR(K20/I20),"",K20/I20)</f>
        <v/>
      </c>
      <c r="O20" s="105">
        <f>I20/E20</f>
        <v>0</v>
      </c>
      <c r="P20" s="105">
        <f>K20/E20</f>
        <v>0</v>
      </c>
      <c r="Q20" s="77">
        <v>3</v>
      </c>
      <c r="R20" s="77">
        <v>2</v>
      </c>
      <c r="S20" s="77" t="s">
        <v>1244</v>
      </c>
      <c r="T20" s="5">
        <v>97</v>
      </c>
      <c r="U20" s="9"/>
      <c r="W20" s="104">
        <f t="shared" si="24"/>
        <v>97.2</v>
      </c>
      <c r="X20" s="106">
        <f t="shared" si="24"/>
        <v>29</v>
      </c>
      <c r="Y20" s="102">
        <f t="shared" si="25"/>
        <v>120</v>
      </c>
      <c r="Z20" s="109">
        <f t="shared" si="25"/>
        <v>0</v>
      </c>
      <c r="AA20" s="109">
        <f>K20</f>
        <v>0</v>
      </c>
      <c r="AB20" s="109">
        <f t="shared" si="26"/>
        <v>0</v>
      </c>
      <c r="AC20" s="4" t="str">
        <f t="shared" si="26"/>
        <v/>
      </c>
      <c r="AD20" s="105">
        <f t="shared" si="26"/>
        <v>0</v>
      </c>
      <c r="AE20" s="77" t="str">
        <f>S20</f>
        <v>계</v>
      </c>
      <c r="AF20" s="77" t="str">
        <f>Q20&amp;"/"&amp;R20</f>
        <v>3/2</v>
      </c>
      <c r="AH20" s="20" t="str">
        <f t="shared" si="1"/>
        <v>동신</v>
      </c>
      <c r="AI20" s="106">
        <f t="shared" si="0"/>
        <v>29</v>
      </c>
      <c r="AJ20" s="77" t="str">
        <f>IF(AI20="","",$AJ$2)</f>
        <v>A-</v>
      </c>
      <c r="AK20" s="77" t="s">
        <v>13</v>
      </c>
      <c r="AL20" s="77" t="s">
        <v>1242</v>
      </c>
      <c r="AM20" s="77" t="s">
        <v>1243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/>
      </c>
    </row>
    <row r="21" spans="1:48" x14ac:dyDescent="0.3">
      <c r="A21" s="9" t="s">
        <v>155</v>
      </c>
      <c r="B21" s="10" t="s">
        <v>1273</v>
      </c>
      <c r="C21" s="107">
        <v>660</v>
      </c>
      <c r="D21" s="104">
        <v>105</v>
      </c>
      <c r="E21" s="106">
        <v>32</v>
      </c>
      <c r="F21" s="104">
        <v>84.8</v>
      </c>
      <c r="G21" s="17">
        <v>26</v>
      </c>
      <c r="H21" s="107">
        <v>240</v>
      </c>
      <c r="I21" s="108">
        <v>14000</v>
      </c>
      <c r="J21" s="108" t="s">
        <v>1253</v>
      </c>
      <c r="K21" s="108">
        <v>10500</v>
      </c>
      <c r="L21" s="108" t="s">
        <v>1255</v>
      </c>
      <c r="M21" s="109">
        <f>I21-K21</f>
        <v>3500</v>
      </c>
      <c r="N21" s="4">
        <f>IF(ISERROR(K21/I21),"",K21/I21)</f>
        <v>0.75</v>
      </c>
      <c r="O21" s="105">
        <f>I21/E21</f>
        <v>437.5</v>
      </c>
      <c r="P21" s="105">
        <f>K21/E21</f>
        <v>328.125</v>
      </c>
      <c r="Q21" s="77">
        <v>3</v>
      </c>
      <c r="R21" s="77">
        <v>2</v>
      </c>
      <c r="S21" s="77" t="s">
        <v>1241</v>
      </c>
      <c r="T21" s="5">
        <v>105</v>
      </c>
      <c r="U21" s="9"/>
      <c r="W21" s="104">
        <f t="shared" si="24"/>
        <v>105</v>
      </c>
      <c r="X21" s="106">
        <f t="shared" si="24"/>
        <v>32</v>
      </c>
      <c r="Y21" s="102">
        <f t="shared" si="25"/>
        <v>240</v>
      </c>
      <c r="Z21" s="109">
        <f t="shared" si="25"/>
        <v>14000</v>
      </c>
      <c r="AA21" s="109">
        <f>K21</f>
        <v>10500</v>
      </c>
      <c r="AB21" s="109">
        <f t="shared" si="26"/>
        <v>3500</v>
      </c>
      <c r="AC21" s="4">
        <f t="shared" si="26"/>
        <v>0.75</v>
      </c>
      <c r="AD21" s="105">
        <f t="shared" si="26"/>
        <v>437.5</v>
      </c>
      <c r="AE21" s="77" t="str">
        <f>S21</f>
        <v>복</v>
      </c>
      <c r="AF21" s="77" t="str">
        <f>Q21&amp;"/"&amp;R21</f>
        <v>3/2</v>
      </c>
      <c r="AH21" s="20" t="str">
        <f t="shared" si="1"/>
        <v>동신</v>
      </c>
      <c r="AI21" s="106">
        <f t="shared" si="0"/>
        <v>32</v>
      </c>
      <c r="AJ21" s="77" t="str">
        <f>IF(AI21="","",$AJ$2)</f>
        <v>A-</v>
      </c>
      <c r="AK21" s="77" t="s">
        <v>13</v>
      </c>
      <c r="AL21" s="77" t="s">
        <v>1242</v>
      </c>
      <c r="AM21" s="77" t="s">
        <v>1243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O</v>
      </c>
      <c r="AQ21" s="77" t="str">
        <f>IF(O21="","",IF(O21&lt;=$AQ$1,"O","X"))</f>
        <v>O</v>
      </c>
      <c r="AR21" s="77" t="str">
        <f>IF(M21="","",IF(M21&lt;=$AR$1,"O","X"))</f>
        <v>O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/>
      <c r="B22" s="77"/>
      <c r="C22" s="6"/>
      <c r="D22" s="9"/>
      <c r="E22" s="14"/>
      <c r="F22" s="104"/>
      <c r="G22" s="9"/>
      <c r="H22" s="9"/>
      <c r="I22" s="9"/>
      <c r="J22" s="9"/>
      <c r="K22" s="9"/>
      <c r="L22" s="9"/>
      <c r="M22" s="9"/>
      <c r="N22" s="9"/>
      <c r="O22" s="105"/>
      <c r="P22" s="105"/>
      <c r="Q22" s="106"/>
      <c r="R22" s="106"/>
      <c r="S22" s="9"/>
      <c r="T22" s="47"/>
      <c r="U22" s="9"/>
      <c r="W22" s="67" t="str">
        <f>$A$4&amp;" "&amp;A23&amp;"("&amp;B23&amp;","&amp;C23&amp;"^)"</f>
        <v>수송동 수송아이파크(201-2BL)('08.09.,566^)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3" t="str">
        <f t="shared" si="0"/>
        <v/>
      </c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</row>
    <row r="23" spans="1:48" x14ac:dyDescent="0.3">
      <c r="A23" s="9" t="s">
        <v>989</v>
      </c>
      <c r="B23" s="10" t="s">
        <v>1330</v>
      </c>
      <c r="C23" s="107">
        <v>566</v>
      </c>
      <c r="D23" s="104">
        <v>130.69999999999999</v>
      </c>
      <c r="E23" s="106">
        <v>40</v>
      </c>
      <c r="F23" s="104">
        <v>100.1</v>
      </c>
      <c r="G23" s="17">
        <v>30</v>
      </c>
      <c r="H23" s="107">
        <v>87</v>
      </c>
      <c r="I23" s="108">
        <v>39000</v>
      </c>
      <c r="J23" s="108" t="s">
        <v>1256</v>
      </c>
      <c r="K23" s="108">
        <v>34000</v>
      </c>
      <c r="L23" s="108" t="s">
        <v>1253</v>
      </c>
      <c r="M23" s="109">
        <f>I23-K23</f>
        <v>5000</v>
      </c>
      <c r="N23" s="4">
        <f>IF(ISERROR(K23/I23),"",K23/I23)</f>
        <v>0.87179487179487181</v>
      </c>
      <c r="O23" s="105">
        <f>I23/E23</f>
        <v>975</v>
      </c>
      <c r="P23" s="105">
        <f>K23/E23</f>
        <v>850</v>
      </c>
      <c r="Q23" s="77">
        <v>3</v>
      </c>
      <c r="R23" s="77">
        <v>2</v>
      </c>
      <c r="S23" s="77" t="s">
        <v>1244</v>
      </c>
      <c r="T23" s="5">
        <v>130</v>
      </c>
      <c r="U23" s="9"/>
      <c r="W23" s="104">
        <f t="shared" ref="W23:X27" si="27">D23</f>
        <v>130.69999999999999</v>
      </c>
      <c r="X23" s="106">
        <f t="shared" si="27"/>
        <v>40</v>
      </c>
      <c r="Y23" s="102">
        <f t="shared" ref="Y23:Z27" si="28">H23</f>
        <v>87</v>
      </c>
      <c r="Z23" s="109">
        <f t="shared" si="28"/>
        <v>39000</v>
      </c>
      <c r="AA23" s="109">
        <f>K23</f>
        <v>34000</v>
      </c>
      <c r="AB23" s="109">
        <f t="shared" ref="AB23:AD27" si="29">M23</f>
        <v>5000</v>
      </c>
      <c r="AC23" s="4">
        <f t="shared" si="29"/>
        <v>0.87179487179487181</v>
      </c>
      <c r="AD23" s="105">
        <f t="shared" si="29"/>
        <v>975</v>
      </c>
      <c r="AE23" s="77" t="str">
        <f>S23</f>
        <v>계</v>
      </c>
      <c r="AF23" s="77" t="str">
        <f>Q23&amp;"/"&amp;R23</f>
        <v>3/2</v>
      </c>
      <c r="AH23" s="20" t="str">
        <f t="shared" si="1"/>
        <v>수송아이파크(201-2BL)</v>
      </c>
      <c r="AI23" s="106">
        <f t="shared" si="0"/>
        <v>40</v>
      </c>
      <c r="AJ23" s="77" t="str">
        <f>IF(AI23="","",$AJ$2)</f>
        <v>A-</v>
      </c>
      <c r="AK23" s="77" t="s">
        <v>13</v>
      </c>
      <c r="AL23" s="77" t="s">
        <v>1242</v>
      </c>
      <c r="AM23" s="77" t="s">
        <v>1243</v>
      </c>
      <c r="AN23" s="77" t="str">
        <f>IF(AI23="","",$AN$2)</f>
        <v>C</v>
      </c>
      <c r="AO23" s="77" t="str">
        <f>IF(N23="","",IF(N23&gt;=$AO$1/100,"O","X"))</f>
        <v>O</v>
      </c>
      <c r="AP23" s="77" t="str">
        <f>IF(I23="","",IF(I23&lt;=$AP$1,"O","X"))</f>
        <v>O</v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X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 t="s">
        <v>989</v>
      </c>
      <c r="B24" s="10" t="s">
        <v>1330</v>
      </c>
      <c r="C24" s="107">
        <v>566</v>
      </c>
      <c r="D24" s="104">
        <v>134.30000000000001</v>
      </c>
      <c r="E24" s="106">
        <v>41</v>
      </c>
      <c r="F24" s="104">
        <v>104.5</v>
      </c>
      <c r="G24" s="17">
        <v>32</v>
      </c>
      <c r="H24" s="107">
        <v>54</v>
      </c>
      <c r="I24" s="108"/>
      <c r="J24" s="108"/>
      <c r="K24" s="108"/>
      <c r="L24" s="108"/>
      <c r="M24" s="109">
        <f>I24-K24</f>
        <v>0</v>
      </c>
      <c r="N24" s="4" t="str">
        <f>IF(ISERROR(K24/I24),"",K24/I24)</f>
        <v/>
      </c>
      <c r="O24" s="105">
        <f>I24/E24</f>
        <v>0</v>
      </c>
      <c r="P24" s="105">
        <f>K24/E24</f>
        <v>0</v>
      </c>
      <c r="Q24" s="77">
        <v>3</v>
      </c>
      <c r="R24" s="77">
        <v>2</v>
      </c>
      <c r="S24" s="77" t="s">
        <v>1244</v>
      </c>
      <c r="T24" s="5">
        <v>134</v>
      </c>
      <c r="U24" s="9"/>
      <c r="W24" s="104">
        <f t="shared" si="27"/>
        <v>134.30000000000001</v>
      </c>
      <c r="X24" s="106">
        <f t="shared" si="27"/>
        <v>41</v>
      </c>
      <c r="Y24" s="102">
        <f t="shared" si="28"/>
        <v>54</v>
      </c>
      <c r="Z24" s="109">
        <f t="shared" si="28"/>
        <v>0</v>
      </c>
      <c r="AA24" s="109">
        <f>K24</f>
        <v>0</v>
      </c>
      <c r="AB24" s="109">
        <f t="shared" si="29"/>
        <v>0</v>
      </c>
      <c r="AC24" s="4" t="str">
        <f t="shared" si="29"/>
        <v/>
      </c>
      <c r="AD24" s="105">
        <f t="shared" si="29"/>
        <v>0</v>
      </c>
      <c r="AE24" s="77" t="str">
        <f>S24</f>
        <v>계</v>
      </c>
      <c r="AF24" s="77" t="str">
        <f>Q24&amp;"/"&amp;R24</f>
        <v>3/2</v>
      </c>
      <c r="AH24" s="20" t="str">
        <f t="shared" si="1"/>
        <v>수송아이파크(201-2BL)</v>
      </c>
      <c r="AI24" s="106">
        <f t="shared" si="0"/>
        <v>41</v>
      </c>
      <c r="AJ24" s="77" t="str">
        <f>IF(AI24="","",$AJ$2)</f>
        <v>A-</v>
      </c>
      <c r="AK24" s="77" t="s">
        <v>13</v>
      </c>
      <c r="AL24" s="77" t="s">
        <v>1242</v>
      </c>
      <c r="AM24" s="77" t="s">
        <v>1243</v>
      </c>
      <c r="AN24" s="77" t="str">
        <f>IF(AI24="","",$AN$2)</f>
        <v>C</v>
      </c>
      <c r="AO24" s="77" t="str">
        <f>IF(N24="","",IF(N24&gt;=$AO$1/100,"O","X"))</f>
        <v/>
      </c>
      <c r="AP24" s="77" t="str">
        <f>IF(I24="","",IF(I24&lt;=$AP$1,"O","X"))</f>
        <v/>
      </c>
      <c r="AQ24" s="77" t="str">
        <f>IF(O24="","",IF(O24&lt;=$AQ$1,"O","X"))</f>
        <v>O</v>
      </c>
      <c r="AR24" s="77" t="str">
        <f>IF(M24="","",IF(M24&lt;=$AR$1,"O","X"))</f>
        <v>O</v>
      </c>
      <c r="AS24" s="77" t="s">
        <v>2</v>
      </c>
      <c r="AT24" s="77" t="str">
        <f>IF(OR(F24="",AI24=""),"",IF(AND((F24&lt;=85),(AI24&gt;=15)),"O","X"))</f>
        <v>X</v>
      </c>
      <c r="AU24" s="77" t="str">
        <f>IF(C24="","",IF(C24&gt;=$AU$1,"O","X"))</f>
        <v>O</v>
      </c>
      <c r="AV24" s="77" t="str">
        <f>IF(AO24="","",IF(AND(AO24="O",AP24="O",AR24="O",AT24="O",AU24="O"),"후보","X"))</f>
        <v/>
      </c>
    </row>
    <row r="25" spans="1:48" x14ac:dyDescent="0.3">
      <c r="A25" s="9" t="s">
        <v>989</v>
      </c>
      <c r="B25" s="10" t="s">
        <v>1330</v>
      </c>
      <c r="C25" s="107">
        <v>566</v>
      </c>
      <c r="D25" s="104">
        <v>153.9</v>
      </c>
      <c r="E25" s="106">
        <v>47</v>
      </c>
      <c r="F25" s="104">
        <v>119.9</v>
      </c>
      <c r="G25" s="17">
        <v>36</v>
      </c>
      <c r="H25" s="107">
        <v>328</v>
      </c>
      <c r="I25" s="108">
        <v>46000</v>
      </c>
      <c r="J25" s="108" t="s">
        <v>1272</v>
      </c>
      <c r="K25" s="108">
        <v>35000</v>
      </c>
      <c r="L25" s="108" t="s">
        <v>1250</v>
      </c>
      <c r="M25" s="109">
        <f>I25-K25</f>
        <v>11000</v>
      </c>
      <c r="N25" s="4">
        <f>IF(ISERROR(K25/I25),"",K25/I25)</f>
        <v>0.76086956521739135</v>
      </c>
      <c r="O25" s="105">
        <f>I25/E25</f>
        <v>978.72340425531911</v>
      </c>
      <c r="P25" s="105">
        <f>K25/E25</f>
        <v>744.68085106382978</v>
      </c>
      <c r="Q25" s="77">
        <v>4</v>
      </c>
      <c r="R25" s="77">
        <v>2</v>
      </c>
      <c r="S25" s="77" t="s">
        <v>1244</v>
      </c>
      <c r="T25" s="5">
        <v>153</v>
      </c>
      <c r="U25" s="9"/>
      <c r="W25" s="104">
        <f t="shared" si="27"/>
        <v>153.9</v>
      </c>
      <c r="X25" s="106">
        <f t="shared" si="27"/>
        <v>47</v>
      </c>
      <c r="Y25" s="102">
        <f t="shared" si="28"/>
        <v>328</v>
      </c>
      <c r="Z25" s="109">
        <f t="shared" si="28"/>
        <v>46000</v>
      </c>
      <c r="AA25" s="109">
        <f>K25</f>
        <v>35000</v>
      </c>
      <c r="AB25" s="109">
        <f t="shared" si="29"/>
        <v>11000</v>
      </c>
      <c r="AC25" s="4">
        <f t="shared" si="29"/>
        <v>0.76086956521739135</v>
      </c>
      <c r="AD25" s="105">
        <f t="shared" si="29"/>
        <v>978.72340425531911</v>
      </c>
      <c r="AE25" s="77" t="str">
        <f>S25</f>
        <v>계</v>
      </c>
      <c r="AF25" s="77" t="str">
        <f>Q25&amp;"/"&amp;R25</f>
        <v>4/2</v>
      </c>
      <c r="AH25" s="20" t="str">
        <f t="shared" si="1"/>
        <v>수송아이파크(201-2BL)</v>
      </c>
      <c r="AI25" s="106">
        <f t="shared" si="0"/>
        <v>47</v>
      </c>
      <c r="AJ25" s="77" t="str">
        <f>IF(AI25="","",$AJ$2)</f>
        <v>A-</v>
      </c>
      <c r="AK25" s="77" t="s">
        <v>13</v>
      </c>
      <c r="AL25" s="77" t="s">
        <v>1242</v>
      </c>
      <c r="AM25" s="77" t="s">
        <v>1243</v>
      </c>
      <c r="AN25" s="77" t="str">
        <f>IF(AI25="","",$AN$2)</f>
        <v>C</v>
      </c>
      <c r="AO25" s="77" t="str">
        <f>IF(N25="","",IF(N25&gt;=$AO$1/100,"O","X"))</f>
        <v>X</v>
      </c>
      <c r="AP25" s="77" t="str">
        <f>IF(I25="","",IF(I25&lt;=$AP$1,"O","X"))</f>
        <v>X</v>
      </c>
      <c r="AQ25" s="77" t="str">
        <f>IF(O25="","",IF(O25&lt;=$AQ$1,"O","X"))</f>
        <v>O</v>
      </c>
      <c r="AR25" s="77" t="str">
        <f>IF(M25="","",IF(M25&lt;=$AR$1,"O","X"))</f>
        <v>X</v>
      </c>
      <c r="AS25" s="77" t="s">
        <v>2</v>
      </c>
      <c r="AT25" s="77" t="str">
        <f>IF(OR(F25="",AI25=""),"",IF(AND((F25&lt;=85),(AI25&gt;=15)),"O","X"))</f>
        <v>X</v>
      </c>
      <c r="AU25" s="77" t="str">
        <f>IF(C25="","",IF(C25&gt;=$AU$1,"O","X"))</f>
        <v>O</v>
      </c>
      <c r="AV25" s="77" t="str">
        <f>IF(AO25="","",IF(AND(AO25="O",AP25="O",AR25="O",AT25="O",AU25="O"),"후보","X"))</f>
        <v>X</v>
      </c>
    </row>
    <row r="26" spans="1:48" x14ac:dyDescent="0.3">
      <c r="A26" s="9" t="s">
        <v>989</v>
      </c>
      <c r="B26" s="10" t="s">
        <v>1330</v>
      </c>
      <c r="C26" s="107">
        <v>566</v>
      </c>
      <c r="D26" s="104">
        <v>178.7</v>
      </c>
      <c r="E26" s="106">
        <v>54</v>
      </c>
      <c r="F26" s="104">
        <v>143.80000000000001</v>
      </c>
      <c r="G26" s="17">
        <v>44</v>
      </c>
      <c r="H26" s="107">
        <v>94</v>
      </c>
      <c r="I26" s="108">
        <v>55000</v>
      </c>
      <c r="J26" s="108" t="s">
        <v>1251</v>
      </c>
      <c r="K26" s="108"/>
      <c r="L26" s="108"/>
      <c r="M26" s="109">
        <f>I26-K26</f>
        <v>55000</v>
      </c>
      <c r="N26" s="4">
        <f>IF(ISERROR(K26/I26),"",K26/I26)</f>
        <v>0</v>
      </c>
      <c r="O26" s="105">
        <f>I26/E26</f>
        <v>1018.5185185185185</v>
      </c>
      <c r="P26" s="105">
        <f>K26/E26</f>
        <v>0</v>
      </c>
      <c r="Q26" s="77">
        <v>4</v>
      </c>
      <c r="R26" s="77">
        <v>2</v>
      </c>
      <c r="S26" s="77" t="s">
        <v>1244</v>
      </c>
      <c r="T26" s="5">
        <v>178</v>
      </c>
      <c r="U26" s="9"/>
      <c r="W26" s="104">
        <f t="shared" si="27"/>
        <v>178.7</v>
      </c>
      <c r="X26" s="106">
        <f t="shared" si="27"/>
        <v>54</v>
      </c>
      <c r="Y26" s="102">
        <f t="shared" si="28"/>
        <v>94</v>
      </c>
      <c r="Z26" s="109">
        <f t="shared" si="28"/>
        <v>55000</v>
      </c>
      <c r="AA26" s="109">
        <f>K26</f>
        <v>0</v>
      </c>
      <c r="AB26" s="109">
        <f t="shared" si="29"/>
        <v>55000</v>
      </c>
      <c r="AC26" s="4">
        <f t="shared" si="29"/>
        <v>0</v>
      </c>
      <c r="AD26" s="105">
        <f t="shared" si="29"/>
        <v>1018.5185185185185</v>
      </c>
      <c r="AE26" s="77" t="str">
        <f>S26</f>
        <v>계</v>
      </c>
      <c r="AF26" s="77" t="str">
        <f>Q26&amp;"/"&amp;R26</f>
        <v>4/2</v>
      </c>
      <c r="AH26" s="20" t="str">
        <f t="shared" si="1"/>
        <v>수송아이파크(201-2BL)</v>
      </c>
      <c r="AI26" s="106">
        <f t="shared" si="0"/>
        <v>54</v>
      </c>
      <c r="AJ26" s="77" t="str">
        <f>IF(AI26="","",$AJ$2)</f>
        <v>A-</v>
      </c>
      <c r="AK26" s="77" t="s">
        <v>13</v>
      </c>
      <c r="AL26" s="77" t="s">
        <v>1242</v>
      </c>
      <c r="AM26" s="77" t="s">
        <v>1243</v>
      </c>
      <c r="AN26" s="77" t="str">
        <f>IF(AI26="","",$AN$2)</f>
        <v>C</v>
      </c>
      <c r="AO26" s="77" t="str">
        <f>IF(N26="","",IF(N26&gt;=$AO$1/100,"O","X"))</f>
        <v>X</v>
      </c>
      <c r="AP26" s="77" t="str">
        <f>IF(I26="","",IF(I26&lt;=$AP$1,"O","X"))</f>
        <v>X</v>
      </c>
      <c r="AQ26" s="77" t="str">
        <f>IF(O26="","",IF(O26&lt;=$AQ$1,"O","X"))</f>
        <v>O</v>
      </c>
      <c r="AR26" s="77" t="str">
        <f>IF(M26="","",IF(M26&lt;=$AR$1,"O","X"))</f>
        <v>X</v>
      </c>
      <c r="AS26" s="77" t="s">
        <v>2</v>
      </c>
      <c r="AT26" s="77" t="str">
        <f>IF(OR(F26="",AI26=""),"",IF(AND((F26&lt;=85),(AI26&gt;=15)),"O","X"))</f>
        <v>X</v>
      </c>
      <c r="AU26" s="77" t="str">
        <f>IF(C26="","",IF(C26&gt;=$AU$1,"O","X"))</f>
        <v>O</v>
      </c>
      <c r="AV26" s="77" t="str">
        <f>IF(AO26="","",IF(AND(AO26="O",AP26="O",AR26="O",AT26="O",AU26="O"),"후보","X"))</f>
        <v>X</v>
      </c>
    </row>
    <row r="27" spans="1:48" x14ac:dyDescent="0.3">
      <c r="A27" s="9" t="s">
        <v>989</v>
      </c>
      <c r="B27" s="10" t="s">
        <v>1330</v>
      </c>
      <c r="C27" s="107">
        <v>566</v>
      </c>
      <c r="D27" s="104">
        <v>287</v>
      </c>
      <c r="E27" s="106">
        <v>87</v>
      </c>
      <c r="F27" s="104">
        <v>232.1</v>
      </c>
      <c r="G27" s="17">
        <v>70</v>
      </c>
      <c r="H27" s="107">
        <v>3</v>
      </c>
      <c r="I27" s="108"/>
      <c r="J27" s="108"/>
      <c r="K27" s="108"/>
      <c r="L27" s="108"/>
      <c r="M27" s="109">
        <f>I27-K27</f>
        <v>0</v>
      </c>
      <c r="N27" s="4" t="str">
        <f>IF(ISERROR(K27/I27),"",K27/I27)</f>
        <v/>
      </c>
      <c r="O27" s="105">
        <f>I27/E27</f>
        <v>0</v>
      </c>
      <c r="P27" s="105">
        <f>K27/E27</f>
        <v>0</v>
      </c>
      <c r="Q27" s="77">
        <v>5</v>
      </c>
      <c r="R27" s="77">
        <v>4</v>
      </c>
      <c r="S27" s="77" t="s">
        <v>1244</v>
      </c>
      <c r="T27" s="5">
        <v>286</v>
      </c>
      <c r="U27" s="9"/>
      <c r="W27" s="104">
        <f t="shared" si="27"/>
        <v>287</v>
      </c>
      <c r="X27" s="106">
        <f t="shared" si="27"/>
        <v>87</v>
      </c>
      <c r="Y27" s="102">
        <f t="shared" si="28"/>
        <v>3</v>
      </c>
      <c r="Z27" s="109">
        <f t="shared" si="28"/>
        <v>0</v>
      </c>
      <c r="AA27" s="109">
        <f>K27</f>
        <v>0</v>
      </c>
      <c r="AB27" s="109">
        <f t="shared" si="29"/>
        <v>0</v>
      </c>
      <c r="AC27" s="4" t="str">
        <f t="shared" si="29"/>
        <v/>
      </c>
      <c r="AD27" s="105">
        <f t="shared" si="29"/>
        <v>0</v>
      </c>
      <c r="AE27" s="77" t="str">
        <f>S27</f>
        <v>계</v>
      </c>
      <c r="AF27" s="77" t="str">
        <f>Q27&amp;"/"&amp;R27</f>
        <v>5/4</v>
      </c>
      <c r="AH27" s="20" t="str">
        <f t="shared" si="1"/>
        <v>수송아이파크(201-2BL)</v>
      </c>
      <c r="AI27" s="106">
        <f t="shared" si="0"/>
        <v>87</v>
      </c>
      <c r="AJ27" s="77" t="str">
        <f>IF(AI27="","",$AJ$2)</f>
        <v>A-</v>
      </c>
      <c r="AK27" s="77" t="s">
        <v>13</v>
      </c>
      <c r="AL27" s="77" t="s">
        <v>1242</v>
      </c>
      <c r="AM27" s="77" t="s">
        <v>1243</v>
      </c>
      <c r="AN27" s="77" t="str">
        <f>IF(AI27="","",$AN$2)</f>
        <v>C</v>
      </c>
      <c r="AO27" s="77" t="str">
        <f>IF(N27="","",IF(N27&gt;=$AO$1/100,"O","X"))</f>
        <v/>
      </c>
      <c r="AP27" s="77" t="str">
        <f>IF(I27="","",IF(I27&lt;=$AP$1,"O","X"))</f>
        <v/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X</v>
      </c>
      <c r="AU27" s="77" t="str">
        <f>IF(C27="","",IF(C27&gt;=$AU$1,"O","X"))</f>
        <v>O</v>
      </c>
      <c r="AV27" s="77" t="str">
        <f>IF(AO27="","",IF(AND(AO27="O",AP27="O",AR27="O",AT27="O",AU27="O"),"후보","X"))</f>
        <v/>
      </c>
    </row>
    <row r="28" spans="1:48" x14ac:dyDescent="0.3">
      <c r="A28" s="9"/>
      <c r="B28" s="77"/>
      <c r="C28" s="6"/>
      <c r="D28" s="9"/>
      <c r="E28" s="14"/>
      <c r="F28" s="104"/>
      <c r="G28" s="9"/>
      <c r="H28" s="9"/>
      <c r="I28" s="9"/>
      <c r="J28" s="9"/>
      <c r="K28" s="9"/>
      <c r="L28" s="9"/>
      <c r="M28" s="9"/>
      <c r="N28" s="9"/>
      <c r="O28" s="105"/>
      <c r="P28" s="105"/>
      <c r="Q28" s="106"/>
      <c r="R28" s="106"/>
      <c r="S28" s="9"/>
      <c r="T28" s="47"/>
      <c r="U28" s="9"/>
      <c r="W28" s="67" t="str">
        <f>$A$4&amp;" "&amp;A29&amp;"("&amp;B29&amp;","&amp;C29&amp;"^)"</f>
        <v>수송동 군산수송세영리첼('10.06.,1041^)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3" t="str">
        <f t="shared" si="0"/>
        <v/>
      </c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</row>
    <row r="29" spans="1:48" x14ac:dyDescent="0.3">
      <c r="A29" s="9" t="s">
        <v>994</v>
      </c>
      <c r="B29" s="10" t="s">
        <v>1331</v>
      </c>
      <c r="C29" s="107">
        <v>1041</v>
      </c>
      <c r="D29" s="104">
        <v>108.9</v>
      </c>
      <c r="E29" s="106">
        <v>33</v>
      </c>
      <c r="F29" s="104">
        <v>84.7</v>
      </c>
      <c r="G29" s="17">
        <v>26</v>
      </c>
      <c r="H29" s="107">
        <v>160</v>
      </c>
      <c r="I29" s="108">
        <v>29000</v>
      </c>
      <c r="J29" s="108" t="s">
        <v>1287</v>
      </c>
      <c r="K29" s="108">
        <v>25000</v>
      </c>
      <c r="L29" s="108" t="s">
        <v>1256</v>
      </c>
      <c r="M29" s="109">
        <f>I29-K29</f>
        <v>4000</v>
      </c>
      <c r="N29" s="4">
        <f>IF(ISERROR(K29/I29),"",K29/I29)</f>
        <v>0.86206896551724133</v>
      </c>
      <c r="O29" s="105">
        <f>I29/E29</f>
        <v>878.78787878787875</v>
      </c>
      <c r="P29" s="105">
        <f>K29/E29</f>
        <v>757.57575757575762</v>
      </c>
      <c r="Q29" s="77">
        <v>3</v>
      </c>
      <c r="R29" s="77">
        <v>2</v>
      </c>
      <c r="S29" s="77" t="s">
        <v>1244</v>
      </c>
      <c r="T29" s="5">
        <v>108</v>
      </c>
      <c r="U29" s="9"/>
      <c r="W29" s="104">
        <f t="shared" ref="W29:X32" si="30">D29</f>
        <v>108.9</v>
      </c>
      <c r="X29" s="106">
        <f t="shared" si="30"/>
        <v>33</v>
      </c>
      <c r="Y29" s="102">
        <f t="shared" ref="Y29:Z32" si="31">H29</f>
        <v>160</v>
      </c>
      <c r="Z29" s="109">
        <f t="shared" si="31"/>
        <v>29000</v>
      </c>
      <c r="AA29" s="109">
        <f>K29</f>
        <v>25000</v>
      </c>
      <c r="AB29" s="109">
        <f t="shared" ref="AB29:AD32" si="32">M29</f>
        <v>4000</v>
      </c>
      <c r="AC29" s="4">
        <f t="shared" si="32"/>
        <v>0.86206896551724133</v>
      </c>
      <c r="AD29" s="105">
        <f t="shared" si="32"/>
        <v>878.78787878787875</v>
      </c>
      <c r="AE29" s="77" t="str">
        <f>S29</f>
        <v>계</v>
      </c>
      <c r="AF29" s="77" t="str">
        <f>Q29&amp;"/"&amp;R29</f>
        <v>3/2</v>
      </c>
      <c r="AH29" s="20" t="str">
        <f t="shared" si="1"/>
        <v>군산수송세영리첼</v>
      </c>
      <c r="AI29" s="106">
        <f t="shared" si="0"/>
        <v>33</v>
      </c>
      <c r="AJ29" s="77" t="str">
        <f>IF(AI29="","",$AJ$2)</f>
        <v>A-</v>
      </c>
      <c r="AK29" s="77" t="s">
        <v>13</v>
      </c>
      <c r="AL29" s="77" t="s">
        <v>1242</v>
      </c>
      <c r="AM29" s="77" t="s">
        <v>1243</v>
      </c>
      <c r="AN29" s="77" t="str">
        <f>IF(AI29="","",$AN$2)</f>
        <v>C</v>
      </c>
      <c r="AO29" s="77" t="str">
        <f>IF(N29="","",IF(N29&gt;=$AO$1/100,"O","X"))</f>
        <v>O</v>
      </c>
      <c r="AP29" s="77" t="str">
        <f>IF(I29="","",IF(I29&lt;=$AP$1,"O","X"))</f>
        <v>O</v>
      </c>
      <c r="AQ29" s="77" t="str">
        <f>IF(O29="","",IF(O29&lt;=$AQ$1,"O","X"))</f>
        <v>O</v>
      </c>
      <c r="AR29" s="77" t="str">
        <f>IF(M29="","",IF(M29&lt;=$AR$1,"O","X"))</f>
        <v>O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>후보</v>
      </c>
    </row>
    <row r="30" spans="1:48" x14ac:dyDescent="0.3">
      <c r="A30" s="9" t="s">
        <v>994</v>
      </c>
      <c r="B30" s="10" t="s">
        <v>1331</v>
      </c>
      <c r="C30" s="107">
        <v>1041</v>
      </c>
      <c r="D30" s="104">
        <v>114.2</v>
      </c>
      <c r="E30" s="106">
        <v>35</v>
      </c>
      <c r="F30" s="104">
        <v>85</v>
      </c>
      <c r="G30" s="17">
        <v>26</v>
      </c>
      <c r="H30" s="107">
        <v>466</v>
      </c>
      <c r="I30" s="108">
        <v>31700</v>
      </c>
      <c r="J30" s="108" t="s">
        <v>1250</v>
      </c>
      <c r="K30" s="108">
        <v>26000</v>
      </c>
      <c r="L30" s="108" t="s">
        <v>1305</v>
      </c>
      <c r="M30" s="109">
        <f>I30-K30</f>
        <v>5700</v>
      </c>
      <c r="N30" s="4">
        <f>IF(ISERROR(K30/I30),"",K30/I30)</f>
        <v>0.82018927444794953</v>
      </c>
      <c r="O30" s="105">
        <f>I30/E30</f>
        <v>905.71428571428567</v>
      </c>
      <c r="P30" s="105">
        <f>K30/E30</f>
        <v>742.85714285714289</v>
      </c>
      <c r="Q30" s="77">
        <v>3</v>
      </c>
      <c r="R30" s="77">
        <v>2</v>
      </c>
      <c r="S30" s="77" t="s">
        <v>1244</v>
      </c>
      <c r="T30" s="5" t="s">
        <v>978</v>
      </c>
      <c r="U30" s="9"/>
      <c r="W30" s="104">
        <f t="shared" si="30"/>
        <v>114.2</v>
      </c>
      <c r="X30" s="106">
        <f t="shared" si="30"/>
        <v>35</v>
      </c>
      <c r="Y30" s="102">
        <f t="shared" si="31"/>
        <v>466</v>
      </c>
      <c r="Z30" s="109">
        <f t="shared" si="31"/>
        <v>31700</v>
      </c>
      <c r="AA30" s="109">
        <f>K30</f>
        <v>26000</v>
      </c>
      <c r="AB30" s="109">
        <f t="shared" si="32"/>
        <v>5700</v>
      </c>
      <c r="AC30" s="4">
        <f t="shared" si="32"/>
        <v>0.82018927444794953</v>
      </c>
      <c r="AD30" s="105">
        <f t="shared" si="32"/>
        <v>905.71428571428567</v>
      </c>
      <c r="AE30" s="77" t="str">
        <f>S30</f>
        <v>계</v>
      </c>
      <c r="AF30" s="77" t="str">
        <f>Q30&amp;"/"&amp;R30</f>
        <v>3/2</v>
      </c>
      <c r="AH30" s="20" t="str">
        <f t="shared" si="1"/>
        <v>군산수송세영리첼</v>
      </c>
      <c r="AI30" s="106">
        <f t="shared" si="0"/>
        <v>35</v>
      </c>
      <c r="AJ30" s="77" t="str">
        <f>IF(AI30="","",$AJ$2)</f>
        <v>A-</v>
      </c>
      <c r="AK30" s="77" t="s">
        <v>13</v>
      </c>
      <c r="AL30" s="77" t="s">
        <v>1242</v>
      </c>
      <c r="AM30" s="77" t="s">
        <v>1243</v>
      </c>
      <c r="AN30" s="77" t="str">
        <f>IF(AI30="","",$AN$2)</f>
        <v>C</v>
      </c>
      <c r="AO30" s="77" t="str">
        <f>IF(N30="","",IF(N30&gt;=$AO$1/100,"O","X"))</f>
        <v>O</v>
      </c>
      <c r="AP30" s="77" t="str">
        <f>IF(I30="","",IF(I30&lt;=$AP$1,"O","X"))</f>
        <v>O</v>
      </c>
      <c r="AQ30" s="77" t="str">
        <f>IF(O30="","",IF(O30&lt;=$AQ$1,"O","X"))</f>
        <v>O</v>
      </c>
      <c r="AR30" s="77" t="str">
        <f>IF(M30="","",IF(M30&lt;=$AR$1,"O","X"))</f>
        <v>X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>X</v>
      </c>
    </row>
    <row r="31" spans="1:48" x14ac:dyDescent="0.3">
      <c r="A31" s="9" t="s">
        <v>994</v>
      </c>
      <c r="B31" s="10" t="s">
        <v>1331</v>
      </c>
      <c r="C31" s="107">
        <v>1041</v>
      </c>
      <c r="D31" s="104">
        <v>114.4</v>
      </c>
      <c r="E31" s="106">
        <v>35</v>
      </c>
      <c r="F31" s="104">
        <v>84.9</v>
      </c>
      <c r="G31" s="17">
        <v>26</v>
      </c>
      <c r="H31" s="107">
        <v>120</v>
      </c>
      <c r="I31" s="108">
        <v>33000</v>
      </c>
      <c r="J31" s="108" t="s">
        <v>1281</v>
      </c>
      <c r="K31" s="108">
        <v>26000</v>
      </c>
      <c r="L31" s="108" t="s">
        <v>1250</v>
      </c>
      <c r="M31" s="109">
        <f>I31-K31</f>
        <v>7000</v>
      </c>
      <c r="N31" s="4">
        <f>IF(ISERROR(K31/I31),"",K31/I31)</f>
        <v>0.78787878787878785</v>
      </c>
      <c r="O31" s="105">
        <f>I31/E31</f>
        <v>942.85714285714289</v>
      </c>
      <c r="P31" s="105">
        <f>K31/E31</f>
        <v>742.85714285714289</v>
      </c>
      <c r="Q31" s="77">
        <v>3</v>
      </c>
      <c r="R31" s="77">
        <v>2</v>
      </c>
      <c r="S31" s="77" t="s">
        <v>1244</v>
      </c>
      <c r="T31" s="5" t="s">
        <v>999</v>
      </c>
      <c r="U31" s="9"/>
      <c r="W31" s="104">
        <f t="shared" si="30"/>
        <v>114.4</v>
      </c>
      <c r="X31" s="106">
        <f t="shared" si="30"/>
        <v>35</v>
      </c>
      <c r="Y31" s="102">
        <f t="shared" si="31"/>
        <v>120</v>
      </c>
      <c r="Z31" s="109">
        <f t="shared" si="31"/>
        <v>33000</v>
      </c>
      <c r="AA31" s="109">
        <f>K31</f>
        <v>26000</v>
      </c>
      <c r="AB31" s="109">
        <f t="shared" si="32"/>
        <v>7000</v>
      </c>
      <c r="AC31" s="4">
        <f t="shared" si="32"/>
        <v>0.78787878787878785</v>
      </c>
      <c r="AD31" s="105">
        <f t="shared" si="32"/>
        <v>942.85714285714289</v>
      </c>
      <c r="AE31" s="77" t="str">
        <f>S31</f>
        <v>계</v>
      </c>
      <c r="AF31" s="77" t="str">
        <f>Q31&amp;"/"&amp;R31</f>
        <v>3/2</v>
      </c>
      <c r="AH31" s="20" t="str">
        <f t="shared" si="1"/>
        <v>군산수송세영리첼</v>
      </c>
      <c r="AI31" s="106">
        <f t="shared" si="0"/>
        <v>35</v>
      </c>
      <c r="AJ31" s="77" t="str">
        <f>IF(AI31="","",$AJ$2)</f>
        <v>A-</v>
      </c>
      <c r="AK31" s="77" t="s">
        <v>13</v>
      </c>
      <c r="AL31" s="77" t="s">
        <v>1242</v>
      </c>
      <c r="AM31" s="77" t="s">
        <v>1243</v>
      </c>
      <c r="AN31" s="77" t="str">
        <f>IF(AI31="","",$AN$2)</f>
        <v>C</v>
      </c>
      <c r="AO31" s="77" t="str">
        <f>IF(N31="","",IF(N31&gt;=$AO$1/100,"O","X"))</f>
        <v>X</v>
      </c>
      <c r="AP31" s="77" t="str">
        <f>IF(I31="","",IF(I31&lt;=$AP$1,"O","X"))</f>
        <v>O</v>
      </c>
      <c r="AQ31" s="77" t="str">
        <f>IF(O31="","",IF(O31&lt;=$AQ$1,"O","X"))</f>
        <v>O</v>
      </c>
      <c r="AR31" s="77" t="str">
        <f>IF(M31="","",IF(M31&lt;=$AR$1,"O","X"))</f>
        <v>X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>X</v>
      </c>
    </row>
    <row r="32" spans="1:48" x14ac:dyDescent="0.3">
      <c r="A32" s="9" t="s">
        <v>994</v>
      </c>
      <c r="B32" s="10" t="s">
        <v>1331</v>
      </c>
      <c r="C32" s="107">
        <v>1041</v>
      </c>
      <c r="D32" s="104">
        <v>119.3</v>
      </c>
      <c r="E32" s="106">
        <v>36</v>
      </c>
      <c r="F32" s="104">
        <v>84.9</v>
      </c>
      <c r="G32" s="17">
        <v>26</v>
      </c>
      <c r="H32" s="107">
        <v>295</v>
      </c>
      <c r="I32" s="108">
        <v>33500</v>
      </c>
      <c r="J32" s="108" t="s">
        <v>1255</v>
      </c>
      <c r="K32" s="108">
        <v>26000</v>
      </c>
      <c r="L32" s="108" t="s">
        <v>1250</v>
      </c>
      <c r="M32" s="109">
        <f>I32-K32</f>
        <v>7500</v>
      </c>
      <c r="N32" s="4">
        <f>IF(ISERROR(K32/I32),"",K32/I32)</f>
        <v>0.77611940298507465</v>
      </c>
      <c r="O32" s="105">
        <f>I32/E32</f>
        <v>930.55555555555554</v>
      </c>
      <c r="P32" s="105">
        <f>K32/E32</f>
        <v>722.22222222222217</v>
      </c>
      <c r="Q32" s="77">
        <v>3</v>
      </c>
      <c r="R32" s="77">
        <v>2</v>
      </c>
      <c r="S32" s="77" t="s">
        <v>1244</v>
      </c>
      <c r="T32" s="5">
        <v>119</v>
      </c>
      <c r="U32" s="9"/>
      <c r="W32" s="104">
        <f t="shared" si="30"/>
        <v>119.3</v>
      </c>
      <c r="X32" s="106">
        <f t="shared" si="30"/>
        <v>36</v>
      </c>
      <c r="Y32" s="102">
        <f t="shared" si="31"/>
        <v>295</v>
      </c>
      <c r="Z32" s="109">
        <f t="shared" si="31"/>
        <v>33500</v>
      </c>
      <c r="AA32" s="109">
        <f>K32</f>
        <v>26000</v>
      </c>
      <c r="AB32" s="109">
        <f t="shared" si="32"/>
        <v>7500</v>
      </c>
      <c r="AC32" s="4">
        <f t="shared" si="32"/>
        <v>0.77611940298507465</v>
      </c>
      <c r="AD32" s="105">
        <f t="shared" si="32"/>
        <v>930.55555555555554</v>
      </c>
      <c r="AE32" s="77" t="str">
        <f>S32</f>
        <v>계</v>
      </c>
      <c r="AF32" s="77" t="str">
        <f>Q32&amp;"/"&amp;R32</f>
        <v>3/2</v>
      </c>
      <c r="AH32" s="20" t="str">
        <f t="shared" si="1"/>
        <v>군산수송세영리첼</v>
      </c>
      <c r="AI32" s="106">
        <f t="shared" si="0"/>
        <v>36</v>
      </c>
      <c r="AJ32" s="77" t="str">
        <f>IF(AI32="","",$AJ$2)</f>
        <v>A-</v>
      </c>
      <c r="AK32" s="77" t="s">
        <v>13</v>
      </c>
      <c r="AL32" s="77" t="s">
        <v>1242</v>
      </c>
      <c r="AM32" s="77" t="s">
        <v>1243</v>
      </c>
      <c r="AN32" s="77" t="str">
        <f>IF(AI32="","",$AN$2)</f>
        <v>C</v>
      </c>
      <c r="AO32" s="77" t="str">
        <f>IF(N32="","",IF(N32&gt;=$AO$1/100,"O","X"))</f>
        <v>X</v>
      </c>
      <c r="AP32" s="77" t="str">
        <f>IF(I32="","",IF(I32&lt;=$AP$1,"O","X"))</f>
        <v>O</v>
      </c>
      <c r="AQ32" s="77" t="str">
        <f>IF(O32="","",IF(O32&lt;=$AQ$1,"O","X"))</f>
        <v>O</v>
      </c>
      <c r="AR32" s="77" t="str">
        <f>IF(M32="","",IF(M32&lt;=$AR$1,"O","X"))</f>
        <v>X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>X</v>
      </c>
    </row>
    <row r="33" spans="1:48" x14ac:dyDescent="0.3">
      <c r="A33" s="9"/>
      <c r="B33" s="77"/>
      <c r="C33" s="6"/>
      <c r="D33" s="9"/>
      <c r="E33" s="14"/>
      <c r="F33" s="104"/>
      <c r="G33" s="9"/>
      <c r="H33" s="9"/>
      <c r="I33" s="9"/>
      <c r="J33" s="9"/>
      <c r="K33" s="9"/>
      <c r="L33" s="9"/>
      <c r="M33" s="9"/>
      <c r="N33" s="9"/>
      <c r="O33" s="105"/>
      <c r="P33" s="105"/>
      <c r="Q33" s="106"/>
      <c r="R33" s="106"/>
      <c r="S33" s="9"/>
      <c r="T33" s="47"/>
      <c r="U33" s="9"/>
      <c r="W33" s="67" t="str">
        <f>$A$4&amp;" "&amp;A34&amp;"("&amp;B34&amp;","&amp;C34&amp;"^)"</f>
        <v>수송동 수송오투그란데2차('11.03.,570^)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3" t="str">
        <f t="shared" si="0"/>
        <v/>
      </c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</row>
    <row r="34" spans="1:48" x14ac:dyDescent="0.3">
      <c r="A34" s="9" t="s">
        <v>1000</v>
      </c>
      <c r="B34" s="10" t="s">
        <v>1332</v>
      </c>
      <c r="C34" s="107">
        <v>570</v>
      </c>
      <c r="D34" s="104">
        <v>71.8</v>
      </c>
      <c r="E34" s="106">
        <v>22</v>
      </c>
      <c r="F34" s="104">
        <v>49.9</v>
      </c>
      <c r="G34" s="17">
        <v>15</v>
      </c>
      <c r="H34" s="107">
        <v>104</v>
      </c>
      <c r="I34" s="108">
        <v>18000</v>
      </c>
      <c r="J34" s="108" t="s">
        <v>1253</v>
      </c>
      <c r="K34" s="108">
        <v>16000</v>
      </c>
      <c r="L34" s="108" t="s">
        <v>1272</v>
      </c>
      <c r="M34" s="109">
        <f>I34-K34</f>
        <v>2000</v>
      </c>
      <c r="N34" s="4">
        <f>IF(ISERROR(K34/I34),"",K34/I34)</f>
        <v>0.88888888888888884</v>
      </c>
      <c r="O34" s="105">
        <f>I34/E34</f>
        <v>818.18181818181813</v>
      </c>
      <c r="P34" s="105">
        <f>K34/E34</f>
        <v>727.27272727272725</v>
      </c>
      <c r="Q34" s="77">
        <v>2</v>
      </c>
      <c r="R34" s="77">
        <v>1</v>
      </c>
      <c r="S34" s="77" t="s">
        <v>1244</v>
      </c>
      <c r="T34" s="5">
        <v>71</v>
      </c>
      <c r="U34" s="9"/>
      <c r="W34" s="104">
        <f t="shared" ref="W34:X36" si="33">D34</f>
        <v>71.8</v>
      </c>
      <c r="X34" s="106">
        <f t="shared" si="33"/>
        <v>22</v>
      </c>
      <c r="Y34" s="102">
        <f t="shared" ref="Y34:Z36" si="34">H34</f>
        <v>104</v>
      </c>
      <c r="Z34" s="109">
        <f t="shared" si="34"/>
        <v>18000</v>
      </c>
      <c r="AA34" s="109">
        <f>K34</f>
        <v>16000</v>
      </c>
      <c r="AB34" s="109">
        <f t="shared" ref="AB34:AD36" si="35">M34</f>
        <v>2000</v>
      </c>
      <c r="AC34" s="4">
        <f t="shared" si="35"/>
        <v>0.88888888888888884</v>
      </c>
      <c r="AD34" s="105">
        <f t="shared" si="35"/>
        <v>818.18181818181813</v>
      </c>
      <c r="AE34" s="77" t="str">
        <f>S34</f>
        <v>계</v>
      </c>
      <c r="AF34" s="77" t="str">
        <f>Q34&amp;"/"&amp;R34</f>
        <v>2/1</v>
      </c>
      <c r="AH34" s="20" t="str">
        <f t="shared" si="1"/>
        <v>수송오투그란데2차</v>
      </c>
      <c r="AI34" s="106">
        <f t="shared" si="0"/>
        <v>22</v>
      </c>
      <c r="AJ34" s="77" t="str">
        <f>IF(AI34="","",$AJ$2)</f>
        <v>A-</v>
      </c>
      <c r="AK34" s="77" t="s">
        <v>13</v>
      </c>
      <c r="AL34" s="77" t="s">
        <v>1242</v>
      </c>
      <c r="AM34" s="77" t="s">
        <v>1243</v>
      </c>
      <c r="AN34" s="77" t="str">
        <f>IF(AI34="","",$AN$2)</f>
        <v>C</v>
      </c>
      <c r="AO34" s="77" t="str">
        <f>IF(N34="","",IF(N34&gt;=$AO$1/100,"O","X"))</f>
        <v>O</v>
      </c>
      <c r="AP34" s="77" t="str">
        <f>IF(I34="","",IF(I34&lt;=$AP$1,"O","X"))</f>
        <v>O</v>
      </c>
      <c r="AQ34" s="77" t="str">
        <f>IF(O34="","",IF(O34&lt;=$AQ$1,"O","X"))</f>
        <v>O</v>
      </c>
      <c r="AR34" s="77" t="str">
        <f>IF(M34="","",IF(M34&lt;=$AR$1,"O","X"))</f>
        <v>O</v>
      </c>
      <c r="AS34" s="77" t="s">
        <v>2</v>
      </c>
      <c r="AT34" s="77" t="str">
        <f>IF(OR(F34="",AI34=""),"",IF(AND((F34&lt;=85),(AI34&gt;=15)),"O","X"))</f>
        <v>O</v>
      </c>
      <c r="AU34" s="77" t="str">
        <f>IF(C34="","",IF(C34&gt;=$AU$1,"O","X"))</f>
        <v>O</v>
      </c>
      <c r="AV34" s="77" t="str">
        <f>IF(AO34="","",IF(AND(AO34="O",AP34="O",AR34="O",AT34="O",AU34="O"),"후보","X"))</f>
        <v>후보</v>
      </c>
    </row>
    <row r="35" spans="1:48" x14ac:dyDescent="0.3">
      <c r="A35" s="9" t="s">
        <v>1000</v>
      </c>
      <c r="B35" s="10" t="s">
        <v>1332</v>
      </c>
      <c r="C35" s="107">
        <v>570</v>
      </c>
      <c r="D35" s="104">
        <v>83</v>
      </c>
      <c r="E35" s="106">
        <v>25</v>
      </c>
      <c r="F35" s="104">
        <v>60</v>
      </c>
      <c r="G35" s="17">
        <v>18</v>
      </c>
      <c r="H35" s="107">
        <v>235</v>
      </c>
      <c r="I35" s="108">
        <v>21500</v>
      </c>
      <c r="J35" s="108" t="s">
        <v>1268</v>
      </c>
      <c r="K35" s="108">
        <v>18500</v>
      </c>
      <c r="L35" s="108" t="s">
        <v>1255</v>
      </c>
      <c r="M35" s="109">
        <f>I35-K35</f>
        <v>3000</v>
      </c>
      <c r="N35" s="4">
        <f>IF(ISERROR(K35/I35),"",K35/I35)</f>
        <v>0.86046511627906974</v>
      </c>
      <c r="O35" s="105">
        <f>I35/E35</f>
        <v>860</v>
      </c>
      <c r="P35" s="105">
        <f>K35/E35</f>
        <v>740</v>
      </c>
      <c r="Q35" s="77">
        <v>3</v>
      </c>
      <c r="R35" s="77">
        <v>2</v>
      </c>
      <c r="S35" s="77" t="s">
        <v>1244</v>
      </c>
      <c r="T35" s="5" t="s">
        <v>411</v>
      </c>
      <c r="U35" s="9"/>
      <c r="W35" s="104">
        <f t="shared" si="33"/>
        <v>83</v>
      </c>
      <c r="X35" s="106">
        <f t="shared" si="33"/>
        <v>25</v>
      </c>
      <c r="Y35" s="102">
        <f t="shared" si="34"/>
        <v>235</v>
      </c>
      <c r="Z35" s="109">
        <f t="shared" si="34"/>
        <v>21500</v>
      </c>
      <c r="AA35" s="109">
        <f>K35</f>
        <v>18500</v>
      </c>
      <c r="AB35" s="109">
        <f t="shared" si="35"/>
        <v>3000</v>
      </c>
      <c r="AC35" s="4">
        <f t="shared" si="35"/>
        <v>0.86046511627906974</v>
      </c>
      <c r="AD35" s="105">
        <f t="shared" si="35"/>
        <v>860</v>
      </c>
      <c r="AE35" s="77" t="str">
        <f>S35</f>
        <v>계</v>
      </c>
      <c r="AF35" s="77" t="str">
        <f>Q35&amp;"/"&amp;R35</f>
        <v>3/2</v>
      </c>
      <c r="AH35" s="20" t="str">
        <f t="shared" si="1"/>
        <v>수송오투그란데2차</v>
      </c>
      <c r="AI35" s="106">
        <f t="shared" ref="AI35:AI59" si="36">IF(E35="","",E35)</f>
        <v>25</v>
      </c>
      <c r="AJ35" s="77" t="str">
        <f>IF(AI35="","",$AJ$2)</f>
        <v>A-</v>
      </c>
      <c r="AK35" s="77" t="s">
        <v>13</v>
      </c>
      <c r="AL35" s="77" t="s">
        <v>1242</v>
      </c>
      <c r="AM35" s="77" t="s">
        <v>1243</v>
      </c>
      <c r="AN35" s="77" t="str">
        <f>IF(AI35="","",$AN$2)</f>
        <v>C</v>
      </c>
      <c r="AO35" s="77" t="str">
        <f>IF(N35="","",IF(N35&gt;=$AO$1/100,"O","X"))</f>
        <v>O</v>
      </c>
      <c r="AP35" s="77" t="str">
        <f>IF(I35="","",IF(I35&lt;=$AP$1,"O","X"))</f>
        <v>O</v>
      </c>
      <c r="AQ35" s="77" t="str">
        <f>IF(O35="","",IF(O35&lt;=$AQ$1,"O","X"))</f>
        <v>O</v>
      </c>
      <c r="AR35" s="77" t="str">
        <f>IF(M35="","",IF(M35&lt;=$AR$1,"O","X"))</f>
        <v>O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O</v>
      </c>
      <c r="AV35" s="77" t="str">
        <f>IF(AO35="","",IF(AND(AO35="O",AP35="O",AR35="O",AT35="O",AU35="O"),"후보","X"))</f>
        <v>후보</v>
      </c>
    </row>
    <row r="36" spans="1:48" x14ac:dyDescent="0.3">
      <c r="A36" s="9" t="s">
        <v>1000</v>
      </c>
      <c r="B36" s="10" t="s">
        <v>1332</v>
      </c>
      <c r="C36" s="107">
        <v>570</v>
      </c>
      <c r="D36" s="104">
        <v>82.6</v>
      </c>
      <c r="E36" s="106">
        <v>25</v>
      </c>
      <c r="F36" s="104">
        <v>59.7</v>
      </c>
      <c r="G36" s="17">
        <v>18</v>
      </c>
      <c r="H36" s="107">
        <v>231</v>
      </c>
      <c r="I36" s="108"/>
      <c r="J36" s="108"/>
      <c r="K36" s="108"/>
      <c r="L36" s="108"/>
      <c r="M36" s="109">
        <f>I36-K36</f>
        <v>0</v>
      </c>
      <c r="N36" s="4" t="str">
        <f>IF(ISERROR(K36/I36),"",K36/I36)</f>
        <v/>
      </c>
      <c r="O36" s="105">
        <f>I36/E36</f>
        <v>0</v>
      </c>
      <c r="P36" s="105">
        <f>K36/E36</f>
        <v>0</v>
      </c>
      <c r="Q36" s="77">
        <v>3</v>
      </c>
      <c r="R36" s="77">
        <v>2</v>
      </c>
      <c r="S36" s="77" t="s">
        <v>1244</v>
      </c>
      <c r="T36" s="5" t="s">
        <v>1005</v>
      </c>
      <c r="U36" s="9"/>
      <c r="W36" s="104">
        <f t="shared" si="33"/>
        <v>82.6</v>
      </c>
      <c r="X36" s="106">
        <f t="shared" si="33"/>
        <v>25</v>
      </c>
      <c r="Y36" s="102">
        <f t="shared" si="34"/>
        <v>231</v>
      </c>
      <c r="Z36" s="109">
        <f t="shared" si="34"/>
        <v>0</v>
      </c>
      <c r="AA36" s="109">
        <f>K36</f>
        <v>0</v>
      </c>
      <c r="AB36" s="109">
        <f t="shared" si="35"/>
        <v>0</v>
      </c>
      <c r="AC36" s="4" t="str">
        <f t="shared" si="35"/>
        <v/>
      </c>
      <c r="AD36" s="105">
        <f t="shared" si="35"/>
        <v>0</v>
      </c>
      <c r="AE36" s="77" t="str">
        <f>S36</f>
        <v>계</v>
      </c>
      <c r="AF36" s="77" t="str">
        <f>Q36&amp;"/"&amp;R36</f>
        <v>3/2</v>
      </c>
      <c r="AH36" s="20" t="str">
        <f t="shared" si="1"/>
        <v>수송오투그란데2차</v>
      </c>
      <c r="AI36" s="106">
        <f t="shared" si="36"/>
        <v>25</v>
      </c>
      <c r="AJ36" s="77" t="str">
        <f>IF(AI36="","",$AJ$2)</f>
        <v>A-</v>
      </c>
      <c r="AK36" s="77" t="s">
        <v>13</v>
      </c>
      <c r="AL36" s="77" t="s">
        <v>1242</v>
      </c>
      <c r="AM36" s="77" t="s">
        <v>1243</v>
      </c>
      <c r="AN36" s="77" t="str">
        <f>IF(AI36="","",$AN$2)</f>
        <v>C</v>
      </c>
      <c r="AO36" s="77" t="str">
        <f>IF(N36="","",IF(N36&gt;=$AO$1/100,"O","X"))</f>
        <v/>
      </c>
      <c r="AP36" s="77" t="str">
        <f>IF(I36="","",IF(I36&lt;=$AP$1,"O","X"))</f>
        <v/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O</v>
      </c>
      <c r="AV36" s="77" t="str">
        <f>IF(AO36="","",IF(AND(AO36="O",AP36="O",AR36="O",AT36="O",AU36="O"),"후보","X"))</f>
        <v/>
      </c>
    </row>
    <row r="37" spans="1:48" x14ac:dyDescent="0.3">
      <c r="A37" s="9"/>
      <c r="B37" s="77"/>
      <c r="C37" s="6"/>
      <c r="D37" s="9"/>
      <c r="E37" s="14"/>
      <c r="F37" s="104"/>
      <c r="G37" s="9"/>
      <c r="H37" s="9"/>
      <c r="I37" s="9"/>
      <c r="J37" s="9"/>
      <c r="K37" s="9"/>
      <c r="L37" s="9"/>
      <c r="M37" s="9"/>
      <c r="N37" s="9"/>
      <c r="O37" s="105"/>
      <c r="P37" s="105"/>
      <c r="Q37" s="106"/>
      <c r="R37" s="106"/>
      <c r="S37" s="9"/>
      <c r="T37" s="47"/>
      <c r="U37" s="9"/>
      <c r="W37" s="67" t="str">
        <f>$A$4&amp;" "&amp;A38&amp;"("&amp;B38&amp;","&amp;C38&amp;"^)"</f>
        <v>수송동 현대('97.06.,657^)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59" si="37">IF(A37="","",A37)</f>
        <v/>
      </c>
      <c r="AI37" s="103" t="str">
        <f t="shared" si="36"/>
        <v/>
      </c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</row>
    <row r="38" spans="1:48" x14ac:dyDescent="0.3">
      <c r="A38" s="9" t="s">
        <v>121</v>
      </c>
      <c r="B38" s="10" t="s">
        <v>1333</v>
      </c>
      <c r="C38" s="107">
        <v>657</v>
      </c>
      <c r="D38" s="104">
        <v>78.3</v>
      </c>
      <c r="E38" s="106">
        <v>24</v>
      </c>
      <c r="F38" s="104">
        <v>60</v>
      </c>
      <c r="G38" s="17">
        <v>18</v>
      </c>
      <c r="H38" s="107">
        <v>272</v>
      </c>
      <c r="I38" s="108"/>
      <c r="J38" s="108"/>
      <c r="K38" s="108"/>
      <c r="L38" s="108"/>
      <c r="M38" s="109">
        <f>I38-K38</f>
        <v>0</v>
      </c>
      <c r="N38" s="4" t="str">
        <f>IF(ISERROR(K38/I38),"",K38/I38)</f>
        <v/>
      </c>
      <c r="O38" s="105">
        <f>I38/E38</f>
        <v>0</v>
      </c>
      <c r="P38" s="105">
        <f>K38/E38</f>
        <v>0</v>
      </c>
      <c r="Q38" s="77">
        <v>3</v>
      </c>
      <c r="R38" s="77">
        <v>1</v>
      </c>
      <c r="S38" s="77" t="s">
        <v>1244</v>
      </c>
      <c r="T38" s="5">
        <v>78</v>
      </c>
      <c r="U38" s="9"/>
      <c r="W38" s="104">
        <f t="shared" ref="W38:X40" si="38">D38</f>
        <v>78.3</v>
      </c>
      <c r="X38" s="106">
        <f t="shared" si="38"/>
        <v>24</v>
      </c>
      <c r="Y38" s="102">
        <f t="shared" ref="Y38:Z40" si="39">H38</f>
        <v>272</v>
      </c>
      <c r="Z38" s="109">
        <f t="shared" si="39"/>
        <v>0</v>
      </c>
      <c r="AA38" s="109">
        <f>K38</f>
        <v>0</v>
      </c>
      <c r="AB38" s="109">
        <f t="shared" ref="AB38:AD40" si="40">M38</f>
        <v>0</v>
      </c>
      <c r="AC38" s="4" t="str">
        <f t="shared" si="40"/>
        <v/>
      </c>
      <c r="AD38" s="105">
        <f t="shared" si="40"/>
        <v>0</v>
      </c>
      <c r="AE38" s="77" t="str">
        <f>S38</f>
        <v>계</v>
      </c>
      <c r="AF38" s="77" t="str">
        <f>Q38&amp;"/"&amp;R38</f>
        <v>3/1</v>
      </c>
      <c r="AH38" s="20" t="str">
        <f t="shared" si="37"/>
        <v>현대</v>
      </c>
      <c r="AI38" s="106">
        <f t="shared" si="36"/>
        <v>24</v>
      </c>
      <c r="AJ38" s="77" t="str">
        <f>IF(AI38="","",$AJ$2)</f>
        <v>A-</v>
      </c>
      <c r="AK38" s="77" t="s">
        <v>13</v>
      </c>
      <c r="AL38" s="77" t="s">
        <v>1242</v>
      </c>
      <c r="AM38" s="77" t="s">
        <v>1243</v>
      </c>
      <c r="AN38" s="77" t="str">
        <f>IF(AI38="","",$AN$2)</f>
        <v>C</v>
      </c>
      <c r="AO38" s="77" t="str">
        <f>IF(N38="","",IF(N38&gt;=$AO$1/100,"O","X"))</f>
        <v/>
      </c>
      <c r="AP38" s="77" t="str">
        <f>IF(I38="","",IF(I38&lt;=$AP$1,"O","X"))</f>
        <v/>
      </c>
      <c r="AQ38" s="77" t="str">
        <f>IF(O38="","",IF(O38&lt;=$AQ$1,"O","X"))</f>
        <v>O</v>
      </c>
      <c r="AR38" s="77" t="str">
        <f>IF(M38="","",IF(M38&lt;=$AR$1,"O","X"))</f>
        <v>O</v>
      </c>
      <c r="AS38" s="77" t="s">
        <v>2</v>
      </c>
      <c r="AT38" s="77" t="str">
        <f>IF(OR(F38="",AI38=""),"",IF(AND((F38&lt;=85),(AI38&gt;=15)),"O","X"))</f>
        <v>O</v>
      </c>
      <c r="AU38" s="77" t="str">
        <f>IF(C38="","",IF(C38&gt;=$AU$1,"O","X"))</f>
        <v>O</v>
      </c>
      <c r="AV38" s="77" t="str">
        <f>IF(AO38="","",IF(AND(AO38="O",AP38="O",AR38="O",AT38="O",AU38="O"),"후보","X"))</f>
        <v/>
      </c>
    </row>
    <row r="39" spans="1:48" x14ac:dyDescent="0.3">
      <c r="A39" s="9" t="s">
        <v>121</v>
      </c>
      <c r="B39" s="10" t="s">
        <v>1333</v>
      </c>
      <c r="C39" s="107">
        <v>657</v>
      </c>
      <c r="D39" s="104">
        <v>96.4</v>
      </c>
      <c r="E39" s="106">
        <v>29</v>
      </c>
      <c r="F39" s="104">
        <v>75.2</v>
      </c>
      <c r="G39" s="17">
        <v>23</v>
      </c>
      <c r="H39" s="107">
        <v>136</v>
      </c>
      <c r="I39" s="108">
        <v>17500</v>
      </c>
      <c r="J39" s="108" t="s">
        <v>1248</v>
      </c>
      <c r="K39" s="108"/>
      <c r="L39" s="108"/>
      <c r="M39" s="109">
        <f>I39-K39</f>
        <v>17500</v>
      </c>
      <c r="N39" s="4">
        <f>IF(ISERROR(K39/I39),"",K39/I39)</f>
        <v>0</v>
      </c>
      <c r="O39" s="105">
        <f>I39/E39</f>
        <v>603.44827586206895</v>
      </c>
      <c r="P39" s="105">
        <f>K39/E39</f>
        <v>0</v>
      </c>
      <c r="Q39" s="77">
        <v>3</v>
      </c>
      <c r="R39" s="77">
        <v>1</v>
      </c>
      <c r="S39" s="77" t="s">
        <v>1244</v>
      </c>
      <c r="T39" s="5">
        <v>96</v>
      </c>
      <c r="U39" s="9"/>
      <c r="W39" s="104">
        <f t="shared" si="38"/>
        <v>96.4</v>
      </c>
      <c r="X39" s="106">
        <f t="shared" si="38"/>
        <v>29</v>
      </c>
      <c r="Y39" s="102">
        <f t="shared" si="39"/>
        <v>136</v>
      </c>
      <c r="Z39" s="109">
        <f t="shared" si="39"/>
        <v>17500</v>
      </c>
      <c r="AA39" s="109">
        <f>K39</f>
        <v>0</v>
      </c>
      <c r="AB39" s="109">
        <f t="shared" si="40"/>
        <v>17500</v>
      </c>
      <c r="AC39" s="4">
        <f t="shared" si="40"/>
        <v>0</v>
      </c>
      <c r="AD39" s="105">
        <f t="shared" si="40"/>
        <v>603.44827586206895</v>
      </c>
      <c r="AE39" s="77" t="str">
        <f>S39</f>
        <v>계</v>
      </c>
      <c r="AF39" s="77" t="str">
        <f>Q39&amp;"/"&amp;R39</f>
        <v>3/1</v>
      </c>
      <c r="AH39" s="20" t="str">
        <f t="shared" si="37"/>
        <v>현대</v>
      </c>
      <c r="AI39" s="106">
        <f t="shared" si="36"/>
        <v>29</v>
      </c>
      <c r="AJ39" s="77" t="str">
        <f>IF(AI39="","",$AJ$2)</f>
        <v>A-</v>
      </c>
      <c r="AK39" s="77" t="s">
        <v>13</v>
      </c>
      <c r="AL39" s="77" t="s">
        <v>1242</v>
      </c>
      <c r="AM39" s="77" t="s">
        <v>1243</v>
      </c>
      <c r="AN39" s="77" t="str">
        <f>IF(AI39="","",$AN$2)</f>
        <v>C</v>
      </c>
      <c r="AO39" s="77" t="str">
        <f>IF(N39="","",IF(N39&gt;=$AO$1/100,"O","X"))</f>
        <v>X</v>
      </c>
      <c r="AP39" s="77" t="str">
        <f>IF(I39="","",IF(I39&lt;=$AP$1,"O","X"))</f>
        <v>O</v>
      </c>
      <c r="AQ39" s="77" t="str">
        <f>IF(O39="","",IF(O39&lt;=$AQ$1,"O","X"))</f>
        <v>O</v>
      </c>
      <c r="AR39" s="77" t="str">
        <f>IF(M39="","",IF(M39&lt;=$AR$1,"O","X"))</f>
        <v>X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O</v>
      </c>
      <c r="AV39" s="77" t="str">
        <f>IF(AO39="","",IF(AND(AO39="O",AP39="O",AR39="O",AT39="O",AU39="O"),"후보","X"))</f>
        <v>X</v>
      </c>
    </row>
    <row r="40" spans="1:48" x14ac:dyDescent="0.3">
      <c r="A40" s="9" t="s">
        <v>121</v>
      </c>
      <c r="B40" s="10" t="s">
        <v>1333</v>
      </c>
      <c r="C40" s="107">
        <v>657</v>
      </c>
      <c r="D40" s="104">
        <v>105.2</v>
      </c>
      <c r="E40" s="106">
        <v>32</v>
      </c>
      <c r="F40" s="104">
        <v>85</v>
      </c>
      <c r="G40" s="17">
        <v>26</v>
      </c>
      <c r="H40" s="107">
        <v>249</v>
      </c>
      <c r="I40" s="108">
        <v>20000</v>
      </c>
      <c r="J40" s="108" t="s">
        <v>1248</v>
      </c>
      <c r="K40" s="108">
        <v>18000</v>
      </c>
      <c r="L40" s="108" t="s">
        <v>1280</v>
      </c>
      <c r="M40" s="109">
        <f>I40-K40</f>
        <v>2000</v>
      </c>
      <c r="N40" s="4">
        <f>IF(ISERROR(K40/I40),"",K40/I40)</f>
        <v>0.9</v>
      </c>
      <c r="O40" s="105">
        <f>I40/E40</f>
        <v>625</v>
      </c>
      <c r="P40" s="105">
        <f>K40/E40</f>
        <v>562.5</v>
      </c>
      <c r="Q40" s="77">
        <v>3</v>
      </c>
      <c r="R40" s="77">
        <v>2</v>
      </c>
      <c r="S40" s="77" t="s">
        <v>1244</v>
      </c>
      <c r="T40" s="5">
        <v>105</v>
      </c>
      <c r="U40" s="9"/>
      <c r="W40" s="104">
        <f t="shared" si="38"/>
        <v>105.2</v>
      </c>
      <c r="X40" s="106">
        <f t="shared" si="38"/>
        <v>32</v>
      </c>
      <c r="Y40" s="102">
        <f t="shared" si="39"/>
        <v>249</v>
      </c>
      <c r="Z40" s="109">
        <f t="shared" si="39"/>
        <v>20000</v>
      </c>
      <c r="AA40" s="109">
        <f>K40</f>
        <v>18000</v>
      </c>
      <c r="AB40" s="109">
        <f t="shared" si="40"/>
        <v>2000</v>
      </c>
      <c r="AC40" s="4">
        <f t="shared" si="40"/>
        <v>0.9</v>
      </c>
      <c r="AD40" s="105">
        <f t="shared" si="40"/>
        <v>625</v>
      </c>
      <c r="AE40" s="77" t="str">
        <f>S40</f>
        <v>계</v>
      </c>
      <c r="AF40" s="77" t="str">
        <f>Q40&amp;"/"&amp;R40</f>
        <v>3/2</v>
      </c>
      <c r="AH40" s="20" t="str">
        <f t="shared" si="37"/>
        <v>현대</v>
      </c>
      <c r="AI40" s="106">
        <f t="shared" si="36"/>
        <v>32</v>
      </c>
      <c r="AJ40" s="77" t="str">
        <f>IF(AI40="","",$AJ$2)</f>
        <v>A-</v>
      </c>
      <c r="AK40" s="77" t="s">
        <v>13</v>
      </c>
      <c r="AL40" s="77" t="s">
        <v>1242</v>
      </c>
      <c r="AM40" s="77" t="s">
        <v>1243</v>
      </c>
      <c r="AN40" s="77" t="str">
        <f>IF(AI40="","",$AN$2)</f>
        <v>C</v>
      </c>
      <c r="AO40" s="77" t="str">
        <f>IF(N40="","",IF(N40&gt;=$AO$1/100,"O","X"))</f>
        <v>O</v>
      </c>
      <c r="AP40" s="77" t="str">
        <f>IF(I40="","",IF(I40&lt;=$AP$1,"O","X"))</f>
        <v>O</v>
      </c>
      <c r="AQ40" s="77" t="str">
        <f>IF(O40="","",IF(O40&lt;=$AQ$1,"O","X"))</f>
        <v>O</v>
      </c>
      <c r="AR40" s="77" t="str">
        <f>IF(M40="","",IF(M40&lt;=$AR$1,"O","X"))</f>
        <v>O</v>
      </c>
      <c r="AS40" s="77" t="s">
        <v>2</v>
      </c>
      <c r="AT40" s="77" t="str">
        <f>IF(OR(F40="",AI40=""),"",IF(AND((F40&lt;=85),(AI40&gt;=15)),"O","X"))</f>
        <v>O</v>
      </c>
      <c r="AU40" s="77" t="str">
        <f>IF(C40="","",IF(C40&gt;=$AU$1,"O","X"))</f>
        <v>O</v>
      </c>
      <c r="AV40" s="77" t="str">
        <f>IF(AO40="","",IF(AND(AO40="O",AP40="O",AR40="O",AT40="O",AU40="O"),"후보","X"))</f>
        <v>후보</v>
      </c>
    </row>
    <row r="41" spans="1:48" x14ac:dyDescent="0.3">
      <c r="A41" s="9"/>
      <c r="B41" s="77"/>
      <c r="C41" s="6"/>
      <c r="D41" s="9"/>
      <c r="E41" s="14"/>
      <c r="F41" s="104"/>
      <c r="G41" s="9"/>
      <c r="H41" s="9"/>
      <c r="I41" s="9"/>
      <c r="J41" s="9"/>
      <c r="K41" s="9"/>
      <c r="L41" s="9"/>
      <c r="M41" s="9"/>
      <c r="N41" s="9"/>
      <c r="O41" s="105"/>
      <c r="P41" s="105"/>
      <c r="Q41" s="106"/>
      <c r="R41" s="106"/>
      <c r="S41" s="9"/>
      <c r="T41" s="47"/>
      <c r="U41" s="9"/>
      <c r="W41" s="67" t="str">
        <f>$A$4&amp;" "&amp;A42&amp;"("&amp;B42&amp;","&amp;C42&amp;"^)"</f>
        <v>수송동 수송제일('02.03.,941^)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37"/>
        <v/>
      </c>
      <c r="AI41" s="103" t="str">
        <f t="shared" si="36"/>
        <v/>
      </c>
      <c r="AJ41" s="77"/>
      <c r="AK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  <c r="AV41" s="77"/>
    </row>
    <row r="42" spans="1:48" x14ac:dyDescent="0.3">
      <c r="A42" s="9" t="s">
        <v>1015</v>
      </c>
      <c r="B42" s="10" t="s">
        <v>1334</v>
      </c>
      <c r="C42" s="107">
        <v>941</v>
      </c>
      <c r="D42" s="104">
        <v>111.5</v>
      </c>
      <c r="E42" s="106">
        <v>34</v>
      </c>
      <c r="F42" s="104">
        <v>84.7</v>
      </c>
      <c r="G42" s="17">
        <v>26</v>
      </c>
      <c r="H42" s="107">
        <v>729</v>
      </c>
      <c r="I42" s="108">
        <v>19000</v>
      </c>
      <c r="J42" s="108" t="s">
        <v>1247</v>
      </c>
      <c r="K42" s="108">
        <v>17000</v>
      </c>
      <c r="L42" s="108" t="s">
        <v>1287</v>
      </c>
      <c r="M42" s="109">
        <f>I42-K42</f>
        <v>2000</v>
      </c>
      <c r="N42" s="4">
        <f>IF(ISERROR(K42/I42),"",K42/I42)</f>
        <v>0.89473684210526316</v>
      </c>
      <c r="O42" s="105">
        <f>I42/E42</f>
        <v>558.82352941176475</v>
      </c>
      <c r="P42" s="105">
        <f>K42/E42</f>
        <v>500</v>
      </c>
      <c r="Q42" s="77">
        <v>3</v>
      </c>
      <c r="R42" s="77">
        <v>2</v>
      </c>
      <c r="S42" s="77" t="s">
        <v>1244</v>
      </c>
      <c r="T42" s="5" t="s">
        <v>709</v>
      </c>
      <c r="U42" s="9"/>
      <c r="W42" s="104">
        <f t="shared" ref="W42:X44" si="41">D42</f>
        <v>111.5</v>
      </c>
      <c r="X42" s="106">
        <f t="shared" si="41"/>
        <v>34</v>
      </c>
      <c r="Y42" s="102">
        <f t="shared" ref="Y42:Z44" si="42">H42</f>
        <v>729</v>
      </c>
      <c r="Z42" s="109">
        <f t="shared" si="42"/>
        <v>19000</v>
      </c>
      <c r="AA42" s="109">
        <f>K42</f>
        <v>17000</v>
      </c>
      <c r="AB42" s="109">
        <f t="shared" ref="AB42:AD44" si="43">M42</f>
        <v>2000</v>
      </c>
      <c r="AC42" s="4">
        <f t="shared" si="43"/>
        <v>0.89473684210526316</v>
      </c>
      <c r="AD42" s="105">
        <f t="shared" si="43"/>
        <v>558.82352941176475</v>
      </c>
      <c r="AE42" s="77" t="str">
        <f>S42</f>
        <v>계</v>
      </c>
      <c r="AF42" s="77" t="str">
        <f>Q42&amp;"/"&amp;R42</f>
        <v>3/2</v>
      </c>
      <c r="AH42" s="20" t="str">
        <f t="shared" si="37"/>
        <v>수송제일</v>
      </c>
      <c r="AI42" s="106">
        <f t="shared" si="36"/>
        <v>34</v>
      </c>
      <c r="AJ42" s="77" t="str">
        <f>IF(AI42="","",$AJ$2)</f>
        <v>A-</v>
      </c>
      <c r="AK42" s="77" t="s">
        <v>13</v>
      </c>
      <c r="AL42" s="77" t="s">
        <v>1242</v>
      </c>
      <c r="AM42" s="77" t="s">
        <v>1243</v>
      </c>
      <c r="AN42" s="77" t="str">
        <f>IF(AI42="","",$AN$2)</f>
        <v>C</v>
      </c>
      <c r="AO42" s="77" t="str">
        <f>IF(N42="","",IF(N42&gt;=$AO$1/100,"O","X"))</f>
        <v>O</v>
      </c>
      <c r="AP42" s="77" t="str">
        <f>IF(I42="","",IF(I42&lt;=$AP$1,"O","X"))</f>
        <v>O</v>
      </c>
      <c r="AQ42" s="77" t="str">
        <f>IF(O42="","",IF(O42&lt;=$AQ$1,"O","X"))</f>
        <v>O</v>
      </c>
      <c r="AR42" s="77" t="str">
        <f>IF(M42="","",IF(M42&lt;=$AR$1,"O","X"))</f>
        <v>O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O</v>
      </c>
      <c r="AV42" s="77" t="str">
        <f>IF(AO42="","",IF(AND(AO42="O",AP42="O",AR42="O",AT42="O",AU42="O"),"후보","X"))</f>
        <v>후보</v>
      </c>
    </row>
    <row r="43" spans="1:48" x14ac:dyDescent="0.3">
      <c r="A43" s="9" t="s">
        <v>1015</v>
      </c>
      <c r="B43" s="10" t="s">
        <v>1334</v>
      </c>
      <c r="C43" s="107">
        <v>941</v>
      </c>
      <c r="D43" s="104">
        <v>111</v>
      </c>
      <c r="E43" s="106">
        <v>34</v>
      </c>
      <c r="F43" s="104">
        <v>84.8</v>
      </c>
      <c r="G43" s="17">
        <v>26</v>
      </c>
      <c r="H43" s="107">
        <v>178</v>
      </c>
      <c r="I43" s="108">
        <v>18000</v>
      </c>
      <c r="J43" s="108" t="s">
        <v>1250</v>
      </c>
      <c r="K43" s="108">
        <v>16000</v>
      </c>
      <c r="L43" s="108" t="s">
        <v>1272</v>
      </c>
      <c r="M43" s="109">
        <f>I43-K43</f>
        <v>2000</v>
      </c>
      <c r="N43" s="4">
        <f>IF(ISERROR(K43/I43),"",K43/I43)</f>
        <v>0.88888888888888884</v>
      </c>
      <c r="O43" s="105">
        <f>I43/E43</f>
        <v>529.41176470588232</v>
      </c>
      <c r="P43" s="105">
        <f>K43/E43</f>
        <v>470.58823529411762</v>
      </c>
      <c r="Q43" s="77">
        <v>3</v>
      </c>
      <c r="R43" s="77">
        <v>2</v>
      </c>
      <c r="S43" s="77" t="s">
        <v>1244</v>
      </c>
      <c r="T43" s="5" t="s">
        <v>428</v>
      </c>
      <c r="U43" s="9"/>
      <c r="W43" s="104">
        <f t="shared" si="41"/>
        <v>111</v>
      </c>
      <c r="X43" s="106">
        <f t="shared" si="41"/>
        <v>34</v>
      </c>
      <c r="Y43" s="102">
        <f t="shared" si="42"/>
        <v>178</v>
      </c>
      <c r="Z43" s="109">
        <f t="shared" si="42"/>
        <v>18000</v>
      </c>
      <c r="AA43" s="109">
        <f>K43</f>
        <v>16000</v>
      </c>
      <c r="AB43" s="109">
        <f t="shared" si="43"/>
        <v>2000</v>
      </c>
      <c r="AC43" s="4">
        <f t="shared" si="43"/>
        <v>0.88888888888888884</v>
      </c>
      <c r="AD43" s="105">
        <f t="shared" si="43"/>
        <v>529.41176470588232</v>
      </c>
      <c r="AE43" s="77" t="str">
        <f>S43</f>
        <v>계</v>
      </c>
      <c r="AF43" s="77" t="str">
        <f>Q43&amp;"/"&amp;R43</f>
        <v>3/2</v>
      </c>
      <c r="AH43" s="20" t="str">
        <f t="shared" si="37"/>
        <v>수송제일</v>
      </c>
      <c r="AI43" s="106">
        <f t="shared" si="36"/>
        <v>34</v>
      </c>
      <c r="AJ43" s="77" t="str">
        <f>IF(AI43="","",$AJ$2)</f>
        <v>A-</v>
      </c>
      <c r="AK43" s="77" t="s">
        <v>13</v>
      </c>
      <c r="AL43" s="77" t="s">
        <v>1242</v>
      </c>
      <c r="AM43" s="77" t="s">
        <v>1243</v>
      </c>
      <c r="AN43" s="77" t="str">
        <f>IF(AI43="","",$AN$2)</f>
        <v>C</v>
      </c>
      <c r="AO43" s="77" t="str">
        <f>IF(N43="","",IF(N43&gt;=$AO$1/100,"O","X"))</f>
        <v>O</v>
      </c>
      <c r="AP43" s="77" t="str">
        <f>IF(I43="","",IF(I43&lt;=$AP$1,"O","X"))</f>
        <v>O</v>
      </c>
      <c r="AQ43" s="77" t="str">
        <f>IF(O43="","",IF(O43&lt;=$AQ$1,"O","X"))</f>
        <v>O</v>
      </c>
      <c r="AR43" s="77" t="str">
        <f>IF(M43="","",IF(M43&lt;=$AR$1,"O","X"))</f>
        <v>O</v>
      </c>
      <c r="AS43" s="77" t="s">
        <v>2</v>
      </c>
      <c r="AT43" s="77" t="str">
        <f>IF(OR(F43="",AI43=""),"",IF(AND((F43&lt;=85),(AI43&gt;=15)),"O","X"))</f>
        <v>O</v>
      </c>
      <c r="AU43" s="77" t="str">
        <f>IF(C43="","",IF(C43&gt;=$AU$1,"O","X"))</f>
        <v>O</v>
      </c>
      <c r="AV43" s="77" t="str">
        <f>IF(AO43="","",IF(AND(AO43="O",AP43="O",AR43="O",AT43="O",AU43="O"),"후보","X"))</f>
        <v>후보</v>
      </c>
    </row>
    <row r="44" spans="1:48" x14ac:dyDescent="0.3">
      <c r="A44" s="9" t="s">
        <v>1015</v>
      </c>
      <c r="B44" s="10" t="s">
        <v>1334</v>
      </c>
      <c r="C44" s="107">
        <v>941</v>
      </c>
      <c r="D44" s="104">
        <v>111.1</v>
      </c>
      <c r="E44" s="106">
        <v>34</v>
      </c>
      <c r="F44" s="104">
        <v>84.8</v>
      </c>
      <c r="G44" s="17">
        <v>26</v>
      </c>
      <c r="H44" s="107">
        <v>34</v>
      </c>
      <c r="I44" s="108"/>
      <c r="J44" s="108"/>
      <c r="K44" s="108"/>
      <c r="L44" s="108"/>
      <c r="M44" s="109">
        <f>I44-K44</f>
        <v>0</v>
      </c>
      <c r="N44" s="4" t="str">
        <f>IF(ISERROR(K44/I44),"",K44/I44)</f>
        <v/>
      </c>
      <c r="O44" s="105">
        <f>I44/E44</f>
        <v>0</v>
      </c>
      <c r="P44" s="105">
        <f>K44/E44</f>
        <v>0</v>
      </c>
      <c r="Q44" s="77">
        <v>3</v>
      </c>
      <c r="R44" s="77">
        <v>2</v>
      </c>
      <c r="S44" s="77" t="s">
        <v>1244</v>
      </c>
      <c r="T44" s="5" t="s">
        <v>427</v>
      </c>
      <c r="U44" s="9"/>
      <c r="W44" s="104">
        <f t="shared" si="41"/>
        <v>111.1</v>
      </c>
      <c r="X44" s="106">
        <f t="shared" si="41"/>
        <v>34</v>
      </c>
      <c r="Y44" s="102">
        <f t="shared" si="42"/>
        <v>34</v>
      </c>
      <c r="Z44" s="109">
        <f t="shared" si="42"/>
        <v>0</v>
      </c>
      <c r="AA44" s="109">
        <f>K44</f>
        <v>0</v>
      </c>
      <c r="AB44" s="109">
        <f t="shared" si="43"/>
        <v>0</v>
      </c>
      <c r="AC44" s="4" t="str">
        <f t="shared" si="43"/>
        <v/>
      </c>
      <c r="AD44" s="105">
        <f t="shared" si="43"/>
        <v>0</v>
      </c>
      <c r="AE44" s="77" t="str">
        <f>S44</f>
        <v>계</v>
      </c>
      <c r="AF44" s="77" t="str">
        <f>Q44&amp;"/"&amp;R44</f>
        <v>3/2</v>
      </c>
      <c r="AH44" s="20" t="str">
        <f t="shared" si="37"/>
        <v>수송제일</v>
      </c>
      <c r="AI44" s="106">
        <f t="shared" si="36"/>
        <v>34</v>
      </c>
      <c r="AJ44" s="77" t="str">
        <f>IF(AI44="","",$AJ$2)</f>
        <v>A-</v>
      </c>
      <c r="AK44" s="77" t="s">
        <v>13</v>
      </c>
      <c r="AL44" s="77" t="s">
        <v>1242</v>
      </c>
      <c r="AM44" s="77" t="s">
        <v>1243</v>
      </c>
      <c r="AN44" s="77" t="str">
        <f>IF(AI44="","",$AN$2)</f>
        <v>C</v>
      </c>
      <c r="AO44" s="77" t="str">
        <f>IF(N44="","",IF(N44&gt;=$AO$1/100,"O","X"))</f>
        <v/>
      </c>
      <c r="AP44" s="77" t="str">
        <f>IF(I44="","",IF(I44&lt;=$AP$1,"O","X"))</f>
        <v/>
      </c>
      <c r="AQ44" s="77" t="str">
        <f>IF(O44="","",IF(O44&lt;=$AQ$1,"O","X"))</f>
        <v>O</v>
      </c>
      <c r="AR44" s="77" t="str">
        <f>IF(M44="","",IF(M44&lt;=$AR$1,"O","X"))</f>
        <v>O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O</v>
      </c>
      <c r="AV44" s="77" t="str">
        <f>IF(AO44="","",IF(AND(AO44="O",AP44="O",AR44="O",AT44="O",AU44="O"),"후보","X"))</f>
        <v/>
      </c>
    </row>
    <row r="45" spans="1:48" x14ac:dyDescent="0.3">
      <c r="A45" s="9"/>
      <c r="B45" s="77"/>
      <c r="C45" s="6"/>
      <c r="D45" s="9"/>
      <c r="E45" s="14"/>
      <c r="F45" s="104"/>
      <c r="G45" s="9"/>
      <c r="H45" s="9"/>
      <c r="I45" s="9"/>
      <c r="J45" s="9"/>
      <c r="K45" s="9"/>
      <c r="L45" s="9"/>
      <c r="M45" s="9"/>
      <c r="N45" s="9"/>
      <c r="O45" s="105"/>
      <c r="P45" s="105"/>
      <c r="Q45" s="106"/>
      <c r="R45" s="106"/>
      <c r="S45" s="9"/>
      <c r="T45" s="47"/>
      <c r="U45" s="9"/>
      <c r="W45" s="67" t="str">
        <f>$A$4&amp;" "&amp;A46&amp;"("&amp;B46&amp;","&amp;C46&amp;"^)"</f>
        <v>수송동 동영('98.09.,360^)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37"/>
        <v/>
      </c>
      <c r="AI45" s="103" t="str">
        <f t="shared" si="36"/>
        <v/>
      </c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</row>
    <row r="46" spans="1:48" x14ac:dyDescent="0.3">
      <c r="A46" s="9" t="s">
        <v>589</v>
      </c>
      <c r="B46" s="10" t="s">
        <v>1252</v>
      </c>
      <c r="C46" s="107">
        <v>360</v>
      </c>
      <c r="D46" s="104">
        <v>46.9</v>
      </c>
      <c r="E46" s="106">
        <v>14</v>
      </c>
      <c r="F46" s="104">
        <v>39.5</v>
      </c>
      <c r="G46" s="17">
        <v>12</v>
      </c>
      <c r="H46" s="107">
        <v>205</v>
      </c>
      <c r="I46" s="108"/>
      <c r="J46" s="108"/>
      <c r="K46" s="108"/>
      <c r="L46" s="108"/>
      <c r="M46" s="109">
        <f>I46-K46</f>
        <v>0</v>
      </c>
      <c r="N46" s="4" t="str">
        <f>IF(ISERROR(K46/I46),"",K46/I46)</f>
        <v/>
      </c>
      <c r="O46" s="105">
        <f>I46/E46</f>
        <v>0</v>
      </c>
      <c r="P46" s="105">
        <f>K46/E46</f>
        <v>0</v>
      </c>
      <c r="Q46" s="77">
        <v>2</v>
      </c>
      <c r="R46" s="77">
        <v>1</v>
      </c>
      <c r="S46" s="77" t="s">
        <v>1244</v>
      </c>
      <c r="T46" s="5">
        <v>46</v>
      </c>
      <c r="U46" s="9"/>
      <c r="W46" s="104">
        <f t="shared" ref="W46:X49" si="44">D46</f>
        <v>46.9</v>
      </c>
      <c r="X46" s="106">
        <f t="shared" si="44"/>
        <v>14</v>
      </c>
      <c r="Y46" s="102">
        <f t="shared" ref="Y46:Z49" si="45">H46</f>
        <v>205</v>
      </c>
      <c r="Z46" s="109">
        <f t="shared" si="45"/>
        <v>0</v>
      </c>
      <c r="AA46" s="109">
        <f>K46</f>
        <v>0</v>
      </c>
      <c r="AB46" s="109">
        <f t="shared" ref="AB46:AD49" si="46">M46</f>
        <v>0</v>
      </c>
      <c r="AC46" s="4" t="str">
        <f t="shared" si="46"/>
        <v/>
      </c>
      <c r="AD46" s="105">
        <f t="shared" si="46"/>
        <v>0</v>
      </c>
      <c r="AE46" s="77" t="str">
        <f>S46</f>
        <v>계</v>
      </c>
      <c r="AF46" s="77" t="str">
        <f>Q46&amp;"/"&amp;R46</f>
        <v>2/1</v>
      </c>
      <c r="AH46" s="20" t="str">
        <f t="shared" si="37"/>
        <v>동영</v>
      </c>
      <c r="AI46" s="106">
        <f t="shared" si="36"/>
        <v>14</v>
      </c>
      <c r="AJ46" s="77" t="str">
        <f>IF(AI46="","",$AJ$2)</f>
        <v>A-</v>
      </c>
      <c r="AK46" s="77" t="s">
        <v>13</v>
      </c>
      <c r="AL46" s="77" t="s">
        <v>1242</v>
      </c>
      <c r="AM46" s="77" t="s">
        <v>1243</v>
      </c>
      <c r="AN46" s="77" t="str">
        <f>IF(AI46="","",$AN$2)</f>
        <v>C</v>
      </c>
      <c r="AO46" s="77" t="str">
        <f>IF(N46="","",IF(N46&gt;=$AO$1/100,"O","X"))</f>
        <v/>
      </c>
      <c r="AP46" s="77" t="str">
        <f>IF(I46="","",IF(I46&lt;=$AP$1,"O","X"))</f>
        <v/>
      </c>
      <c r="AQ46" s="77" t="str">
        <f>IF(O46="","",IF(O46&lt;=$AQ$1,"O","X"))</f>
        <v>O</v>
      </c>
      <c r="AR46" s="77" t="str">
        <f>IF(M46="","",IF(M46&lt;=$AR$1,"O","X"))</f>
        <v>O</v>
      </c>
      <c r="AS46" s="77" t="s">
        <v>2</v>
      </c>
      <c r="AT46" s="77" t="str">
        <f>IF(OR(F46="",AI46=""),"",IF(AND((F46&lt;=85),(AI46&gt;=15)),"O","X"))</f>
        <v>X</v>
      </c>
      <c r="AU46" s="77" t="str">
        <f>IF(C46="","",IF(C46&gt;=$AU$1,"O","X"))</f>
        <v>O</v>
      </c>
      <c r="AV46" s="77" t="str">
        <f>IF(AO46="","",IF(AND(AO46="O",AP46="O",AR46="O",AT46="O",AU46="O"),"후보","X"))</f>
        <v/>
      </c>
    </row>
    <row r="47" spans="1:48" x14ac:dyDescent="0.3">
      <c r="A47" s="9" t="s">
        <v>589</v>
      </c>
      <c r="B47" s="10" t="s">
        <v>1252</v>
      </c>
      <c r="C47" s="107">
        <v>360</v>
      </c>
      <c r="D47" s="104">
        <v>54.4</v>
      </c>
      <c r="E47" s="106">
        <v>16</v>
      </c>
      <c r="F47" s="104">
        <v>39.5</v>
      </c>
      <c r="G47" s="17">
        <v>12</v>
      </c>
      <c r="H47" s="107">
        <v>5</v>
      </c>
      <c r="I47" s="108"/>
      <c r="J47" s="108"/>
      <c r="K47" s="108"/>
      <c r="L47" s="108"/>
      <c r="M47" s="109">
        <f>I47-K47</f>
        <v>0</v>
      </c>
      <c r="N47" s="4" t="str">
        <f>IF(ISERROR(K47/I47),"",K47/I47)</f>
        <v/>
      </c>
      <c r="O47" s="105">
        <f>I47/E47</f>
        <v>0</v>
      </c>
      <c r="P47" s="105">
        <f>K47/E47</f>
        <v>0</v>
      </c>
      <c r="Q47" s="77">
        <v>2</v>
      </c>
      <c r="R47" s="77">
        <v>1</v>
      </c>
      <c r="S47" s="77" t="s">
        <v>1244</v>
      </c>
      <c r="T47" s="5">
        <v>54</v>
      </c>
      <c r="U47" s="9"/>
      <c r="W47" s="104">
        <f t="shared" si="44"/>
        <v>54.4</v>
      </c>
      <c r="X47" s="106">
        <f t="shared" si="44"/>
        <v>16</v>
      </c>
      <c r="Y47" s="102">
        <f t="shared" si="45"/>
        <v>5</v>
      </c>
      <c r="Z47" s="109">
        <f t="shared" si="45"/>
        <v>0</v>
      </c>
      <c r="AA47" s="109">
        <f>K47</f>
        <v>0</v>
      </c>
      <c r="AB47" s="109">
        <f t="shared" si="46"/>
        <v>0</v>
      </c>
      <c r="AC47" s="4" t="str">
        <f t="shared" si="46"/>
        <v/>
      </c>
      <c r="AD47" s="105">
        <f t="shared" si="46"/>
        <v>0</v>
      </c>
      <c r="AE47" s="77" t="str">
        <f>S47</f>
        <v>계</v>
      </c>
      <c r="AF47" s="77" t="str">
        <f>Q47&amp;"/"&amp;R47</f>
        <v>2/1</v>
      </c>
      <c r="AH47" s="20" t="str">
        <f t="shared" si="37"/>
        <v>동영</v>
      </c>
      <c r="AI47" s="106">
        <f t="shared" si="36"/>
        <v>16</v>
      </c>
      <c r="AJ47" s="77" t="str">
        <f>IF(AI47="","",$AJ$2)</f>
        <v>A-</v>
      </c>
      <c r="AK47" s="77" t="s">
        <v>13</v>
      </c>
      <c r="AL47" s="77" t="s">
        <v>1242</v>
      </c>
      <c r="AM47" s="77" t="s">
        <v>1243</v>
      </c>
      <c r="AN47" s="77" t="str">
        <f>IF(AI47="","",$AN$2)</f>
        <v>C</v>
      </c>
      <c r="AO47" s="77" t="str">
        <f>IF(N47="","",IF(N47&gt;=$AO$1/100,"O","X"))</f>
        <v/>
      </c>
      <c r="AP47" s="77" t="str">
        <f>IF(I47="","",IF(I47&lt;=$AP$1,"O","X"))</f>
        <v/>
      </c>
      <c r="AQ47" s="77" t="str">
        <f>IF(O47="","",IF(O47&lt;=$AQ$1,"O","X"))</f>
        <v>O</v>
      </c>
      <c r="AR47" s="77" t="str">
        <f>IF(M47="","",IF(M47&lt;=$AR$1,"O","X"))</f>
        <v>O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O</v>
      </c>
      <c r="AV47" s="77" t="str">
        <f>IF(AO47="","",IF(AND(AO47="O",AP47="O",AR47="O",AT47="O",AU47="O"),"후보","X"))</f>
        <v/>
      </c>
    </row>
    <row r="48" spans="1:48" x14ac:dyDescent="0.3">
      <c r="A48" s="9" t="s">
        <v>589</v>
      </c>
      <c r="B48" s="10" t="s">
        <v>1252</v>
      </c>
      <c r="C48" s="107">
        <v>360</v>
      </c>
      <c r="D48" s="104">
        <v>76</v>
      </c>
      <c r="E48" s="106">
        <v>23</v>
      </c>
      <c r="F48" s="104">
        <v>59.9</v>
      </c>
      <c r="G48" s="17">
        <v>18</v>
      </c>
      <c r="H48" s="107">
        <v>15</v>
      </c>
      <c r="I48" s="108"/>
      <c r="J48" s="108"/>
      <c r="K48" s="108"/>
      <c r="L48" s="108"/>
      <c r="M48" s="109">
        <f>I48-K48</f>
        <v>0</v>
      </c>
      <c r="N48" s="4" t="str">
        <f>IF(ISERROR(K48/I48),"",K48/I48)</f>
        <v/>
      </c>
      <c r="O48" s="105">
        <f>I48/E48</f>
        <v>0</v>
      </c>
      <c r="P48" s="105">
        <f>K48/E48</f>
        <v>0</v>
      </c>
      <c r="Q48" s="77">
        <v>3</v>
      </c>
      <c r="R48" s="77">
        <v>1</v>
      </c>
      <c r="S48" s="77" t="s">
        <v>1244</v>
      </c>
      <c r="T48" s="5" t="s">
        <v>1039</v>
      </c>
      <c r="U48" s="9"/>
      <c r="W48" s="104">
        <f t="shared" si="44"/>
        <v>76</v>
      </c>
      <c r="X48" s="106">
        <f t="shared" si="44"/>
        <v>23</v>
      </c>
      <c r="Y48" s="102">
        <f t="shared" si="45"/>
        <v>15</v>
      </c>
      <c r="Z48" s="109">
        <f t="shared" si="45"/>
        <v>0</v>
      </c>
      <c r="AA48" s="109">
        <f>K48</f>
        <v>0</v>
      </c>
      <c r="AB48" s="109">
        <f t="shared" si="46"/>
        <v>0</v>
      </c>
      <c r="AC48" s="4" t="str">
        <f t="shared" si="46"/>
        <v/>
      </c>
      <c r="AD48" s="105">
        <f t="shared" si="46"/>
        <v>0</v>
      </c>
      <c r="AE48" s="77" t="str">
        <f>S48</f>
        <v>계</v>
      </c>
      <c r="AF48" s="77" t="str">
        <f>Q48&amp;"/"&amp;R48</f>
        <v>3/1</v>
      </c>
      <c r="AH48" s="20" t="str">
        <f t="shared" si="37"/>
        <v>동영</v>
      </c>
      <c r="AI48" s="106">
        <f t="shared" si="36"/>
        <v>23</v>
      </c>
      <c r="AJ48" s="77" t="str">
        <f>IF(AI48="","",$AJ$2)</f>
        <v>A-</v>
      </c>
      <c r="AK48" s="77" t="s">
        <v>13</v>
      </c>
      <c r="AL48" s="77" t="s">
        <v>1242</v>
      </c>
      <c r="AM48" s="77" t="s">
        <v>1243</v>
      </c>
      <c r="AN48" s="77" t="str">
        <f>IF(AI48="","",$AN$2)</f>
        <v>C</v>
      </c>
      <c r="AO48" s="77" t="str">
        <f>IF(N48="","",IF(N48&gt;=$AO$1/100,"O","X"))</f>
        <v/>
      </c>
      <c r="AP48" s="77" t="str">
        <f>IF(I48="","",IF(I48&lt;=$AP$1,"O","X"))</f>
        <v/>
      </c>
      <c r="AQ48" s="77" t="str">
        <f>IF(O48="","",IF(O48&lt;=$AQ$1,"O","X"))</f>
        <v>O</v>
      </c>
      <c r="AR48" s="77" t="str">
        <f>IF(M48="","",IF(M48&lt;=$AR$1,"O","X"))</f>
        <v>O</v>
      </c>
      <c r="AS48" s="77" t="s">
        <v>2</v>
      </c>
      <c r="AT48" s="77" t="str">
        <f>IF(OR(F48="",AI48=""),"",IF(AND((F48&lt;=85),(AI48&gt;=15)),"O","X"))</f>
        <v>O</v>
      </c>
      <c r="AU48" s="77" t="str">
        <f>IF(C48="","",IF(C48&gt;=$AU$1,"O","X"))</f>
        <v>O</v>
      </c>
      <c r="AV48" s="77" t="str">
        <f>IF(AO48="","",IF(AND(AO48="O",AP48="O",AR48="O",AT48="O",AU48="O"),"후보","X"))</f>
        <v/>
      </c>
    </row>
    <row r="49" spans="1:48" x14ac:dyDescent="0.3">
      <c r="A49" s="9" t="s">
        <v>589</v>
      </c>
      <c r="B49" s="10" t="s">
        <v>1252</v>
      </c>
      <c r="C49" s="107">
        <v>360</v>
      </c>
      <c r="D49" s="104">
        <v>76</v>
      </c>
      <c r="E49" s="106">
        <v>23</v>
      </c>
      <c r="F49" s="104">
        <v>59.9</v>
      </c>
      <c r="G49" s="17">
        <v>18</v>
      </c>
      <c r="H49" s="107">
        <v>135</v>
      </c>
      <c r="I49" s="108"/>
      <c r="J49" s="108"/>
      <c r="K49" s="108"/>
      <c r="L49" s="108"/>
      <c r="M49" s="109">
        <f>I49-K49</f>
        <v>0</v>
      </c>
      <c r="N49" s="4" t="str">
        <f>IF(ISERROR(K49/I49),"",K49/I49)</f>
        <v/>
      </c>
      <c r="O49" s="105">
        <f>I49/E49</f>
        <v>0</v>
      </c>
      <c r="P49" s="105">
        <f>K49/E49</f>
        <v>0</v>
      </c>
      <c r="Q49" s="77">
        <v>3</v>
      </c>
      <c r="R49" s="77">
        <v>1</v>
      </c>
      <c r="S49" s="77" t="s">
        <v>1244</v>
      </c>
      <c r="T49" s="5" t="s">
        <v>388</v>
      </c>
      <c r="U49" s="9"/>
      <c r="W49" s="104">
        <f t="shared" si="44"/>
        <v>76</v>
      </c>
      <c r="X49" s="106">
        <f t="shared" si="44"/>
        <v>23</v>
      </c>
      <c r="Y49" s="102">
        <f t="shared" si="45"/>
        <v>135</v>
      </c>
      <c r="Z49" s="109">
        <f t="shared" si="45"/>
        <v>0</v>
      </c>
      <c r="AA49" s="109">
        <f>K49</f>
        <v>0</v>
      </c>
      <c r="AB49" s="109">
        <f t="shared" si="46"/>
        <v>0</v>
      </c>
      <c r="AC49" s="4" t="str">
        <f t="shared" si="46"/>
        <v/>
      </c>
      <c r="AD49" s="105">
        <f t="shared" si="46"/>
        <v>0</v>
      </c>
      <c r="AE49" s="77" t="str">
        <f>S49</f>
        <v>계</v>
      </c>
      <c r="AF49" s="77" t="str">
        <f>Q49&amp;"/"&amp;R49</f>
        <v>3/1</v>
      </c>
      <c r="AH49" s="20" t="str">
        <f t="shared" si="37"/>
        <v>동영</v>
      </c>
      <c r="AI49" s="106">
        <f t="shared" si="36"/>
        <v>23</v>
      </c>
      <c r="AJ49" s="77" t="str">
        <f>IF(AI49="","",$AJ$2)</f>
        <v>A-</v>
      </c>
      <c r="AK49" s="77" t="s">
        <v>13</v>
      </c>
      <c r="AL49" s="77" t="s">
        <v>1242</v>
      </c>
      <c r="AM49" s="77" t="s">
        <v>1243</v>
      </c>
      <c r="AN49" s="77" t="str">
        <f>IF(AI49="","",$AN$2)</f>
        <v>C</v>
      </c>
      <c r="AO49" s="77" t="str">
        <f>IF(N49="","",IF(N49&gt;=$AO$1/100,"O","X"))</f>
        <v/>
      </c>
      <c r="AP49" s="77" t="str">
        <f>IF(I49="","",IF(I49&lt;=$AP$1,"O","X"))</f>
        <v/>
      </c>
      <c r="AQ49" s="77" t="str">
        <f>IF(O49="","",IF(O49&lt;=$AQ$1,"O","X"))</f>
        <v>O</v>
      </c>
      <c r="AR49" s="77" t="str">
        <f>IF(M49="","",IF(M49&lt;=$AR$1,"O","X"))</f>
        <v>O</v>
      </c>
      <c r="AS49" s="77" t="s">
        <v>2</v>
      </c>
      <c r="AT49" s="77" t="str">
        <f>IF(OR(F49="",AI49=""),"",IF(AND((F49&lt;=85),(AI49&gt;=15)),"O","X"))</f>
        <v>O</v>
      </c>
      <c r="AU49" s="77" t="str">
        <f>IF(C49="","",IF(C49&gt;=$AU$1,"O","X"))</f>
        <v>O</v>
      </c>
      <c r="AV49" s="77" t="str">
        <f>IF(AO49="","",IF(AND(AO49="O",AP49="O",AR49="O",AT49="O",AU49="O"),"후보","X"))</f>
        <v/>
      </c>
    </row>
    <row r="50" spans="1:48" x14ac:dyDescent="0.3">
      <c r="A50" s="9"/>
      <c r="B50" s="77"/>
      <c r="C50" s="6"/>
      <c r="D50" s="9"/>
      <c r="E50" s="14"/>
      <c r="F50" s="104"/>
      <c r="G50" s="9"/>
      <c r="H50" s="9"/>
      <c r="I50" s="9"/>
      <c r="J50" s="9"/>
      <c r="K50" s="9"/>
      <c r="L50" s="9"/>
      <c r="M50" s="9"/>
      <c r="N50" s="9"/>
      <c r="O50" s="105"/>
      <c r="P50" s="105"/>
      <c r="Q50" s="106"/>
      <c r="R50" s="106"/>
      <c r="S50" s="9"/>
      <c r="T50" s="47"/>
      <c r="U50" s="9"/>
      <c r="W50" s="67" t="str">
        <f>$A$4&amp;" "&amp;A51&amp;"("&amp;B51&amp;","&amp;C51&amp;"^)"</f>
        <v>수송동 군산수송제일오투그란데2단지('08.10.,656^)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37"/>
        <v/>
      </c>
      <c r="AI50" s="103" t="str">
        <f t="shared" si="36"/>
        <v/>
      </c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</row>
    <row r="51" spans="1:48" x14ac:dyDescent="0.3">
      <c r="A51" s="9" t="s">
        <v>1040</v>
      </c>
      <c r="B51" s="10" t="s">
        <v>1335</v>
      </c>
      <c r="C51" s="107">
        <v>656</v>
      </c>
      <c r="D51" s="104">
        <v>117.7</v>
      </c>
      <c r="E51" s="106">
        <v>36</v>
      </c>
      <c r="F51" s="104">
        <v>91.3</v>
      </c>
      <c r="G51" s="17">
        <v>28</v>
      </c>
      <c r="H51" s="107">
        <v>114</v>
      </c>
      <c r="I51" s="108">
        <v>32000</v>
      </c>
      <c r="J51" s="108" t="s">
        <v>1253</v>
      </c>
      <c r="K51" s="108">
        <v>28000</v>
      </c>
      <c r="L51" s="108" t="s">
        <v>1251</v>
      </c>
      <c r="M51" s="109">
        <f>I51-K51</f>
        <v>4000</v>
      </c>
      <c r="N51" s="4">
        <f>IF(ISERROR(K51/I51),"",K51/I51)</f>
        <v>0.875</v>
      </c>
      <c r="O51" s="105">
        <f>I51/E51</f>
        <v>888.88888888888891</v>
      </c>
      <c r="P51" s="105">
        <f>K51/E51</f>
        <v>777.77777777777783</v>
      </c>
      <c r="Q51" s="77">
        <v>3</v>
      </c>
      <c r="R51" s="77">
        <v>2</v>
      </c>
      <c r="S51" s="77" t="s">
        <v>1244</v>
      </c>
      <c r="T51" s="5" t="s">
        <v>1042</v>
      </c>
      <c r="U51" s="9"/>
      <c r="W51" s="104">
        <f t="shared" ref="W51:X54" si="47">D51</f>
        <v>117.7</v>
      </c>
      <c r="X51" s="106">
        <f t="shared" si="47"/>
        <v>36</v>
      </c>
      <c r="Y51" s="102">
        <f t="shared" ref="Y51:Z54" si="48">H51</f>
        <v>114</v>
      </c>
      <c r="Z51" s="109">
        <f t="shared" si="48"/>
        <v>32000</v>
      </c>
      <c r="AA51" s="109">
        <f>K51</f>
        <v>28000</v>
      </c>
      <c r="AB51" s="109">
        <f t="shared" ref="AB51:AD54" si="49">M51</f>
        <v>4000</v>
      </c>
      <c r="AC51" s="4">
        <f t="shared" si="49"/>
        <v>0.875</v>
      </c>
      <c r="AD51" s="105">
        <f t="shared" si="49"/>
        <v>888.88888888888891</v>
      </c>
      <c r="AE51" s="77" t="str">
        <f>S51</f>
        <v>계</v>
      </c>
      <c r="AF51" s="77" t="str">
        <f>Q51&amp;"/"&amp;R51</f>
        <v>3/2</v>
      </c>
      <c r="AH51" s="20" t="str">
        <f t="shared" si="37"/>
        <v>군산수송제일오투그란데2단지</v>
      </c>
      <c r="AI51" s="106">
        <f t="shared" si="36"/>
        <v>36</v>
      </c>
      <c r="AJ51" s="77" t="str">
        <f>IF(AI51="","",$AJ$2)</f>
        <v>A-</v>
      </c>
      <c r="AK51" s="77" t="s">
        <v>13</v>
      </c>
      <c r="AL51" s="77" t="s">
        <v>1242</v>
      </c>
      <c r="AM51" s="77" t="s">
        <v>1243</v>
      </c>
      <c r="AN51" s="77" t="str">
        <f>IF(AI51="","",$AN$2)</f>
        <v>C</v>
      </c>
      <c r="AO51" s="77" t="str">
        <f>IF(N51="","",IF(N51&gt;=$AO$1/100,"O","X"))</f>
        <v>O</v>
      </c>
      <c r="AP51" s="77" t="str">
        <f>IF(I51="","",IF(I51&lt;=$AP$1,"O","X"))</f>
        <v>O</v>
      </c>
      <c r="AQ51" s="77" t="str">
        <f>IF(O51="","",IF(O51&lt;=$AQ$1,"O","X"))</f>
        <v>O</v>
      </c>
      <c r="AR51" s="77" t="str">
        <f>IF(M51="","",IF(M51&lt;=$AR$1,"O","X"))</f>
        <v>O</v>
      </c>
      <c r="AS51" s="77" t="s">
        <v>2</v>
      </c>
      <c r="AT51" s="77" t="str">
        <f>IF(OR(F51="",AI51=""),"",IF(AND((F51&lt;=85),(AI51&gt;=15)),"O","X"))</f>
        <v>X</v>
      </c>
      <c r="AU51" s="77" t="str">
        <f>IF(C51="","",IF(C51&gt;=$AU$1,"O","X"))</f>
        <v>O</v>
      </c>
      <c r="AV51" s="77" t="str">
        <f>IF(AO51="","",IF(AND(AO51="O",AP51="O",AR51="O",AT51="O",AU51="O"),"후보","X"))</f>
        <v>X</v>
      </c>
    </row>
    <row r="52" spans="1:48" x14ac:dyDescent="0.3">
      <c r="A52" s="9" t="s">
        <v>1040</v>
      </c>
      <c r="B52" s="10" t="s">
        <v>1335</v>
      </c>
      <c r="C52" s="107">
        <v>656</v>
      </c>
      <c r="D52" s="104">
        <v>118.8</v>
      </c>
      <c r="E52" s="106">
        <v>36</v>
      </c>
      <c r="F52" s="104">
        <v>91.2</v>
      </c>
      <c r="G52" s="17">
        <v>28</v>
      </c>
      <c r="H52" s="107">
        <v>136</v>
      </c>
      <c r="I52" s="108">
        <v>35000</v>
      </c>
      <c r="J52" s="108" t="s">
        <v>1268</v>
      </c>
      <c r="K52" s="108">
        <v>28000</v>
      </c>
      <c r="L52" s="108" t="s">
        <v>1287</v>
      </c>
      <c r="M52" s="109">
        <f>I52-K52</f>
        <v>7000</v>
      </c>
      <c r="N52" s="4">
        <f>IF(ISERROR(K52/I52),"",K52/I52)</f>
        <v>0.8</v>
      </c>
      <c r="O52" s="105">
        <f>I52/E52</f>
        <v>972.22222222222217</v>
      </c>
      <c r="P52" s="105">
        <f>K52/E52</f>
        <v>777.77777777777783</v>
      </c>
      <c r="Q52" s="77">
        <v>3</v>
      </c>
      <c r="R52" s="77">
        <v>2</v>
      </c>
      <c r="S52" s="77" t="s">
        <v>1244</v>
      </c>
      <c r="T52" s="5" t="s">
        <v>1046</v>
      </c>
      <c r="U52" s="9"/>
      <c r="W52" s="104">
        <f t="shared" si="47"/>
        <v>118.8</v>
      </c>
      <c r="X52" s="106">
        <f t="shared" si="47"/>
        <v>36</v>
      </c>
      <c r="Y52" s="102">
        <f t="shared" si="48"/>
        <v>136</v>
      </c>
      <c r="Z52" s="109">
        <f t="shared" si="48"/>
        <v>35000</v>
      </c>
      <c r="AA52" s="109">
        <f>K52</f>
        <v>28000</v>
      </c>
      <c r="AB52" s="109">
        <f t="shared" si="49"/>
        <v>7000</v>
      </c>
      <c r="AC52" s="4">
        <f t="shared" si="49"/>
        <v>0.8</v>
      </c>
      <c r="AD52" s="105">
        <f t="shared" si="49"/>
        <v>972.22222222222217</v>
      </c>
      <c r="AE52" s="77" t="str">
        <f>S52</f>
        <v>계</v>
      </c>
      <c r="AF52" s="77" t="str">
        <f>Q52&amp;"/"&amp;R52</f>
        <v>3/2</v>
      </c>
      <c r="AH52" s="20" t="str">
        <f t="shared" si="37"/>
        <v>군산수송제일오투그란데2단지</v>
      </c>
      <c r="AI52" s="106">
        <f t="shared" si="36"/>
        <v>36</v>
      </c>
      <c r="AJ52" s="77" t="str">
        <f>IF(AI52="","",$AJ$2)</f>
        <v>A-</v>
      </c>
      <c r="AK52" s="77" t="s">
        <v>13</v>
      </c>
      <c r="AL52" s="77" t="s">
        <v>1242</v>
      </c>
      <c r="AM52" s="77" t="s">
        <v>1243</v>
      </c>
      <c r="AN52" s="77" t="str">
        <f>IF(AI52="","",$AN$2)</f>
        <v>C</v>
      </c>
      <c r="AO52" s="77" t="str">
        <f>IF(N52="","",IF(N52&gt;=$AO$1/100,"O","X"))</f>
        <v>O</v>
      </c>
      <c r="AP52" s="77" t="str">
        <f>IF(I52="","",IF(I52&lt;=$AP$1,"O","X"))</f>
        <v>O</v>
      </c>
      <c r="AQ52" s="77" t="str">
        <f>IF(O52="","",IF(O52&lt;=$AQ$1,"O","X"))</f>
        <v>O</v>
      </c>
      <c r="AR52" s="77" t="str">
        <f>IF(M52="","",IF(M52&lt;=$AR$1,"O","X"))</f>
        <v>X</v>
      </c>
      <c r="AS52" s="77" t="s">
        <v>2</v>
      </c>
      <c r="AT52" s="77" t="str">
        <f>IF(OR(F52="",AI52=""),"",IF(AND((F52&lt;=85),(AI52&gt;=15)),"O","X"))</f>
        <v>X</v>
      </c>
      <c r="AU52" s="77" t="str">
        <f>IF(C52="","",IF(C52&gt;=$AU$1,"O","X"))</f>
        <v>O</v>
      </c>
      <c r="AV52" s="77" t="str">
        <f>IF(AO52="","",IF(AND(AO52="O",AP52="O",AR52="O",AT52="O",AU52="O"),"후보","X"))</f>
        <v>X</v>
      </c>
    </row>
    <row r="53" spans="1:48" x14ac:dyDescent="0.3">
      <c r="A53" s="9" t="s">
        <v>1040</v>
      </c>
      <c r="B53" s="10" t="s">
        <v>1335</v>
      </c>
      <c r="C53" s="107">
        <v>656</v>
      </c>
      <c r="D53" s="104">
        <v>125.6</v>
      </c>
      <c r="E53" s="106">
        <v>38</v>
      </c>
      <c r="F53" s="104">
        <v>92.7</v>
      </c>
      <c r="G53" s="17">
        <v>28</v>
      </c>
      <c r="H53" s="107">
        <v>274</v>
      </c>
      <c r="I53" s="108">
        <v>33500</v>
      </c>
      <c r="J53" s="108" t="s">
        <v>1248</v>
      </c>
      <c r="K53" s="108"/>
      <c r="L53" s="108"/>
      <c r="M53" s="109">
        <f>I53-K53</f>
        <v>33500</v>
      </c>
      <c r="N53" s="4">
        <f>IF(ISERROR(K53/I53),"",K53/I53)</f>
        <v>0</v>
      </c>
      <c r="O53" s="105">
        <f>I53/E53</f>
        <v>881.57894736842104</v>
      </c>
      <c r="P53" s="105">
        <f>K53/E53</f>
        <v>0</v>
      </c>
      <c r="Q53" s="77">
        <v>3</v>
      </c>
      <c r="R53" s="77">
        <v>2</v>
      </c>
      <c r="S53" s="77" t="s">
        <v>1244</v>
      </c>
      <c r="T53" s="5">
        <v>125</v>
      </c>
      <c r="U53" s="9"/>
      <c r="W53" s="104">
        <f t="shared" si="47"/>
        <v>125.6</v>
      </c>
      <c r="X53" s="106">
        <f t="shared" si="47"/>
        <v>38</v>
      </c>
      <c r="Y53" s="102">
        <f t="shared" si="48"/>
        <v>274</v>
      </c>
      <c r="Z53" s="109">
        <f t="shared" si="48"/>
        <v>33500</v>
      </c>
      <c r="AA53" s="109">
        <f>K53</f>
        <v>0</v>
      </c>
      <c r="AB53" s="109">
        <f t="shared" si="49"/>
        <v>33500</v>
      </c>
      <c r="AC53" s="4">
        <f t="shared" si="49"/>
        <v>0</v>
      </c>
      <c r="AD53" s="105">
        <f t="shared" si="49"/>
        <v>881.57894736842104</v>
      </c>
      <c r="AE53" s="77" t="str">
        <f>S53</f>
        <v>계</v>
      </c>
      <c r="AF53" s="77" t="str">
        <f>Q53&amp;"/"&amp;R53</f>
        <v>3/2</v>
      </c>
      <c r="AH53" s="20" t="str">
        <f t="shared" si="37"/>
        <v>군산수송제일오투그란데2단지</v>
      </c>
      <c r="AI53" s="106">
        <f t="shared" si="36"/>
        <v>38</v>
      </c>
      <c r="AJ53" s="77" t="str">
        <f>IF(AI53="","",$AJ$2)</f>
        <v>A-</v>
      </c>
      <c r="AK53" s="77" t="s">
        <v>13</v>
      </c>
      <c r="AL53" s="77" t="s">
        <v>1242</v>
      </c>
      <c r="AM53" s="77" t="s">
        <v>1243</v>
      </c>
      <c r="AN53" s="77" t="str">
        <f>IF(AI53="","",$AN$2)</f>
        <v>C</v>
      </c>
      <c r="AO53" s="77" t="str">
        <f>IF(N53="","",IF(N53&gt;=$AO$1/100,"O","X"))</f>
        <v>X</v>
      </c>
      <c r="AP53" s="77" t="str">
        <f>IF(I53="","",IF(I53&lt;=$AP$1,"O","X"))</f>
        <v>O</v>
      </c>
      <c r="AQ53" s="77" t="str">
        <f>IF(O53="","",IF(O53&lt;=$AQ$1,"O","X"))</f>
        <v>O</v>
      </c>
      <c r="AR53" s="77" t="str">
        <f>IF(M53="","",IF(M53&lt;=$AR$1,"O","X"))</f>
        <v>X</v>
      </c>
      <c r="AS53" s="77" t="s">
        <v>2</v>
      </c>
      <c r="AT53" s="77" t="str">
        <f>IF(OR(F53="",AI53=""),"",IF(AND((F53&lt;=85),(AI53&gt;=15)),"O","X"))</f>
        <v>X</v>
      </c>
      <c r="AU53" s="77" t="str">
        <f>IF(C53="","",IF(C53&gt;=$AU$1,"O","X"))</f>
        <v>O</v>
      </c>
      <c r="AV53" s="77" t="str">
        <f>IF(AO53="","",IF(AND(AO53="O",AP53="O",AR53="O",AT53="O",AU53="O"),"후보","X"))</f>
        <v>X</v>
      </c>
    </row>
    <row r="54" spans="1:48" x14ac:dyDescent="0.3">
      <c r="A54" s="9" t="s">
        <v>1040</v>
      </c>
      <c r="B54" s="10" t="s">
        <v>1335</v>
      </c>
      <c r="C54" s="107">
        <v>656</v>
      </c>
      <c r="D54" s="104">
        <v>140.69999999999999</v>
      </c>
      <c r="E54" s="106">
        <v>43</v>
      </c>
      <c r="F54" s="104">
        <v>110.2</v>
      </c>
      <c r="G54" s="17">
        <v>33</v>
      </c>
      <c r="H54" s="107">
        <v>132</v>
      </c>
      <c r="I54" s="108">
        <v>42000</v>
      </c>
      <c r="J54" s="108" t="s">
        <v>1287</v>
      </c>
      <c r="K54" s="108"/>
      <c r="L54" s="108"/>
      <c r="M54" s="109">
        <f>I54-K54</f>
        <v>42000</v>
      </c>
      <c r="N54" s="4">
        <f>IF(ISERROR(K54/I54),"",K54/I54)</f>
        <v>0</v>
      </c>
      <c r="O54" s="105">
        <f>I54/E54</f>
        <v>976.74418604651157</v>
      </c>
      <c r="P54" s="105">
        <f>K54/E54</f>
        <v>0</v>
      </c>
      <c r="Q54" s="77">
        <v>4</v>
      </c>
      <c r="R54" s="77">
        <v>2</v>
      </c>
      <c r="S54" s="77" t="s">
        <v>1244</v>
      </c>
      <c r="T54" s="5">
        <v>140</v>
      </c>
      <c r="U54" s="9"/>
      <c r="W54" s="104">
        <f t="shared" si="47"/>
        <v>140.69999999999999</v>
      </c>
      <c r="X54" s="106">
        <f t="shared" si="47"/>
        <v>43</v>
      </c>
      <c r="Y54" s="102">
        <f t="shared" si="48"/>
        <v>132</v>
      </c>
      <c r="Z54" s="109">
        <f t="shared" si="48"/>
        <v>42000</v>
      </c>
      <c r="AA54" s="109">
        <f>K54</f>
        <v>0</v>
      </c>
      <c r="AB54" s="109">
        <f t="shared" si="49"/>
        <v>42000</v>
      </c>
      <c r="AC54" s="4">
        <f t="shared" si="49"/>
        <v>0</v>
      </c>
      <c r="AD54" s="105">
        <f t="shared" si="49"/>
        <v>976.74418604651157</v>
      </c>
      <c r="AE54" s="77" t="str">
        <f>S54</f>
        <v>계</v>
      </c>
      <c r="AF54" s="77" t="str">
        <f>Q54&amp;"/"&amp;R54</f>
        <v>4/2</v>
      </c>
      <c r="AH54" s="20" t="str">
        <f t="shared" si="37"/>
        <v>군산수송제일오투그란데2단지</v>
      </c>
      <c r="AI54" s="106">
        <f t="shared" si="36"/>
        <v>43</v>
      </c>
      <c r="AJ54" s="77" t="str">
        <f>IF(AI54="","",$AJ$2)</f>
        <v>A-</v>
      </c>
      <c r="AK54" s="77" t="s">
        <v>13</v>
      </c>
      <c r="AL54" s="77" t="s">
        <v>1242</v>
      </c>
      <c r="AM54" s="77" t="s">
        <v>1243</v>
      </c>
      <c r="AN54" s="77" t="str">
        <f>IF(AI54="","",$AN$2)</f>
        <v>C</v>
      </c>
      <c r="AO54" s="77" t="str">
        <f>IF(N54="","",IF(N54&gt;=$AO$1/100,"O","X"))</f>
        <v>X</v>
      </c>
      <c r="AP54" s="77" t="str">
        <f>IF(I54="","",IF(I54&lt;=$AP$1,"O","X"))</f>
        <v>O</v>
      </c>
      <c r="AQ54" s="77" t="str">
        <f>IF(O54="","",IF(O54&lt;=$AQ$1,"O","X"))</f>
        <v>O</v>
      </c>
      <c r="AR54" s="77" t="str">
        <f>IF(M54="","",IF(M54&lt;=$AR$1,"O","X"))</f>
        <v>X</v>
      </c>
      <c r="AS54" s="77" t="s">
        <v>2</v>
      </c>
      <c r="AT54" s="77" t="str">
        <f>IF(OR(F54="",AI54=""),"",IF(AND((F54&lt;=85),(AI54&gt;=15)),"O","X"))</f>
        <v>X</v>
      </c>
      <c r="AU54" s="77" t="str">
        <f>IF(C54="","",IF(C54&gt;=$AU$1,"O","X"))</f>
        <v>O</v>
      </c>
      <c r="AV54" s="77" t="str">
        <f>IF(AO54="","",IF(AND(AO54="O",AP54="O",AR54="O",AT54="O",AU54="O"),"후보","X"))</f>
        <v>X</v>
      </c>
    </row>
    <row r="55" spans="1:48" x14ac:dyDescent="0.3">
      <c r="A55" s="9"/>
      <c r="B55" s="77"/>
      <c r="C55" s="6"/>
      <c r="D55" s="9"/>
      <c r="E55" s="14"/>
      <c r="F55" s="104"/>
      <c r="G55" s="9"/>
      <c r="H55" s="9"/>
      <c r="I55" s="9"/>
      <c r="J55" s="9"/>
      <c r="K55" s="9"/>
      <c r="L55" s="9"/>
      <c r="M55" s="9"/>
      <c r="N55" s="9"/>
      <c r="O55" s="105"/>
      <c r="P55" s="105"/>
      <c r="Q55" s="106"/>
      <c r="R55" s="106"/>
      <c r="S55" s="9"/>
      <c r="T55" s="47"/>
      <c r="U55" s="9"/>
      <c r="W55" s="67" t="str">
        <f>$A$4&amp;" "&amp;A56&amp;"("&amp;B56&amp;","&amp;C56&amp;"^)"</f>
        <v>수송동 군산수송제일오투그란데1단지('08.10.,724^)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37"/>
        <v/>
      </c>
      <c r="AI55" s="103" t="str">
        <f t="shared" si="36"/>
        <v/>
      </c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</row>
    <row r="56" spans="1:48" x14ac:dyDescent="0.3">
      <c r="A56" s="9" t="s">
        <v>1047</v>
      </c>
      <c r="B56" s="10" t="s">
        <v>1335</v>
      </c>
      <c r="C56" s="107">
        <v>724</v>
      </c>
      <c r="D56" s="104">
        <v>99</v>
      </c>
      <c r="E56" s="106">
        <v>30</v>
      </c>
      <c r="F56" s="104">
        <v>69</v>
      </c>
      <c r="G56" s="17">
        <v>21</v>
      </c>
      <c r="H56" s="107">
        <v>212</v>
      </c>
      <c r="I56" s="108">
        <v>27000</v>
      </c>
      <c r="J56" s="108" t="s">
        <v>1250</v>
      </c>
      <c r="K56" s="108">
        <v>22500</v>
      </c>
      <c r="L56" s="108" t="s">
        <v>1268</v>
      </c>
      <c r="M56" s="109">
        <f>I56-K56</f>
        <v>4500</v>
      </c>
      <c r="N56" s="4">
        <f>IF(ISERROR(K56/I56),"",K56/I56)</f>
        <v>0.83333333333333337</v>
      </c>
      <c r="O56" s="105">
        <f>I56/E56</f>
        <v>900</v>
      </c>
      <c r="P56" s="105">
        <f>K56/E56</f>
        <v>750</v>
      </c>
      <c r="Q56" s="77">
        <v>3</v>
      </c>
      <c r="R56" s="77">
        <v>2</v>
      </c>
      <c r="S56" s="77" t="s">
        <v>1244</v>
      </c>
      <c r="T56" s="5">
        <v>99</v>
      </c>
      <c r="U56" s="9"/>
      <c r="W56" s="104">
        <f t="shared" ref="W56:X59" si="50">D56</f>
        <v>99</v>
      </c>
      <c r="X56" s="106">
        <f t="shared" si="50"/>
        <v>30</v>
      </c>
      <c r="Y56" s="102">
        <f t="shared" ref="Y56:Z59" si="51">H56</f>
        <v>212</v>
      </c>
      <c r="Z56" s="109">
        <f t="shared" si="51"/>
        <v>27000</v>
      </c>
      <c r="AA56" s="109">
        <f>K56</f>
        <v>22500</v>
      </c>
      <c r="AB56" s="109">
        <f t="shared" ref="AB56:AD59" si="52">M56</f>
        <v>4500</v>
      </c>
      <c r="AC56" s="4">
        <f t="shared" si="52"/>
        <v>0.83333333333333337</v>
      </c>
      <c r="AD56" s="105">
        <f t="shared" si="52"/>
        <v>900</v>
      </c>
      <c r="AE56" s="77" t="str">
        <f>S56</f>
        <v>계</v>
      </c>
      <c r="AF56" s="77" t="str">
        <f>Q56&amp;"/"&amp;R56</f>
        <v>3/2</v>
      </c>
      <c r="AH56" s="20" t="str">
        <f t="shared" si="37"/>
        <v>군산수송제일오투그란데1단지</v>
      </c>
      <c r="AI56" s="106">
        <f t="shared" si="36"/>
        <v>30</v>
      </c>
      <c r="AJ56" s="77" t="str">
        <f>IF(AI56="","",$AJ$2)</f>
        <v>A-</v>
      </c>
      <c r="AK56" s="77" t="s">
        <v>13</v>
      </c>
      <c r="AL56" s="77" t="s">
        <v>1242</v>
      </c>
      <c r="AM56" s="77" t="s">
        <v>1243</v>
      </c>
      <c r="AN56" s="77" t="str">
        <f>IF(AI56="","",$AN$2)</f>
        <v>C</v>
      </c>
      <c r="AO56" s="77" t="str">
        <f>IF(N56="","",IF(N56&gt;=$AO$1/100,"O","X"))</f>
        <v>O</v>
      </c>
      <c r="AP56" s="77" t="str">
        <f>IF(I56="","",IF(I56&lt;=$AP$1,"O","X"))</f>
        <v>O</v>
      </c>
      <c r="AQ56" s="77" t="str">
        <f>IF(O56="","",IF(O56&lt;=$AQ$1,"O","X"))</f>
        <v>O</v>
      </c>
      <c r="AR56" s="77" t="str">
        <f>IF(M56="","",IF(M56&lt;=$AR$1,"O","X"))</f>
        <v>O</v>
      </c>
      <c r="AS56" s="77" t="s">
        <v>2</v>
      </c>
      <c r="AT56" s="77" t="str">
        <f>IF(OR(F56="",AI56=""),"",IF(AND((F56&lt;=85),(AI56&gt;=15)),"O","X"))</f>
        <v>O</v>
      </c>
      <c r="AU56" s="77" t="str">
        <f>IF(C56="","",IF(C56&gt;=$AU$1,"O","X"))</f>
        <v>O</v>
      </c>
      <c r="AV56" s="77" t="str">
        <f>IF(AO56="","",IF(AND(AO56="O",AP56="O",AR56="O",AT56="O",AU56="O"),"후보","X"))</f>
        <v>후보</v>
      </c>
    </row>
    <row r="57" spans="1:48" x14ac:dyDescent="0.3">
      <c r="A57" s="9" t="s">
        <v>1047</v>
      </c>
      <c r="B57" s="10" t="s">
        <v>1335</v>
      </c>
      <c r="C57" s="107">
        <v>724</v>
      </c>
      <c r="D57" s="104">
        <v>115.6</v>
      </c>
      <c r="E57" s="106">
        <v>35</v>
      </c>
      <c r="F57" s="104">
        <v>84.9</v>
      </c>
      <c r="G57" s="17">
        <v>26</v>
      </c>
      <c r="H57" s="107">
        <v>206</v>
      </c>
      <c r="I57" s="108">
        <v>30000</v>
      </c>
      <c r="J57" s="108" t="s">
        <v>1255</v>
      </c>
      <c r="K57" s="108">
        <v>28000</v>
      </c>
      <c r="L57" s="108" t="s">
        <v>1251</v>
      </c>
      <c r="M57" s="109">
        <f>I57-K57</f>
        <v>2000</v>
      </c>
      <c r="N57" s="4">
        <f>IF(ISERROR(K57/I57),"",K57/I57)</f>
        <v>0.93333333333333335</v>
      </c>
      <c r="O57" s="105">
        <f>I57/E57</f>
        <v>857.14285714285711</v>
      </c>
      <c r="P57" s="105">
        <f>K57/E57</f>
        <v>800</v>
      </c>
      <c r="Q57" s="77">
        <v>3</v>
      </c>
      <c r="R57" s="77">
        <v>2</v>
      </c>
      <c r="S57" s="77" t="s">
        <v>1244</v>
      </c>
      <c r="T57" s="5" t="s">
        <v>286</v>
      </c>
      <c r="U57" s="9"/>
      <c r="W57" s="104">
        <f t="shared" si="50"/>
        <v>115.6</v>
      </c>
      <c r="X57" s="106">
        <f t="shared" si="50"/>
        <v>35</v>
      </c>
      <c r="Y57" s="102">
        <f t="shared" si="51"/>
        <v>206</v>
      </c>
      <c r="Z57" s="109">
        <f t="shared" si="51"/>
        <v>30000</v>
      </c>
      <c r="AA57" s="109">
        <f>K57</f>
        <v>28000</v>
      </c>
      <c r="AB57" s="109">
        <f t="shared" si="52"/>
        <v>2000</v>
      </c>
      <c r="AC57" s="4">
        <f t="shared" si="52"/>
        <v>0.93333333333333335</v>
      </c>
      <c r="AD57" s="105">
        <f t="shared" si="52"/>
        <v>857.14285714285711</v>
      </c>
      <c r="AE57" s="77" t="str">
        <f>S57</f>
        <v>계</v>
      </c>
      <c r="AF57" s="77" t="str">
        <f>Q57&amp;"/"&amp;R57</f>
        <v>3/2</v>
      </c>
      <c r="AH57" s="20" t="str">
        <f t="shared" si="37"/>
        <v>군산수송제일오투그란데1단지</v>
      </c>
      <c r="AI57" s="106">
        <f t="shared" si="36"/>
        <v>35</v>
      </c>
      <c r="AJ57" s="77" t="str">
        <f>IF(AI57="","",$AJ$2)</f>
        <v>A-</v>
      </c>
      <c r="AK57" s="77" t="s">
        <v>13</v>
      </c>
      <c r="AL57" s="77" t="s">
        <v>1242</v>
      </c>
      <c r="AM57" s="77" t="s">
        <v>1243</v>
      </c>
      <c r="AN57" s="77" t="str">
        <f>IF(AI57="","",$AN$2)</f>
        <v>C</v>
      </c>
      <c r="AO57" s="77" t="str">
        <f>IF(N57="","",IF(N57&gt;=$AO$1/100,"O","X"))</f>
        <v>O</v>
      </c>
      <c r="AP57" s="77" t="str">
        <f>IF(I57="","",IF(I57&lt;=$AP$1,"O","X"))</f>
        <v>O</v>
      </c>
      <c r="AQ57" s="77" t="str">
        <f>IF(O57="","",IF(O57&lt;=$AQ$1,"O","X"))</f>
        <v>O</v>
      </c>
      <c r="AR57" s="77" t="str">
        <f>IF(M57="","",IF(M57&lt;=$AR$1,"O","X"))</f>
        <v>O</v>
      </c>
      <c r="AS57" s="77" t="s">
        <v>2</v>
      </c>
      <c r="AT57" s="77" t="str">
        <f>IF(OR(F57="",AI57=""),"",IF(AND((F57&lt;=85),(AI57&gt;=15)),"O","X"))</f>
        <v>O</v>
      </c>
      <c r="AU57" s="77" t="str">
        <f>IF(C57="","",IF(C57&gt;=$AU$1,"O","X"))</f>
        <v>O</v>
      </c>
      <c r="AV57" s="77" t="str">
        <f>IF(AO57="","",IF(AND(AO57="O",AP57="O",AR57="O",AT57="O",AU57="O"),"후보","X"))</f>
        <v>후보</v>
      </c>
    </row>
    <row r="58" spans="1:48" x14ac:dyDescent="0.3">
      <c r="A58" s="9" t="s">
        <v>1047</v>
      </c>
      <c r="B58" s="10" t="s">
        <v>1335</v>
      </c>
      <c r="C58" s="107">
        <v>724</v>
      </c>
      <c r="D58" s="104">
        <v>115.7</v>
      </c>
      <c r="E58" s="106">
        <v>35</v>
      </c>
      <c r="F58" s="104">
        <v>84.9</v>
      </c>
      <c r="G58" s="17">
        <v>26</v>
      </c>
      <c r="H58" s="107">
        <v>160</v>
      </c>
      <c r="I58" s="108"/>
      <c r="J58" s="108"/>
      <c r="K58" s="108"/>
      <c r="L58" s="108"/>
      <c r="M58" s="109">
        <f>I58-K58</f>
        <v>0</v>
      </c>
      <c r="N58" s="4" t="str">
        <f>IF(ISERROR(K58/I58),"",K58/I58)</f>
        <v/>
      </c>
      <c r="O58" s="105">
        <f>I58/E58</f>
        <v>0</v>
      </c>
      <c r="P58" s="105">
        <f>K58/E58</f>
        <v>0</v>
      </c>
      <c r="Q58" s="77">
        <v>3</v>
      </c>
      <c r="R58" s="77">
        <v>2</v>
      </c>
      <c r="S58" s="77" t="s">
        <v>1244</v>
      </c>
      <c r="T58" s="5" t="s">
        <v>179</v>
      </c>
      <c r="U58" s="9"/>
      <c r="W58" s="104">
        <f t="shared" si="50"/>
        <v>115.7</v>
      </c>
      <c r="X58" s="106">
        <f t="shared" si="50"/>
        <v>35</v>
      </c>
      <c r="Y58" s="102">
        <f t="shared" si="51"/>
        <v>160</v>
      </c>
      <c r="Z58" s="109">
        <f t="shared" si="51"/>
        <v>0</v>
      </c>
      <c r="AA58" s="109">
        <f>K58</f>
        <v>0</v>
      </c>
      <c r="AB58" s="109">
        <f t="shared" si="52"/>
        <v>0</v>
      </c>
      <c r="AC58" s="4" t="str">
        <f t="shared" si="52"/>
        <v/>
      </c>
      <c r="AD58" s="105">
        <f t="shared" si="52"/>
        <v>0</v>
      </c>
      <c r="AE58" s="77" t="str">
        <f>S58</f>
        <v>계</v>
      </c>
      <c r="AF58" s="77" t="str">
        <f>Q58&amp;"/"&amp;R58</f>
        <v>3/2</v>
      </c>
      <c r="AH58" s="20" t="str">
        <f t="shared" si="37"/>
        <v>군산수송제일오투그란데1단지</v>
      </c>
      <c r="AI58" s="106">
        <f t="shared" si="36"/>
        <v>35</v>
      </c>
      <c r="AJ58" s="77" t="str">
        <f>IF(AI58="","",$AJ$2)</f>
        <v>A-</v>
      </c>
      <c r="AK58" s="77" t="s">
        <v>13</v>
      </c>
      <c r="AL58" s="77" t="s">
        <v>1242</v>
      </c>
      <c r="AM58" s="77" t="s">
        <v>1243</v>
      </c>
      <c r="AN58" s="77" t="str">
        <f>IF(AI58="","",$AN$2)</f>
        <v>C</v>
      </c>
      <c r="AO58" s="77" t="str">
        <f>IF(N58="","",IF(N58&gt;=$AO$1/100,"O","X"))</f>
        <v/>
      </c>
      <c r="AP58" s="77" t="str">
        <f>IF(I58="","",IF(I58&lt;=$AP$1,"O","X"))</f>
        <v/>
      </c>
      <c r="AQ58" s="77" t="str">
        <f>IF(O58="","",IF(O58&lt;=$AQ$1,"O","X"))</f>
        <v>O</v>
      </c>
      <c r="AR58" s="77" t="str">
        <f>IF(M58="","",IF(M58&lt;=$AR$1,"O","X"))</f>
        <v>O</v>
      </c>
      <c r="AS58" s="77" t="s">
        <v>2</v>
      </c>
      <c r="AT58" s="77" t="str">
        <f>IF(OR(F58="",AI58=""),"",IF(AND((F58&lt;=85),(AI58&gt;=15)),"O","X"))</f>
        <v>O</v>
      </c>
      <c r="AU58" s="77" t="str">
        <f>IF(C58="","",IF(C58&gt;=$AU$1,"O","X"))</f>
        <v>O</v>
      </c>
      <c r="AV58" s="77" t="str">
        <f>IF(AO58="","",IF(AND(AO58="O",AP58="O",AR58="O",AT58="O",AU58="O"),"후보","X"))</f>
        <v/>
      </c>
    </row>
    <row r="59" spans="1:48" x14ac:dyDescent="0.3">
      <c r="A59" s="9" t="s">
        <v>1047</v>
      </c>
      <c r="B59" s="10" t="s">
        <v>1335</v>
      </c>
      <c r="C59" s="107">
        <v>724</v>
      </c>
      <c r="D59" s="104">
        <v>115.6</v>
      </c>
      <c r="E59" s="106">
        <v>35</v>
      </c>
      <c r="F59" s="104">
        <v>84.9</v>
      </c>
      <c r="G59" s="17">
        <v>26</v>
      </c>
      <c r="H59" s="107">
        <v>146</v>
      </c>
      <c r="I59" s="108">
        <v>30000</v>
      </c>
      <c r="J59" s="108" t="s">
        <v>1255</v>
      </c>
      <c r="K59" s="108">
        <v>28000</v>
      </c>
      <c r="L59" s="108" t="s">
        <v>1251</v>
      </c>
      <c r="M59" s="109">
        <f>I59-K59</f>
        <v>2000</v>
      </c>
      <c r="N59" s="4">
        <f>IF(ISERROR(K59/I59),"",K59/I59)</f>
        <v>0.93333333333333335</v>
      </c>
      <c r="O59" s="105">
        <f>I59/E59</f>
        <v>857.14285714285711</v>
      </c>
      <c r="P59" s="105">
        <f>K59/E59</f>
        <v>800</v>
      </c>
      <c r="Q59" s="77">
        <v>3</v>
      </c>
      <c r="R59" s="77">
        <v>2</v>
      </c>
      <c r="S59" s="77" t="s">
        <v>1244</v>
      </c>
      <c r="T59" s="5" t="s">
        <v>544</v>
      </c>
      <c r="U59" s="9"/>
      <c r="W59" s="104">
        <f t="shared" si="50"/>
        <v>115.6</v>
      </c>
      <c r="X59" s="106">
        <f t="shared" si="50"/>
        <v>35</v>
      </c>
      <c r="Y59" s="102">
        <f t="shared" si="51"/>
        <v>146</v>
      </c>
      <c r="Z59" s="109">
        <f t="shared" si="51"/>
        <v>30000</v>
      </c>
      <c r="AA59" s="109">
        <f>K59</f>
        <v>28000</v>
      </c>
      <c r="AB59" s="109">
        <f t="shared" si="52"/>
        <v>2000</v>
      </c>
      <c r="AC59" s="4">
        <f t="shared" si="52"/>
        <v>0.93333333333333335</v>
      </c>
      <c r="AD59" s="105">
        <f t="shared" si="52"/>
        <v>857.14285714285711</v>
      </c>
      <c r="AE59" s="77" t="str">
        <f>S59</f>
        <v>계</v>
      </c>
      <c r="AF59" s="77" t="str">
        <f>Q59&amp;"/"&amp;R59</f>
        <v>3/2</v>
      </c>
      <c r="AH59" s="20" t="str">
        <f t="shared" si="37"/>
        <v>군산수송제일오투그란데1단지</v>
      </c>
      <c r="AI59" s="106">
        <f t="shared" si="36"/>
        <v>35</v>
      </c>
      <c r="AJ59" s="77" t="str">
        <f>IF(AI59="","",$AJ$2)</f>
        <v>A-</v>
      </c>
      <c r="AK59" s="77" t="s">
        <v>13</v>
      </c>
      <c r="AL59" s="77" t="s">
        <v>1242</v>
      </c>
      <c r="AM59" s="77" t="s">
        <v>1243</v>
      </c>
      <c r="AN59" s="77" t="str">
        <f>IF(AI59="","",$AN$2)</f>
        <v>C</v>
      </c>
      <c r="AO59" s="77" t="str">
        <f>IF(N59="","",IF(N59&gt;=$AO$1/100,"O","X"))</f>
        <v>O</v>
      </c>
      <c r="AP59" s="77" t="str">
        <f>IF(I59="","",IF(I59&lt;=$AP$1,"O","X"))</f>
        <v>O</v>
      </c>
      <c r="AQ59" s="77" t="str">
        <f>IF(O59="","",IF(O59&lt;=$AQ$1,"O","X"))</f>
        <v>O</v>
      </c>
      <c r="AR59" s="77" t="str">
        <f>IF(M59="","",IF(M59&lt;=$AR$1,"O","X"))</f>
        <v>O</v>
      </c>
      <c r="AS59" s="77" t="s">
        <v>2</v>
      </c>
      <c r="AT59" s="77" t="str">
        <f>IF(OR(F59="",AI59=""),"",IF(AND((F59&lt;=85),(AI59&gt;=15)),"O","X"))</f>
        <v>O</v>
      </c>
      <c r="AU59" s="77" t="str">
        <f>IF(C59="","",IF(C59&gt;=$AU$1,"O","X"))</f>
        <v>O</v>
      </c>
      <c r="AV59" s="77" t="str">
        <f>IF(AO59="","",IF(AND(AO59="O",AP59="O",AR59="O",AT59="O",AU59="O"),"후보","X"))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8085" priority="833">
      <formula>AV4="X"</formula>
    </cfRule>
    <cfRule type="expression" dxfId="18084" priority="834">
      <formula>AV4="후보"</formula>
    </cfRule>
  </conditionalFormatting>
  <conditionalFormatting sqref="AC1:AC2 AC4:AC6 N4:N5">
    <cfRule type="cellIs" dxfId="18083" priority="831" operator="greaterThan">
      <formula>0.9</formula>
    </cfRule>
    <cfRule type="cellIs" dxfId="18082" priority="832" operator="greaterThan">
      <formula>0.85</formula>
    </cfRule>
  </conditionalFormatting>
  <conditionalFormatting sqref="N1:N2">
    <cfRule type="cellIs" dxfId="18081" priority="829" operator="greaterThan">
      <formula>0.9</formula>
    </cfRule>
    <cfRule type="cellIs" dxfId="18080" priority="830" operator="greaterThan">
      <formula>0.85</formula>
    </cfRule>
  </conditionalFormatting>
  <conditionalFormatting sqref="N6">
    <cfRule type="cellIs" dxfId="18079" priority="827" operator="greaterThan">
      <formula>0.9</formula>
    </cfRule>
    <cfRule type="cellIs" dxfId="18078" priority="828" operator="greaterThan">
      <formula>0.85</formula>
    </cfRule>
  </conditionalFormatting>
  <conditionalFormatting sqref="E6">
    <cfRule type="expression" dxfId="18077" priority="823">
      <formula>AND(IF(OR($Q6=1,$Q6=2),1,0),IF($X6&lt;=20,1,0))</formula>
    </cfRule>
    <cfRule type="expression" dxfId="18076" priority="824">
      <formula>AND(IF($Q6=2,1,0),IF($X6&lt;30,1,0))</formula>
    </cfRule>
    <cfRule type="expression" dxfId="18075" priority="825">
      <formula>AND(IF($Q6=3,1,0),IF($X6&lt;30,1,0))</formula>
    </cfRule>
    <cfRule type="expression" dxfId="18074" priority="826">
      <formula>AND(IF($Q6=3,1,IF($Q6=4,1,0)),IF($F6&lt;=85,1,0))</formula>
    </cfRule>
  </conditionalFormatting>
  <conditionalFormatting sqref="X6">
    <cfRule type="expression" dxfId="18073" priority="819">
      <formula>AND(IF(OR($Q6=1,$Q6=2),1,0),IF($X6&lt;=20,1,0))</formula>
    </cfRule>
    <cfRule type="expression" dxfId="18072" priority="820">
      <formula>AND(IF($Q6=2,1,0),IF($X6&lt;30,1,0))</formula>
    </cfRule>
    <cfRule type="expression" dxfId="18071" priority="821">
      <formula>AND(IF($Q6=3,1,0),IF($X6&lt;30,1,0))</formula>
    </cfRule>
    <cfRule type="expression" dxfId="18070" priority="822">
      <formula>AND(IF($Q6=3,1,IF($Q6=4,1,0)),IF($F6&lt;=85,1,0))</formula>
    </cfRule>
  </conditionalFormatting>
  <conditionalFormatting sqref="AI6">
    <cfRule type="expression" dxfId="18069" priority="815">
      <formula>AND(IF(OR($Q6=1,$Q6=2),1,0),IF($X6&lt;=20,1,0))</formula>
    </cfRule>
    <cfRule type="expression" dxfId="18068" priority="816">
      <formula>AND(IF($Q6=2,1,0),IF($X6&lt;30,1,0))</formula>
    </cfRule>
    <cfRule type="expression" dxfId="18067" priority="817">
      <formula>AND(IF($Q6=3,1,0),IF($X6&lt;30,1,0))</formula>
    </cfRule>
    <cfRule type="expression" dxfId="18066" priority="818">
      <formula>AND(IF($Q6=3,1,IF($Q6=4,1,0)),IF($F6&lt;=85,1,0))</formula>
    </cfRule>
  </conditionalFormatting>
  <conditionalFormatting sqref="AV7">
    <cfRule type="expression" dxfId="18065" priority="813">
      <formula>AV7="X"</formula>
    </cfRule>
    <cfRule type="expression" dxfId="18064" priority="814">
      <formula>AV7="후보"</formula>
    </cfRule>
  </conditionalFormatting>
  <conditionalFormatting sqref="AC7">
    <cfRule type="cellIs" dxfId="18063" priority="811" operator="greaterThan">
      <formula>0.9</formula>
    </cfRule>
    <cfRule type="cellIs" dxfId="18062" priority="812" operator="greaterThan">
      <formula>0.85</formula>
    </cfRule>
  </conditionalFormatting>
  <conditionalFormatting sqref="N7">
    <cfRule type="cellIs" dxfId="18061" priority="809" operator="greaterThan">
      <formula>0.9</formula>
    </cfRule>
    <cfRule type="cellIs" dxfId="18060" priority="810" operator="greaterThan">
      <formula>0.85</formula>
    </cfRule>
  </conditionalFormatting>
  <conditionalFormatting sqref="E7">
    <cfRule type="expression" dxfId="18059" priority="805">
      <formula>AND(IF(OR($Q7=1,$Q7=2),1,0),IF($X7&lt;=20,1,0))</formula>
    </cfRule>
    <cfRule type="expression" dxfId="18058" priority="806">
      <formula>AND(IF($Q7=2,1,0),IF($X7&lt;30,1,0))</formula>
    </cfRule>
    <cfRule type="expression" dxfId="18057" priority="807">
      <formula>AND(IF($Q7=3,1,0),IF($X7&lt;30,1,0))</formula>
    </cfRule>
    <cfRule type="expression" dxfId="18056" priority="808">
      <formula>AND(IF($Q7=3,1,IF($Q7=4,1,0)),IF($F7&lt;=85,1,0))</formula>
    </cfRule>
  </conditionalFormatting>
  <conditionalFormatting sqref="X7">
    <cfRule type="expression" dxfId="18055" priority="801">
      <formula>AND(IF(OR($Q7=1,$Q7=2),1,0),IF($X7&lt;=20,1,0))</formula>
    </cfRule>
    <cfRule type="expression" dxfId="18054" priority="802">
      <formula>AND(IF($Q7=2,1,0),IF($X7&lt;30,1,0))</formula>
    </cfRule>
    <cfRule type="expression" dxfId="18053" priority="803">
      <formula>AND(IF($Q7=3,1,0),IF($X7&lt;30,1,0))</formula>
    </cfRule>
    <cfRule type="expression" dxfId="18052" priority="804">
      <formula>AND(IF($Q7=3,1,IF($Q7=4,1,0)),IF($F7&lt;=85,1,0))</formula>
    </cfRule>
  </conditionalFormatting>
  <conditionalFormatting sqref="AI7">
    <cfRule type="expression" dxfId="18051" priority="797">
      <formula>AND(IF(OR($Q7=1,$Q7=2),1,0),IF($X7&lt;=20,1,0))</formula>
    </cfRule>
    <cfRule type="expression" dxfId="18050" priority="798">
      <formula>AND(IF($Q7=2,1,0),IF($X7&lt;30,1,0))</formula>
    </cfRule>
    <cfRule type="expression" dxfId="18049" priority="799">
      <formula>AND(IF($Q7=3,1,0),IF($X7&lt;30,1,0))</formula>
    </cfRule>
    <cfRule type="expression" dxfId="18048" priority="800">
      <formula>AND(IF($Q7=3,1,IF($Q7=4,1,0)),IF($F7&lt;=85,1,0))</formula>
    </cfRule>
  </conditionalFormatting>
  <conditionalFormatting sqref="AV8">
    <cfRule type="expression" dxfId="18047" priority="795">
      <formula>AV8="X"</formula>
    </cfRule>
    <cfRule type="expression" dxfId="18046" priority="796">
      <formula>AV8="후보"</formula>
    </cfRule>
  </conditionalFormatting>
  <conditionalFormatting sqref="AC8">
    <cfRule type="cellIs" dxfId="18045" priority="793" operator="greaterThan">
      <formula>0.9</formula>
    </cfRule>
    <cfRule type="cellIs" dxfId="18044" priority="794" operator="greaterThan">
      <formula>0.85</formula>
    </cfRule>
  </conditionalFormatting>
  <conditionalFormatting sqref="N8">
    <cfRule type="cellIs" dxfId="18043" priority="791" operator="greaterThan">
      <formula>0.9</formula>
    </cfRule>
    <cfRule type="cellIs" dxfId="18042" priority="792" operator="greaterThan">
      <formula>0.85</formula>
    </cfRule>
  </conditionalFormatting>
  <conditionalFormatting sqref="E8">
    <cfRule type="expression" dxfId="18041" priority="787">
      <formula>AND(IF(OR($Q8=1,$Q8=2),1,0),IF($X8&lt;=20,1,0))</formula>
    </cfRule>
    <cfRule type="expression" dxfId="18040" priority="788">
      <formula>AND(IF($Q8=2,1,0),IF($X8&lt;30,1,0))</formula>
    </cfRule>
    <cfRule type="expression" dxfId="18039" priority="789">
      <formula>AND(IF($Q8=3,1,0),IF($X8&lt;30,1,0))</formula>
    </cfRule>
    <cfRule type="expression" dxfId="18038" priority="790">
      <formula>AND(IF($Q8=3,1,IF($Q8=4,1,0)),IF($F8&lt;=85,1,0))</formula>
    </cfRule>
  </conditionalFormatting>
  <conditionalFormatting sqref="X8">
    <cfRule type="expression" dxfId="18037" priority="783">
      <formula>AND(IF(OR($Q8=1,$Q8=2),1,0),IF($X8&lt;=20,1,0))</formula>
    </cfRule>
    <cfRule type="expression" dxfId="18036" priority="784">
      <formula>AND(IF($Q8=2,1,0),IF($X8&lt;30,1,0))</formula>
    </cfRule>
    <cfRule type="expression" dxfId="18035" priority="785">
      <formula>AND(IF($Q8=3,1,0),IF($X8&lt;30,1,0))</formula>
    </cfRule>
    <cfRule type="expression" dxfId="18034" priority="786">
      <formula>AND(IF($Q8=3,1,IF($Q8=4,1,0)),IF($F8&lt;=85,1,0))</formula>
    </cfRule>
  </conditionalFormatting>
  <conditionalFormatting sqref="AI8">
    <cfRule type="expression" dxfId="18033" priority="779">
      <formula>AND(IF(OR($Q8=1,$Q8=2),1,0),IF($X8&lt;=20,1,0))</formula>
    </cfRule>
    <cfRule type="expression" dxfId="18032" priority="780">
      <formula>AND(IF($Q8=2,1,0),IF($X8&lt;30,1,0))</formula>
    </cfRule>
    <cfRule type="expression" dxfId="18031" priority="781">
      <formula>AND(IF($Q8=3,1,0),IF($X8&lt;30,1,0))</formula>
    </cfRule>
    <cfRule type="expression" dxfId="18030" priority="782">
      <formula>AND(IF($Q8=3,1,IF($Q8=4,1,0)),IF($F8&lt;=85,1,0))</formula>
    </cfRule>
  </conditionalFormatting>
  <conditionalFormatting sqref="AV9">
    <cfRule type="expression" dxfId="18029" priority="777">
      <formula>AV9="X"</formula>
    </cfRule>
    <cfRule type="expression" dxfId="18028" priority="778">
      <formula>AV9="후보"</formula>
    </cfRule>
  </conditionalFormatting>
  <conditionalFormatting sqref="AC9 N9">
    <cfRule type="cellIs" dxfId="18027" priority="775" operator="greaterThan">
      <formula>0.9</formula>
    </cfRule>
    <cfRule type="cellIs" dxfId="18026" priority="776" operator="greaterThan">
      <formula>0.85</formula>
    </cfRule>
  </conditionalFormatting>
  <conditionalFormatting sqref="AV10">
    <cfRule type="expression" dxfId="18025" priority="773">
      <formula>AV10="X"</formula>
    </cfRule>
    <cfRule type="expression" dxfId="18024" priority="774">
      <formula>AV10="후보"</formula>
    </cfRule>
  </conditionalFormatting>
  <conditionalFormatting sqref="AC10">
    <cfRule type="cellIs" dxfId="18023" priority="771" operator="greaterThan">
      <formula>0.9</formula>
    </cfRule>
    <cfRule type="cellIs" dxfId="18022" priority="772" operator="greaterThan">
      <formula>0.85</formula>
    </cfRule>
  </conditionalFormatting>
  <conditionalFormatting sqref="N10">
    <cfRule type="cellIs" dxfId="18021" priority="769" operator="greaterThan">
      <formula>0.9</formula>
    </cfRule>
    <cfRule type="cellIs" dxfId="18020" priority="770" operator="greaterThan">
      <formula>0.85</formula>
    </cfRule>
  </conditionalFormatting>
  <conditionalFormatting sqref="E10">
    <cfRule type="expression" dxfId="18019" priority="765">
      <formula>AND(IF(OR($Q10=1,$Q10=2),1,0),IF($X10&lt;=20,1,0))</formula>
    </cfRule>
    <cfRule type="expression" dxfId="18018" priority="766">
      <formula>AND(IF($Q10=2,1,0),IF($X10&lt;30,1,0))</formula>
    </cfRule>
    <cfRule type="expression" dxfId="18017" priority="767">
      <formula>AND(IF($Q10=3,1,0),IF($X10&lt;30,1,0))</formula>
    </cfRule>
    <cfRule type="expression" dxfId="18016" priority="768">
      <formula>AND(IF($Q10=3,1,IF($Q10=4,1,0)),IF($F10&lt;=85,1,0))</formula>
    </cfRule>
  </conditionalFormatting>
  <conditionalFormatting sqref="X10">
    <cfRule type="expression" dxfId="18015" priority="761">
      <formula>AND(IF(OR($Q10=1,$Q10=2),1,0),IF($X10&lt;=20,1,0))</formula>
    </cfRule>
    <cfRule type="expression" dxfId="18014" priority="762">
      <formula>AND(IF($Q10=2,1,0),IF($X10&lt;30,1,0))</formula>
    </cfRule>
    <cfRule type="expression" dxfId="18013" priority="763">
      <formula>AND(IF($Q10=3,1,0),IF($X10&lt;30,1,0))</formula>
    </cfRule>
    <cfRule type="expression" dxfId="18012" priority="764">
      <formula>AND(IF($Q10=3,1,IF($Q10=4,1,0)),IF($F10&lt;=85,1,0))</formula>
    </cfRule>
  </conditionalFormatting>
  <conditionalFormatting sqref="AI10">
    <cfRule type="expression" dxfId="18011" priority="757">
      <formula>AND(IF(OR($Q10=1,$Q10=2),1,0),IF($X10&lt;=20,1,0))</formula>
    </cfRule>
    <cfRule type="expression" dxfId="18010" priority="758">
      <formula>AND(IF($Q10=2,1,0),IF($X10&lt;30,1,0))</formula>
    </cfRule>
    <cfRule type="expression" dxfId="18009" priority="759">
      <formula>AND(IF($Q10=3,1,0),IF($X10&lt;30,1,0))</formula>
    </cfRule>
    <cfRule type="expression" dxfId="18008" priority="760">
      <formula>AND(IF($Q10=3,1,IF($Q10=4,1,0)),IF($F10&lt;=85,1,0))</formula>
    </cfRule>
  </conditionalFormatting>
  <conditionalFormatting sqref="AV11">
    <cfRule type="expression" dxfId="18007" priority="755">
      <formula>AV11="X"</formula>
    </cfRule>
    <cfRule type="expression" dxfId="18006" priority="756">
      <formula>AV11="후보"</formula>
    </cfRule>
  </conditionalFormatting>
  <conditionalFormatting sqref="AC11">
    <cfRule type="cellIs" dxfId="18005" priority="753" operator="greaterThan">
      <formula>0.9</formula>
    </cfRule>
    <cfRule type="cellIs" dxfId="18004" priority="754" operator="greaterThan">
      <formula>0.85</formula>
    </cfRule>
  </conditionalFormatting>
  <conditionalFormatting sqref="N11">
    <cfRule type="cellIs" dxfId="18003" priority="751" operator="greaterThan">
      <formula>0.9</formula>
    </cfRule>
    <cfRule type="cellIs" dxfId="18002" priority="752" operator="greaterThan">
      <formula>0.85</formula>
    </cfRule>
  </conditionalFormatting>
  <conditionalFormatting sqref="E11">
    <cfRule type="expression" dxfId="18001" priority="747">
      <formula>AND(IF(OR($Q11=1,$Q11=2),1,0),IF($X11&lt;=20,1,0))</formula>
    </cfRule>
    <cfRule type="expression" dxfId="18000" priority="748">
      <formula>AND(IF($Q11=2,1,0),IF($X11&lt;30,1,0))</formula>
    </cfRule>
    <cfRule type="expression" dxfId="17999" priority="749">
      <formula>AND(IF($Q11=3,1,0),IF($X11&lt;30,1,0))</formula>
    </cfRule>
    <cfRule type="expression" dxfId="17998" priority="750">
      <formula>AND(IF($Q11=3,1,IF($Q11=4,1,0)),IF($F11&lt;=85,1,0))</formula>
    </cfRule>
  </conditionalFormatting>
  <conditionalFormatting sqref="X11">
    <cfRule type="expression" dxfId="17997" priority="743">
      <formula>AND(IF(OR($Q11=1,$Q11=2),1,0),IF($X11&lt;=20,1,0))</formula>
    </cfRule>
    <cfRule type="expression" dxfId="17996" priority="744">
      <formula>AND(IF($Q11=2,1,0),IF($X11&lt;30,1,0))</formula>
    </cfRule>
    <cfRule type="expression" dxfId="17995" priority="745">
      <formula>AND(IF($Q11=3,1,0),IF($X11&lt;30,1,0))</formula>
    </cfRule>
    <cfRule type="expression" dxfId="17994" priority="746">
      <formula>AND(IF($Q11=3,1,IF($Q11=4,1,0)),IF($F11&lt;=85,1,0))</formula>
    </cfRule>
  </conditionalFormatting>
  <conditionalFormatting sqref="AI11">
    <cfRule type="expression" dxfId="17993" priority="739">
      <formula>AND(IF(OR($Q11=1,$Q11=2),1,0),IF($X11&lt;=20,1,0))</formula>
    </cfRule>
    <cfRule type="expression" dxfId="17992" priority="740">
      <formula>AND(IF($Q11=2,1,0),IF($X11&lt;30,1,0))</formula>
    </cfRule>
    <cfRule type="expression" dxfId="17991" priority="741">
      <formula>AND(IF($Q11=3,1,0),IF($X11&lt;30,1,0))</formula>
    </cfRule>
    <cfRule type="expression" dxfId="17990" priority="742">
      <formula>AND(IF($Q11=3,1,IF($Q11=4,1,0)),IF($F11&lt;=85,1,0))</formula>
    </cfRule>
  </conditionalFormatting>
  <conditionalFormatting sqref="AV12">
    <cfRule type="expression" dxfId="17989" priority="737">
      <formula>AV12="X"</formula>
    </cfRule>
    <cfRule type="expression" dxfId="17988" priority="738">
      <formula>AV12="후보"</formula>
    </cfRule>
  </conditionalFormatting>
  <conditionalFormatting sqref="AC12">
    <cfRule type="cellIs" dxfId="17987" priority="735" operator="greaterThan">
      <formula>0.9</formula>
    </cfRule>
    <cfRule type="cellIs" dxfId="17986" priority="736" operator="greaterThan">
      <formula>0.85</formula>
    </cfRule>
  </conditionalFormatting>
  <conditionalFormatting sqref="N12">
    <cfRule type="cellIs" dxfId="17985" priority="733" operator="greaterThan">
      <formula>0.9</formula>
    </cfRule>
    <cfRule type="cellIs" dxfId="17984" priority="734" operator="greaterThan">
      <formula>0.85</formula>
    </cfRule>
  </conditionalFormatting>
  <conditionalFormatting sqref="E12">
    <cfRule type="expression" dxfId="17983" priority="729">
      <formula>AND(IF(OR($Q12=1,$Q12=2),1,0),IF($X12&lt;=20,1,0))</formula>
    </cfRule>
    <cfRule type="expression" dxfId="17982" priority="730">
      <formula>AND(IF($Q12=2,1,0),IF($X12&lt;30,1,0))</formula>
    </cfRule>
    <cfRule type="expression" dxfId="17981" priority="731">
      <formula>AND(IF($Q12=3,1,0),IF($X12&lt;30,1,0))</formula>
    </cfRule>
    <cfRule type="expression" dxfId="17980" priority="732">
      <formula>AND(IF($Q12=3,1,IF($Q12=4,1,0)),IF($F12&lt;=85,1,0))</formula>
    </cfRule>
  </conditionalFormatting>
  <conditionalFormatting sqref="X12">
    <cfRule type="expression" dxfId="17979" priority="725">
      <formula>AND(IF(OR($Q12=1,$Q12=2),1,0),IF($X12&lt;=20,1,0))</formula>
    </cfRule>
    <cfRule type="expression" dxfId="17978" priority="726">
      <formula>AND(IF($Q12=2,1,0),IF($X12&lt;30,1,0))</formula>
    </cfRule>
    <cfRule type="expression" dxfId="17977" priority="727">
      <formula>AND(IF($Q12=3,1,0),IF($X12&lt;30,1,0))</formula>
    </cfRule>
    <cfRule type="expression" dxfId="17976" priority="728">
      <formula>AND(IF($Q12=3,1,IF($Q12=4,1,0)),IF($F12&lt;=85,1,0))</formula>
    </cfRule>
  </conditionalFormatting>
  <conditionalFormatting sqref="AI12">
    <cfRule type="expression" dxfId="17975" priority="721">
      <formula>AND(IF(OR($Q12=1,$Q12=2),1,0),IF($X12&lt;=20,1,0))</formula>
    </cfRule>
    <cfRule type="expression" dxfId="17974" priority="722">
      <formula>AND(IF($Q12=2,1,0),IF($X12&lt;30,1,0))</formula>
    </cfRule>
    <cfRule type="expression" dxfId="17973" priority="723">
      <formula>AND(IF($Q12=3,1,0),IF($X12&lt;30,1,0))</formula>
    </cfRule>
    <cfRule type="expression" dxfId="17972" priority="724">
      <formula>AND(IF($Q12=3,1,IF($Q12=4,1,0)),IF($F12&lt;=85,1,0))</formula>
    </cfRule>
  </conditionalFormatting>
  <conditionalFormatting sqref="AV13">
    <cfRule type="expression" dxfId="17971" priority="719">
      <formula>AV13="X"</formula>
    </cfRule>
    <cfRule type="expression" dxfId="17970" priority="720">
      <formula>AV13="후보"</formula>
    </cfRule>
  </conditionalFormatting>
  <conditionalFormatting sqref="AC13">
    <cfRule type="cellIs" dxfId="17969" priority="717" operator="greaterThan">
      <formula>0.9</formula>
    </cfRule>
    <cfRule type="cellIs" dxfId="17968" priority="718" operator="greaterThan">
      <formula>0.85</formula>
    </cfRule>
  </conditionalFormatting>
  <conditionalFormatting sqref="N13">
    <cfRule type="cellIs" dxfId="17967" priority="715" operator="greaterThan">
      <formula>0.9</formula>
    </cfRule>
    <cfRule type="cellIs" dxfId="17966" priority="716" operator="greaterThan">
      <formula>0.85</formula>
    </cfRule>
  </conditionalFormatting>
  <conditionalFormatting sqref="E13">
    <cfRule type="expression" dxfId="17965" priority="711">
      <formula>AND(IF(OR($Q13=1,$Q13=2),1,0),IF($X13&lt;=20,1,0))</formula>
    </cfRule>
    <cfRule type="expression" dxfId="17964" priority="712">
      <formula>AND(IF($Q13=2,1,0),IF($X13&lt;30,1,0))</formula>
    </cfRule>
    <cfRule type="expression" dxfId="17963" priority="713">
      <formula>AND(IF($Q13=3,1,0),IF($X13&lt;30,1,0))</formula>
    </cfRule>
    <cfRule type="expression" dxfId="17962" priority="714">
      <formula>AND(IF($Q13=3,1,IF($Q13=4,1,0)),IF($F13&lt;=85,1,0))</formula>
    </cfRule>
  </conditionalFormatting>
  <conditionalFormatting sqref="X13">
    <cfRule type="expression" dxfId="17961" priority="707">
      <formula>AND(IF(OR($Q13=1,$Q13=2),1,0),IF($X13&lt;=20,1,0))</formula>
    </cfRule>
    <cfRule type="expression" dxfId="17960" priority="708">
      <formula>AND(IF($Q13=2,1,0),IF($X13&lt;30,1,0))</formula>
    </cfRule>
    <cfRule type="expression" dxfId="17959" priority="709">
      <formula>AND(IF($Q13=3,1,0),IF($X13&lt;30,1,0))</formula>
    </cfRule>
    <cfRule type="expression" dxfId="17958" priority="710">
      <formula>AND(IF($Q13=3,1,IF($Q13=4,1,0)),IF($F13&lt;=85,1,0))</formula>
    </cfRule>
  </conditionalFormatting>
  <conditionalFormatting sqref="AI13">
    <cfRule type="expression" dxfId="17957" priority="703">
      <formula>AND(IF(OR($Q13=1,$Q13=2),1,0),IF($X13&lt;=20,1,0))</formula>
    </cfRule>
    <cfRule type="expression" dxfId="17956" priority="704">
      <formula>AND(IF($Q13=2,1,0),IF($X13&lt;30,1,0))</formula>
    </cfRule>
    <cfRule type="expression" dxfId="17955" priority="705">
      <formula>AND(IF($Q13=3,1,0),IF($X13&lt;30,1,0))</formula>
    </cfRule>
    <cfRule type="expression" dxfId="17954" priority="706">
      <formula>AND(IF($Q13=3,1,IF($Q13=4,1,0)),IF($F13&lt;=85,1,0))</formula>
    </cfRule>
  </conditionalFormatting>
  <conditionalFormatting sqref="AV14">
    <cfRule type="expression" dxfId="17953" priority="701">
      <formula>AV14="X"</formula>
    </cfRule>
    <cfRule type="expression" dxfId="17952" priority="702">
      <formula>AV14="후보"</formula>
    </cfRule>
  </conditionalFormatting>
  <conditionalFormatting sqref="AC14">
    <cfRule type="cellIs" dxfId="17951" priority="699" operator="greaterThan">
      <formula>0.9</formula>
    </cfRule>
    <cfRule type="cellIs" dxfId="17950" priority="700" operator="greaterThan">
      <formula>0.85</formula>
    </cfRule>
  </conditionalFormatting>
  <conditionalFormatting sqref="N14">
    <cfRule type="cellIs" dxfId="17949" priority="697" operator="greaterThan">
      <formula>0.9</formula>
    </cfRule>
    <cfRule type="cellIs" dxfId="17948" priority="698" operator="greaterThan">
      <formula>0.85</formula>
    </cfRule>
  </conditionalFormatting>
  <conditionalFormatting sqref="E14">
    <cfRule type="expression" dxfId="17947" priority="693">
      <formula>AND(IF(OR($Q14=1,$Q14=2),1,0),IF($X14&lt;=20,1,0))</formula>
    </cfRule>
    <cfRule type="expression" dxfId="17946" priority="694">
      <formula>AND(IF($Q14=2,1,0),IF($X14&lt;30,1,0))</formula>
    </cfRule>
    <cfRule type="expression" dxfId="17945" priority="695">
      <formula>AND(IF($Q14=3,1,0),IF($X14&lt;30,1,0))</formula>
    </cfRule>
    <cfRule type="expression" dxfId="17944" priority="696">
      <formula>AND(IF($Q14=3,1,IF($Q14=4,1,0)),IF($F14&lt;=85,1,0))</formula>
    </cfRule>
  </conditionalFormatting>
  <conditionalFormatting sqref="X14">
    <cfRule type="expression" dxfId="17943" priority="689">
      <formula>AND(IF(OR($Q14=1,$Q14=2),1,0),IF($X14&lt;=20,1,0))</formula>
    </cfRule>
    <cfRule type="expression" dxfId="17942" priority="690">
      <formula>AND(IF($Q14=2,1,0),IF($X14&lt;30,1,0))</formula>
    </cfRule>
    <cfRule type="expression" dxfId="17941" priority="691">
      <formula>AND(IF($Q14=3,1,0),IF($X14&lt;30,1,0))</formula>
    </cfRule>
    <cfRule type="expression" dxfId="17940" priority="692">
      <formula>AND(IF($Q14=3,1,IF($Q14=4,1,0)),IF($F14&lt;=85,1,0))</formula>
    </cfRule>
  </conditionalFormatting>
  <conditionalFormatting sqref="AI14">
    <cfRule type="expression" dxfId="17939" priority="685">
      <formula>AND(IF(OR($Q14=1,$Q14=2),1,0),IF($X14&lt;=20,1,0))</formula>
    </cfRule>
    <cfRule type="expression" dxfId="17938" priority="686">
      <formula>AND(IF($Q14=2,1,0),IF($X14&lt;30,1,0))</formula>
    </cfRule>
    <cfRule type="expression" dxfId="17937" priority="687">
      <formula>AND(IF($Q14=3,1,0),IF($X14&lt;30,1,0))</formula>
    </cfRule>
    <cfRule type="expression" dxfId="17936" priority="688">
      <formula>AND(IF($Q14=3,1,IF($Q14=4,1,0)),IF($F14&lt;=85,1,0))</formula>
    </cfRule>
  </conditionalFormatting>
  <conditionalFormatting sqref="AV15">
    <cfRule type="expression" dxfId="17935" priority="683">
      <formula>AV15="X"</formula>
    </cfRule>
    <cfRule type="expression" dxfId="17934" priority="684">
      <formula>AV15="후보"</formula>
    </cfRule>
  </conditionalFormatting>
  <conditionalFormatting sqref="AC15">
    <cfRule type="cellIs" dxfId="17933" priority="681" operator="greaterThan">
      <formula>0.9</formula>
    </cfRule>
    <cfRule type="cellIs" dxfId="17932" priority="682" operator="greaterThan">
      <formula>0.85</formula>
    </cfRule>
  </conditionalFormatting>
  <conditionalFormatting sqref="N15">
    <cfRule type="cellIs" dxfId="17931" priority="679" operator="greaterThan">
      <formula>0.9</formula>
    </cfRule>
    <cfRule type="cellIs" dxfId="17930" priority="680" operator="greaterThan">
      <formula>0.85</formula>
    </cfRule>
  </conditionalFormatting>
  <conditionalFormatting sqref="E15">
    <cfRule type="expression" dxfId="17929" priority="675">
      <formula>AND(IF(OR($Q15=1,$Q15=2),1,0),IF($X15&lt;=20,1,0))</formula>
    </cfRule>
    <cfRule type="expression" dxfId="17928" priority="676">
      <formula>AND(IF($Q15=2,1,0),IF($X15&lt;30,1,0))</formula>
    </cfRule>
    <cfRule type="expression" dxfId="17927" priority="677">
      <formula>AND(IF($Q15=3,1,0),IF($X15&lt;30,1,0))</formula>
    </cfRule>
    <cfRule type="expression" dxfId="17926" priority="678">
      <formula>AND(IF($Q15=3,1,IF($Q15=4,1,0)),IF($F15&lt;=85,1,0))</formula>
    </cfRule>
  </conditionalFormatting>
  <conditionalFormatting sqref="X15">
    <cfRule type="expression" dxfId="17925" priority="671">
      <formula>AND(IF(OR($Q15=1,$Q15=2),1,0),IF($X15&lt;=20,1,0))</formula>
    </cfRule>
    <cfRule type="expression" dxfId="17924" priority="672">
      <formula>AND(IF($Q15=2,1,0),IF($X15&lt;30,1,0))</formula>
    </cfRule>
    <cfRule type="expression" dxfId="17923" priority="673">
      <formula>AND(IF($Q15=3,1,0),IF($X15&lt;30,1,0))</formula>
    </cfRule>
    <cfRule type="expression" dxfId="17922" priority="674">
      <formula>AND(IF($Q15=3,1,IF($Q15=4,1,0)),IF($F15&lt;=85,1,0))</formula>
    </cfRule>
  </conditionalFormatting>
  <conditionalFormatting sqref="AI15">
    <cfRule type="expression" dxfId="17921" priority="667">
      <formula>AND(IF(OR($Q15=1,$Q15=2),1,0),IF($X15&lt;=20,1,0))</formula>
    </cfRule>
    <cfRule type="expression" dxfId="17920" priority="668">
      <formula>AND(IF($Q15=2,1,0),IF($X15&lt;30,1,0))</formula>
    </cfRule>
    <cfRule type="expression" dxfId="17919" priority="669">
      <formula>AND(IF($Q15=3,1,0),IF($X15&lt;30,1,0))</formula>
    </cfRule>
    <cfRule type="expression" dxfId="17918" priority="670">
      <formula>AND(IF($Q15=3,1,IF($Q15=4,1,0)),IF($F15&lt;=85,1,0))</formula>
    </cfRule>
  </conditionalFormatting>
  <conditionalFormatting sqref="AV16">
    <cfRule type="expression" dxfId="17917" priority="665">
      <formula>AV16="X"</formula>
    </cfRule>
    <cfRule type="expression" dxfId="17916" priority="666">
      <formula>AV16="후보"</formula>
    </cfRule>
  </conditionalFormatting>
  <conditionalFormatting sqref="AC16 N16">
    <cfRule type="cellIs" dxfId="17915" priority="663" operator="greaterThan">
      <formula>0.9</formula>
    </cfRule>
    <cfRule type="cellIs" dxfId="17914" priority="664" operator="greaterThan">
      <formula>0.85</formula>
    </cfRule>
  </conditionalFormatting>
  <conditionalFormatting sqref="AV17">
    <cfRule type="expression" dxfId="17913" priority="661">
      <formula>AV17="X"</formula>
    </cfRule>
    <cfRule type="expression" dxfId="17912" priority="662">
      <formula>AV17="후보"</formula>
    </cfRule>
  </conditionalFormatting>
  <conditionalFormatting sqref="AC17">
    <cfRule type="cellIs" dxfId="17911" priority="659" operator="greaterThan">
      <formula>0.9</formula>
    </cfRule>
    <cfRule type="cellIs" dxfId="17910" priority="660" operator="greaterThan">
      <formula>0.85</formula>
    </cfRule>
  </conditionalFormatting>
  <conditionalFormatting sqref="N17">
    <cfRule type="cellIs" dxfId="17909" priority="657" operator="greaterThan">
      <formula>0.9</formula>
    </cfRule>
    <cfRule type="cellIs" dxfId="17908" priority="658" operator="greaterThan">
      <formula>0.85</formula>
    </cfRule>
  </conditionalFormatting>
  <conditionalFormatting sqref="E17">
    <cfRule type="expression" dxfId="17907" priority="653">
      <formula>AND(IF(OR($Q17=1,$Q17=2),1,0),IF($X17&lt;=20,1,0))</formula>
    </cfRule>
    <cfRule type="expression" dxfId="17906" priority="654">
      <formula>AND(IF($Q17=2,1,0),IF($X17&lt;30,1,0))</formula>
    </cfRule>
    <cfRule type="expression" dxfId="17905" priority="655">
      <formula>AND(IF($Q17=3,1,0),IF($X17&lt;30,1,0))</formula>
    </cfRule>
    <cfRule type="expression" dxfId="17904" priority="656">
      <formula>AND(IF($Q17=3,1,IF($Q17=4,1,0)),IF($F17&lt;=85,1,0))</formula>
    </cfRule>
  </conditionalFormatting>
  <conditionalFormatting sqref="X17">
    <cfRule type="expression" dxfId="17903" priority="649">
      <formula>AND(IF(OR($Q17=1,$Q17=2),1,0),IF($X17&lt;=20,1,0))</formula>
    </cfRule>
    <cfRule type="expression" dxfId="17902" priority="650">
      <formula>AND(IF($Q17=2,1,0),IF($X17&lt;30,1,0))</formula>
    </cfRule>
    <cfRule type="expression" dxfId="17901" priority="651">
      <formula>AND(IF($Q17=3,1,0),IF($X17&lt;30,1,0))</formula>
    </cfRule>
    <cfRule type="expression" dxfId="17900" priority="652">
      <formula>AND(IF($Q17=3,1,IF($Q17=4,1,0)),IF($F17&lt;=85,1,0))</formula>
    </cfRule>
  </conditionalFormatting>
  <conditionalFormatting sqref="AI17">
    <cfRule type="expression" dxfId="17899" priority="645">
      <formula>AND(IF(OR($Q17=1,$Q17=2),1,0),IF($X17&lt;=20,1,0))</formula>
    </cfRule>
    <cfRule type="expression" dxfId="17898" priority="646">
      <formula>AND(IF($Q17=2,1,0),IF($X17&lt;30,1,0))</formula>
    </cfRule>
    <cfRule type="expression" dxfId="17897" priority="647">
      <formula>AND(IF($Q17=3,1,0),IF($X17&lt;30,1,0))</formula>
    </cfRule>
    <cfRule type="expression" dxfId="17896" priority="648">
      <formula>AND(IF($Q17=3,1,IF($Q17=4,1,0)),IF($F17&lt;=85,1,0))</formula>
    </cfRule>
  </conditionalFormatting>
  <conditionalFormatting sqref="AV18">
    <cfRule type="expression" dxfId="17895" priority="643">
      <formula>AV18="X"</formula>
    </cfRule>
    <cfRule type="expression" dxfId="17894" priority="644">
      <formula>AV18="후보"</formula>
    </cfRule>
  </conditionalFormatting>
  <conditionalFormatting sqref="AC18">
    <cfRule type="cellIs" dxfId="17893" priority="641" operator="greaterThan">
      <formula>0.9</formula>
    </cfRule>
    <cfRule type="cellIs" dxfId="17892" priority="642" operator="greaterThan">
      <formula>0.85</formula>
    </cfRule>
  </conditionalFormatting>
  <conditionalFormatting sqref="N18">
    <cfRule type="cellIs" dxfId="17891" priority="639" operator="greaterThan">
      <formula>0.9</formula>
    </cfRule>
    <cfRule type="cellIs" dxfId="17890" priority="640" operator="greaterThan">
      <formula>0.85</formula>
    </cfRule>
  </conditionalFormatting>
  <conditionalFormatting sqref="E18">
    <cfRule type="expression" dxfId="17889" priority="635">
      <formula>AND(IF(OR($Q18=1,$Q18=2),1,0),IF($X18&lt;=20,1,0))</formula>
    </cfRule>
    <cfRule type="expression" dxfId="17888" priority="636">
      <formula>AND(IF($Q18=2,1,0),IF($X18&lt;30,1,0))</formula>
    </cfRule>
    <cfRule type="expression" dxfId="17887" priority="637">
      <formula>AND(IF($Q18=3,1,0),IF($X18&lt;30,1,0))</formula>
    </cfRule>
    <cfRule type="expression" dxfId="17886" priority="638">
      <formula>AND(IF($Q18=3,1,IF($Q18=4,1,0)),IF($F18&lt;=85,1,0))</formula>
    </cfRule>
  </conditionalFormatting>
  <conditionalFormatting sqref="X18">
    <cfRule type="expression" dxfId="17885" priority="631">
      <formula>AND(IF(OR($Q18=1,$Q18=2),1,0),IF($X18&lt;=20,1,0))</formula>
    </cfRule>
    <cfRule type="expression" dxfId="17884" priority="632">
      <formula>AND(IF($Q18=2,1,0),IF($X18&lt;30,1,0))</formula>
    </cfRule>
    <cfRule type="expression" dxfId="17883" priority="633">
      <formula>AND(IF($Q18=3,1,0),IF($X18&lt;30,1,0))</formula>
    </cfRule>
    <cfRule type="expression" dxfId="17882" priority="634">
      <formula>AND(IF($Q18=3,1,IF($Q18=4,1,0)),IF($F18&lt;=85,1,0))</formula>
    </cfRule>
  </conditionalFormatting>
  <conditionalFormatting sqref="AI18">
    <cfRule type="expression" dxfId="17881" priority="627">
      <formula>AND(IF(OR($Q18=1,$Q18=2),1,0),IF($X18&lt;=20,1,0))</formula>
    </cfRule>
    <cfRule type="expression" dxfId="17880" priority="628">
      <formula>AND(IF($Q18=2,1,0),IF($X18&lt;30,1,0))</formula>
    </cfRule>
    <cfRule type="expression" dxfId="17879" priority="629">
      <formula>AND(IF($Q18=3,1,0),IF($X18&lt;30,1,0))</formula>
    </cfRule>
    <cfRule type="expression" dxfId="17878" priority="630">
      <formula>AND(IF($Q18=3,1,IF($Q18=4,1,0)),IF($F18&lt;=85,1,0))</formula>
    </cfRule>
  </conditionalFormatting>
  <conditionalFormatting sqref="AV19">
    <cfRule type="expression" dxfId="17877" priority="625">
      <formula>AV19="X"</formula>
    </cfRule>
    <cfRule type="expression" dxfId="17876" priority="626">
      <formula>AV19="후보"</formula>
    </cfRule>
  </conditionalFormatting>
  <conditionalFormatting sqref="AC19">
    <cfRule type="cellIs" dxfId="17875" priority="623" operator="greaterThan">
      <formula>0.9</formula>
    </cfRule>
    <cfRule type="cellIs" dxfId="17874" priority="624" operator="greaterThan">
      <formula>0.85</formula>
    </cfRule>
  </conditionalFormatting>
  <conditionalFormatting sqref="N19">
    <cfRule type="cellIs" dxfId="17873" priority="621" operator="greaterThan">
      <formula>0.9</formula>
    </cfRule>
    <cfRule type="cellIs" dxfId="17872" priority="622" operator="greaterThan">
      <formula>0.85</formula>
    </cfRule>
  </conditionalFormatting>
  <conditionalFormatting sqref="E19">
    <cfRule type="expression" dxfId="17871" priority="617">
      <formula>AND(IF(OR($Q19=1,$Q19=2),1,0),IF($X19&lt;=20,1,0))</formula>
    </cfRule>
    <cfRule type="expression" dxfId="17870" priority="618">
      <formula>AND(IF($Q19=2,1,0),IF($X19&lt;30,1,0))</formula>
    </cfRule>
    <cfRule type="expression" dxfId="17869" priority="619">
      <formula>AND(IF($Q19=3,1,0),IF($X19&lt;30,1,0))</formula>
    </cfRule>
    <cfRule type="expression" dxfId="17868" priority="620">
      <formula>AND(IF($Q19=3,1,IF($Q19=4,1,0)),IF($F19&lt;=85,1,0))</formula>
    </cfRule>
  </conditionalFormatting>
  <conditionalFormatting sqref="X19">
    <cfRule type="expression" dxfId="17867" priority="613">
      <formula>AND(IF(OR($Q19=1,$Q19=2),1,0),IF($X19&lt;=20,1,0))</formula>
    </cfRule>
    <cfRule type="expression" dxfId="17866" priority="614">
      <formula>AND(IF($Q19=2,1,0),IF($X19&lt;30,1,0))</formula>
    </cfRule>
    <cfRule type="expression" dxfId="17865" priority="615">
      <formula>AND(IF($Q19=3,1,0),IF($X19&lt;30,1,0))</formula>
    </cfRule>
    <cfRule type="expression" dxfId="17864" priority="616">
      <formula>AND(IF($Q19=3,1,IF($Q19=4,1,0)),IF($F19&lt;=85,1,0))</formula>
    </cfRule>
  </conditionalFormatting>
  <conditionalFormatting sqref="AI19">
    <cfRule type="expression" dxfId="17863" priority="609">
      <formula>AND(IF(OR($Q19=1,$Q19=2),1,0),IF($X19&lt;=20,1,0))</formula>
    </cfRule>
    <cfRule type="expression" dxfId="17862" priority="610">
      <formula>AND(IF($Q19=2,1,0),IF($X19&lt;30,1,0))</formula>
    </cfRule>
    <cfRule type="expression" dxfId="17861" priority="611">
      <formula>AND(IF($Q19=3,1,0),IF($X19&lt;30,1,0))</formula>
    </cfRule>
    <cfRule type="expression" dxfId="17860" priority="612">
      <formula>AND(IF($Q19=3,1,IF($Q19=4,1,0)),IF($F19&lt;=85,1,0))</formula>
    </cfRule>
  </conditionalFormatting>
  <conditionalFormatting sqref="AV20">
    <cfRule type="expression" dxfId="17859" priority="607">
      <formula>AV20="X"</formula>
    </cfRule>
    <cfRule type="expression" dxfId="17858" priority="608">
      <formula>AV20="후보"</formula>
    </cfRule>
  </conditionalFormatting>
  <conditionalFormatting sqref="AC20">
    <cfRule type="cellIs" dxfId="17857" priority="605" operator="greaterThan">
      <formula>0.9</formula>
    </cfRule>
    <cfRule type="cellIs" dxfId="17856" priority="606" operator="greaterThan">
      <formula>0.85</formula>
    </cfRule>
  </conditionalFormatting>
  <conditionalFormatting sqref="N20">
    <cfRule type="cellIs" dxfId="17855" priority="603" operator="greaterThan">
      <formula>0.9</formula>
    </cfRule>
    <cfRule type="cellIs" dxfId="17854" priority="604" operator="greaterThan">
      <formula>0.85</formula>
    </cfRule>
  </conditionalFormatting>
  <conditionalFormatting sqref="E20">
    <cfRule type="expression" dxfId="17853" priority="599">
      <formula>AND(IF(OR($Q20=1,$Q20=2),1,0),IF($X20&lt;=20,1,0))</formula>
    </cfRule>
    <cfRule type="expression" dxfId="17852" priority="600">
      <formula>AND(IF($Q20=2,1,0),IF($X20&lt;30,1,0))</formula>
    </cfRule>
    <cfRule type="expression" dxfId="17851" priority="601">
      <formula>AND(IF($Q20=3,1,0),IF($X20&lt;30,1,0))</formula>
    </cfRule>
    <cfRule type="expression" dxfId="17850" priority="602">
      <formula>AND(IF($Q20=3,1,IF($Q20=4,1,0)),IF($F20&lt;=85,1,0))</formula>
    </cfRule>
  </conditionalFormatting>
  <conditionalFormatting sqref="X20">
    <cfRule type="expression" dxfId="17849" priority="595">
      <formula>AND(IF(OR($Q20=1,$Q20=2),1,0),IF($X20&lt;=20,1,0))</formula>
    </cfRule>
    <cfRule type="expression" dxfId="17848" priority="596">
      <formula>AND(IF($Q20=2,1,0),IF($X20&lt;30,1,0))</formula>
    </cfRule>
    <cfRule type="expression" dxfId="17847" priority="597">
      <formula>AND(IF($Q20=3,1,0),IF($X20&lt;30,1,0))</formula>
    </cfRule>
    <cfRule type="expression" dxfId="17846" priority="598">
      <formula>AND(IF($Q20=3,1,IF($Q20=4,1,0)),IF($F20&lt;=85,1,0))</formula>
    </cfRule>
  </conditionalFormatting>
  <conditionalFormatting sqref="AI20">
    <cfRule type="expression" dxfId="17845" priority="591">
      <formula>AND(IF(OR($Q20=1,$Q20=2),1,0),IF($X20&lt;=20,1,0))</formula>
    </cfRule>
    <cfRule type="expression" dxfId="17844" priority="592">
      <formula>AND(IF($Q20=2,1,0),IF($X20&lt;30,1,0))</formula>
    </cfRule>
    <cfRule type="expression" dxfId="17843" priority="593">
      <formula>AND(IF($Q20=3,1,0),IF($X20&lt;30,1,0))</formula>
    </cfRule>
    <cfRule type="expression" dxfId="17842" priority="594">
      <formula>AND(IF($Q20=3,1,IF($Q20=4,1,0)),IF($F20&lt;=85,1,0))</formula>
    </cfRule>
  </conditionalFormatting>
  <conditionalFormatting sqref="AV21">
    <cfRule type="expression" dxfId="17841" priority="589">
      <formula>AV21="X"</formula>
    </cfRule>
    <cfRule type="expression" dxfId="17840" priority="590">
      <formula>AV21="후보"</formula>
    </cfRule>
  </conditionalFormatting>
  <conditionalFormatting sqref="AC21">
    <cfRule type="cellIs" dxfId="17839" priority="587" operator="greaterThan">
      <formula>0.9</formula>
    </cfRule>
    <cfRule type="cellIs" dxfId="17838" priority="588" operator="greaterThan">
      <formula>0.85</formula>
    </cfRule>
  </conditionalFormatting>
  <conditionalFormatting sqref="N21">
    <cfRule type="cellIs" dxfId="17837" priority="585" operator="greaterThan">
      <formula>0.9</formula>
    </cfRule>
    <cfRule type="cellIs" dxfId="17836" priority="586" operator="greaterThan">
      <formula>0.85</formula>
    </cfRule>
  </conditionalFormatting>
  <conditionalFormatting sqref="E21">
    <cfRule type="expression" dxfId="17835" priority="581">
      <formula>AND(IF(OR($Q21=1,$Q21=2),1,0),IF($X21&lt;=20,1,0))</formula>
    </cfRule>
    <cfRule type="expression" dxfId="17834" priority="582">
      <formula>AND(IF($Q21=2,1,0),IF($X21&lt;30,1,0))</formula>
    </cfRule>
    <cfRule type="expression" dxfId="17833" priority="583">
      <formula>AND(IF($Q21=3,1,0),IF($X21&lt;30,1,0))</formula>
    </cfRule>
    <cfRule type="expression" dxfId="17832" priority="584">
      <formula>AND(IF($Q21=3,1,IF($Q21=4,1,0)),IF($F21&lt;=85,1,0))</formula>
    </cfRule>
  </conditionalFormatting>
  <conditionalFormatting sqref="X21">
    <cfRule type="expression" dxfId="17831" priority="577">
      <formula>AND(IF(OR($Q21=1,$Q21=2),1,0),IF($X21&lt;=20,1,0))</formula>
    </cfRule>
    <cfRule type="expression" dxfId="17830" priority="578">
      <formula>AND(IF($Q21=2,1,0),IF($X21&lt;30,1,0))</formula>
    </cfRule>
    <cfRule type="expression" dxfId="17829" priority="579">
      <formula>AND(IF($Q21=3,1,0),IF($X21&lt;30,1,0))</formula>
    </cfRule>
    <cfRule type="expression" dxfId="17828" priority="580">
      <formula>AND(IF($Q21=3,1,IF($Q21=4,1,0)),IF($F21&lt;=85,1,0))</formula>
    </cfRule>
  </conditionalFormatting>
  <conditionalFormatting sqref="AI21">
    <cfRule type="expression" dxfId="17827" priority="573">
      <formula>AND(IF(OR($Q21=1,$Q21=2),1,0),IF($X21&lt;=20,1,0))</formula>
    </cfRule>
    <cfRule type="expression" dxfId="17826" priority="574">
      <formula>AND(IF($Q21=2,1,0),IF($X21&lt;30,1,0))</formula>
    </cfRule>
    <cfRule type="expression" dxfId="17825" priority="575">
      <formula>AND(IF($Q21=3,1,0),IF($X21&lt;30,1,0))</formula>
    </cfRule>
    <cfRule type="expression" dxfId="17824" priority="576">
      <formula>AND(IF($Q21=3,1,IF($Q21=4,1,0)),IF($F21&lt;=85,1,0))</formula>
    </cfRule>
  </conditionalFormatting>
  <conditionalFormatting sqref="AV22">
    <cfRule type="expression" dxfId="17823" priority="571">
      <formula>AV22="X"</formula>
    </cfRule>
    <cfRule type="expression" dxfId="17822" priority="572">
      <formula>AV22="후보"</formula>
    </cfRule>
  </conditionalFormatting>
  <conditionalFormatting sqref="AC22 N22">
    <cfRule type="cellIs" dxfId="17821" priority="569" operator="greaterThan">
      <formula>0.9</formula>
    </cfRule>
    <cfRule type="cellIs" dxfId="17820" priority="570" operator="greaterThan">
      <formula>0.85</formula>
    </cfRule>
  </conditionalFormatting>
  <conditionalFormatting sqref="AV23">
    <cfRule type="expression" dxfId="17819" priority="567">
      <formula>AV23="X"</formula>
    </cfRule>
    <cfRule type="expression" dxfId="17818" priority="568">
      <formula>AV23="후보"</formula>
    </cfRule>
  </conditionalFormatting>
  <conditionalFormatting sqref="AC23">
    <cfRule type="cellIs" dxfId="17817" priority="565" operator="greaterThan">
      <formula>0.9</formula>
    </cfRule>
    <cfRule type="cellIs" dxfId="17816" priority="566" operator="greaterThan">
      <formula>0.85</formula>
    </cfRule>
  </conditionalFormatting>
  <conditionalFormatting sqref="N23">
    <cfRule type="cellIs" dxfId="17815" priority="563" operator="greaterThan">
      <formula>0.9</formula>
    </cfRule>
    <cfRule type="cellIs" dxfId="17814" priority="564" operator="greaterThan">
      <formula>0.85</formula>
    </cfRule>
  </conditionalFormatting>
  <conditionalFormatting sqref="E23">
    <cfRule type="expression" dxfId="17813" priority="559">
      <formula>AND(IF(OR($Q23=1,$Q23=2),1,0),IF($X23&lt;=20,1,0))</formula>
    </cfRule>
    <cfRule type="expression" dxfId="17812" priority="560">
      <formula>AND(IF($Q23=2,1,0),IF($X23&lt;30,1,0))</formula>
    </cfRule>
    <cfRule type="expression" dxfId="17811" priority="561">
      <formula>AND(IF($Q23=3,1,0),IF($X23&lt;30,1,0))</formula>
    </cfRule>
    <cfRule type="expression" dxfId="17810" priority="562">
      <formula>AND(IF($Q23=3,1,IF($Q23=4,1,0)),IF($F23&lt;=85,1,0))</formula>
    </cfRule>
  </conditionalFormatting>
  <conditionalFormatting sqref="X23">
    <cfRule type="expression" dxfId="17809" priority="555">
      <formula>AND(IF(OR($Q23=1,$Q23=2),1,0),IF($X23&lt;=20,1,0))</formula>
    </cfRule>
    <cfRule type="expression" dxfId="17808" priority="556">
      <formula>AND(IF($Q23=2,1,0),IF($X23&lt;30,1,0))</formula>
    </cfRule>
    <cfRule type="expression" dxfId="17807" priority="557">
      <formula>AND(IF($Q23=3,1,0),IF($X23&lt;30,1,0))</formula>
    </cfRule>
    <cfRule type="expression" dxfId="17806" priority="558">
      <formula>AND(IF($Q23=3,1,IF($Q23=4,1,0)),IF($F23&lt;=85,1,0))</formula>
    </cfRule>
  </conditionalFormatting>
  <conditionalFormatting sqref="AI23">
    <cfRule type="expression" dxfId="17805" priority="551">
      <formula>AND(IF(OR($Q23=1,$Q23=2),1,0),IF($X23&lt;=20,1,0))</formula>
    </cfRule>
    <cfRule type="expression" dxfId="17804" priority="552">
      <formula>AND(IF($Q23=2,1,0),IF($X23&lt;30,1,0))</formula>
    </cfRule>
    <cfRule type="expression" dxfId="17803" priority="553">
      <formula>AND(IF($Q23=3,1,0),IF($X23&lt;30,1,0))</formula>
    </cfRule>
    <cfRule type="expression" dxfId="17802" priority="554">
      <formula>AND(IF($Q23=3,1,IF($Q23=4,1,0)),IF($F23&lt;=85,1,0))</formula>
    </cfRule>
  </conditionalFormatting>
  <conditionalFormatting sqref="AV24">
    <cfRule type="expression" dxfId="17801" priority="549">
      <formula>AV24="X"</formula>
    </cfRule>
    <cfRule type="expression" dxfId="17800" priority="550">
      <formula>AV24="후보"</formula>
    </cfRule>
  </conditionalFormatting>
  <conditionalFormatting sqref="AC24">
    <cfRule type="cellIs" dxfId="17799" priority="547" operator="greaterThan">
      <formula>0.9</formula>
    </cfRule>
    <cfRule type="cellIs" dxfId="17798" priority="548" operator="greaterThan">
      <formula>0.85</formula>
    </cfRule>
  </conditionalFormatting>
  <conditionalFormatting sqref="N24">
    <cfRule type="cellIs" dxfId="17797" priority="545" operator="greaterThan">
      <formula>0.9</formula>
    </cfRule>
    <cfRule type="cellIs" dxfId="17796" priority="546" operator="greaterThan">
      <formula>0.85</formula>
    </cfRule>
  </conditionalFormatting>
  <conditionalFormatting sqref="E24">
    <cfRule type="expression" dxfId="17795" priority="541">
      <formula>AND(IF(OR($Q24=1,$Q24=2),1,0),IF($X24&lt;=20,1,0))</formula>
    </cfRule>
    <cfRule type="expression" dxfId="17794" priority="542">
      <formula>AND(IF($Q24=2,1,0),IF($X24&lt;30,1,0))</formula>
    </cfRule>
    <cfRule type="expression" dxfId="17793" priority="543">
      <formula>AND(IF($Q24=3,1,0),IF($X24&lt;30,1,0))</formula>
    </cfRule>
    <cfRule type="expression" dxfId="17792" priority="544">
      <formula>AND(IF($Q24=3,1,IF($Q24=4,1,0)),IF($F24&lt;=85,1,0))</formula>
    </cfRule>
  </conditionalFormatting>
  <conditionalFormatting sqref="X24">
    <cfRule type="expression" dxfId="17791" priority="537">
      <formula>AND(IF(OR($Q24=1,$Q24=2),1,0),IF($X24&lt;=20,1,0))</formula>
    </cfRule>
    <cfRule type="expression" dxfId="17790" priority="538">
      <formula>AND(IF($Q24=2,1,0),IF($X24&lt;30,1,0))</formula>
    </cfRule>
    <cfRule type="expression" dxfId="17789" priority="539">
      <formula>AND(IF($Q24=3,1,0),IF($X24&lt;30,1,0))</formula>
    </cfRule>
    <cfRule type="expression" dxfId="17788" priority="540">
      <formula>AND(IF($Q24=3,1,IF($Q24=4,1,0)),IF($F24&lt;=85,1,0))</formula>
    </cfRule>
  </conditionalFormatting>
  <conditionalFormatting sqref="AI24">
    <cfRule type="expression" dxfId="17787" priority="533">
      <formula>AND(IF(OR($Q24=1,$Q24=2),1,0),IF($X24&lt;=20,1,0))</formula>
    </cfRule>
    <cfRule type="expression" dxfId="17786" priority="534">
      <formula>AND(IF($Q24=2,1,0),IF($X24&lt;30,1,0))</formula>
    </cfRule>
    <cfRule type="expression" dxfId="17785" priority="535">
      <formula>AND(IF($Q24=3,1,0),IF($X24&lt;30,1,0))</formula>
    </cfRule>
    <cfRule type="expression" dxfId="17784" priority="536">
      <formula>AND(IF($Q24=3,1,IF($Q24=4,1,0)),IF($F24&lt;=85,1,0))</formula>
    </cfRule>
  </conditionalFormatting>
  <conditionalFormatting sqref="AV25">
    <cfRule type="expression" dxfId="17783" priority="531">
      <formula>AV25="X"</formula>
    </cfRule>
    <cfRule type="expression" dxfId="17782" priority="532">
      <formula>AV25="후보"</formula>
    </cfRule>
  </conditionalFormatting>
  <conditionalFormatting sqref="AC25">
    <cfRule type="cellIs" dxfId="17781" priority="529" operator="greaterThan">
      <formula>0.9</formula>
    </cfRule>
    <cfRule type="cellIs" dxfId="17780" priority="530" operator="greaterThan">
      <formula>0.85</formula>
    </cfRule>
  </conditionalFormatting>
  <conditionalFormatting sqref="N25">
    <cfRule type="cellIs" dxfId="17779" priority="527" operator="greaterThan">
      <formula>0.9</formula>
    </cfRule>
    <cfRule type="cellIs" dxfId="17778" priority="528" operator="greaterThan">
      <formula>0.85</formula>
    </cfRule>
  </conditionalFormatting>
  <conditionalFormatting sqref="E25">
    <cfRule type="expression" dxfId="17777" priority="523">
      <formula>AND(IF(OR($Q25=1,$Q25=2),1,0),IF($X25&lt;=20,1,0))</formula>
    </cfRule>
    <cfRule type="expression" dxfId="17776" priority="524">
      <formula>AND(IF($Q25=2,1,0),IF($X25&lt;30,1,0))</formula>
    </cfRule>
    <cfRule type="expression" dxfId="17775" priority="525">
      <formula>AND(IF($Q25=3,1,0),IF($X25&lt;30,1,0))</formula>
    </cfRule>
    <cfRule type="expression" dxfId="17774" priority="526">
      <formula>AND(IF($Q25=3,1,IF($Q25=4,1,0)),IF($F25&lt;=85,1,0))</formula>
    </cfRule>
  </conditionalFormatting>
  <conditionalFormatting sqref="X25">
    <cfRule type="expression" dxfId="17773" priority="519">
      <formula>AND(IF(OR($Q25=1,$Q25=2),1,0),IF($X25&lt;=20,1,0))</formula>
    </cfRule>
    <cfRule type="expression" dxfId="17772" priority="520">
      <formula>AND(IF($Q25=2,1,0),IF($X25&lt;30,1,0))</formula>
    </cfRule>
    <cfRule type="expression" dxfId="17771" priority="521">
      <formula>AND(IF($Q25=3,1,0),IF($X25&lt;30,1,0))</formula>
    </cfRule>
    <cfRule type="expression" dxfId="17770" priority="522">
      <formula>AND(IF($Q25=3,1,IF($Q25=4,1,0)),IF($F25&lt;=85,1,0))</formula>
    </cfRule>
  </conditionalFormatting>
  <conditionalFormatting sqref="AI25">
    <cfRule type="expression" dxfId="17769" priority="515">
      <formula>AND(IF(OR($Q25=1,$Q25=2),1,0),IF($X25&lt;=20,1,0))</formula>
    </cfRule>
    <cfRule type="expression" dxfId="17768" priority="516">
      <formula>AND(IF($Q25=2,1,0),IF($X25&lt;30,1,0))</formula>
    </cfRule>
    <cfRule type="expression" dxfId="17767" priority="517">
      <formula>AND(IF($Q25=3,1,0),IF($X25&lt;30,1,0))</formula>
    </cfRule>
    <cfRule type="expression" dxfId="17766" priority="518">
      <formula>AND(IF($Q25=3,1,IF($Q25=4,1,0)),IF($F25&lt;=85,1,0))</formula>
    </cfRule>
  </conditionalFormatting>
  <conditionalFormatting sqref="AV26">
    <cfRule type="expression" dxfId="17765" priority="513">
      <formula>AV26="X"</formula>
    </cfRule>
    <cfRule type="expression" dxfId="17764" priority="514">
      <formula>AV26="후보"</formula>
    </cfRule>
  </conditionalFormatting>
  <conditionalFormatting sqref="AC26">
    <cfRule type="cellIs" dxfId="17763" priority="511" operator="greaterThan">
      <formula>0.9</formula>
    </cfRule>
    <cfRule type="cellIs" dxfId="17762" priority="512" operator="greaterThan">
      <formula>0.85</formula>
    </cfRule>
  </conditionalFormatting>
  <conditionalFormatting sqref="N26">
    <cfRule type="cellIs" dxfId="17761" priority="509" operator="greaterThan">
      <formula>0.9</formula>
    </cfRule>
    <cfRule type="cellIs" dxfId="17760" priority="510" operator="greaterThan">
      <formula>0.85</formula>
    </cfRule>
  </conditionalFormatting>
  <conditionalFormatting sqref="E26">
    <cfRule type="expression" dxfId="17759" priority="505">
      <formula>AND(IF(OR($Q26=1,$Q26=2),1,0),IF($X26&lt;=20,1,0))</formula>
    </cfRule>
    <cfRule type="expression" dxfId="17758" priority="506">
      <formula>AND(IF($Q26=2,1,0),IF($X26&lt;30,1,0))</formula>
    </cfRule>
    <cfRule type="expression" dxfId="17757" priority="507">
      <formula>AND(IF($Q26=3,1,0),IF($X26&lt;30,1,0))</formula>
    </cfRule>
    <cfRule type="expression" dxfId="17756" priority="508">
      <formula>AND(IF($Q26=3,1,IF($Q26=4,1,0)),IF($F26&lt;=85,1,0))</formula>
    </cfRule>
  </conditionalFormatting>
  <conditionalFormatting sqref="X26">
    <cfRule type="expression" dxfId="17755" priority="501">
      <formula>AND(IF(OR($Q26=1,$Q26=2),1,0),IF($X26&lt;=20,1,0))</formula>
    </cfRule>
    <cfRule type="expression" dxfId="17754" priority="502">
      <formula>AND(IF($Q26=2,1,0),IF($X26&lt;30,1,0))</formula>
    </cfRule>
    <cfRule type="expression" dxfId="17753" priority="503">
      <formula>AND(IF($Q26=3,1,0),IF($X26&lt;30,1,0))</formula>
    </cfRule>
    <cfRule type="expression" dxfId="17752" priority="504">
      <formula>AND(IF($Q26=3,1,IF($Q26=4,1,0)),IF($F26&lt;=85,1,0))</formula>
    </cfRule>
  </conditionalFormatting>
  <conditionalFormatting sqref="AI26">
    <cfRule type="expression" dxfId="17751" priority="497">
      <formula>AND(IF(OR($Q26=1,$Q26=2),1,0),IF($X26&lt;=20,1,0))</formula>
    </cfRule>
    <cfRule type="expression" dxfId="17750" priority="498">
      <formula>AND(IF($Q26=2,1,0),IF($X26&lt;30,1,0))</formula>
    </cfRule>
    <cfRule type="expression" dxfId="17749" priority="499">
      <formula>AND(IF($Q26=3,1,0),IF($X26&lt;30,1,0))</formula>
    </cfRule>
    <cfRule type="expression" dxfId="17748" priority="500">
      <formula>AND(IF($Q26=3,1,IF($Q26=4,1,0)),IF($F26&lt;=85,1,0))</formula>
    </cfRule>
  </conditionalFormatting>
  <conditionalFormatting sqref="AV27">
    <cfRule type="expression" dxfId="17747" priority="495">
      <formula>AV27="X"</formula>
    </cfRule>
    <cfRule type="expression" dxfId="17746" priority="496">
      <formula>AV27="후보"</formula>
    </cfRule>
  </conditionalFormatting>
  <conditionalFormatting sqref="AC27">
    <cfRule type="cellIs" dxfId="17745" priority="493" operator="greaterThan">
      <formula>0.9</formula>
    </cfRule>
    <cfRule type="cellIs" dxfId="17744" priority="494" operator="greaterThan">
      <formula>0.85</formula>
    </cfRule>
  </conditionalFormatting>
  <conditionalFormatting sqref="N27">
    <cfRule type="cellIs" dxfId="17743" priority="491" operator="greaterThan">
      <formula>0.9</formula>
    </cfRule>
    <cfRule type="cellIs" dxfId="17742" priority="492" operator="greaterThan">
      <formula>0.85</formula>
    </cfRule>
  </conditionalFormatting>
  <conditionalFormatting sqref="E27">
    <cfRule type="expression" dxfId="17741" priority="487">
      <formula>AND(IF(OR($Q27=1,$Q27=2),1,0),IF($X27&lt;=20,1,0))</formula>
    </cfRule>
    <cfRule type="expression" dxfId="17740" priority="488">
      <formula>AND(IF($Q27=2,1,0),IF($X27&lt;30,1,0))</formula>
    </cfRule>
    <cfRule type="expression" dxfId="17739" priority="489">
      <formula>AND(IF($Q27=3,1,0),IF($X27&lt;30,1,0))</formula>
    </cfRule>
    <cfRule type="expression" dxfId="17738" priority="490">
      <formula>AND(IF($Q27=3,1,IF($Q27=4,1,0)),IF($F27&lt;=85,1,0))</formula>
    </cfRule>
  </conditionalFormatting>
  <conditionalFormatting sqref="X27">
    <cfRule type="expression" dxfId="17737" priority="483">
      <formula>AND(IF(OR($Q27=1,$Q27=2),1,0),IF($X27&lt;=20,1,0))</formula>
    </cfRule>
    <cfRule type="expression" dxfId="17736" priority="484">
      <formula>AND(IF($Q27=2,1,0),IF($X27&lt;30,1,0))</formula>
    </cfRule>
    <cfRule type="expression" dxfId="17735" priority="485">
      <formula>AND(IF($Q27=3,1,0),IF($X27&lt;30,1,0))</formula>
    </cfRule>
    <cfRule type="expression" dxfId="17734" priority="486">
      <formula>AND(IF($Q27=3,1,IF($Q27=4,1,0)),IF($F27&lt;=85,1,0))</formula>
    </cfRule>
  </conditionalFormatting>
  <conditionalFormatting sqref="AI27">
    <cfRule type="expression" dxfId="17733" priority="479">
      <formula>AND(IF(OR($Q27=1,$Q27=2),1,0),IF($X27&lt;=20,1,0))</formula>
    </cfRule>
    <cfRule type="expression" dxfId="17732" priority="480">
      <formula>AND(IF($Q27=2,1,0),IF($X27&lt;30,1,0))</formula>
    </cfRule>
    <cfRule type="expression" dxfId="17731" priority="481">
      <formula>AND(IF($Q27=3,1,0),IF($X27&lt;30,1,0))</formula>
    </cfRule>
    <cfRule type="expression" dxfId="17730" priority="482">
      <formula>AND(IF($Q27=3,1,IF($Q27=4,1,0)),IF($F27&lt;=85,1,0))</formula>
    </cfRule>
  </conditionalFormatting>
  <conditionalFormatting sqref="AV28">
    <cfRule type="expression" dxfId="17729" priority="477">
      <formula>AV28="X"</formula>
    </cfRule>
    <cfRule type="expression" dxfId="17728" priority="478">
      <formula>AV28="후보"</formula>
    </cfRule>
  </conditionalFormatting>
  <conditionalFormatting sqref="AC28 N28">
    <cfRule type="cellIs" dxfId="17727" priority="475" operator="greaterThan">
      <formula>0.9</formula>
    </cfRule>
    <cfRule type="cellIs" dxfId="17726" priority="476" operator="greaterThan">
      <formula>0.85</formula>
    </cfRule>
  </conditionalFormatting>
  <conditionalFormatting sqref="AV29">
    <cfRule type="expression" dxfId="17725" priority="473">
      <formula>AV29="X"</formula>
    </cfRule>
    <cfRule type="expression" dxfId="17724" priority="474">
      <formula>AV29="후보"</formula>
    </cfRule>
  </conditionalFormatting>
  <conditionalFormatting sqref="AC29">
    <cfRule type="cellIs" dxfId="17723" priority="471" operator="greaterThan">
      <formula>0.9</formula>
    </cfRule>
    <cfRule type="cellIs" dxfId="17722" priority="472" operator="greaterThan">
      <formula>0.85</formula>
    </cfRule>
  </conditionalFormatting>
  <conditionalFormatting sqref="N29">
    <cfRule type="cellIs" dxfId="17721" priority="469" operator="greaterThan">
      <formula>0.9</formula>
    </cfRule>
    <cfRule type="cellIs" dxfId="17720" priority="470" operator="greaterThan">
      <formula>0.85</formula>
    </cfRule>
  </conditionalFormatting>
  <conditionalFormatting sqref="E29">
    <cfRule type="expression" dxfId="17719" priority="465">
      <formula>AND(IF(OR($Q29=1,$Q29=2),1,0),IF($X29&lt;=20,1,0))</formula>
    </cfRule>
    <cfRule type="expression" dxfId="17718" priority="466">
      <formula>AND(IF($Q29=2,1,0),IF($X29&lt;30,1,0))</formula>
    </cfRule>
    <cfRule type="expression" dxfId="17717" priority="467">
      <formula>AND(IF($Q29=3,1,0),IF($X29&lt;30,1,0))</formula>
    </cfRule>
    <cfRule type="expression" dxfId="17716" priority="468">
      <formula>AND(IF($Q29=3,1,IF($Q29=4,1,0)),IF($F29&lt;=85,1,0))</formula>
    </cfRule>
  </conditionalFormatting>
  <conditionalFormatting sqref="X29">
    <cfRule type="expression" dxfId="17715" priority="461">
      <formula>AND(IF(OR($Q29=1,$Q29=2),1,0),IF($X29&lt;=20,1,0))</formula>
    </cfRule>
    <cfRule type="expression" dxfId="17714" priority="462">
      <formula>AND(IF($Q29=2,1,0),IF($X29&lt;30,1,0))</formula>
    </cfRule>
    <cfRule type="expression" dxfId="17713" priority="463">
      <formula>AND(IF($Q29=3,1,0),IF($X29&lt;30,1,0))</formula>
    </cfRule>
    <cfRule type="expression" dxfId="17712" priority="464">
      <formula>AND(IF($Q29=3,1,IF($Q29=4,1,0)),IF($F29&lt;=85,1,0))</formula>
    </cfRule>
  </conditionalFormatting>
  <conditionalFormatting sqref="AI29">
    <cfRule type="expression" dxfId="17711" priority="457">
      <formula>AND(IF(OR($Q29=1,$Q29=2),1,0),IF($X29&lt;=20,1,0))</formula>
    </cfRule>
    <cfRule type="expression" dxfId="17710" priority="458">
      <formula>AND(IF($Q29=2,1,0),IF($X29&lt;30,1,0))</formula>
    </cfRule>
    <cfRule type="expression" dxfId="17709" priority="459">
      <formula>AND(IF($Q29=3,1,0),IF($X29&lt;30,1,0))</formula>
    </cfRule>
    <cfRule type="expression" dxfId="17708" priority="460">
      <formula>AND(IF($Q29=3,1,IF($Q29=4,1,0)),IF($F29&lt;=85,1,0))</formula>
    </cfRule>
  </conditionalFormatting>
  <conditionalFormatting sqref="AV30">
    <cfRule type="expression" dxfId="17707" priority="455">
      <formula>AV30="X"</formula>
    </cfRule>
    <cfRule type="expression" dxfId="17706" priority="456">
      <formula>AV30="후보"</formula>
    </cfRule>
  </conditionalFormatting>
  <conditionalFormatting sqref="AC30">
    <cfRule type="cellIs" dxfId="17705" priority="453" operator="greaterThan">
      <formula>0.9</formula>
    </cfRule>
    <cfRule type="cellIs" dxfId="17704" priority="454" operator="greaterThan">
      <formula>0.85</formula>
    </cfRule>
  </conditionalFormatting>
  <conditionalFormatting sqref="N30">
    <cfRule type="cellIs" dxfId="17703" priority="451" operator="greaterThan">
      <formula>0.9</formula>
    </cfRule>
    <cfRule type="cellIs" dxfId="17702" priority="452" operator="greaterThan">
      <formula>0.85</formula>
    </cfRule>
  </conditionalFormatting>
  <conditionalFormatting sqref="E30">
    <cfRule type="expression" dxfId="17701" priority="447">
      <formula>AND(IF(OR($Q30=1,$Q30=2),1,0),IF($X30&lt;=20,1,0))</formula>
    </cfRule>
    <cfRule type="expression" dxfId="17700" priority="448">
      <formula>AND(IF($Q30=2,1,0),IF($X30&lt;30,1,0))</formula>
    </cfRule>
    <cfRule type="expression" dxfId="17699" priority="449">
      <formula>AND(IF($Q30=3,1,0),IF($X30&lt;30,1,0))</formula>
    </cfRule>
    <cfRule type="expression" dxfId="17698" priority="450">
      <formula>AND(IF($Q30=3,1,IF($Q30=4,1,0)),IF($F30&lt;=85,1,0))</formula>
    </cfRule>
  </conditionalFormatting>
  <conditionalFormatting sqref="X30">
    <cfRule type="expression" dxfId="17697" priority="443">
      <formula>AND(IF(OR($Q30=1,$Q30=2),1,0),IF($X30&lt;=20,1,0))</formula>
    </cfRule>
    <cfRule type="expression" dxfId="17696" priority="444">
      <formula>AND(IF($Q30=2,1,0),IF($X30&lt;30,1,0))</formula>
    </cfRule>
    <cfRule type="expression" dxfId="17695" priority="445">
      <formula>AND(IF($Q30=3,1,0),IF($X30&lt;30,1,0))</formula>
    </cfRule>
    <cfRule type="expression" dxfId="17694" priority="446">
      <formula>AND(IF($Q30=3,1,IF($Q30=4,1,0)),IF($F30&lt;=85,1,0))</formula>
    </cfRule>
  </conditionalFormatting>
  <conditionalFormatting sqref="AI30">
    <cfRule type="expression" dxfId="17693" priority="439">
      <formula>AND(IF(OR($Q30=1,$Q30=2),1,0),IF($X30&lt;=20,1,0))</formula>
    </cfRule>
    <cfRule type="expression" dxfId="17692" priority="440">
      <formula>AND(IF($Q30=2,1,0),IF($X30&lt;30,1,0))</formula>
    </cfRule>
    <cfRule type="expression" dxfId="17691" priority="441">
      <formula>AND(IF($Q30=3,1,0),IF($X30&lt;30,1,0))</formula>
    </cfRule>
    <cfRule type="expression" dxfId="17690" priority="442">
      <formula>AND(IF($Q30=3,1,IF($Q30=4,1,0)),IF($F30&lt;=85,1,0))</formula>
    </cfRule>
  </conditionalFormatting>
  <conditionalFormatting sqref="AV31">
    <cfRule type="expression" dxfId="17689" priority="437">
      <formula>AV31="X"</formula>
    </cfRule>
    <cfRule type="expression" dxfId="17688" priority="438">
      <formula>AV31="후보"</formula>
    </cfRule>
  </conditionalFormatting>
  <conditionalFormatting sqref="AC31">
    <cfRule type="cellIs" dxfId="17687" priority="435" operator="greaterThan">
      <formula>0.9</formula>
    </cfRule>
    <cfRule type="cellIs" dxfId="17686" priority="436" operator="greaterThan">
      <formula>0.85</formula>
    </cfRule>
  </conditionalFormatting>
  <conditionalFormatting sqref="N31">
    <cfRule type="cellIs" dxfId="17685" priority="433" operator="greaterThan">
      <formula>0.9</formula>
    </cfRule>
    <cfRule type="cellIs" dxfId="17684" priority="434" operator="greaterThan">
      <formula>0.85</formula>
    </cfRule>
  </conditionalFormatting>
  <conditionalFormatting sqref="E31">
    <cfRule type="expression" dxfId="17683" priority="429">
      <formula>AND(IF(OR($Q31=1,$Q31=2),1,0),IF($X31&lt;=20,1,0))</formula>
    </cfRule>
    <cfRule type="expression" dxfId="17682" priority="430">
      <formula>AND(IF($Q31=2,1,0),IF($X31&lt;30,1,0))</formula>
    </cfRule>
    <cfRule type="expression" dxfId="17681" priority="431">
      <formula>AND(IF($Q31=3,1,0),IF($X31&lt;30,1,0))</formula>
    </cfRule>
    <cfRule type="expression" dxfId="17680" priority="432">
      <formula>AND(IF($Q31=3,1,IF($Q31=4,1,0)),IF($F31&lt;=85,1,0))</formula>
    </cfRule>
  </conditionalFormatting>
  <conditionalFormatting sqref="X31">
    <cfRule type="expression" dxfId="17679" priority="425">
      <formula>AND(IF(OR($Q31=1,$Q31=2),1,0),IF($X31&lt;=20,1,0))</formula>
    </cfRule>
    <cfRule type="expression" dxfId="17678" priority="426">
      <formula>AND(IF($Q31=2,1,0),IF($X31&lt;30,1,0))</formula>
    </cfRule>
    <cfRule type="expression" dxfId="17677" priority="427">
      <formula>AND(IF($Q31=3,1,0),IF($X31&lt;30,1,0))</formula>
    </cfRule>
    <cfRule type="expression" dxfId="17676" priority="428">
      <formula>AND(IF($Q31=3,1,IF($Q31=4,1,0)),IF($F31&lt;=85,1,0))</formula>
    </cfRule>
  </conditionalFormatting>
  <conditionalFormatting sqref="AI31">
    <cfRule type="expression" dxfId="17675" priority="421">
      <formula>AND(IF(OR($Q31=1,$Q31=2),1,0),IF($X31&lt;=20,1,0))</formula>
    </cfRule>
    <cfRule type="expression" dxfId="17674" priority="422">
      <formula>AND(IF($Q31=2,1,0),IF($X31&lt;30,1,0))</formula>
    </cfRule>
    <cfRule type="expression" dxfId="17673" priority="423">
      <formula>AND(IF($Q31=3,1,0),IF($X31&lt;30,1,0))</formula>
    </cfRule>
    <cfRule type="expression" dxfId="17672" priority="424">
      <formula>AND(IF($Q31=3,1,IF($Q31=4,1,0)),IF($F31&lt;=85,1,0))</formula>
    </cfRule>
  </conditionalFormatting>
  <conditionalFormatting sqref="AV32">
    <cfRule type="expression" dxfId="17671" priority="419">
      <formula>AV32="X"</formula>
    </cfRule>
    <cfRule type="expression" dxfId="17670" priority="420">
      <formula>AV32="후보"</formula>
    </cfRule>
  </conditionalFormatting>
  <conditionalFormatting sqref="AC32">
    <cfRule type="cellIs" dxfId="17669" priority="417" operator="greaterThan">
      <formula>0.9</formula>
    </cfRule>
    <cfRule type="cellIs" dxfId="17668" priority="418" operator="greaterThan">
      <formula>0.85</formula>
    </cfRule>
  </conditionalFormatting>
  <conditionalFormatting sqref="N32">
    <cfRule type="cellIs" dxfId="17667" priority="415" operator="greaterThan">
      <formula>0.9</formula>
    </cfRule>
    <cfRule type="cellIs" dxfId="17666" priority="416" operator="greaterThan">
      <formula>0.85</formula>
    </cfRule>
  </conditionalFormatting>
  <conditionalFormatting sqref="E32">
    <cfRule type="expression" dxfId="17665" priority="411">
      <formula>AND(IF(OR($Q32=1,$Q32=2),1,0),IF($X32&lt;=20,1,0))</formula>
    </cfRule>
    <cfRule type="expression" dxfId="17664" priority="412">
      <formula>AND(IF($Q32=2,1,0),IF($X32&lt;30,1,0))</formula>
    </cfRule>
    <cfRule type="expression" dxfId="17663" priority="413">
      <formula>AND(IF($Q32=3,1,0),IF($X32&lt;30,1,0))</formula>
    </cfRule>
    <cfRule type="expression" dxfId="17662" priority="414">
      <formula>AND(IF($Q32=3,1,IF($Q32=4,1,0)),IF($F32&lt;=85,1,0))</formula>
    </cfRule>
  </conditionalFormatting>
  <conditionalFormatting sqref="X32">
    <cfRule type="expression" dxfId="17661" priority="407">
      <formula>AND(IF(OR($Q32=1,$Q32=2),1,0),IF($X32&lt;=20,1,0))</formula>
    </cfRule>
    <cfRule type="expression" dxfId="17660" priority="408">
      <formula>AND(IF($Q32=2,1,0),IF($X32&lt;30,1,0))</formula>
    </cfRule>
    <cfRule type="expression" dxfId="17659" priority="409">
      <formula>AND(IF($Q32=3,1,0),IF($X32&lt;30,1,0))</formula>
    </cfRule>
    <cfRule type="expression" dxfId="17658" priority="410">
      <formula>AND(IF($Q32=3,1,IF($Q32=4,1,0)),IF($F32&lt;=85,1,0))</formula>
    </cfRule>
  </conditionalFormatting>
  <conditionalFormatting sqref="AI32">
    <cfRule type="expression" dxfId="17657" priority="403">
      <formula>AND(IF(OR($Q32=1,$Q32=2),1,0),IF($X32&lt;=20,1,0))</formula>
    </cfRule>
    <cfRule type="expression" dxfId="17656" priority="404">
      <formula>AND(IF($Q32=2,1,0),IF($X32&lt;30,1,0))</formula>
    </cfRule>
    <cfRule type="expression" dxfId="17655" priority="405">
      <formula>AND(IF($Q32=3,1,0),IF($X32&lt;30,1,0))</formula>
    </cfRule>
    <cfRule type="expression" dxfId="17654" priority="406">
      <formula>AND(IF($Q32=3,1,IF($Q32=4,1,0)),IF($F32&lt;=85,1,0))</formula>
    </cfRule>
  </conditionalFormatting>
  <conditionalFormatting sqref="AV33">
    <cfRule type="expression" dxfId="17653" priority="401">
      <formula>AV33="X"</formula>
    </cfRule>
    <cfRule type="expression" dxfId="17652" priority="402">
      <formula>AV33="후보"</formula>
    </cfRule>
  </conditionalFormatting>
  <conditionalFormatting sqref="AC33 N33">
    <cfRule type="cellIs" dxfId="17651" priority="399" operator="greaterThan">
      <formula>0.9</formula>
    </cfRule>
    <cfRule type="cellIs" dxfId="17650" priority="400" operator="greaterThan">
      <formula>0.85</formula>
    </cfRule>
  </conditionalFormatting>
  <conditionalFormatting sqref="AV34">
    <cfRule type="expression" dxfId="17649" priority="397">
      <formula>AV34="X"</formula>
    </cfRule>
    <cfRule type="expression" dxfId="17648" priority="398">
      <formula>AV34="후보"</formula>
    </cfRule>
  </conditionalFormatting>
  <conditionalFormatting sqref="AC34">
    <cfRule type="cellIs" dxfId="17647" priority="395" operator="greaterThan">
      <formula>0.9</formula>
    </cfRule>
    <cfRule type="cellIs" dxfId="17646" priority="396" operator="greaterThan">
      <formula>0.85</formula>
    </cfRule>
  </conditionalFormatting>
  <conditionalFormatting sqref="N34">
    <cfRule type="cellIs" dxfId="17645" priority="393" operator="greaterThan">
      <formula>0.9</formula>
    </cfRule>
    <cfRule type="cellIs" dxfId="17644" priority="394" operator="greaterThan">
      <formula>0.85</formula>
    </cfRule>
  </conditionalFormatting>
  <conditionalFormatting sqref="E34">
    <cfRule type="expression" dxfId="17643" priority="389">
      <formula>AND(IF(OR($Q34=1,$Q34=2),1,0),IF($X34&lt;=20,1,0))</formula>
    </cfRule>
    <cfRule type="expression" dxfId="17642" priority="390">
      <formula>AND(IF($Q34=2,1,0),IF($X34&lt;30,1,0))</formula>
    </cfRule>
    <cfRule type="expression" dxfId="17641" priority="391">
      <formula>AND(IF($Q34=3,1,0),IF($X34&lt;30,1,0))</formula>
    </cfRule>
    <cfRule type="expression" dxfId="17640" priority="392">
      <formula>AND(IF($Q34=3,1,IF($Q34=4,1,0)),IF($F34&lt;=85,1,0))</formula>
    </cfRule>
  </conditionalFormatting>
  <conditionalFormatting sqref="X34">
    <cfRule type="expression" dxfId="17639" priority="385">
      <formula>AND(IF(OR($Q34=1,$Q34=2),1,0),IF($X34&lt;=20,1,0))</formula>
    </cfRule>
    <cfRule type="expression" dxfId="17638" priority="386">
      <formula>AND(IF($Q34=2,1,0),IF($X34&lt;30,1,0))</formula>
    </cfRule>
    <cfRule type="expression" dxfId="17637" priority="387">
      <formula>AND(IF($Q34=3,1,0),IF($X34&lt;30,1,0))</formula>
    </cfRule>
    <cfRule type="expression" dxfId="17636" priority="388">
      <formula>AND(IF($Q34=3,1,IF($Q34=4,1,0)),IF($F34&lt;=85,1,0))</formula>
    </cfRule>
  </conditionalFormatting>
  <conditionalFormatting sqref="AI34">
    <cfRule type="expression" dxfId="17635" priority="381">
      <formula>AND(IF(OR($Q34=1,$Q34=2),1,0),IF($X34&lt;=20,1,0))</formula>
    </cfRule>
    <cfRule type="expression" dxfId="17634" priority="382">
      <formula>AND(IF($Q34=2,1,0),IF($X34&lt;30,1,0))</formula>
    </cfRule>
    <cfRule type="expression" dxfId="17633" priority="383">
      <formula>AND(IF($Q34=3,1,0),IF($X34&lt;30,1,0))</formula>
    </cfRule>
    <cfRule type="expression" dxfId="17632" priority="384">
      <formula>AND(IF($Q34=3,1,IF($Q34=4,1,0)),IF($F34&lt;=85,1,0))</formula>
    </cfRule>
  </conditionalFormatting>
  <conditionalFormatting sqref="AV35">
    <cfRule type="expression" dxfId="17631" priority="379">
      <formula>AV35="X"</formula>
    </cfRule>
    <cfRule type="expression" dxfId="17630" priority="380">
      <formula>AV35="후보"</formula>
    </cfRule>
  </conditionalFormatting>
  <conditionalFormatting sqref="AC35">
    <cfRule type="cellIs" dxfId="17629" priority="377" operator="greaterThan">
      <formula>0.9</formula>
    </cfRule>
    <cfRule type="cellIs" dxfId="17628" priority="378" operator="greaterThan">
      <formula>0.85</formula>
    </cfRule>
  </conditionalFormatting>
  <conditionalFormatting sqref="N35">
    <cfRule type="cellIs" dxfId="17627" priority="375" operator="greaterThan">
      <formula>0.9</formula>
    </cfRule>
    <cfRule type="cellIs" dxfId="17626" priority="376" operator="greaterThan">
      <formula>0.85</formula>
    </cfRule>
  </conditionalFormatting>
  <conditionalFormatting sqref="E35">
    <cfRule type="expression" dxfId="17625" priority="371">
      <formula>AND(IF(OR($Q35=1,$Q35=2),1,0),IF($X35&lt;=20,1,0))</formula>
    </cfRule>
    <cfRule type="expression" dxfId="17624" priority="372">
      <formula>AND(IF($Q35=2,1,0),IF($X35&lt;30,1,0))</formula>
    </cfRule>
    <cfRule type="expression" dxfId="17623" priority="373">
      <formula>AND(IF($Q35=3,1,0),IF($X35&lt;30,1,0))</formula>
    </cfRule>
    <cfRule type="expression" dxfId="17622" priority="374">
      <formula>AND(IF($Q35=3,1,IF($Q35=4,1,0)),IF($F35&lt;=85,1,0))</formula>
    </cfRule>
  </conditionalFormatting>
  <conditionalFormatting sqref="X35">
    <cfRule type="expression" dxfId="17621" priority="367">
      <formula>AND(IF(OR($Q35=1,$Q35=2),1,0),IF($X35&lt;=20,1,0))</formula>
    </cfRule>
    <cfRule type="expression" dxfId="17620" priority="368">
      <formula>AND(IF($Q35=2,1,0),IF($X35&lt;30,1,0))</formula>
    </cfRule>
    <cfRule type="expression" dxfId="17619" priority="369">
      <formula>AND(IF($Q35=3,1,0),IF($X35&lt;30,1,0))</formula>
    </cfRule>
    <cfRule type="expression" dxfId="17618" priority="370">
      <formula>AND(IF($Q35=3,1,IF($Q35=4,1,0)),IF($F35&lt;=85,1,0))</formula>
    </cfRule>
  </conditionalFormatting>
  <conditionalFormatting sqref="AI35">
    <cfRule type="expression" dxfId="17617" priority="363">
      <formula>AND(IF(OR($Q35=1,$Q35=2),1,0),IF($X35&lt;=20,1,0))</formula>
    </cfRule>
    <cfRule type="expression" dxfId="17616" priority="364">
      <formula>AND(IF($Q35=2,1,0),IF($X35&lt;30,1,0))</formula>
    </cfRule>
    <cfRule type="expression" dxfId="17615" priority="365">
      <formula>AND(IF($Q35=3,1,0),IF($X35&lt;30,1,0))</formula>
    </cfRule>
    <cfRule type="expression" dxfId="17614" priority="366">
      <formula>AND(IF($Q35=3,1,IF($Q35=4,1,0)),IF($F35&lt;=85,1,0))</formula>
    </cfRule>
  </conditionalFormatting>
  <conditionalFormatting sqref="AV36">
    <cfRule type="expression" dxfId="17613" priority="361">
      <formula>AV36="X"</formula>
    </cfRule>
    <cfRule type="expression" dxfId="17612" priority="362">
      <formula>AV36="후보"</formula>
    </cfRule>
  </conditionalFormatting>
  <conditionalFormatting sqref="AC36">
    <cfRule type="cellIs" dxfId="17611" priority="359" operator="greaterThan">
      <formula>0.9</formula>
    </cfRule>
    <cfRule type="cellIs" dxfId="17610" priority="360" operator="greaterThan">
      <formula>0.85</formula>
    </cfRule>
  </conditionalFormatting>
  <conditionalFormatting sqref="N36">
    <cfRule type="cellIs" dxfId="17609" priority="357" operator="greaterThan">
      <formula>0.9</formula>
    </cfRule>
    <cfRule type="cellIs" dxfId="17608" priority="358" operator="greaterThan">
      <formula>0.85</formula>
    </cfRule>
  </conditionalFormatting>
  <conditionalFormatting sqref="E36">
    <cfRule type="expression" dxfId="17607" priority="353">
      <formula>AND(IF(OR($Q36=1,$Q36=2),1,0),IF($X36&lt;=20,1,0))</formula>
    </cfRule>
    <cfRule type="expression" dxfId="17606" priority="354">
      <formula>AND(IF($Q36=2,1,0),IF($X36&lt;30,1,0))</formula>
    </cfRule>
    <cfRule type="expression" dxfId="17605" priority="355">
      <formula>AND(IF($Q36=3,1,0),IF($X36&lt;30,1,0))</formula>
    </cfRule>
    <cfRule type="expression" dxfId="17604" priority="356">
      <formula>AND(IF($Q36=3,1,IF($Q36=4,1,0)),IF($F36&lt;=85,1,0))</formula>
    </cfRule>
  </conditionalFormatting>
  <conditionalFormatting sqref="X36">
    <cfRule type="expression" dxfId="17603" priority="349">
      <formula>AND(IF(OR($Q36=1,$Q36=2),1,0),IF($X36&lt;=20,1,0))</formula>
    </cfRule>
    <cfRule type="expression" dxfId="17602" priority="350">
      <formula>AND(IF($Q36=2,1,0),IF($X36&lt;30,1,0))</formula>
    </cfRule>
    <cfRule type="expression" dxfId="17601" priority="351">
      <formula>AND(IF($Q36=3,1,0),IF($X36&lt;30,1,0))</formula>
    </cfRule>
    <cfRule type="expression" dxfId="17600" priority="352">
      <formula>AND(IF($Q36=3,1,IF($Q36=4,1,0)),IF($F36&lt;=85,1,0))</formula>
    </cfRule>
  </conditionalFormatting>
  <conditionalFormatting sqref="AI36">
    <cfRule type="expression" dxfId="17599" priority="345">
      <formula>AND(IF(OR($Q36=1,$Q36=2),1,0),IF($X36&lt;=20,1,0))</formula>
    </cfRule>
    <cfRule type="expression" dxfId="17598" priority="346">
      <formula>AND(IF($Q36=2,1,0),IF($X36&lt;30,1,0))</formula>
    </cfRule>
    <cfRule type="expression" dxfId="17597" priority="347">
      <formula>AND(IF($Q36=3,1,0),IF($X36&lt;30,1,0))</formula>
    </cfRule>
    <cfRule type="expression" dxfId="17596" priority="348">
      <formula>AND(IF($Q36=3,1,IF($Q36=4,1,0)),IF($F36&lt;=85,1,0))</formula>
    </cfRule>
  </conditionalFormatting>
  <conditionalFormatting sqref="AV37">
    <cfRule type="expression" dxfId="17595" priority="343">
      <formula>AV37="X"</formula>
    </cfRule>
    <cfRule type="expression" dxfId="17594" priority="344">
      <formula>AV37="후보"</formula>
    </cfRule>
  </conditionalFormatting>
  <conditionalFormatting sqref="AC37 N37">
    <cfRule type="cellIs" dxfId="17593" priority="341" operator="greaterThan">
      <formula>0.9</formula>
    </cfRule>
    <cfRule type="cellIs" dxfId="17592" priority="342" operator="greaterThan">
      <formula>0.85</formula>
    </cfRule>
  </conditionalFormatting>
  <conditionalFormatting sqref="AV38">
    <cfRule type="expression" dxfId="17591" priority="339">
      <formula>AV38="X"</formula>
    </cfRule>
    <cfRule type="expression" dxfId="17590" priority="340">
      <formula>AV38="후보"</formula>
    </cfRule>
  </conditionalFormatting>
  <conditionalFormatting sqref="AC38">
    <cfRule type="cellIs" dxfId="17589" priority="337" operator="greaterThan">
      <formula>0.9</formula>
    </cfRule>
    <cfRule type="cellIs" dxfId="17588" priority="338" operator="greaterThan">
      <formula>0.85</formula>
    </cfRule>
  </conditionalFormatting>
  <conditionalFormatting sqref="N38">
    <cfRule type="cellIs" dxfId="17587" priority="335" operator="greaterThan">
      <formula>0.9</formula>
    </cfRule>
    <cfRule type="cellIs" dxfId="17586" priority="336" operator="greaterThan">
      <formula>0.85</formula>
    </cfRule>
  </conditionalFormatting>
  <conditionalFormatting sqref="E38">
    <cfRule type="expression" dxfId="17585" priority="331">
      <formula>AND(IF(OR($Q38=1,$Q38=2),1,0),IF($X38&lt;=20,1,0))</formula>
    </cfRule>
    <cfRule type="expression" dxfId="17584" priority="332">
      <formula>AND(IF($Q38=2,1,0),IF($X38&lt;30,1,0))</formula>
    </cfRule>
    <cfRule type="expression" dxfId="17583" priority="333">
      <formula>AND(IF($Q38=3,1,0),IF($X38&lt;30,1,0))</formula>
    </cfRule>
    <cfRule type="expression" dxfId="17582" priority="334">
      <formula>AND(IF($Q38=3,1,IF($Q38=4,1,0)),IF($F38&lt;=85,1,0))</formula>
    </cfRule>
  </conditionalFormatting>
  <conditionalFormatting sqref="X38">
    <cfRule type="expression" dxfId="17581" priority="327">
      <formula>AND(IF(OR($Q38=1,$Q38=2),1,0),IF($X38&lt;=20,1,0))</formula>
    </cfRule>
    <cfRule type="expression" dxfId="17580" priority="328">
      <formula>AND(IF($Q38=2,1,0),IF($X38&lt;30,1,0))</formula>
    </cfRule>
    <cfRule type="expression" dxfId="17579" priority="329">
      <formula>AND(IF($Q38=3,1,0),IF($X38&lt;30,1,0))</formula>
    </cfRule>
    <cfRule type="expression" dxfId="17578" priority="330">
      <formula>AND(IF($Q38=3,1,IF($Q38=4,1,0)),IF($F38&lt;=85,1,0))</formula>
    </cfRule>
  </conditionalFormatting>
  <conditionalFormatting sqref="AI38">
    <cfRule type="expression" dxfId="17577" priority="323">
      <formula>AND(IF(OR($Q38=1,$Q38=2),1,0),IF($X38&lt;=20,1,0))</formula>
    </cfRule>
    <cfRule type="expression" dxfId="17576" priority="324">
      <formula>AND(IF($Q38=2,1,0),IF($X38&lt;30,1,0))</formula>
    </cfRule>
    <cfRule type="expression" dxfId="17575" priority="325">
      <formula>AND(IF($Q38=3,1,0),IF($X38&lt;30,1,0))</formula>
    </cfRule>
    <cfRule type="expression" dxfId="17574" priority="326">
      <formula>AND(IF($Q38=3,1,IF($Q38=4,1,0)),IF($F38&lt;=85,1,0))</formula>
    </cfRule>
  </conditionalFormatting>
  <conditionalFormatting sqref="AV39">
    <cfRule type="expression" dxfId="17573" priority="321">
      <formula>AV39="X"</formula>
    </cfRule>
    <cfRule type="expression" dxfId="17572" priority="322">
      <formula>AV39="후보"</formula>
    </cfRule>
  </conditionalFormatting>
  <conditionalFormatting sqref="AC39">
    <cfRule type="cellIs" dxfId="17571" priority="319" operator="greaterThan">
      <formula>0.9</formula>
    </cfRule>
    <cfRule type="cellIs" dxfId="17570" priority="320" operator="greaterThan">
      <formula>0.85</formula>
    </cfRule>
  </conditionalFormatting>
  <conditionalFormatting sqref="N39">
    <cfRule type="cellIs" dxfId="17569" priority="317" operator="greaterThan">
      <formula>0.9</formula>
    </cfRule>
    <cfRule type="cellIs" dxfId="17568" priority="318" operator="greaterThan">
      <formula>0.85</formula>
    </cfRule>
  </conditionalFormatting>
  <conditionalFormatting sqref="E39">
    <cfRule type="expression" dxfId="17567" priority="313">
      <formula>AND(IF(OR($Q39=1,$Q39=2),1,0),IF($X39&lt;=20,1,0))</formula>
    </cfRule>
    <cfRule type="expression" dxfId="17566" priority="314">
      <formula>AND(IF($Q39=2,1,0),IF($X39&lt;30,1,0))</formula>
    </cfRule>
    <cfRule type="expression" dxfId="17565" priority="315">
      <formula>AND(IF($Q39=3,1,0),IF($X39&lt;30,1,0))</formula>
    </cfRule>
    <cfRule type="expression" dxfId="17564" priority="316">
      <formula>AND(IF($Q39=3,1,IF($Q39=4,1,0)),IF($F39&lt;=85,1,0))</formula>
    </cfRule>
  </conditionalFormatting>
  <conditionalFormatting sqref="X39">
    <cfRule type="expression" dxfId="17563" priority="309">
      <formula>AND(IF(OR($Q39=1,$Q39=2),1,0),IF($X39&lt;=20,1,0))</formula>
    </cfRule>
    <cfRule type="expression" dxfId="17562" priority="310">
      <formula>AND(IF($Q39=2,1,0),IF($X39&lt;30,1,0))</formula>
    </cfRule>
    <cfRule type="expression" dxfId="17561" priority="311">
      <formula>AND(IF($Q39=3,1,0),IF($X39&lt;30,1,0))</formula>
    </cfRule>
    <cfRule type="expression" dxfId="17560" priority="312">
      <formula>AND(IF($Q39=3,1,IF($Q39=4,1,0)),IF($F39&lt;=85,1,0))</formula>
    </cfRule>
  </conditionalFormatting>
  <conditionalFormatting sqref="AI39">
    <cfRule type="expression" dxfId="17559" priority="305">
      <formula>AND(IF(OR($Q39=1,$Q39=2),1,0),IF($X39&lt;=20,1,0))</formula>
    </cfRule>
    <cfRule type="expression" dxfId="17558" priority="306">
      <formula>AND(IF($Q39=2,1,0),IF($X39&lt;30,1,0))</formula>
    </cfRule>
    <cfRule type="expression" dxfId="17557" priority="307">
      <formula>AND(IF($Q39=3,1,0),IF($X39&lt;30,1,0))</formula>
    </cfRule>
    <cfRule type="expression" dxfId="17556" priority="308">
      <formula>AND(IF($Q39=3,1,IF($Q39=4,1,0)),IF($F39&lt;=85,1,0))</formula>
    </cfRule>
  </conditionalFormatting>
  <conditionalFormatting sqref="AV40">
    <cfRule type="expression" dxfId="17555" priority="303">
      <formula>AV40="X"</formula>
    </cfRule>
    <cfRule type="expression" dxfId="17554" priority="304">
      <formula>AV40="후보"</formula>
    </cfRule>
  </conditionalFormatting>
  <conditionalFormatting sqref="AC40">
    <cfRule type="cellIs" dxfId="17553" priority="301" operator="greaterThan">
      <formula>0.9</formula>
    </cfRule>
    <cfRule type="cellIs" dxfId="17552" priority="302" operator="greaterThan">
      <formula>0.85</formula>
    </cfRule>
  </conditionalFormatting>
  <conditionalFormatting sqref="N40">
    <cfRule type="cellIs" dxfId="17551" priority="299" operator="greaterThan">
      <formula>0.9</formula>
    </cfRule>
    <cfRule type="cellIs" dxfId="17550" priority="300" operator="greaterThan">
      <formula>0.85</formula>
    </cfRule>
  </conditionalFormatting>
  <conditionalFormatting sqref="E40">
    <cfRule type="expression" dxfId="17549" priority="295">
      <formula>AND(IF(OR($Q40=1,$Q40=2),1,0),IF($X40&lt;=20,1,0))</formula>
    </cfRule>
    <cfRule type="expression" dxfId="17548" priority="296">
      <formula>AND(IF($Q40=2,1,0),IF($X40&lt;30,1,0))</formula>
    </cfRule>
    <cfRule type="expression" dxfId="17547" priority="297">
      <formula>AND(IF($Q40=3,1,0),IF($X40&lt;30,1,0))</formula>
    </cfRule>
    <cfRule type="expression" dxfId="17546" priority="298">
      <formula>AND(IF($Q40=3,1,IF($Q40=4,1,0)),IF($F40&lt;=85,1,0))</formula>
    </cfRule>
  </conditionalFormatting>
  <conditionalFormatting sqref="X40">
    <cfRule type="expression" dxfId="17545" priority="291">
      <formula>AND(IF(OR($Q40=1,$Q40=2),1,0),IF($X40&lt;=20,1,0))</formula>
    </cfRule>
    <cfRule type="expression" dxfId="17544" priority="292">
      <formula>AND(IF($Q40=2,1,0),IF($X40&lt;30,1,0))</formula>
    </cfRule>
    <cfRule type="expression" dxfId="17543" priority="293">
      <formula>AND(IF($Q40=3,1,0),IF($X40&lt;30,1,0))</formula>
    </cfRule>
    <cfRule type="expression" dxfId="17542" priority="294">
      <formula>AND(IF($Q40=3,1,IF($Q40=4,1,0)),IF($F40&lt;=85,1,0))</formula>
    </cfRule>
  </conditionalFormatting>
  <conditionalFormatting sqref="AI40">
    <cfRule type="expression" dxfId="17541" priority="287">
      <formula>AND(IF(OR($Q40=1,$Q40=2),1,0),IF($X40&lt;=20,1,0))</formula>
    </cfRule>
    <cfRule type="expression" dxfId="17540" priority="288">
      <formula>AND(IF($Q40=2,1,0),IF($X40&lt;30,1,0))</formula>
    </cfRule>
    <cfRule type="expression" dxfId="17539" priority="289">
      <formula>AND(IF($Q40=3,1,0),IF($X40&lt;30,1,0))</formula>
    </cfRule>
    <cfRule type="expression" dxfId="17538" priority="290">
      <formula>AND(IF($Q40=3,1,IF($Q40=4,1,0)),IF($F40&lt;=85,1,0))</formula>
    </cfRule>
  </conditionalFormatting>
  <conditionalFormatting sqref="AV41">
    <cfRule type="expression" dxfId="17537" priority="285">
      <formula>AV41="X"</formula>
    </cfRule>
    <cfRule type="expression" dxfId="17536" priority="286">
      <formula>AV41="후보"</formula>
    </cfRule>
  </conditionalFormatting>
  <conditionalFormatting sqref="AC41 N41">
    <cfRule type="cellIs" dxfId="17535" priority="283" operator="greaterThan">
      <formula>0.9</formula>
    </cfRule>
    <cfRule type="cellIs" dxfId="17534" priority="284" operator="greaterThan">
      <formula>0.85</formula>
    </cfRule>
  </conditionalFormatting>
  <conditionalFormatting sqref="AV42">
    <cfRule type="expression" dxfId="17533" priority="281">
      <formula>AV42="X"</formula>
    </cfRule>
    <cfRule type="expression" dxfId="17532" priority="282">
      <formula>AV42="후보"</formula>
    </cfRule>
  </conditionalFormatting>
  <conditionalFormatting sqref="AC42">
    <cfRule type="cellIs" dxfId="17531" priority="279" operator="greaterThan">
      <formula>0.9</formula>
    </cfRule>
    <cfRule type="cellIs" dxfId="17530" priority="280" operator="greaterThan">
      <formula>0.85</formula>
    </cfRule>
  </conditionalFormatting>
  <conditionalFormatting sqref="N42">
    <cfRule type="cellIs" dxfId="17529" priority="277" operator="greaterThan">
      <formula>0.9</formula>
    </cfRule>
    <cfRule type="cellIs" dxfId="17528" priority="278" operator="greaterThan">
      <formula>0.85</formula>
    </cfRule>
  </conditionalFormatting>
  <conditionalFormatting sqref="E42">
    <cfRule type="expression" dxfId="17527" priority="273">
      <formula>AND(IF(OR($Q42=1,$Q42=2),1,0),IF($X42&lt;=20,1,0))</formula>
    </cfRule>
    <cfRule type="expression" dxfId="17526" priority="274">
      <formula>AND(IF($Q42=2,1,0),IF($X42&lt;30,1,0))</formula>
    </cfRule>
    <cfRule type="expression" dxfId="17525" priority="275">
      <formula>AND(IF($Q42=3,1,0),IF($X42&lt;30,1,0))</formula>
    </cfRule>
    <cfRule type="expression" dxfId="17524" priority="276">
      <formula>AND(IF($Q42=3,1,IF($Q42=4,1,0)),IF($F42&lt;=85,1,0))</formula>
    </cfRule>
  </conditionalFormatting>
  <conditionalFormatting sqref="X42">
    <cfRule type="expression" dxfId="17523" priority="269">
      <formula>AND(IF(OR($Q42=1,$Q42=2),1,0),IF($X42&lt;=20,1,0))</formula>
    </cfRule>
    <cfRule type="expression" dxfId="17522" priority="270">
      <formula>AND(IF($Q42=2,1,0),IF($X42&lt;30,1,0))</formula>
    </cfRule>
    <cfRule type="expression" dxfId="17521" priority="271">
      <formula>AND(IF($Q42=3,1,0),IF($X42&lt;30,1,0))</formula>
    </cfRule>
    <cfRule type="expression" dxfId="17520" priority="272">
      <formula>AND(IF($Q42=3,1,IF($Q42=4,1,0)),IF($F42&lt;=85,1,0))</formula>
    </cfRule>
  </conditionalFormatting>
  <conditionalFormatting sqref="AI42">
    <cfRule type="expression" dxfId="17519" priority="265">
      <formula>AND(IF(OR($Q42=1,$Q42=2),1,0),IF($X42&lt;=20,1,0))</formula>
    </cfRule>
    <cfRule type="expression" dxfId="17518" priority="266">
      <formula>AND(IF($Q42=2,1,0),IF($X42&lt;30,1,0))</formula>
    </cfRule>
    <cfRule type="expression" dxfId="17517" priority="267">
      <formula>AND(IF($Q42=3,1,0),IF($X42&lt;30,1,0))</formula>
    </cfRule>
    <cfRule type="expression" dxfId="17516" priority="268">
      <formula>AND(IF($Q42=3,1,IF($Q42=4,1,0)),IF($F42&lt;=85,1,0))</formula>
    </cfRule>
  </conditionalFormatting>
  <conditionalFormatting sqref="AV43">
    <cfRule type="expression" dxfId="17515" priority="263">
      <formula>AV43="X"</formula>
    </cfRule>
    <cfRule type="expression" dxfId="17514" priority="264">
      <formula>AV43="후보"</formula>
    </cfRule>
  </conditionalFormatting>
  <conditionalFormatting sqref="AC43">
    <cfRule type="cellIs" dxfId="17513" priority="261" operator="greaterThan">
      <formula>0.9</formula>
    </cfRule>
    <cfRule type="cellIs" dxfId="17512" priority="262" operator="greaterThan">
      <formula>0.85</formula>
    </cfRule>
  </conditionalFormatting>
  <conditionalFormatting sqref="N43">
    <cfRule type="cellIs" dxfId="17511" priority="259" operator="greaterThan">
      <formula>0.9</formula>
    </cfRule>
    <cfRule type="cellIs" dxfId="17510" priority="260" operator="greaterThan">
      <formula>0.85</formula>
    </cfRule>
  </conditionalFormatting>
  <conditionalFormatting sqref="E43">
    <cfRule type="expression" dxfId="17509" priority="255">
      <formula>AND(IF(OR($Q43=1,$Q43=2),1,0),IF($X43&lt;=20,1,0))</formula>
    </cfRule>
    <cfRule type="expression" dxfId="17508" priority="256">
      <formula>AND(IF($Q43=2,1,0),IF($X43&lt;30,1,0))</formula>
    </cfRule>
    <cfRule type="expression" dxfId="17507" priority="257">
      <formula>AND(IF($Q43=3,1,0),IF($X43&lt;30,1,0))</formula>
    </cfRule>
    <cfRule type="expression" dxfId="17506" priority="258">
      <formula>AND(IF($Q43=3,1,IF($Q43=4,1,0)),IF($F43&lt;=85,1,0))</formula>
    </cfRule>
  </conditionalFormatting>
  <conditionalFormatting sqref="X43">
    <cfRule type="expression" dxfId="17505" priority="251">
      <formula>AND(IF(OR($Q43=1,$Q43=2),1,0),IF($X43&lt;=20,1,0))</formula>
    </cfRule>
    <cfRule type="expression" dxfId="17504" priority="252">
      <formula>AND(IF($Q43=2,1,0),IF($X43&lt;30,1,0))</formula>
    </cfRule>
    <cfRule type="expression" dxfId="17503" priority="253">
      <formula>AND(IF($Q43=3,1,0),IF($X43&lt;30,1,0))</formula>
    </cfRule>
    <cfRule type="expression" dxfId="17502" priority="254">
      <formula>AND(IF($Q43=3,1,IF($Q43=4,1,0)),IF($F43&lt;=85,1,0))</formula>
    </cfRule>
  </conditionalFormatting>
  <conditionalFormatting sqref="AI43">
    <cfRule type="expression" dxfId="17501" priority="247">
      <formula>AND(IF(OR($Q43=1,$Q43=2),1,0),IF($X43&lt;=20,1,0))</formula>
    </cfRule>
    <cfRule type="expression" dxfId="17500" priority="248">
      <formula>AND(IF($Q43=2,1,0),IF($X43&lt;30,1,0))</formula>
    </cfRule>
    <cfRule type="expression" dxfId="17499" priority="249">
      <formula>AND(IF($Q43=3,1,0),IF($X43&lt;30,1,0))</formula>
    </cfRule>
    <cfRule type="expression" dxfId="17498" priority="250">
      <formula>AND(IF($Q43=3,1,IF($Q43=4,1,0)),IF($F43&lt;=85,1,0))</formula>
    </cfRule>
  </conditionalFormatting>
  <conditionalFormatting sqref="AV44">
    <cfRule type="expression" dxfId="17497" priority="245">
      <formula>AV44="X"</formula>
    </cfRule>
    <cfRule type="expression" dxfId="17496" priority="246">
      <formula>AV44="후보"</formula>
    </cfRule>
  </conditionalFormatting>
  <conditionalFormatting sqref="AC44">
    <cfRule type="cellIs" dxfId="17495" priority="243" operator="greaterThan">
      <formula>0.9</formula>
    </cfRule>
    <cfRule type="cellIs" dxfId="17494" priority="244" operator="greaterThan">
      <formula>0.85</formula>
    </cfRule>
  </conditionalFormatting>
  <conditionalFormatting sqref="N44">
    <cfRule type="cellIs" dxfId="17493" priority="241" operator="greaterThan">
      <formula>0.9</formula>
    </cfRule>
    <cfRule type="cellIs" dxfId="17492" priority="242" operator="greaterThan">
      <formula>0.85</formula>
    </cfRule>
  </conditionalFormatting>
  <conditionalFormatting sqref="E44">
    <cfRule type="expression" dxfId="17491" priority="237">
      <formula>AND(IF(OR($Q44=1,$Q44=2),1,0),IF($X44&lt;=20,1,0))</formula>
    </cfRule>
    <cfRule type="expression" dxfId="17490" priority="238">
      <formula>AND(IF($Q44=2,1,0),IF($X44&lt;30,1,0))</formula>
    </cfRule>
    <cfRule type="expression" dxfId="17489" priority="239">
      <formula>AND(IF($Q44=3,1,0),IF($X44&lt;30,1,0))</formula>
    </cfRule>
    <cfRule type="expression" dxfId="17488" priority="240">
      <formula>AND(IF($Q44=3,1,IF($Q44=4,1,0)),IF($F44&lt;=85,1,0))</formula>
    </cfRule>
  </conditionalFormatting>
  <conditionalFormatting sqref="X44">
    <cfRule type="expression" dxfId="17487" priority="233">
      <formula>AND(IF(OR($Q44=1,$Q44=2),1,0),IF($X44&lt;=20,1,0))</formula>
    </cfRule>
    <cfRule type="expression" dxfId="17486" priority="234">
      <formula>AND(IF($Q44=2,1,0),IF($X44&lt;30,1,0))</formula>
    </cfRule>
    <cfRule type="expression" dxfId="17485" priority="235">
      <formula>AND(IF($Q44=3,1,0),IF($X44&lt;30,1,0))</formula>
    </cfRule>
    <cfRule type="expression" dxfId="17484" priority="236">
      <formula>AND(IF($Q44=3,1,IF($Q44=4,1,0)),IF($F44&lt;=85,1,0))</formula>
    </cfRule>
  </conditionalFormatting>
  <conditionalFormatting sqref="AI44">
    <cfRule type="expression" dxfId="17483" priority="229">
      <formula>AND(IF(OR($Q44=1,$Q44=2),1,0),IF($X44&lt;=20,1,0))</formula>
    </cfRule>
    <cfRule type="expression" dxfId="17482" priority="230">
      <formula>AND(IF($Q44=2,1,0),IF($X44&lt;30,1,0))</formula>
    </cfRule>
    <cfRule type="expression" dxfId="17481" priority="231">
      <formula>AND(IF($Q44=3,1,0),IF($X44&lt;30,1,0))</formula>
    </cfRule>
    <cfRule type="expression" dxfId="17480" priority="232">
      <formula>AND(IF($Q44=3,1,IF($Q44=4,1,0)),IF($F44&lt;=85,1,0))</formula>
    </cfRule>
  </conditionalFormatting>
  <conditionalFormatting sqref="AV45">
    <cfRule type="expression" dxfId="17479" priority="227">
      <formula>AV45="X"</formula>
    </cfRule>
    <cfRule type="expression" dxfId="17478" priority="228">
      <formula>AV45="후보"</formula>
    </cfRule>
  </conditionalFormatting>
  <conditionalFormatting sqref="AC45 N45">
    <cfRule type="cellIs" dxfId="17477" priority="225" operator="greaterThan">
      <formula>0.9</formula>
    </cfRule>
    <cfRule type="cellIs" dxfId="17476" priority="226" operator="greaterThan">
      <formula>0.85</formula>
    </cfRule>
  </conditionalFormatting>
  <conditionalFormatting sqref="AV46">
    <cfRule type="expression" dxfId="17475" priority="223">
      <formula>AV46="X"</formula>
    </cfRule>
    <cfRule type="expression" dxfId="17474" priority="224">
      <formula>AV46="후보"</formula>
    </cfRule>
  </conditionalFormatting>
  <conditionalFormatting sqref="AC46">
    <cfRule type="cellIs" dxfId="17473" priority="221" operator="greaterThan">
      <formula>0.9</formula>
    </cfRule>
    <cfRule type="cellIs" dxfId="17472" priority="222" operator="greaterThan">
      <formula>0.85</formula>
    </cfRule>
  </conditionalFormatting>
  <conditionalFormatting sqref="N46">
    <cfRule type="cellIs" dxfId="17471" priority="219" operator="greaterThan">
      <formula>0.9</formula>
    </cfRule>
    <cfRule type="cellIs" dxfId="17470" priority="220" operator="greaterThan">
      <formula>0.85</formula>
    </cfRule>
  </conditionalFormatting>
  <conditionalFormatting sqref="E46">
    <cfRule type="expression" dxfId="17469" priority="215">
      <formula>AND(IF(OR($Q46=1,$Q46=2),1,0),IF($X46&lt;=20,1,0))</formula>
    </cfRule>
    <cfRule type="expression" dxfId="17468" priority="216">
      <formula>AND(IF($Q46=2,1,0),IF($X46&lt;30,1,0))</formula>
    </cfRule>
    <cfRule type="expression" dxfId="17467" priority="217">
      <formula>AND(IF($Q46=3,1,0),IF($X46&lt;30,1,0))</formula>
    </cfRule>
    <cfRule type="expression" dxfId="17466" priority="218">
      <formula>AND(IF($Q46=3,1,IF($Q46=4,1,0)),IF($F46&lt;=85,1,0))</formula>
    </cfRule>
  </conditionalFormatting>
  <conditionalFormatting sqref="X46">
    <cfRule type="expression" dxfId="17465" priority="211">
      <formula>AND(IF(OR($Q46=1,$Q46=2),1,0),IF($X46&lt;=20,1,0))</formula>
    </cfRule>
    <cfRule type="expression" dxfId="17464" priority="212">
      <formula>AND(IF($Q46=2,1,0),IF($X46&lt;30,1,0))</formula>
    </cfRule>
    <cfRule type="expression" dxfId="17463" priority="213">
      <formula>AND(IF($Q46=3,1,0),IF($X46&lt;30,1,0))</formula>
    </cfRule>
    <cfRule type="expression" dxfId="17462" priority="214">
      <formula>AND(IF($Q46=3,1,IF($Q46=4,1,0)),IF($F46&lt;=85,1,0))</formula>
    </cfRule>
  </conditionalFormatting>
  <conditionalFormatting sqref="AI46">
    <cfRule type="expression" dxfId="17461" priority="207">
      <formula>AND(IF(OR($Q46=1,$Q46=2),1,0),IF($X46&lt;=20,1,0))</formula>
    </cfRule>
    <cfRule type="expression" dxfId="17460" priority="208">
      <formula>AND(IF($Q46=2,1,0),IF($X46&lt;30,1,0))</formula>
    </cfRule>
    <cfRule type="expression" dxfId="17459" priority="209">
      <formula>AND(IF($Q46=3,1,0),IF($X46&lt;30,1,0))</formula>
    </cfRule>
    <cfRule type="expression" dxfId="17458" priority="210">
      <formula>AND(IF($Q46=3,1,IF($Q46=4,1,0)),IF($F46&lt;=85,1,0))</formula>
    </cfRule>
  </conditionalFormatting>
  <conditionalFormatting sqref="AV47">
    <cfRule type="expression" dxfId="17457" priority="205">
      <formula>AV47="X"</formula>
    </cfRule>
    <cfRule type="expression" dxfId="17456" priority="206">
      <formula>AV47="후보"</formula>
    </cfRule>
  </conditionalFormatting>
  <conditionalFormatting sqref="AC47">
    <cfRule type="cellIs" dxfId="17455" priority="203" operator="greaterThan">
      <formula>0.9</formula>
    </cfRule>
    <cfRule type="cellIs" dxfId="17454" priority="204" operator="greaterThan">
      <formula>0.85</formula>
    </cfRule>
  </conditionalFormatting>
  <conditionalFormatting sqref="N47">
    <cfRule type="cellIs" dxfId="17453" priority="201" operator="greaterThan">
      <formula>0.9</formula>
    </cfRule>
    <cfRule type="cellIs" dxfId="17452" priority="202" operator="greaterThan">
      <formula>0.85</formula>
    </cfRule>
  </conditionalFormatting>
  <conditionalFormatting sqref="E47">
    <cfRule type="expression" dxfId="17451" priority="197">
      <formula>AND(IF(OR($Q47=1,$Q47=2),1,0),IF($X47&lt;=20,1,0))</formula>
    </cfRule>
    <cfRule type="expression" dxfId="17450" priority="198">
      <formula>AND(IF($Q47=2,1,0),IF($X47&lt;30,1,0))</formula>
    </cfRule>
    <cfRule type="expression" dxfId="17449" priority="199">
      <formula>AND(IF($Q47=3,1,0),IF($X47&lt;30,1,0))</formula>
    </cfRule>
    <cfRule type="expression" dxfId="17448" priority="200">
      <formula>AND(IF($Q47=3,1,IF($Q47=4,1,0)),IF($F47&lt;=85,1,0))</formula>
    </cfRule>
  </conditionalFormatting>
  <conditionalFormatting sqref="X47">
    <cfRule type="expression" dxfId="17447" priority="193">
      <formula>AND(IF(OR($Q47=1,$Q47=2),1,0),IF($X47&lt;=20,1,0))</formula>
    </cfRule>
    <cfRule type="expression" dxfId="17446" priority="194">
      <formula>AND(IF($Q47=2,1,0),IF($X47&lt;30,1,0))</formula>
    </cfRule>
    <cfRule type="expression" dxfId="17445" priority="195">
      <formula>AND(IF($Q47=3,1,0),IF($X47&lt;30,1,0))</formula>
    </cfRule>
    <cfRule type="expression" dxfId="17444" priority="196">
      <formula>AND(IF($Q47=3,1,IF($Q47=4,1,0)),IF($F47&lt;=85,1,0))</formula>
    </cfRule>
  </conditionalFormatting>
  <conditionalFormatting sqref="AI47">
    <cfRule type="expression" dxfId="17443" priority="189">
      <formula>AND(IF(OR($Q47=1,$Q47=2),1,0),IF($X47&lt;=20,1,0))</formula>
    </cfRule>
    <cfRule type="expression" dxfId="17442" priority="190">
      <formula>AND(IF($Q47=2,1,0),IF($X47&lt;30,1,0))</formula>
    </cfRule>
    <cfRule type="expression" dxfId="17441" priority="191">
      <formula>AND(IF($Q47=3,1,0),IF($X47&lt;30,1,0))</formula>
    </cfRule>
    <cfRule type="expression" dxfId="17440" priority="192">
      <formula>AND(IF($Q47=3,1,IF($Q47=4,1,0)),IF($F47&lt;=85,1,0))</formula>
    </cfRule>
  </conditionalFormatting>
  <conditionalFormatting sqref="AV48">
    <cfRule type="expression" dxfId="17439" priority="187">
      <formula>AV48="X"</formula>
    </cfRule>
    <cfRule type="expression" dxfId="17438" priority="188">
      <formula>AV48="후보"</formula>
    </cfRule>
  </conditionalFormatting>
  <conditionalFormatting sqref="AC48">
    <cfRule type="cellIs" dxfId="17437" priority="185" operator="greaterThan">
      <formula>0.9</formula>
    </cfRule>
    <cfRule type="cellIs" dxfId="17436" priority="186" operator="greaterThan">
      <formula>0.85</formula>
    </cfRule>
  </conditionalFormatting>
  <conditionalFormatting sqref="N48">
    <cfRule type="cellIs" dxfId="17435" priority="183" operator="greaterThan">
      <formula>0.9</formula>
    </cfRule>
    <cfRule type="cellIs" dxfId="17434" priority="184" operator="greaterThan">
      <formula>0.85</formula>
    </cfRule>
  </conditionalFormatting>
  <conditionalFormatting sqref="E48">
    <cfRule type="expression" dxfId="17433" priority="179">
      <formula>AND(IF(OR($Q48=1,$Q48=2),1,0),IF($X48&lt;=20,1,0))</formula>
    </cfRule>
    <cfRule type="expression" dxfId="17432" priority="180">
      <formula>AND(IF($Q48=2,1,0),IF($X48&lt;30,1,0))</formula>
    </cfRule>
    <cfRule type="expression" dxfId="17431" priority="181">
      <formula>AND(IF($Q48=3,1,0),IF($X48&lt;30,1,0))</formula>
    </cfRule>
    <cfRule type="expression" dxfId="17430" priority="182">
      <formula>AND(IF($Q48=3,1,IF($Q48=4,1,0)),IF($F48&lt;=85,1,0))</formula>
    </cfRule>
  </conditionalFormatting>
  <conditionalFormatting sqref="X48">
    <cfRule type="expression" dxfId="17429" priority="175">
      <formula>AND(IF(OR($Q48=1,$Q48=2),1,0),IF($X48&lt;=20,1,0))</formula>
    </cfRule>
    <cfRule type="expression" dxfId="17428" priority="176">
      <formula>AND(IF($Q48=2,1,0),IF($X48&lt;30,1,0))</formula>
    </cfRule>
    <cfRule type="expression" dxfId="17427" priority="177">
      <formula>AND(IF($Q48=3,1,0),IF($X48&lt;30,1,0))</formula>
    </cfRule>
    <cfRule type="expression" dxfId="17426" priority="178">
      <formula>AND(IF($Q48=3,1,IF($Q48=4,1,0)),IF($F48&lt;=85,1,0))</formula>
    </cfRule>
  </conditionalFormatting>
  <conditionalFormatting sqref="AI48">
    <cfRule type="expression" dxfId="17425" priority="171">
      <formula>AND(IF(OR($Q48=1,$Q48=2),1,0),IF($X48&lt;=20,1,0))</formula>
    </cfRule>
    <cfRule type="expression" dxfId="17424" priority="172">
      <formula>AND(IF($Q48=2,1,0),IF($X48&lt;30,1,0))</formula>
    </cfRule>
    <cfRule type="expression" dxfId="17423" priority="173">
      <formula>AND(IF($Q48=3,1,0),IF($X48&lt;30,1,0))</formula>
    </cfRule>
    <cfRule type="expression" dxfId="17422" priority="174">
      <formula>AND(IF($Q48=3,1,IF($Q48=4,1,0)),IF($F48&lt;=85,1,0))</formula>
    </cfRule>
  </conditionalFormatting>
  <conditionalFormatting sqref="AV49">
    <cfRule type="expression" dxfId="17421" priority="169">
      <formula>AV49="X"</formula>
    </cfRule>
    <cfRule type="expression" dxfId="17420" priority="170">
      <formula>AV49="후보"</formula>
    </cfRule>
  </conditionalFormatting>
  <conditionalFormatting sqref="AC49">
    <cfRule type="cellIs" dxfId="17419" priority="167" operator="greaterThan">
      <formula>0.9</formula>
    </cfRule>
    <cfRule type="cellIs" dxfId="17418" priority="168" operator="greaterThan">
      <formula>0.85</formula>
    </cfRule>
  </conditionalFormatting>
  <conditionalFormatting sqref="N49">
    <cfRule type="cellIs" dxfId="17417" priority="165" operator="greaterThan">
      <formula>0.9</formula>
    </cfRule>
    <cfRule type="cellIs" dxfId="17416" priority="166" operator="greaterThan">
      <formula>0.85</formula>
    </cfRule>
  </conditionalFormatting>
  <conditionalFormatting sqref="E49">
    <cfRule type="expression" dxfId="17415" priority="161">
      <formula>AND(IF(OR($Q49=1,$Q49=2),1,0),IF($X49&lt;=20,1,0))</formula>
    </cfRule>
    <cfRule type="expression" dxfId="17414" priority="162">
      <formula>AND(IF($Q49=2,1,0),IF($X49&lt;30,1,0))</formula>
    </cfRule>
    <cfRule type="expression" dxfId="17413" priority="163">
      <formula>AND(IF($Q49=3,1,0),IF($X49&lt;30,1,0))</formula>
    </cfRule>
    <cfRule type="expression" dxfId="17412" priority="164">
      <formula>AND(IF($Q49=3,1,IF($Q49=4,1,0)),IF($F49&lt;=85,1,0))</formula>
    </cfRule>
  </conditionalFormatting>
  <conditionalFormatting sqref="X49">
    <cfRule type="expression" dxfId="17411" priority="157">
      <formula>AND(IF(OR($Q49=1,$Q49=2),1,0),IF($X49&lt;=20,1,0))</formula>
    </cfRule>
    <cfRule type="expression" dxfId="17410" priority="158">
      <formula>AND(IF($Q49=2,1,0),IF($X49&lt;30,1,0))</formula>
    </cfRule>
    <cfRule type="expression" dxfId="17409" priority="159">
      <formula>AND(IF($Q49=3,1,0),IF($X49&lt;30,1,0))</formula>
    </cfRule>
    <cfRule type="expression" dxfId="17408" priority="160">
      <formula>AND(IF($Q49=3,1,IF($Q49=4,1,0)),IF($F49&lt;=85,1,0))</formula>
    </cfRule>
  </conditionalFormatting>
  <conditionalFormatting sqref="AI49">
    <cfRule type="expression" dxfId="17407" priority="153">
      <formula>AND(IF(OR($Q49=1,$Q49=2),1,0),IF($X49&lt;=20,1,0))</formula>
    </cfRule>
    <cfRule type="expression" dxfId="17406" priority="154">
      <formula>AND(IF($Q49=2,1,0),IF($X49&lt;30,1,0))</formula>
    </cfRule>
    <cfRule type="expression" dxfId="17405" priority="155">
      <formula>AND(IF($Q49=3,1,0),IF($X49&lt;30,1,0))</formula>
    </cfRule>
    <cfRule type="expression" dxfId="17404" priority="156">
      <formula>AND(IF($Q49=3,1,IF($Q49=4,1,0)),IF($F49&lt;=85,1,0))</formula>
    </cfRule>
  </conditionalFormatting>
  <conditionalFormatting sqref="AV50">
    <cfRule type="expression" dxfId="17403" priority="151">
      <formula>AV50="X"</formula>
    </cfRule>
    <cfRule type="expression" dxfId="17402" priority="152">
      <formula>AV50="후보"</formula>
    </cfRule>
  </conditionalFormatting>
  <conditionalFormatting sqref="AC50 N50">
    <cfRule type="cellIs" dxfId="17401" priority="149" operator="greaterThan">
      <formula>0.9</formula>
    </cfRule>
    <cfRule type="cellIs" dxfId="17400" priority="150" operator="greaterThan">
      <formula>0.85</formula>
    </cfRule>
  </conditionalFormatting>
  <conditionalFormatting sqref="AV51">
    <cfRule type="expression" dxfId="17399" priority="147">
      <formula>AV51="X"</formula>
    </cfRule>
    <cfRule type="expression" dxfId="17398" priority="148">
      <formula>AV51="후보"</formula>
    </cfRule>
  </conditionalFormatting>
  <conditionalFormatting sqref="AC51">
    <cfRule type="cellIs" dxfId="17397" priority="145" operator="greaterThan">
      <formula>0.9</formula>
    </cfRule>
    <cfRule type="cellIs" dxfId="17396" priority="146" operator="greaterThan">
      <formula>0.85</formula>
    </cfRule>
  </conditionalFormatting>
  <conditionalFormatting sqref="N51">
    <cfRule type="cellIs" dxfId="17395" priority="143" operator="greaterThan">
      <formula>0.9</formula>
    </cfRule>
    <cfRule type="cellIs" dxfId="17394" priority="144" operator="greaterThan">
      <formula>0.85</formula>
    </cfRule>
  </conditionalFormatting>
  <conditionalFormatting sqref="E51">
    <cfRule type="expression" dxfId="17393" priority="139">
      <formula>AND(IF(OR($Q51=1,$Q51=2),1,0),IF($X51&lt;=20,1,0))</formula>
    </cfRule>
    <cfRule type="expression" dxfId="17392" priority="140">
      <formula>AND(IF($Q51=2,1,0),IF($X51&lt;30,1,0))</formula>
    </cfRule>
    <cfRule type="expression" dxfId="17391" priority="141">
      <formula>AND(IF($Q51=3,1,0),IF($X51&lt;30,1,0))</formula>
    </cfRule>
    <cfRule type="expression" dxfId="17390" priority="142">
      <formula>AND(IF($Q51=3,1,IF($Q51=4,1,0)),IF($F51&lt;=85,1,0))</formula>
    </cfRule>
  </conditionalFormatting>
  <conditionalFormatting sqref="X51">
    <cfRule type="expression" dxfId="17389" priority="135">
      <formula>AND(IF(OR($Q51=1,$Q51=2),1,0),IF($X51&lt;=20,1,0))</formula>
    </cfRule>
    <cfRule type="expression" dxfId="17388" priority="136">
      <formula>AND(IF($Q51=2,1,0),IF($X51&lt;30,1,0))</formula>
    </cfRule>
    <cfRule type="expression" dxfId="17387" priority="137">
      <formula>AND(IF($Q51=3,1,0),IF($X51&lt;30,1,0))</formula>
    </cfRule>
    <cfRule type="expression" dxfId="17386" priority="138">
      <formula>AND(IF($Q51=3,1,IF($Q51=4,1,0)),IF($F51&lt;=85,1,0))</formula>
    </cfRule>
  </conditionalFormatting>
  <conditionalFormatting sqref="AI51">
    <cfRule type="expression" dxfId="17385" priority="131">
      <formula>AND(IF(OR($Q51=1,$Q51=2),1,0),IF($X51&lt;=20,1,0))</formula>
    </cfRule>
    <cfRule type="expression" dxfId="17384" priority="132">
      <formula>AND(IF($Q51=2,1,0),IF($X51&lt;30,1,0))</formula>
    </cfRule>
    <cfRule type="expression" dxfId="17383" priority="133">
      <formula>AND(IF($Q51=3,1,0),IF($X51&lt;30,1,0))</formula>
    </cfRule>
    <cfRule type="expression" dxfId="17382" priority="134">
      <formula>AND(IF($Q51=3,1,IF($Q51=4,1,0)),IF($F51&lt;=85,1,0))</formula>
    </cfRule>
  </conditionalFormatting>
  <conditionalFormatting sqref="AV52">
    <cfRule type="expression" dxfId="17381" priority="129">
      <formula>AV52="X"</formula>
    </cfRule>
    <cfRule type="expression" dxfId="17380" priority="130">
      <formula>AV52="후보"</formula>
    </cfRule>
  </conditionalFormatting>
  <conditionalFormatting sqref="AC52">
    <cfRule type="cellIs" dxfId="17379" priority="127" operator="greaterThan">
      <formula>0.9</formula>
    </cfRule>
    <cfRule type="cellIs" dxfId="17378" priority="128" operator="greaterThan">
      <formula>0.85</formula>
    </cfRule>
  </conditionalFormatting>
  <conditionalFormatting sqref="N52">
    <cfRule type="cellIs" dxfId="17377" priority="125" operator="greaterThan">
      <formula>0.9</formula>
    </cfRule>
    <cfRule type="cellIs" dxfId="17376" priority="126" operator="greaterThan">
      <formula>0.85</formula>
    </cfRule>
  </conditionalFormatting>
  <conditionalFormatting sqref="E52">
    <cfRule type="expression" dxfId="17375" priority="121">
      <formula>AND(IF(OR($Q52=1,$Q52=2),1,0),IF($X52&lt;=20,1,0))</formula>
    </cfRule>
    <cfRule type="expression" dxfId="17374" priority="122">
      <formula>AND(IF($Q52=2,1,0),IF($X52&lt;30,1,0))</formula>
    </cfRule>
    <cfRule type="expression" dxfId="17373" priority="123">
      <formula>AND(IF($Q52=3,1,0),IF($X52&lt;30,1,0))</formula>
    </cfRule>
    <cfRule type="expression" dxfId="17372" priority="124">
      <formula>AND(IF($Q52=3,1,IF($Q52=4,1,0)),IF($F52&lt;=85,1,0))</formula>
    </cfRule>
  </conditionalFormatting>
  <conditionalFormatting sqref="X52">
    <cfRule type="expression" dxfId="17371" priority="117">
      <formula>AND(IF(OR($Q52=1,$Q52=2),1,0),IF($X52&lt;=20,1,0))</formula>
    </cfRule>
    <cfRule type="expression" dxfId="17370" priority="118">
      <formula>AND(IF($Q52=2,1,0),IF($X52&lt;30,1,0))</formula>
    </cfRule>
    <cfRule type="expression" dxfId="17369" priority="119">
      <formula>AND(IF($Q52=3,1,0),IF($X52&lt;30,1,0))</formula>
    </cfRule>
    <cfRule type="expression" dxfId="17368" priority="120">
      <formula>AND(IF($Q52=3,1,IF($Q52=4,1,0)),IF($F52&lt;=85,1,0))</formula>
    </cfRule>
  </conditionalFormatting>
  <conditionalFormatting sqref="AI52">
    <cfRule type="expression" dxfId="17367" priority="113">
      <formula>AND(IF(OR($Q52=1,$Q52=2),1,0),IF($X52&lt;=20,1,0))</formula>
    </cfRule>
    <cfRule type="expression" dxfId="17366" priority="114">
      <formula>AND(IF($Q52=2,1,0),IF($X52&lt;30,1,0))</formula>
    </cfRule>
    <cfRule type="expression" dxfId="17365" priority="115">
      <formula>AND(IF($Q52=3,1,0),IF($X52&lt;30,1,0))</formula>
    </cfRule>
    <cfRule type="expression" dxfId="17364" priority="116">
      <formula>AND(IF($Q52=3,1,IF($Q52=4,1,0)),IF($F52&lt;=85,1,0))</formula>
    </cfRule>
  </conditionalFormatting>
  <conditionalFormatting sqref="AV53">
    <cfRule type="expression" dxfId="17363" priority="111">
      <formula>AV53="X"</formula>
    </cfRule>
    <cfRule type="expression" dxfId="17362" priority="112">
      <formula>AV53="후보"</formula>
    </cfRule>
  </conditionalFormatting>
  <conditionalFormatting sqref="AC53">
    <cfRule type="cellIs" dxfId="17361" priority="109" operator="greaterThan">
      <formula>0.9</formula>
    </cfRule>
    <cfRule type="cellIs" dxfId="17360" priority="110" operator="greaterThan">
      <formula>0.85</formula>
    </cfRule>
  </conditionalFormatting>
  <conditionalFormatting sqref="N53">
    <cfRule type="cellIs" dxfId="17359" priority="107" operator="greaterThan">
      <formula>0.9</formula>
    </cfRule>
    <cfRule type="cellIs" dxfId="17358" priority="108" operator="greaterThan">
      <formula>0.85</formula>
    </cfRule>
  </conditionalFormatting>
  <conditionalFormatting sqref="E53">
    <cfRule type="expression" dxfId="17357" priority="103">
      <formula>AND(IF(OR($Q53=1,$Q53=2),1,0),IF($X53&lt;=20,1,0))</formula>
    </cfRule>
    <cfRule type="expression" dxfId="17356" priority="104">
      <formula>AND(IF($Q53=2,1,0),IF($X53&lt;30,1,0))</formula>
    </cfRule>
    <cfRule type="expression" dxfId="17355" priority="105">
      <formula>AND(IF($Q53=3,1,0),IF($X53&lt;30,1,0))</formula>
    </cfRule>
    <cfRule type="expression" dxfId="17354" priority="106">
      <formula>AND(IF($Q53=3,1,IF($Q53=4,1,0)),IF($F53&lt;=85,1,0))</formula>
    </cfRule>
  </conditionalFormatting>
  <conditionalFormatting sqref="X53">
    <cfRule type="expression" dxfId="17353" priority="99">
      <formula>AND(IF(OR($Q53=1,$Q53=2),1,0),IF($X53&lt;=20,1,0))</formula>
    </cfRule>
    <cfRule type="expression" dxfId="17352" priority="100">
      <formula>AND(IF($Q53=2,1,0),IF($X53&lt;30,1,0))</formula>
    </cfRule>
    <cfRule type="expression" dxfId="17351" priority="101">
      <formula>AND(IF($Q53=3,1,0),IF($X53&lt;30,1,0))</formula>
    </cfRule>
    <cfRule type="expression" dxfId="17350" priority="102">
      <formula>AND(IF($Q53=3,1,IF($Q53=4,1,0)),IF($F53&lt;=85,1,0))</formula>
    </cfRule>
  </conditionalFormatting>
  <conditionalFormatting sqref="AI53">
    <cfRule type="expression" dxfId="17349" priority="95">
      <formula>AND(IF(OR($Q53=1,$Q53=2),1,0),IF($X53&lt;=20,1,0))</formula>
    </cfRule>
    <cfRule type="expression" dxfId="17348" priority="96">
      <formula>AND(IF($Q53=2,1,0),IF($X53&lt;30,1,0))</formula>
    </cfRule>
    <cfRule type="expression" dxfId="17347" priority="97">
      <formula>AND(IF($Q53=3,1,0),IF($X53&lt;30,1,0))</formula>
    </cfRule>
    <cfRule type="expression" dxfId="17346" priority="98">
      <formula>AND(IF($Q53=3,1,IF($Q53=4,1,0)),IF($F53&lt;=85,1,0))</formula>
    </cfRule>
  </conditionalFormatting>
  <conditionalFormatting sqref="AV54">
    <cfRule type="expression" dxfId="17345" priority="93">
      <formula>AV54="X"</formula>
    </cfRule>
    <cfRule type="expression" dxfId="17344" priority="94">
      <formula>AV54="후보"</formula>
    </cfRule>
  </conditionalFormatting>
  <conditionalFormatting sqref="AC54">
    <cfRule type="cellIs" dxfId="17343" priority="91" operator="greaterThan">
      <formula>0.9</formula>
    </cfRule>
    <cfRule type="cellIs" dxfId="17342" priority="92" operator="greaterThan">
      <formula>0.85</formula>
    </cfRule>
  </conditionalFormatting>
  <conditionalFormatting sqref="N54">
    <cfRule type="cellIs" dxfId="17341" priority="89" operator="greaterThan">
      <formula>0.9</formula>
    </cfRule>
    <cfRule type="cellIs" dxfId="17340" priority="90" operator="greaterThan">
      <formula>0.85</formula>
    </cfRule>
  </conditionalFormatting>
  <conditionalFormatting sqref="E54">
    <cfRule type="expression" dxfId="17339" priority="85">
      <formula>AND(IF(OR($Q54=1,$Q54=2),1,0),IF($X54&lt;=20,1,0))</formula>
    </cfRule>
    <cfRule type="expression" dxfId="17338" priority="86">
      <formula>AND(IF($Q54=2,1,0),IF($X54&lt;30,1,0))</formula>
    </cfRule>
    <cfRule type="expression" dxfId="17337" priority="87">
      <formula>AND(IF($Q54=3,1,0),IF($X54&lt;30,1,0))</formula>
    </cfRule>
    <cfRule type="expression" dxfId="17336" priority="88">
      <formula>AND(IF($Q54=3,1,IF($Q54=4,1,0)),IF($F54&lt;=85,1,0))</formula>
    </cfRule>
  </conditionalFormatting>
  <conditionalFormatting sqref="X54">
    <cfRule type="expression" dxfId="17335" priority="81">
      <formula>AND(IF(OR($Q54=1,$Q54=2),1,0),IF($X54&lt;=20,1,0))</formula>
    </cfRule>
    <cfRule type="expression" dxfId="17334" priority="82">
      <formula>AND(IF($Q54=2,1,0),IF($X54&lt;30,1,0))</formula>
    </cfRule>
    <cfRule type="expression" dxfId="17333" priority="83">
      <formula>AND(IF($Q54=3,1,0),IF($X54&lt;30,1,0))</formula>
    </cfRule>
    <cfRule type="expression" dxfId="17332" priority="84">
      <formula>AND(IF($Q54=3,1,IF($Q54=4,1,0)),IF($F54&lt;=85,1,0))</formula>
    </cfRule>
  </conditionalFormatting>
  <conditionalFormatting sqref="AI54">
    <cfRule type="expression" dxfId="17331" priority="77">
      <formula>AND(IF(OR($Q54=1,$Q54=2),1,0),IF($X54&lt;=20,1,0))</formula>
    </cfRule>
    <cfRule type="expression" dxfId="17330" priority="78">
      <formula>AND(IF($Q54=2,1,0),IF($X54&lt;30,1,0))</formula>
    </cfRule>
    <cfRule type="expression" dxfId="17329" priority="79">
      <formula>AND(IF($Q54=3,1,0),IF($X54&lt;30,1,0))</formula>
    </cfRule>
    <cfRule type="expression" dxfId="17328" priority="80">
      <formula>AND(IF($Q54=3,1,IF($Q54=4,1,0)),IF($F54&lt;=85,1,0))</formula>
    </cfRule>
  </conditionalFormatting>
  <conditionalFormatting sqref="AV55">
    <cfRule type="expression" dxfId="17327" priority="75">
      <formula>AV55="X"</formula>
    </cfRule>
    <cfRule type="expression" dxfId="17326" priority="76">
      <formula>AV55="후보"</formula>
    </cfRule>
  </conditionalFormatting>
  <conditionalFormatting sqref="AC55 N55">
    <cfRule type="cellIs" dxfId="17325" priority="73" operator="greaterThan">
      <formula>0.9</formula>
    </cfRule>
    <cfRule type="cellIs" dxfId="17324" priority="74" operator="greaterThan">
      <formula>0.85</formula>
    </cfRule>
  </conditionalFormatting>
  <conditionalFormatting sqref="AV56">
    <cfRule type="expression" dxfId="17323" priority="71">
      <formula>AV56="X"</formula>
    </cfRule>
    <cfRule type="expression" dxfId="17322" priority="72">
      <formula>AV56="후보"</formula>
    </cfRule>
  </conditionalFormatting>
  <conditionalFormatting sqref="AC56">
    <cfRule type="cellIs" dxfId="17321" priority="69" operator="greaterThan">
      <formula>0.9</formula>
    </cfRule>
    <cfRule type="cellIs" dxfId="17320" priority="70" operator="greaterThan">
      <formula>0.85</formula>
    </cfRule>
  </conditionalFormatting>
  <conditionalFormatting sqref="N56">
    <cfRule type="cellIs" dxfId="17319" priority="67" operator="greaterThan">
      <formula>0.9</formula>
    </cfRule>
    <cfRule type="cellIs" dxfId="17318" priority="68" operator="greaterThan">
      <formula>0.85</formula>
    </cfRule>
  </conditionalFormatting>
  <conditionalFormatting sqref="E56">
    <cfRule type="expression" dxfId="17317" priority="63">
      <formula>AND(IF(OR($Q56=1,$Q56=2),1,0),IF($X56&lt;=20,1,0))</formula>
    </cfRule>
    <cfRule type="expression" dxfId="17316" priority="64">
      <formula>AND(IF($Q56=2,1,0),IF($X56&lt;30,1,0))</formula>
    </cfRule>
    <cfRule type="expression" dxfId="17315" priority="65">
      <formula>AND(IF($Q56=3,1,0),IF($X56&lt;30,1,0))</formula>
    </cfRule>
    <cfRule type="expression" dxfId="17314" priority="66">
      <formula>AND(IF($Q56=3,1,IF($Q56=4,1,0)),IF($F56&lt;=85,1,0))</formula>
    </cfRule>
  </conditionalFormatting>
  <conditionalFormatting sqref="X56">
    <cfRule type="expression" dxfId="17313" priority="59">
      <formula>AND(IF(OR($Q56=1,$Q56=2),1,0),IF($X56&lt;=20,1,0))</formula>
    </cfRule>
    <cfRule type="expression" dxfId="17312" priority="60">
      <formula>AND(IF($Q56=2,1,0),IF($X56&lt;30,1,0))</formula>
    </cfRule>
    <cfRule type="expression" dxfId="17311" priority="61">
      <formula>AND(IF($Q56=3,1,0),IF($X56&lt;30,1,0))</formula>
    </cfRule>
    <cfRule type="expression" dxfId="17310" priority="62">
      <formula>AND(IF($Q56=3,1,IF($Q56=4,1,0)),IF($F56&lt;=85,1,0))</formula>
    </cfRule>
  </conditionalFormatting>
  <conditionalFormatting sqref="AI56">
    <cfRule type="expression" dxfId="17309" priority="55">
      <formula>AND(IF(OR($Q56=1,$Q56=2),1,0),IF($X56&lt;=20,1,0))</formula>
    </cfRule>
    <cfRule type="expression" dxfId="17308" priority="56">
      <formula>AND(IF($Q56=2,1,0),IF($X56&lt;30,1,0))</formula>
    </cfRule>
    <cfRule type="expression" dxfId="17307" priority="57">
      <formula>AND(IF($Q56=3,1,0),IF($X56&lt;30,1,0))</formula>
    </cfRule>
    <cfRule type="expression" dxfId="17306" priority="58">
      <formula>AND(IF($Q56=3,1,IF($Q56=4,1,0)),IF($F56&lt;=85,1,0))</formula>
    </cfRule>
  </conditionalFormatting>
  <conditionalFormatting sqref="AV57">
    <cfRule type="expression" dxfId="17305" priority="53">
      <formula>AV57="X"</formula>
    </cfRule>
    <cfRule type="expression" dxfId="17304" priority="54">
      <formula>AV57="후보"</formula>
    </cfRule>
  </conditionalFormatting>
  <conditionalFormatting sqref="AC57">
    <cfRule type="cellIs" dxfId="17303" priority="51" operator="greaterThan">
      <formula>0.9</formula>
    </cfRule>
    <cfRule type="cellIs" dxfId="17302" priority="52" operator="greaterThan">
      <formula>0.85</formula>
    </cfRule>
  </conditionalFormatting>
  <conditionalFormatting sqref="N57">
    <cfRule type="cellIs" dxfId="17301" priority="49" operator="greaterThan">
      <formula>0.9</formula>
    </cfRule>
    <cfRule type="cellIs" dxfId="17300" priority="50" operator="greaterThan">
      <formula>0.85</formula>
    </cfRule>
  </conditionalFormatting>
  <conditionalFormatting sqref="E57">
    <cfRule type="expression" dxfId="17299" priority="45">
      <formula>AND(IF(OR($Q57=1,$Q57=2),1,0),IF($X57&lt;=20,1,0))</formula>
    </cfRule>
    <cfRule type="expression" dxfId="17298" priority="46">
      <formula>AND(IF($Q57=2,1,0),IF($X57&lt;30,1,0))</formula>
    </cfRule>
    <cfRule type="expression" dxfId="17297" priority="47">
      <formula>AND(IF($Q57=3,1,0),IF($X57&lt;30,1,0))</formula>
    </cfRule>
    <cfRule type="expression" dxfId="17296" priority="48">
      <formula>AND(IF($Q57=3,1,IF($Q57=4,1,0)),IF($F57&lt;=85,1,0))</formula>
    </cfRule>
  </conditionalFormatting>
  <conditionalFormatting sqref="X57">
    <cfRule type="expression" dxfId="17295" priority="41">
      <formula>AND(IF(OR($Q57=1,$Q57=2),1,0),IF($X57&lt;=20,1,0))</formula>
    </cfRule>
    <cfRule type="expression" dxfId="17294" priority="42">
      <formula>AND(IF($Q57=2,1,0),IF($X57&lt;30,1,0))</formula>
    </cfRule>
    <cfRule type="expression" dxfId="17293" priority="43">
      <formula>AND(IF($Q57=3,1,0),IF($X57&lt;30,1,0))</formula>
    </cfRule>
    <cfRule type="expression" dxfId="17292" priority="44">
      <formula>AND(IF($Q57=3,1,IF($Q57=4,1,0)),IF($F57&lt;=85,1,0))</formula>
    </cfRule>
  </conditionalFormatting>
  <conditionalFormatting sqref="AI57">
    <cfRule type="expression" dxfId="17291" priority="37">
      <formula>AND(IF(OR($Q57=1,$Q57=2),1,0),IF($X57&lt;=20,1,0))</formula>
    </cfRule>
    <cfRule type="expression" dxfId="17290" priority="38">
      <formula>AND(IF($Q57=2,1,0),IF($X57&lt;30,1,0))</formula>
    </cfRule>
    <cfRule type="expression" dxfId="17289" priority="39">
      <formula>AND(IF($Q57=3,1,0),IF($X57&lt;30,1,0))</formula>
    </cfRule>
    <cfRule type="expression" dxfId="17288" priority="40">
      <formula>AND(IF($Q57=3,1,IF($Q57=4,1,0)),IF($F57&lt;=85,1,0))</formula>
    </cfRule>
  </conditionalFormatting>
  <conditionalFormatting sqref="AV58">
    <cfRule type="expression" dxfId="17287" priority="35">
      <formula>AV58="X"</formula>
    </cfRule>
    <cfRule type="expression" dxfId="17286" priority="36">
      <formula>AV58="후보"</formula>
    </cfRule>
  </conditionalFormatting>
  <conditionalFormatting sqref="AC58">
    <cfRule type="cellIs" dxfId="17285" priority="33" operator="greaterThan">
      <formula>0.9</formula>
    </cfRule>
    <cfRule type="cellIs" dxfId="17284" priority="34" operator="greaterThan">
      <formula>0.85</formula>
    </cfRule>
  </conditionalFormatting>
  <conditionalFormatting sqref="N58">
    <cfRule type="cellIs" dxfId="17283" priority="31" operator="greaterThan">
      <formula>0.9</formula>
    </cfRule>
    <cfRule type="cellIs" dxfId="17282" priority="32" operator="greaterThan">
      <formula>0.85</formula>
    </cfRule>
  </conditionalFormatting>
  <conditionalFormatting sqref="E58">
    <cfRule type="expression" dxfId="17281" priority="27">
      <formula>AND(IF(OR($Q58=1,$Q58=2),1,0),IF($X58&lt;=20,1,0))</formula>
    </cfRule>
    <cfRule type="expression" dxfId="17280" priority="28">
      <formula>AND(IF($Q58=2,1,0),IF($X58&lt;30,1,0))</formula>
    </cfRule>
    <cfRule type="expression" dxfId="17279" priority="29">
      <formula>AND(IF($Q58=3,1,0),IF($X58&lt;30,1,0))</formula>
    </cfRule>
    <cfRule type="expression" dxfId="17278" priority="30">
      <formula>AND(IF($Q58=3,1,IF($Q58=4,1,0)),IF($F58&lt;=85,1,0))</formula>
    </cfRule>
  </conditionalFormatting>
  <conditionalFormatting sqref="X58">
    <cfRule type="expression" dxfId="17277" priority="23">
      <formula>AND(IF(OR($Q58=1,$Q58=2),1,0),IF($X58&lt;=20,1,0))</formula>
    </cfRule>
    <cfRule type="expression" dxfId="17276" priority="24">
      <formula>AND(IF($Q58=2,1,0),IF($X58&lt;30,1,0))</formula>
    </cfRule>
    <cfRule type="expression" dxfId="17275" priority="25">
      <formula>AND(IF($Q58=3,1,0),IF($X58&lt;30,1,0))</formula>
    </cfRule>
    <cfRule type="expression" dxfId="17274" priority="26">
      <formula>AND(IF($Q58=3,1,IF($Q58=4,1,0)),IF($F58&lt;=85,1,0))</formula>
    </cfRule>
  </conditionalFormatting>
  <conditionalFormatting sqref="AI58">
    <cfRule type="expression" dxfId="17273" priority="19">
      <formula>AND(IF(OR($Q58=1,$Q58=2),1,0),IF($X58&lt;=20,1,0))</formula>
    </cfRule>
    <cfRule type="expression" dxfId="17272" priority="20">
      <formula>AND(IF($Q58=2,1,0),IF($X58&lt;30,1,0))</formula>
    </cfRule>
    <cfRule type="expression" dxfId="17271" priority="21">
      <formula>AND(IF($Q58=3,1,0),IF($X58&lt;30,1,0))</formula>
    </cfRule>
    <cfRule type="expression" dxfId="17270" priority="22">
      <formula>AND(IF($Q58=3,1,IF($Q58=4,1,0)),IF($F58&lt;=85,1,0))</formula>
    </cfRule>
  </conditionalFormatting>
  <conditionalFormatting sqref="AV59">
    <cfRule type="expression" dxfId="17269" priority="17">
      <formula>AV59="X"</formula>
    </cfRule>
    <cfRule type="expression" dxfId="17268" priority="18">
      <formula>AV59="후보"</formula>
    </cfRule>
  </conditionalFormatting>
  <conditionalFormatting sqref="AC59">
    <cfRule type="cellIs" dxfId="17267" priority="15" operator="greaterThan">
      <formula>0.9</formula>
    </cfRule>
    <cfRule type="cellIs" dxfId="17266" priority="16" operator="greaterThan">
      <formula>0.85</formula>
    </cfRule>
  </conditionalFormatting>
  <conditionalFormatting sqref="N59">
    <cfRule type="cellIs" dxfId="17265" priority="13" operator="greaterThan">
      <formula>0.9</formula>
    </cfRule>
    <cfRule type="cellIs" dxfId="17264" priority="14" operator="greaterThan">
      <formula>0.85</formula>
    </cfRule>
  </conditionalFormatting>
  <conditionalFormatting sqref="E59">
    <cfRule type="expression" dxfId="17263" priority="9">
      <formula>AND(IF(OR($Q59=1,$Q59=2),1,0),IF($X59&lt;=20,1,0))</formula>
    </cfRule>
    <cfRule type="expression" dxfId="17262" priority="10">
      <formula>AND(IF($Q59=2,1,0),IF($X59&lt;30,1,0))</formula>
    </cfRule>
    <cfRule type="expression" dxfId="17261" priority="11">
      <formula>AND(IF($Q59=3,1,0),IF($X59&lt;30,1,0))</formula>
    </cfRule>
    <cfRule type="expression" dxfId="17260" priority="12">
      <formula>AND(IF($Q59=3,1,IF($Q59=4,1,0)),IF($F59&lt;=85,1,0))</formula>
    </cfRule>
  </conditionalFormatting>
  <conditionalFormatting sqref="X59">
    <cfRule type="expression" dxfId="17259" priority="5">
      <formula>AND(IF(OR($Q59=1,$Q59=2),1,0),IF($X59&lt;=20,1,0))</formula>
    </cfRule>
    <cfRule type="expression" dxfId="17258" priority="6">
      <formula>AND(IF($Q59=2,1,0),IF($X59&lt;30,1,0))</formula>
    </cfRule>
    <cfRule type="expression" dxfId="17257" priority="7">
      <formula>AND(IF($Q59=3,1,0),IF($X59&lt;30,1,0))</formula>
    </cfRule>
    <cfRule type="expression" dxfId="17256" priority="8">
      <formula>AND(IF($Q59=3,1,IF($Q59=4,1,0)),IF($F59&lt;=85,1,0))</formula>
    </cfRule>
  </conditionalFormatting>
  <conditionalFormatting sqref="AI59">
    <cfRule type="expression" dxfId="17255" priority="1">
      <formula>AND(IF(OR($Q59=1,$Q59=2),1,0),IF($X59&lt;=20,1,0))</formula>
    </cfRule>
    <cfRule type="expression" dxfId="17254" priority="2">
      <formula>AND(IF($Q59=2,1,0),IF($X59&lt;30,1,0))</formula>
    </cfRule>
    <cfRule type="expression" dxfId="17253" priority="3">
      <formula>AND(IF($Q59=3,1,0),IF($X59&lt;30,1,0))</formula>
    </cfRule>
    <cfRule type="expression" dxfId="17252" priority="4">
      <formula>AND(IF($Q59=3,1,IF($Q59=4,1,0)),IF($F59&lt;=85,1,0))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신풍동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1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1056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신풍동 월명('79.05.,240^)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1" si="1"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1052</v>
      </c>
      <c r="B6" s="10" t="s">
        <v>1336</v>
      </c>
      <c r="C6" s="107">
        <v>240</v>
      </c>
      <c r="D6" s="104">
        <v>62</v>
      </c>
      <c r="E6" s="106">
        <v>19</v>
      </c>
      <c r="F6" s="104">
        <v>62</v>
      </c>
      <c r="G6" s="17">
        <v>19</v>
      </c>
      <c r="H6" s="107">
        <v>30</v>
      </c>
      <c r="I6" s="108"/>
      <c r="J6" s="108"/>
      <c r="K6" s="108"/>
      <c r="L6" s="108"/>
      <c r="M6" s="109">
        <f t="shared" ref="M6:M11" si="2">I6-K6</f>
        <v>0</v>
      </c>
      <c r="N6" s="4" t="str">
        <f t="shared" ref="N6:N11" si="3">IF(ISERROR(K6/I6),"",K6/I6)</f>
        <v/>
      </c>
      <c r="O6" s="105">
        <f t="shared" ref="O6:O11" si="4">I6/E6</f>
        <v>0</v>
      </c>
      <c r="P6" s="105">
        <f t="shared" ref="P6:P11" si="5">K6/E6</f>
        <v>0</v>
      </c>
      <c r="Q6" s="77">
        <v>2</v>
      </c>
      <c r="R6" s="77">
        <v>1</v>
      </c>
      <c r="S6" s="77" t="s">
        <v>1244</v>
      </c>
      <c r="T6" s="5">
        <v>61</v>
      </c>
      <c r="U6" s="9"/>
      <c r="W6" s="104">
        <f t="shared" ref="W6:X11" si="6">D6</f>
        <v>62</v>
      </c>
      <c r="X6" s="106">
        <f t="shared" si="6"/>
        <v>19</v>
      </c>
      <c r="Y6" s="102">
        <f t="shared" ref="Y6:Z11" si="7">H6</f>
        <v>30</v>
      </c>
      <c r="Z6" s="109">
        <f t="shared" si="7"/>
        <v>0</v>
      </c>
      <c r="AA6" s="109">
        <f t="shared" ref="AA6:AA11" si="8">K6</f>
        <v>0</v>
      </c>
      <c r="AB6" s="109">
        <f t="shared" ref="AB6:AD11" si="9">M6</f>
        <v>0</v>
      </c>
      <c r="AC6" s="4" t="str">
        <f t="shared" si="9"/>
        <v/>
      </c>
      <c r="AD6" s="105">
        <f t="shared" si="9"/>
        <v>0</v>
      </c>
      <c r="AE6" s="77" t="str">
        <f t="shared" ref="AE6:AE11" si="10">S6</f>
        <v>계</v>
      </c>
      <c r="AF6" s="77" t="str">
        <f t="shared" ref="AF6:AF11" si="11">Q6&amp;"/"&amp;R6</f>
        <v>2/1</v>
      </c>
      <c r="AH6" s="20" t="str">
        <f t="shared" si="1"/>
        <v>월명</v>
      </c>
      <c r="AI6" s="106">
        <f t="shared" si="0"/>
        <v>19</v>
      </c>
      <c r="AJ6" s="77" t="str">
        <f t="shared" ref="AJ6:AJ11" si="12"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 t="shared" ref="AN6:AN11" si="13">IF(AI6="","",$AN$2)</f>
        <v>C</v>
      </c>
      <c r="AO6" s="77" t="str">
        <f t="shared" ref="AO6:AO11" si="14">IF(N6="","",IF(N6&gt;=$AO$1/100,"O","X"))</f>
        <v/>
      </c>
      <c r="AP6" s="77" t="str">
        <f t="shared" ref="AP6:AP11" si="15">IF(I6="","",IF(I6&lt;=$AP$1,"O","X"))</f>
        <v/>
      </c>
      <c r="AQ6" s="77" t="str">
        <f t="shared" ref="AQ6:AQ11" si="16">IF(O6="","",IF(O6&lt;=$AQ$1,"O","X"))</f>
        <v>O</v>
      </c>
      <c r="AR6" s="77" t="str">
        <f t="shared" ref="AR6:AR11" si="17">IF(M6="","",IF(M6&lt;=$AR$1,"O","X"))</f>
        <v>O</v>
      </c>
      <c r="AS6" s="77" t="s">
        <v>2</v>
      </c>
      <c r="AT6" s="77" t="str">
        <f t="shared" ref="AT6:AT11" si="18">IF(OR(F6="",AI6=""),"",IF(AND((F6&lt;=85),(AI6&gt;=15)),"O","X"))</f>
        <v>O</v>
      </c>
      <c r="AU6" s="77" t="str">
        <f t="shared" ref="AU6:AU11" si="19">IF(C6="","",IF(C6&gt;=$AU$1,"O","X"))</f>
        <v>X</v>
      </c>
      <c r="AV6" s="77" t="str">
        <f t="shared" ref="AV6:AV11" si="20">IF(AO6="","",IF(AND(AO6="O",AP6="O",AR6="O",AT6="O",AU6="O"),"후보","X"))</f>
        <v/>
      </c>
    </row>
    <row r="7" spans="1:48" x14ac:dyDescent="0.3">
      <c r="A7" s="9" t="s">
        <v>1052</v>
      </c>
      <c r="B7" s="10" t="s">
        <v>1336</v>
      </c>
      <c r="C7" s="107">
        <v>240</v>
      </c>
      <c r="D7" s="104">
        <v>70.7</v>
      </c>
      <c r="E7" s="106">
        <v>21</v>
      </c>
      <c r="F7" s="104">
        <v>70.7</v>
      </c>
      <c r="G7" s="17">
        <v>21</v>
      </c>
      <c r="H7" s="107">
        <v>30</v>
      </c>
      <c r="I7" s="108"/>
      <c r="J7" s="108"/>
      <c r="K7" s="108"/>
      <c r="L7" s="108"/>
      <c r="M7" s="109">
        <f t="shared" si="2"/>
        <v>0</v>
      </c>
      <c r="N7" s="4" t="str">
        <f t="shared" si="3"/>
        <v/>
      </c>
      <c r="O7" s="105">
        <f t="shared" si="4"/>
        <v>0</v>
      </c>
      <c r="P7" s="105">
        <f t="shared" si="5"/>
        <v>0</v>
      </c>
      <c r="Q7" s="77">
        <v>2</v>
      </c>
      <c r="R7" s="77">
        <v>1</v>
      </c>
      <c r="S7" s="77" t="s">
        <v>1244</v>
      </c>
      <c r="T7" s="5">
        <v>70</v>
      </c>
      <c r="U7" s="9"/>
      <c r="W7" s="104">
        <f t="shared" si="6"/>
        <v>70.7</v>
      </c>
      <c r="X7" s="106">
        <f t="shared" si="6"/>
        <v>21</v>
      </c>
      <c r="Y7" s="102">
        <f t="shared" si="7"/>
        <v>30</v>
      </c>
      <c r="Z7" s="109">
        <f t="shared" si="7"/>
        <v>0</v>
      </c>
      <c r="AA7" s="109">
        <f t="shared" si="8"/>
        <v>0</v>
      </c>
      <c r="AB7" s="109">
        <f t="shared" si="9"/>
        <v>0</v>
      </c>
      <c r="AC7" s="4" t="str">
        <f t="shared" si="9"/>
        <v/>
      </c>
      <c r="AD7" s="105">
        <f t="shared" si="9"/>
        <v>0</v>
      </c>
      <c r="AE7" s="77" t="str">
        <f t="shared" si="10"/>
        <v>계</v>
      </c>
      <c r="AF7" s="77" t="str">
        <f t="shared" si="11"/>
        <v>2/1</v>
      </c>
      <c r="AH7" s="20" t="str">
        <f t="shared" si="1"/>
        <v>월명</v>
      </c>
      <c r="AI7" s="106">
        <f t="shared" si="0"/>
        <v>21</v>
      </c>
      <c r="AJ7" s="77" t="str">
        <f t="shared" si="12"/>
        <v>A-</v>
      </c>
      <c r="AK7" s="77" t="s">
        <v>13</v>
      </c>
      <c r="AL7" s="77" t="s">
        <v>1242</v>
      </c>
      <c r="AM7" s="77" t="s">
        <v>1243</v>
      </c>
      <c r="AN7" s="77" t="str">
        <f t="shared" si="13"/>
        <v>C</v>
      </c>
      <c r="AO7" s="77" t="str">
        <f t="shared" si="14"/>
        <v/>
      </c>
      <c r="AP7" s="77" t="str">
        <f t="shared" si="15"/>
        <v/>
      </c>
      <c r="AQ7" s="77" t="str">
        <f t="shared" si="16"/>
        <v>O</v>
      </c>
      <c r="AR7" s="77" t="str">
        <f t="shared" si="17"/>
        <v>O</v>
      </c>
      <c r="AS7" s="77" t="s">
        <v>2</v>
      </c>
      <c r="AT7" s="77" t="str">
        <f t="shared" si="18"/>
        <v>O</v>
      </c>
      <c r="AU7" s="77" t="str">
        <f t="shared" si="19"/>
        <v>X</v>
      </c>
      <c r="AV7" s="77" t="str">
        <f t="shared" si="20"/>
        <v/>
      </c>
    </row>
    <row r="8" spans="1:48" x14ac:dyDescent="0.3">
      <c r="A8" s="9" t="s">
        <v>1052</v>
      </c>
      <c r="B8" s="10" t="s">
        <v>1336</v>
      </c>
      <c r="C8" s="107">
        <v>240</v>
      </c>
      <c r="D8" s="104">
        <v>76.099999999999994</v>
      </c>
      <c r="E8" s="106">
        <v>23</v>
      </c>
      <c r="F8" s="104">
        <v>76.099999999999994</v>
      </c>
      <c r="G8" s="17">
        <v>23</v>
      </c>
      <c r="H8" s="107">
        <v>60</v>
      </c>
      <c r="I8" s="108"/>
      <c r="J8" s="108"/>
      <c r="K8" s="108"/>
      <c r="L8" s="108"/>
      <c r="M8" s="109">
        <f t="shared" si="2"/>
        <v>0</v>
      </c>
      <c r="N8" s="4" t="str">
        <f t="shared" si="3"/>
        <v/>
      </c>
      <c r="O8" s="105">
        <f t="shared" si="4"/>
        <v>0</v>
      </c>
      <c r="P8" s="105">
        <f t="shared" si="5"/>
        <v>0</v>
      </c>
      <c r="Q8" s="77">
        <v>3</v>
      </c>
      <c r="R8" s="77">
        <v>1</v>
      </c>
      <c r="S8" s="77" t="s">
        <v>1241</v>
      </c>
      <c r="T8" s="5">
        <v>76</v>
      </c>
      <c r="U8" s="9"/>
      <c r="W8" s="104">
        <f t="shared" si="6"/>
        <v>76.099999999999994</v>
      </c>
      <c r="X8" s="106">
        <f t="shared" si="6"/>
        <v>23</v>
      </c>
      <c r="Y8" s="102">
        <f t="shared" si="7"/>
        <v>60</v>
      </c>
      <c r="Z8" s="109">
        <f t="shared" si="7"/>
        <v>0</v>
      </c>
      <c r="AA8" s="109">
        <f t="shared" si="8"/>
        <v>0</v>
      </c>
      <c r="AB8" s="109">
        <f t="shared" si="9"/>
        <v>0</v>
      </c>
      <c r="AC8" s="4" t="str">
        <f t="shared" si="9"/>
        <v/>
      </c>
      <c r="AD8" s="105">
        <f t="shared" si="9"/>
        <v>0</v>
      </c>
      <c r="AE8" s="77" t="str">
        <f t="shared" si="10"/>
        <v>복</v>
      </c>
      <c r="AF8" s="77" t="str">
        <f t="shared" si="11"/>
        <v>3/1</v>
      </c>
      <c r="AH8" s="20" t="str">
        <f t="shared" si="1"/>
        <v>월명</v>
      </c>
      <c r="AI8" s="106">
        <f t="shared" si="0"/>
        <v>23</v>
      </c>
      <c r="AJ8" s="77" t="str">
        <f t="shared" si="12"/>
        <v>A-</v>
      </c>
      <c r="AK8" s="77" t="s">
        <v>13</v>
      </c>
      <c r="AL8" s="77" t="s">
        <v>1242</v>
      </c>
      <c r="AM8" s="77" t="s">
        <v>1243</v>
      </c>
      <c r="AN8" s="77" t="str">
        <f t="shared" si="13"/>
        <v>C</v>
      </c>
      <c r="AO8" s="77" t="str">
        <f t="shared" si="14"/>
        <v/>
      </c>
      <c r="AP8" s="77" t="str">
        <f t="shared" si="15"/>
        <v/>
      </c>
      <c r="AQ8" s="77" t="str">
        <f t="shared" si="16"/>
        <v>O</v>
      </c>
      <c r="AR8" s="77" t="str">
        <f t="shared" si="17"/>
        <v>O</v>
      </c>
      <c r="AS8" s="77" t="s">
        <v>2</v>
      </c>
      <c r="AT8" s="77" t="str">
        <f t="shared" si="18"/>
        <v>O</v>
      </c>
      <c r="AU8" s="77" t="str">
        <f t="shared" si="19"/>
        <v>X</v>
      </c>
      <c r="AV8" s="77" t="str">
        <f t="shared" si="20"/>
        <v/>
      </c>
    </row>
    <row r="9" spans="1:48" x14ac:dyDescent="0.3">
      <c r="A9" s="9" t="s">
        <v>1052</v>
      </c>
      <c r="B9" s="10" t="s">
        <v>1336</v>
      </c>
      <c r="C9" s="107">
        <v>240</v>
      </c>
      <c r="D9" s="104">
        <v>78.5</v>
      </c>
      <c r="E9" s="106">
        <v>24</v>
      </c>
      <c r="F9" s="104">
        <v>78.5</v>
      </c>
      <c r="G9" s="17">
        <v>24</v>
      </c>
      <c r="H9" s="107">
        <v>60</v>
      </c>
      <c r="I9" s="108"/>
      <c r="J9" s="108"/>
      <c r="K9" s="108"/>
      <c r="L9" s="108"/>
      <c r="M9" s="109">
        <f t="shared" si="2"/>
        <v>0</v>
      </c>
      <c r="N9" s="4" t="str">
        <f t="shared" si="3"/>
        <v/>
      </c>
      <c r="O9" s="105">
        <f t="shared" si="4"/>
        <v>0</v>
      </c>
      <c r="P9" s="105">
        <f t="shared" si="5"/>
        <v>0</v>
      </c>
      <c r="Q9" s="77">
        <v>2</v>
      </c>
      <c r="R9" s="77">
        <v>1</v>
      </c>
      <c r="S9" s="77" t="s">
        <v>1244</v>
      </c>
      <c r="T9" s="5">
        <v>78</v>
      </c>
      <c r="U9" s="9"/>
      <c r="W9" s="104">
        <f t="shared" si="6"/>
        <v>78.5</v>
      </c>
      <c r="X9" s="106">
        <f t="shared" si="6"/>
        <v>24</v>
      </c>
      <c r="Y9" s="102">
        <f t="shared" si="7"/>
        <v>60</v>
      </c>
      <c r="Z9" s="109">
        <f t="shared" si="7"/>
        <v>0</v>
      </c>
      <c r="AA9" s="109">
        <f t="shared" si="8"/>
        <v>0</v>
      </c>
      <c r="AB9" s="109">
        <f t="shared" si="9"/>
        <v>0</v>
      </c>
      <c r="AC9" s="4" t="str">
        <f t="shared" si="9"/>
        <v/>
      </c>
      <c r="AD9" s="105">
        <f t="shared" si="9"/>
        <v>0</v>
      </c>
      <c r="AE9" s="77" t="str">
        <f t="shared" si="10"/>
        <v>계</v>
      </c>
      <c r="AF9" s="77" t="str">
        <f t="shared" si="11"/>
        <v>2/1</v>
      </c>
      <c r="AH9" s="20" t="str">
        <f t="shared" si="1"/>
        <v>월명</v>
      </c>
      <c r="AI9" s="106">
        <f t="shared" si="0"/>
        <v>24</v>
      </c>
      <c r="AJ9" s="77" t="str">
        <f t="shared" si="12"/>
        <v>A-</v>
      </c>
      <c r="AK9" s="77" t="s">
        <v>13</v>
      </c>
      <c r="AL9" s="77" t="s">
        <v>1242</v>
      </c>
      <c r="AM9" s="77" t="s">
        <v>1243</v>
      </c>
      <c r="AN9" s="77" t="str">
        <f t="shared" si="13"/>
        <v>C</v>
      </c>
      <c r="AO9" s="77" t="str">
        <f t="shared" si="14"/>
        <v/>
      </c>
      <c r="AP9" s="77" t="str">
        <f t="shared" si="15"/>
        <v/>
      </c>
      <c r="AQ9" s="77" t="str">
        <f t="shared" si="16"/>
        <v>O</v>
      </c>
      <c r="AR9" s="77" t="str">
        <f t="shared" si="17"/>
        <v>O</v>
      </c>
      <c r="AS9" s="77" t="s">
        <v>2</v>
      </c>
      <c r="AT9" s="77" t="str">
        <f t="shared" si="18"/>
        <v>O</v>
      </c>
      <c r="AU9" s="77" t="str">
        <f t="shared" si="19"/>
        <v>X</v>
      </c>
      <c r="AV9" s="77" t="str">
        <f t="shared" si="20"/>
        <v/>
      </c>
    </row>
    <row r="10" spans="1:48" x14ac:dyDescent="0.3">
      <c r="A10" s="9" t="s">
        <v>1052</v>
      </c>
      <c r="B10" s="10" t="s">
        <v>1336</v>
      </c>
      <c r="C10" s="107">
        <v>240</v>
      </c>
      <c r="D10" s="104">
        <v>81.2</v>
      </c>
      <c r="E10" s="106">
        <v>25</v>
      </c>
      <c r="F10" s="104">
        <v>81.2</v>
      </c>
      <c r="G10" s="17">
        <v>25</v>
      </c>
      <c r="H10" s="107">
        <v>40</v>
      </c>
      <c r="I10" s="108"/>
      <c r="J10" s="108"/>
      <c r="K10" s="108"/>
      <c r="L10" s="108"/>
      <c r="M10" s="109">
        <f t="shared" si="2"/>
        <v>0</v>
      </c>
      <c r="N10" s="4" t="str">
        <f t="shared" si="3"/>
        <v/>
      </c>
      <c r="O10" s="105">
        <f t="shared" si="4"/>
        <v>0</v>
      </c>
      <c r="P10" s="105">
        <f t="shared" si="5"/>
        <v>0</v>
      </c>
      <c r="Q10" s="77">
        <v>3</v>
      </c>
      <c r="R10" s="77">
        <v>1</v>
      </c>
      <c r="S10" s="77" t="s">
        <v>1244</v>
      </c>
      <c r="T10" s="5">
        <v>81</v>
      </c>
      <c r="U10" s="9"/>
      <c r="W10" s="104">
        <f t="shared" si="6"/>
        <v>81.2</v>
      </c>
      <c r="X10" s="106">
        <f t="shared" si="6"/>
        <v>25</v>
      </c>
      <c r="Y10" s="102">
        <f t="shared" si="7"/>
        <v>40</v>
      </c>
      <c r="Z10" s="109">
        <f t="shared" si="7"/>
        <v>0</v>
      </c>
      <c r="AA10" s="109">
        <f t="shared" si="8"/>
        <v>0</v>
      </c>
      <c r="AB10" s="109">
        <f t="shared" si="9"/>
        <v>0</v>
      </c>
      <c r="AC10" s="4" t="str">
        <f t="shared" si="9"/>
        <v/>
      </c>
      <c r="AD10" s="105">
        <f t="shared" si="9"/>
        <v>0</v>
      </c>
      <c r="AE10" s="77" t="str">
        <f t="shared" si="10"/>
        <v>계</v>
      </c>
      <c r="AF10" s="77" t="str">
        <f t="shared" si="11"/>
        <v>3/1</v>
      </c>
      <c r="AH10" s="20" t="str">
        <f t="shared" si="1"/>
        <v>월명</v>
      </c>
      <c r="AI10" s="106">
        <f t="shared" si="0"/>
        <v>25</v>
      </c>
      <c r="AJ10" s="77" t="str">
        <f t="shared" si="12"/>
        <v>A-</v>
      </c>
      <c r="AK10" s="77" t="s">
        <v>13</v>
      </c>
      <c r="AL10" s="77" t="s">
        <v>1242</v>
      </c>
      <c r="AM10" s="77" t="s">
        <v>1243</v>
      </c>
      <c r="AN10" s="77" t="str">
        <f t="shared" si="13"/>
        <v>C</v>
      </c>
      <c r="AO10" s="77" t="str">
        <f t="shared" si="14"/>
        <v/>
      </c>
      <c r="AP10" s="77" t="str">
        <f t="shared" si="15"/>
        <v/>
      </c>
      <c r="AQ10" s="77" t="str">
        <f t="shared" si="16"/>
        <v>O</v>
      </c>
      <c r="AR10" s="77" t="str">
        <f t="shared" si="17"/>
        <v>O</v>
      </c>
      <c r="AS10" s="77" t="s">
        <v>2</v>
      </c>
      <c r="AT10" s="77" t="str">
        <f t="shared" si="18"/>
        <v>O</v>
      </c>
      <c r="AU10" s="77" t="str">
        <f t="shared" si="19"/>
        <v>X</v>
      </c>
      <c r="AV10" s="77" t="str">
        <f t="shared" si="20"/>
        <v/>
      </c>
    </row>
    <row r="11" spans="1:48" x14ac:dyDescent="0.3">
      <c r="A11" s="9" t="s">
        <v>1052</v>
      </c>
      <c r="B11" s="10" t="s">
        <v>1336</v>
      </c>
      <c r="C11" s="107">
        <v>240</v>
      </c>
      <c r="D11" s="104">
        <v>83.6</v>
      </c>
      <c r="E11" s="106">
        <v>25</v>
      </c>
      <c r="F11" s="104">
        <v>83.6</v>
      </c>
      <c r="G11" s="17">
        <v>25</v>
      </c>
      <c r="H11" s="107">
        <v>20</v>
      </c>
      <c r="I11" s="108"/>
      <c r="J11" s="108"/>
      <c r="K11" s="108"/>
      <c r="L11" s="108"/>
      <c r="M11" s="109">
        <f t="shared" si="2"/>
        <v>0</v>
      </c>
      <c r="N11" s="4" t="str">
        <f t="shared" si="3"/>
        <v/>
      </c>
      <c r="O11" s="105">
        <f t="shared" si="4"/>
        <v>0</v>
      </c>
      <c r="P11" s="105">
        <f t="shared" si="5"/>
        <v>0</v>
      </c>
      <c r="Q11" s="77">
        <v>3</v>
      </c>
      <c r="R11" s="77">
        <v>1</v>
      </c>
      <c r="S11" s="77" t="s">
        <v>1244</v>
      </c>
      <c r="T11" s="5">
        <v>83</v>
      </c>
      <c r="U11" s="9"/>
      <c r="W11" s="104">
        <f t="shared" si="6"/>
        <v>83.6</v>
      </c>
      <c r="X11" s="106">
        <f t="shared" si="6"/>
        <v>25</v>
      </c>
      <c r="Y11" s="102">
        <f t="shared" si="7"/>
        <v>20</v>
      </c>
      <c r="Z11" s="109">
        <f t="shared" si="7"/>
        <v>0</v>
      </c>
      <c r="AA11" s="109">
        <f t="shared" si="8"/>
        <v>0</v>
      </c>
      <c r="AB11" s="109">
        <f t="shared" si="9"/>
        <v>0</v>
      </c>
      <c r="AC11" s="4" t="str">
        <f t="shared" si="9"/>
        <v/>
      </c>
      <c r="AD11" s="105">
        <f t="shared" si="9"/>
        <v>0</v>
      </c>
      <c r="AE11" s="77" t="str">
        <f t="shared" si="10"/>
        <v>계</v>
      </c>
      <c r="AF11" s="77" t="str">
        <f t="shared" si="11"/>
        <v>3/1</v>
      </c>
      <c r="AH11" s="20" t="str">
        <f t="shared" si="1"/>
        <v>월명</v>
      </c>
      <c r="AI11" s="106">
        <f t="shared" si="0"/>
        <v>25</v>
      </c>
      <c r="AJ11" s="77" t="str">
        <f t="shared" si="12"/>
        <v>A-</v>
      </c>
      <c r="AK11" s="77" t="s">
        <v>13</v>
      </c>
      <c r="AL11" s="77" t="s">
        <v>1242</v>
      </c>
      <c r="AM11" s="77" t="s">
        <v>1243</v>
      </c>
      <c r="AN11" s="77" t="str">
        <f t="shared" si="13"/>
        <v>C</v>
      </c>
      <c r="AO11" s="77" t="str">
        <f t="shared" si="14"/>
        <v/>
      </c>
      <c r="AP11" s="77" t="str">
        <f t="shared" si="15"/>
        <v/>
      </c>
      <c r="AQ11" s="77" t="str">
        <f t="shared" si="16"/>
        <v>O</v>
      </c>
      <c r="AR11" s="77" t="str">
        <f t="shared" si="17"/>
        <v>O</v>
      </c>
      <c r="AS11" s="77" t="s">
        <v>2</v>
      </c>
      <c r="AT11" s="77" t="str">
        <f t="shared" si="18"/>
        <v>O</v>
      </c>
      <c r="AU11" s="77" t="str">
        <f t="shared" si="19"/>
        <v>X</v>
      </c>
      <c r="AV11" s="77" t="str">
        <f t="shared" si="20"/>
        <v/>
      </c>
    </row>
  </sheetData>
  <mergeCells count="1">
    <mergeCell ref="AJ1:AN1"/>
  </mergeCells>
  <phoneticPr fontId="2" type="noConversion"/>
  <conditionalFormatting sqref="AV4:AV6">
    <cfRule type="expression" dxfId="17251" priority="109">
      <formula>AV4="X"</formula>
    </cfRule>
    <cfRule type="expression" dxfId="17250" priority="110">
      <formula>AV4="후보"</formula>
    </cfRule>
  </conditionalFormatting>
  <conditionalFormatting sqref="AC1:AC2 AC4:AC6 N4:N5">
    <cfRule type="cellIs" dxfId="17249" priority="107" operator="greaterThan">
      <formula>0.9</formula>
    </cfRule>
    <cfRule type="cellIs" dxfId="17248" priority="108" operator="greaterThan">
      <formula>0.85</formula>
    </cfRule>
  </conditionalFormatting>
  <conditionalFormatting sqref="N1:N2">
    <cfRule type="cellIs" dxfId="17247" priority="105" operator="greaterThan">
      <formula>0.9</formula>
    </cfRule>
    <cfRule type="cellIs" dxfId="17246" priority="106" operator="greaterThan">
      <formula>0.85</formula>
    </cfRule>
  </conditionalFormatting>
  <conditionalFormatting sqref="N6">
    <cfRule type="cellIs" dxfId="17245" priority="103" operator="greaterThan">
      <formula>0.9</formula>
    </cfRule>
    <cfRule type="cellIs" dxfId="17244" priority="104" operator="greaterThan">
      <formula>0.85</formula>
    </cfRule>
  </conditionalFormatting>
  <conditionalFormatting sqref="E6">
    <cfRule type="expression" dxfId="17243" priority="99">
      <formula>AND(IF(OR($Q6=1,$Q6=2),1,0),IF($X6&lt;=20,1,0))</formula>
    </cfRule>
    <cfRule type="expression" dxfId="17242" priority="100">
      <formula>AND(IF($Q6=2,1,0),IF($X6&lt;30,1,0))</formula>
    </cfRule>
    <cfRule type="expression" dxfId="17241" priority="101">
      <formula>AND(IF($Q6=3,1,0),IF($X6&lt;30,1,0))</formula>
    </cfRule>
    <cfRule type="expression" dxfId="17240" priority="102">
      <formula>AND(IF($Q6=3,1,IF($Q6=4,1,0)),IF($F6&lt;=85,1,0))</formula>
    </cfRule>
  </conditionalFormatting>
  <conditionalFormatting sqref="X6">
    <cfRule type="expression" dxfId="17239" priority="95">
      <formula>AND(IF(OR($Q6=1,$Q6=2),1,0),IF($X6&lt;=20,1,0))</formula>
    </cfRule>
    <cfRule type="expression" dxfId="17238" priority="96">
      <formula>AND(IF($Q6=2,1,0),IF($X6&lt;30,1,0))</formula>
    </cfRule>
    <cfRule type="expression" dxfId="17237" priority="97">
      <formula>AND(IF($Q6=3,1,0),IF($X6&lt;30,1,0))</formula>
    </cfRule>
    <cfRule type="expression" dxfId="17236" priority="98">
      <formula>AND(IF($Q6=3,1,IF($Q6=4,1,0)),IF($F6&lt;=85,1,0))</formula>
    </cfRule>
  </conditionalFormatting>
  <conditionalFormatting sqref="AI6">
    <cfRule type="expression" dxfId="17235" priority="91">
      <formula>AND(IF(OR($Q6=1,$Q6=2),1,0),IF($X6&lt;=20,1,0))</formula>
    </cfRule>
    <cfRule type="expression" dxfId="17234" priority="92">
      <formula>AND(IF($Q6=2,1,0),IF($X6&lt;30,1,0))</formula>
    </cfRule>
    <cfRule type="expression" dxfId="17233" priority="93">
      <formula>AND(IF($Q6=3,1,0),IF($X6&lt;30,1,0))</formula>
    </cfRule>
    <cfRule type="expression" dxfId="17232" priority="94">
      <formula>AND(IF($Q6=3,1,IF($Q6=4,1,0)),IF($F6&lt;=85,1,0))</formula>
    </cfRule>
  </conditionalFormatting>
  <conditionalFormatting sqref="AV7">
    <cfRule type="expression" dxfId="17231" priority="89">
      <formula>AV7="X"</formula>
    </cfRule>
    <cfRule type="expression" dxfId="17230" priority="90">
      <formula>AV7="후보"</formula>
    </cfRule>
  </conditionalFormatting>
  <conditionalFormatting sqref="AC7">
    <cfRule type="cellIs" dxfId="17229" priority="87" operator="greaterThan">
      <formula>0.9</formula>
    </cfRule>
    <cfRule type="cellIs" dxfId="17228" priority="88" operator="greaterThan">
      <formula>0.85</formula>
    </cfRule>
  </conditionalFormatting>
  <conditionalFormatting sqref="N7">
    <cfRule type="cellIs" dxfId="17227" priority="85" operator="greaterThan">
      <formula>0.9</formula>
    </cfRule>
    <cfRule type="cellIs" dxfId="17226" priority="86" operator="greaterThan">
      <formula>0.85</formula>
    </cfRule>
  </conditionalFormatting>
  <conditionalFormatting sqref="E7">
    <cfRule type="expression" dxfId="17225" priority="81">
      <formula>AND(IF(OR($Q7=1,$Q7=2),1,0),IF($X7&lt;=20,1,0))</formula>
    </cfRule>
    <cfRule type="expression" dxfId="17224" priority="82">
      <formula>AND(IF($Q7=2,1,0),IF($X7&lt;30,1,0))</formula>
    </cfRule>
    <cfRule type="expression" dxfId="17223" priority="83">
      <formula>AND(IF($Q7=3,1,0),IF($X7&lt;30,1,0))</formula>
    </cfRule>
    <cfRule type="expression" dxfId="17222" priority="84">
      <formula>AND(IF($Q7=3,1,IF($Q7=4,1,0)),IF($F7&lt;=85,1,0))</formula>
    </cfRule>
  </conditionalFormatting>
  <conditionalFormatting sqref="X7">
    <cfRule type="expression" dxfId="17221" priority="77">
      <formula>AND(IF(OR($Q7=1,$Q7=2),1,0),IF($X7&lt;=20,1,0))</formula>
    </cfRule>
    <cfRule type="expression" dxfId="17220" priority="78">
      <formula>AND(IF($Q7=2,1,0),IF($X7&lt;30,1,0))</formula>
    </cfRule>
    <cfRule type="expression" dxfId="17219" priority="79">
      <formula>AND(IF($Q7=3,1,0),IF($X7&lt;30,1,0))</formula>
    </cfRule>
    <cfRule type="expression" dxfId="17218" priority="80">
      <formula>AND(IF($Q7=3,1,IF($Q7=4,1,0)),IF($F7&lt;=85,1,0))</formula>
    </cfRule>
  </conditionalFormatting>
  <conditionalFormatting sqref="AI7">
    <cfRule type="expression" dxfId="17217" priority="73">
      <formula>AND(IF(OR($Q7=1,$Q7=2),1,0),IF($X7&lt;=20,1,0))</formula>
    </cfRule>
    <cfRule type="expression" dxfId="17216" priority="74">
      <formula>AND(IF($Q7=2,1,0),IF($X7&lt;30,1,0))</formula>
    </cfRule>
    <cfRule type="expression" dxfId="17215" priority="75">
      <formula>AND(IF($Q7=3,1,0),IF($X7&lt;30,1,0))</formula>
    </cfRule>
    <cfRule type="expression" dxfId="17214" priority="76">
      <formula>AND(IF($Q7=3,1,IF($Q7=4,1,0)),IF($F7&lt;=85,1,0))</formula>
    </cfRule>
  </conditionalFormatting>
  <conditionalFormatting sqref="AV8">
    <cfRule type="expression" dxfId="17213" priority="71">
      <formula>AV8="X"</formula>
    </cfRule>
    <cfRule type="expression" dxfId="17212" priority="72">
      <formula>AV8="후보"</formula>
    </cfRule>
  </conditionalFormatting>
  <conditionalFormatting sqref="AC8">
    <cfRule type="cellIs" dxfId="17211" priority="69" operator="greaterThan">
      <formula>0.9</formula>
    </cfRule>
    <cfRule type="cellIs" dxfId="17210" priority="70" operator="greaterThan">
      <formula>0.85</formula>
    </cfRule>
  </conditionalFormatting>
  <conditionalFormatting sqref="N8">
    <cfRule type="cellIs" dxfId="17209" priority="67" operator="greaterThan">
      <formula>0.9</formula>
    </cfRule>
    <cfRule type="cellIs" dxfId="17208" priority="68" operator="greaterThan">
      <formula>0.85</formula>
    </cfRule>
  </conditionalFormatting>
  <conditionalFormatting sqref="E8">
    <cfRule type="expression" dxfId="17207" priority="63">
      <formula>AND(IF(OR($Q8=1,$Q8=2),1,0),IF($X8&lt;=20,1,0))</formula>
    </cfRule>
    <cfRule type="expression" dxfId="17206" priority="64">
      <formula>AND(IF($Q8=2,1,0),IF($X8&lt;30,1,0))</formula>
    </cfRule>
    <cfRule type="expression" dxfId="17205" priority="65">
      <formula>AND(IF($Q8=3,1,0),IF($X8&lt;30,1,0))</formula>
    </cfRule>
    <cfRule type="expression" dxfId="17204" priority="66">
      <formula>AND(IF($Q8=3,1,IF($Q8=4,1,0)),IF($F8&lt;=85,1,0))</formula>
    </cfRule>
  </conditionalFormatting>
  <conditionalFormatting sqref="X8">
    <cfRule type="expression" dxfId="17203" priority="59">
      <formula>AND(IF(OR($Q8=1,$Q8=2),1,0),IF($X8&lt;=20,1,0))</formula>
    </cfRule>
    <cfRule type="expression" dxfId="17202" priority="60">
      <formula>AND(IF($Q8=2,1,0),IF($X8&lt;30,1,0))</formula>
    </cfRule>
    <cfRule type="expression" dxfId="17201" priority="61">
      <formula>AND(IF($Q8=3,1,0),IF($X8&lt;30,1,0))</formula>
    </cfRule>
    <cfRule type="expression" dxfId="17200" priority="62">
      <formula>AND(IF($Q8=3,1,IF($Q8=4,1,0)),IF($F8&lt;=85,1,0))</formula>
    </cfRule>
  </conditionalFormatting>
  <conditionalFormatting sqref="AI8">
    <cfRule type="expression" dxfId="17199" priority="55">
      <formula>AND(IF(OR($Q8=1,$Q8=2),1,0),IF($X8&lt;=20,1,0))</formula>
    </cfRule>
    <cfRule type="expression" dxfId="17198" priority="56">
      <formula>AND(IF($Q8=2,1,0),IF($X8&lt;30,1,0))</formula>
    </cfRule>
    <cfRule type="expression" dxfId="17197" priority="57">
      <formula>AND(IF($Q8=3,1,0),IF($X8&lt;30,1,0))</formula>
    </cfRule>
    <cfRule type="expression" dxfId="17196" priority="58">
      <formula>AND(IF($Q8=3,1,IF($Q8=4,1,0)),IF($F8&lt;=85,1,0))</formula>
    </cfRule>
  </conditionalFormatting>
  <conditionalFormatting sqref="AV9">
    <cfRule type="expression" dxfId="17195" priority="53">
      <formula>AV9="X"</formula>
    </cfRule>
    <cfRule type="expression" dxfId="17194" priority="54">
      <formula>AV9="후보"</formula>
    </cfRule>
  </conditionalFormatting>
  <conditionalFormatting sqref="AC9">
    <cfRule type="cellIs" dxfId="17193" priority="51" operator="greaterThan">
      <formula>0.9</formula>
    </cfRule>
    <cfRule type="cellIs" dxfId="17192" priority="52" operator="greaterThan">
      <formula>0.85</formula>
    </cfRule>
  </conditionalFormatting>
  <conditionalFormatting sqref="N9">
    <cfRule type="cellIs" dxfId="17191" priority="49" operator="greaterThan">
      <formula>0.9</formula>
    </cfRule>
    <cfRule type="cellIs" dxfId="17190" priority="50" operator="greaterThan">
      <formula>0.85</formula>
    </cfRule>
  </conditionalFormatting>
  <conditionalFormatting sqref="E9">
    <cfRule type="expression" dxfId="17189" priority="45">
      <formula>AND(IF(OR($Q9=1,$Q9=2),1,0),IF($X9&lt;=20,1,0))</formula>
    </cfRule>
    <cfRule type="expression" dxfId="17188" priority="46">
      <formula>AND(IF($Q9=2,1,0),IF($X9&lt;30,1,0))</formula>
    </cfRule>
    <cfRule type="expression" dxfId="17187" priority="47">
      <formula>AND(IF($Q9=3,1,0),IF($X9&lt;30,1,0))</formula>
    </cfRule>
    <cfRule type="expression" dxfId="17186" priority="48">
      <formula>AND(IF($Q9=3,1,IF($Q9=4,1,0)),IF($F9&lt;=85,1,0))</formula>
    </cfRule>
  </conditionalFormatting>
  <conditionalFormatting sqref="X9">
    <cfRule type="expression" dxfId="17185" priority="41">
      <formula>AND(IF(OR($Q9=1,$Q9=2),1,0),IF($X9&lt;=20,1,0))</formula>
    </cfRule>
    <cfRule type="expression" dxfId="17184" priority="42">
      <formula>AND(IF($Q9=2,1,0),IF($X9&lt;30,1,0))</formula>
    </cfRule>
    <cfRule type="expression" dxfId="17183" priority="43">
      <formula>AND(IF($Q9=3,1,0),IF($X9&lt;30,1,0))</formula>
    </cfRule>
    <cfRule type="expression" dxfId="17182" priority="44">
      <formula>AND(IF($Q9=3,1,IF($Q9=4,1,0)),IF($F9&lt;=85,1,0))</formula>
    </cfRule>
  </conditionalFormatting>
  <conditionalFormatting sqref="AI9">
    <cfRule type="expression" dxfId="17181" priority="37">
      <formula>AND(IF(OR($Q9=1,$Q9=2),1,0),IF($X9&lt;=20,1,0))</formula>
    </cfRule>
    <cfRule type="expression" dxfId="17180" priority="38">
      <formula>AND(IF($Q9=2,1,0),IF($X9&lt;30,1,0))</formula>
    </cfRule>
    <cfRule type="expression" dxfId="17179" priority="39">
      <formula>AND(IF($Q9=3,1,0),IF($X9&lt;30,1,0))</formula>
    </cfRule>
    <cfRule type="expression" dxfId="17178" priority="40">
      <formula>AND(IF($Q9=3,1,IF($Q9=4,1,0)),IF($F9&lt;=85,1,0))</formula>
    </cfRule>
  </conditionalFormatting>
  <conditionalFormatting sqref="AV10">
    <cfRule type="expression" dxfId="17177" priority="35">
      <formula>AV10="X"</formula>
    </cfRule>
    <cfRule type="expression" dxfId="17176" priority="36">
      <formula>AV10="후보"</formula>
    </cfRule>
  </conditionalFormatting>
  <conditionalFormatting sqref="AC10">
    <cfRule type="cellIs" dxfId="17175" priority="33" operator="greaterThan">
      <formula>0.9</formula>
    </cfRule>
    <cfRule type="cellIs" dxfId="17174" priority="34" operator="greaterThan">
      <formula>0.85</formula>
    </cfRule>
  </conditionalFormatting>
  <conditionalFormatting sqref="N10">
    <cfRule type="cellIs" dxfId="17173" priority="31" operator="greaterThan">
      <formula>0.9</formula>
    </cfRule>
    <cfRule type="cellIs" dxfId="17172" priority="32" operator="greaterThan">
      <formula>0.85</formula>
    </cfRule>
  </conditionalFormatting>
  <conditionalFormatting sqref="E10">
    <cfRule type="expression" dxfId="17171" priority="27">
      <formula>AND(IF(OR($Q10=1,$Q10=2),1,0),IF($X10&lt;=20,1,0))</formula>
    </cfRule>
    <cfRule type="expression" dxfId="17170" priority="28">
      <formula>AND(IF($Q10=2,1,0),IF($X10&lt;30,1,0))</formula>
    </cfRule>
    <cfRule type="expression" dxfId="17169" priority="29">
      <formula>AND(IF($Q10=3,1,0),IF($X10&lt;30,1,0))</formula>
    </cfRule>
    <cfRule type="expression" dxfId="17168" priority="30">
      <formula>AND(IF($Q10=3,1,IF($Q10=4,1,0)),IF($F10&lt;=85,1,0))</formula>
    </cfRule>
  </conditionalFormatting>
  <conditionalFormatting sqref="X10">
    <cfRule type="expression" dxfId="17167" priority="23">
      <formula>AND(IF(OR($Q10=1,$Q10=2),1,0),IF($X10&lt;=20,1,0))</formula>
    </cfRule>
    <cfRule type="expression" dxfId="17166" priority="24">
      <formula>AND(IF($Q10=2,1,0),IF($X10&lt;30,1,0))</formula>
    </cfRule>
    <cfRule type="expression" dxfId="17165" priority="25">
      <formula>AND(IF($Q10=3,1,0),IF($X10&lt;30,1,0))</formula>
    </cfRule>
    <cfRule type="expression" dxfId="17164" priority="26">
      <formula>AND(IF($Q10=3,1,IF($Q10=4,1,0)),IF($F10&lt;=85,1,0))</formula>
    </cfRule>
  </conditionalFormatting>
  <conditionalFormatting sqref="AI10">
    <cfRule type="expression" dxfId="17163" priority="19">
      <formula>AND(IF(OR($Q10=1,$Q10=2),1,0),IF($X10&lt;=20,1,0))</formula>
    </cfRule>
    <cfRule type="expression" dxfId="17162" priority="20">
      <formula>AND(IF($Q10=2,1,0),IF($X10&lt;30,1,0))</formula>
    </cfRule>
    <cfRule type="expression" dxfId="17161" priority="21">
      <formula>AND(IF($Q10=3,1,0),IF($X10&lt;30,1,0))</formula>
    </cfRule>
    <cfRule type="expression" dxfId="17160" priority="22">
      <formula>AND(IF($Q10=3,1,IF($Q10=4,1,0)),IF($F10&lt;=85,1,0))</formula>
    </cfRule>
  </conditionalFormatting>
  <conditionalFormatting sqref="AV11">
    <cfRule type="expression" dxfId="17159" priority="17">
      <formula>AV11="X"</formula>
    </cfRule>
    <cfRule type="expression" dxfId="17158" priority="18">
      <formula>AV11="후보"</formula>
    </cfRule>
  </conditionalFormatting>
  <conditionalFormatting sqref="AC11">
    <cfRule type="cellIs" dxfId="17157" priority="15" operator="greaterThan">
      <formula>0.9</formula>
    </cfRule>
    <cfRule type="cellIs" dxfId="17156" priority="16" operator="greaterThan">
      <formula>0.85</formula>
    </cfRule>
  </conditionalFormatting>
  <conditionalFormatting sqref="N11">
    <cfRule type="cellIs" dxfId="17155" priority="13" operator="greaterThan">
      <formula>0.9</formula>
    </cfRule>
    <cfRule type="cellIs" dxfId="17154" priority="14" operator="greaterThan">
      <formula>0.85</formula>
    </cfRule>
  </conditionalFormatting>
  <conditionalFormatting sqref="E11">
    <cfRule type="expression" dxfId="17153" priority="9">
      <formula>AND(IF(OR($Q11=1,$Q11=2),1,0),IF($X11&lt;=20,1,0))</formula>
    </cfRule>
    <cfRule type="expression" dxfId="17152" priority="10">
      <formula>AND(IF($Q11=2,1,0),IF($X11&lt;30,1,0))</formula>
    </cfRule>
    <cfRule type="expression" dxfId="17151" priority="11">
      <formula>AND(IF($Q11=3,1,0),IF($X11&lt;30,1,0))</formula>
    </cfRule>
    <cfRule type="expression" dxfId="17150" priority="12">
      <formula>AND(IF($Q11=3,1,IF($Q11=4,1,0)),IF($F11&lt;=85,1,0))</formula>
    </cfRule>
  </conditionalFormatting>
  <conditionalFormatting sqref="X11">
    <cfRule type="expression" dxfId="17149" priority="5">
      <formula>AND(IF(OR($Q11=1,$Q11=2),1,0),IF($X11&lt;=20,1,0))</formula>
    </cfRule>
    <cfRule type="expression" dxfId="17148" priority="6">
      <formula>AND(IF($Q11=2,1,0),IF($X11&lt;30,1,0))</formula>
    </cfRule>
    <cfRule type="expression" dxfId="17147" priority="7">
      <formula>AND(IF($Q11=3,1,0),IF($X11&lt;30,1,0))</formula>
    </cfRule>
    <cfRule type="expression" dxfId="17146" priority="8">
      <formula>AND(IF($Q11=3,1,IF($Q11=4,1,0)),IF($F11&lt;=85,1,0))</formula>
    </cfRule>
  </conditionalFormatting>
  <conditionalFormatting sqref="AI11">
    <cfRule type="expression" dxfId="17145" priority="1">
      <formula>AND(IF(OR($Q11=1,$Q11=2),1,0),IF($X11&lt;=20,1,0))</formula>
    </cfRule>
    <cfRule type="expression" dxfId="17144" priority="2">
      <formula>AND(IF($Q11=2,1,0),IF($X11&lt;30,1,0))</formula>
    </cfRule>
    <cfRule type="expression" dxfId="17143" priority="3">
      <formula>AND(IF($Q11=3,1,0),IF($X11&lt;30,1,0))</formula>
    </cfRule>
    <cfRule type="expression" dxfId="17142" priority="4">
      <formula>AND(IF($Q11=3,1,IF($Q11=4,1,0)),IF($F11&lt;=85,1,0))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오식도동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1063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오식도동 한성필하우스('12.08.,892^)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1059</v>
      </c>
      <c r="B6" s="10" t="s">
        <v>1337</v>
      </c>
      <c r="C6" s="107">
        <v>892</v>
      </c>
      <c r="D6" s="104">
        <v>50.2</v>
      </c>
      <c r="E6" s="106">
        <v>15</v>
      </c>
      <c r="F6" s="104">
        <v>35.4</v>
      </c>
      <c r="G6" s="17">
        <v>11</v>
      </c>
      <c r="H6" s="107">
        <v>4</v>
      </c>
      <c r="I6" s="108">
        <v>8500</v>
      </c>
      <c r="J6" s="108" t="s">
        <v>1311</v>
      </c>
      <c r="K6" s="108"/>
      <c r="L6" s="108"/>
      <c r="M6" s="109">
        <f>I6-K6</f>
        <v>8500</v>
      </c>
      <c r="N6" s="4">
        <f>IF(ISERROR(K6/I6),"",K6/I6)</f>
        <v>0</v>
      </c>
      <c r="O6" s="105">
        <f>I6/E6</f>
        <v>566.66666666666663</v>
      </c>
      <c r="P6" s="105">
        <f>K6/E6</f>
        <v>0</v>
      </c>
      <c r="Q6" s="77">
        <v>2</v>
      </c>
      <c r="R6" s="77">
        <v>1</v>
      </c>
      <c r="S6" s="77" t="s">
        <v>1244</v>
      </c>
      <c r="T6" s="5">
        <v>50</v>
      </c>
      <c r="U6" s="9"/>
      <c r="W6" s="104">
        <f t="shared" ref="W6:X9" si="1">D6</f>
        <v>50.2</v>
      </c>
      <c r="X6" s="106">
        <f t="shared" si="1"/>
        <v>15</v>
      </c>
      <c r="Y6" s="102">
        <f t="shared" ref="Y6:Z9" si="2">H6</f>
        <v>4</v>
      </c>
      <c r="Z6" s="109">
        <f t="shared" si="2"/>
        <v>8500</v>
      </c>
      <c r="AA6" s="109">
        <f>K6</f>
        <v>0</v>
      </c>
      <c r="AB6" s="109">
        <f t="shared" ref="AB6:AD9" si="3">M6</f>
        <v>8500</v>
      </c>
      <c r="AC6" s="4">
        <f t="shared" si="3"/>
        <v>0</v>
      </c>
      <c r="AD6" s="105">
        <f t="shared" si="3"/>
        <v>566.66666666666663</v>
      </c>
      <c r="AE6" s="77" t="str">
        <f>S6</f>
        <v>계</v>
      </c>
      <c r="AF6" s="77" t="str">
        <f>Q6&amp;"/"&amp;R6</f>
        <v>2/1</v>
      </c>
      <c r="AH6" s="20" t="str">
        <f>IF(A6="","",A6)</f>
        <v>한성필하우스</v>
      </c>
      <c r="AI6" s="106">
        <f t="shared" si="0"/>
        <v>15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1059</v>
      </c>
      <c r="B7" s="10" t="s">
        <v>1337</v>
      </c>
      <c r="C7" s="107">
        <v>892</v>
      </c>
      <c r="D7" s="104">
        <v>82.6</v>
      </c>
      <c r="E7" s="106">
        <v>25</v>
      </c>
      <c r="F7" s="104">
        <v>60</v>
      </c>
      <c r="G7" s="17">
        <v>18</v>
      </c>
      <c r="H7" s="107">
        <v>17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7">
        <v>3</v>
      </c>
      <c r="R7" s="77">
        <v>2</v>
      </c>
      <c r="S7" s="77" t="s">
        <v>1244</v>
      </c>
      <c r="T7" s="5" t="s">
        <v>411</v>
      </c>
      <c r="U7" s="9"/>
      <c r="W7" s="104">
        <f t="shared" si="1"/>
        <v>82.6</v>
      </c>
      <c r="X7" s="106">
        <f t="shared" si="1"/>
        <v>25</v>
      </c>
      <c r="Y7" s="102">
        <f t="shared" si="2"/>
        <v>17</v>
      </c>
      <c r="Z7" s="109">
        <f t="shared" si="2"/>
        <v>0</v>
      </c>
      <c r="AA7" s="109">
        <f>K7</f>
        <v>0</v>
      </c>
      <c r="AB7" s="109">
        <f t="shared" si="3"/>
        <v>0</v>
      </c>
      <c r="AC7" s="4" t="str">
        <f t="shared" si="3"/>
        <v/>
      </c>
      <c r="AD7" s="105">
        <f t="shared" si="3"/>
        <v>0</v>
      </c>
      <c r="AE7" s="77" t="str">
        <f>S7</f>
        <v>계</v>
      </c>
      <c r="AF7" s="77" t="str">
        <f>Q7&amp;"/"&amp;R7</f>
        <v>3/2</v>
      </c>
      <c r="AH7" s="20" t="str">
        <f>IF(A7="","",A7)</f>
        <v>한성필하우스</v>
      </c>
      <c r="AI7" s="106">
        <f t="shared" si="0"/>
        <v>25</v>
      </c>
      <c r="AJ7" s="77" t="str">
        <f>IF(AI7="","",$AJ$2)</f>
        <v>A-</v>
      </c>
      <c r="AK7" s="77" t="s">
        <v>13</v>
      </c>
      <c r="AL7" s="77" t="s">
        <v>1242</v>
      </c>
      <c r="AM7" s="77" t="s">
        <v>1243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48" x14ac:dyDescent="0.3">
      <c r="A8" s="9" t="s">
        <v>1059</v>
      </c>
      <c r="B8" s="10" t="s">
        <v>1337</v>
      </c>
      <c r="C8" s="107">
        <v>892</v>
      </c>
      <c r="D8" s="104">
        <v>83.8</v>
      </c>
      <c r="E8" s="106">
        <v>25</v>
      </c>
      <c r="F8" s="104">
        <v>60</v>
      </c>
      <c r="G8" s="17">
        <v>18</v>
      </c>
      <c r="H8" s="107">
        <v>51</v>
      </c>
      <c r="I8" s="108">
        <v>12800</v>
      </c>
      <c r="J8" s="108" t="s">
        <v>1253</v>
      </c>
      <c r="K8" s="108"/>
      <c r="L8" s="108"/>
      <c r="M8" s="109">
        <f>I8-K8</f>
        <v>12800</v>
      </c>
      <c r="N8" s="4">
        <f>IF(ISERROR(K8/I8),"",K8/I8)</f>
        <v>0</v>
      </c>
      <c r="O8" s="105">
        <f>I8/E8</f>
        <v>512</v>
      </c>
      <c r="P8" s="105">
        <f>K8/E8</f>
        <v>0</v>
      </c>
      <c r="Q8" s="77">
        <v>3</v>
      </c>
      <c r="R8" s="77">
        <v>2</v>
      </c>
      <c r="S8" s="77" t="s">
        <v>1244</v>
      </c>
      <c r="T8" s="5" t="s">
        <v>1065</v>
      </c>
      <c r="U8" s="9"/>
      <c r="W8" s="104">
        <f t="shared" si="1"/>
        <v>83.8</v>
      </c>
      <c r="X8" s="106">
        <f t="shared" si="1"/>
        <v>25</v>
      </c>
      <c r="Y8" s="102">
        <f t="shared" si="2"/>
        <v>51</v>
      </c>
      <c r="Z8" s="109">
        <f t="shared" si="2"/>
        <v>12800</v>
      </c>
      <c r="AA8" s="109">
        <f>K8</f>
        <v>0</v>
      </c>
      <c r="AB8" s="109">
        <f t="shared" si="3"/>
        <v>12800</v>
      </c>
      <c r="AC8" s="4">
        <f t="shared" si="3"/>
        <v>0</v>
      </c>
      <c r="AD8" s="105">
        <f t="shared" si="3"/>
        <v>512</v>
      </c>
      <c r="AE8" s="77" t="str">
        <f>S8</f>
        <v>계</v>
      </c>
      <c r="AF8" s="77" t="str">
        <f>Q8&amp;"/"&amp;R8</f>
        <v>3/2</v>
      </c>
      <c r="AH8" s="20" t="str">
        <f>IF(A8="","",A8)</f>
        <v>한성필하우스</v>
      </c>
      <c r="AI8" s="106">
        <f t="shared" si="0"/>
        <v>25</v>
      </c>
      <c r="AJ8" s="77" t="str">
        <f>IF(AI8="","",$AJ$2)</f>
        <v>A-</v>
      </c>
      <c r="AK8" s="77" t="s">
        <v>13</v>
      </c>
      <c r="AL8" s="77" t="s">
        <v>1242</v>
      </c>
      <c r="AM8" s="77" t="s">
        <v>1243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O</v>
      </c>
      <c r="AQ8" s="77" t="str">
        <f>IF(O8="","",IF(O8&lt;=$AQ$1,"O","X"))</f>
        <v>O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1059</v>
      </c>
      <c r="B9" s="10" t="s">
        <v>1337</v>
      </c>
      <c r="C9" s="107">
        <v>892</v>
      </c>
      <c r="D9" s="104">
        <v>84.4</v>
      </c>
      <c r="E9" s="106">
        <v>26</v>
      </c>
      <c r="F9" s="104">
        <v>59.9</v>
      </c>
      <c r="G9" s="17">
        <v>18</v>
      </c>
      <c r="H9" s="107">
        <v>465</v>
      </c>
      <c r="I9" s="108">
        <v>12000</v>
      </c>
      <c r="J9" s="108" t="s">
        <v>1294</v>
      </c>
      <c r="K9" s="108">
        <v>8000</v>
      </c>
      <c r="L9" s="108" t="s">
        <v>1305</v>
      </c>
      <c r="M9" s="109">
        <f>I9-K9</f>
        <v>4000</v>
      </c>
      <c r="N9" s="4">
        <f>IF(ISERROR(K9/I9),"",K9/I9)</f>
        <v>0.66666666666666663</v>
      </c>
      <c r="O9" s="105">
        <f>I9/E9</f>
        <v>461.53846153846155</v>
      </c>
      <c r="P9" s="105">
        <f>K9/E9</f>
        <v>307.69230769230768</v>
      </c>
      <c r="Q9" s="77">
        <v>3</v>
      </c>
      <c r="R9" s="77">
        <v>2</v>
      </c>
      <c r="S9" s="77" t="s">
        <v>1244</v>
      </c>
      <c r="T9" s="5" t="s">
        <v>1066</v>
      </c>
      <c r="U9" s="9"/>
      <c r="W9" s="104">
        <f t="shared" si="1"/>
        <v>84.4</v>
      </c>
      <c r="X9" s="106">
        <f t="shared" si="1"/>
        <v>26</v>
      </c>
      <c r="Y9" s="102">
        <f t="shared" si="2"/>
        <v>465</v>
      </c>
      <c r="Z9" s="109">
        <f t="shared" si="2"/>
        <v>12000</v>
      </c>
      <c r="AA9" s="109">
        <f>K9</f>
        <v>8000</v>
      </c>
      <c r="AB9" s="109">
        <f t="shared" si="3"/>
        <v>4000</v>
      </c>
      <c r="AC9" s="4">
        <f t="shared" si="3"/>
        <v>0.66666666666666663</v>
      </c>
      <c r="AD9" s="105">
        <f t="shared" si="3"/>
        <v>461.53846153846155</v>
      </c>
      <c r="AE9" s="77" t="str">
        <f>S9</f>
        <v>계</v>
      </c>
      <c r="AF9" s="77" t="str">
        <f>Q9&amp;"/"&amp;R9</f>
        <v>3/2</v>
      </c>
      <c r="AH9" s="20" t="str">
        <f>IF(A9="","",A9)</f>
        <v>한성필하우스</v>
      </c>
      <c r="AI9" s="106">
        <f t="shared" si="0"/>
        <v>26</v>
      </c>
      <c r="AJ9" s="77" t="str">
        <f>IF(AI9="","",$AJ$2)</f>
        <v>A-</v>
      </c>
      <c r="AK9" s="77" t="s">
        <v>13</v>
      </c>
      <c r="AL9" s="77" t="s">
        <v>1242</v>
      </c>
      <c r="AM9" s="77" t="s">
        <v>1243</v>
      </c>
      <c r="AN9" s="77" t="str">
        <f>IF(AI9="","",$AN$2)</f>
        <v>C</v>
      </c>
      <c r="AO9" s="77" t="str">
        <f>IF(N9="","",IF(N9&gt;=$AO$1/100,"O","X"))</f>
        <v>X</v>
      </c>
      <c r="AP9" s="77" t="str">
        <f>IF(I9="","",IF(I9&lt;=$AP$1,"O","X"))</f>
        <v>O</v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>X</v>
      </c>
    </row>
  </sheetData>
  <mergeCells count="1">
    <mergeCell ref="AJ1:AN1"/>
  </mergeCells>
  <phoneticPr fontId="2" type="noConversion"/>
  <conditionalFormatting sqref="AV4:AV6">
    <cfRule type="expression" dxfId="17141" priority="73">
      <formula>AV4="X"</formula>
    </cfRule>
    <cfRule type="expression" dxfId="17140" priority="74">
      <formula>AV4="후보"</formula>
    </cfRule>
  </conditionalFormatting>
  <conditionalFormatting sqref="AC1:AC2 AC4:AC6 N4:N5">
    <cfRule type="cellIs" dxfId="17139" priority="71" operator="greaterThan">
      <formula>0.9</formula>
    </cfRule>
    <cfRule type="cellIs" dxfId="17138" priority="72" operator="greaterThan">
      <formula>0.85</formula>
    </cfRule>
  </conditionalFormatting>
  <conditionalFormatting sqref="N1:N2">
    <cfRule type="cellIs" dxfId="17137" priority="69" operator="greaterThan">
      <formula>0.9</formula>
    </cfRule>
    <cfRule type="cellIs" dxfId="17136" priority="70" operator="greaterThan">
      <formula>0.85</formula>
    </cfRule>
  </conditionalFormatting>
  <conditionalFormatting sqref="N6">
    <cfRule type="cellIs" dxfId="17135" priority="67" operator="greaterThan">
      <formula>0.9</formula>
    </cfRule>
    <cfRule type="cellIs" dxfId="17134" priority="68" operator="greaterThan">
      <formula>0.85</formula>
    </cfRule>
  </conditionalFormatting>
  <conditionalFormatting sqref="E6">
    <cfRule type="expression" dxfId="17133" priority="63">
      <formula>AND(IF(OR($Q6=1,$Q6=2),1,0),IF($X6&lt;=20,1,0))</formula>
    </cfRule>
    <cfRule type="expression" dxfId="17132" priority="64">
      <formula>AND(IF($Q6=2,1,0),IF($X6&lt;30,1,0))</formula>
    </cfRule>
    <cfRule type="expression" dxfId="17131" priority="65">
      <formula>AND(IF($Q6=3,1,0),IF($X6&lt;30,1,0))</formula>
    </cfRule>
    <cfRule type="expression" dxfId="17130" priority="66">
      <formula>AND(IF($Q6=3,1,IF($Q6=4,1,0)),IF($F6&lt;=85,1,0))</formula>
    </cfRule>
  </conditionalFormatting>
  <conditionalFormatting sqref="X6">
    <cfRule type="expression" dxfId="17129" priority="59">
      <formula>AND(IF(OR($Q6=1,$Q6=2),1,0),IF($X6&lt;=20,1,0))</formula>
    </cfRule>
    <cfRule type="expression" dxfId="17128" priority="60">
      <formula>AND(IF($Q6=2,1,0),IF($X6&lt;30,1,0))</formula>
    </cfRule>
    <cfRule type="expression" dxfId="17127" priority="61">
      <formula>AND(IF($Q6=3,1,0),IF($X6&lt;30,1,0))</formula>
    </cfRule>
    <cfRule type="expression" dxfId="17126" priority="62">
      <formula>AND(IF($Q6=3,1,IF($Q6=4,1,0)),IF($F6&lt;=85,1,0))</formula>
    </cfRule>
  </conditionalFormatting>
  <conditionalFormatting sqref="AI6">
    <cfRule type="expression" dxfId="17125" priority="55">
      <formula>AND(IF(OR($Q6=1,$Q6=2),1,0),IF($X6&lt;=20,1,0))</formula>
    </cfRule>
    <cfRule type="expression" dxfId="17124" priority="56">
      <formula>AND(IF($Q6=2,1,0),IF($X6&lt;30,1,0))</formula>
    </cfRule>
    <cfRule type="expression" dxfId="17123" priority="57">
      <formula>AND(IF($Q6=3,1,0),IF($X6&lt;30,1,0))</formula>
    </cfRule>
    <cfRule type="expression" dxfId="17122" priority="58">
      <formula>AND(IF($Q6=3,1,IF($Q6=4,1,0)),IF($F6&lt;=85,1,0))</formula>
    </cfRule>
  </conditionalFormatting>
  <conditionalFormatting sqref="AV7">
    <cfRule type="expression" dxfId="17121" priority="53">
      <formula>AV7="X"</formula>
    </cfRule>
    <cfRule type="expression" dxfId="17120" priority="54">
      <formula>AV7="후보"</formula>
    </cfRule>
  </conditionalFormatting>
  <conditionalFormatting sqref="AC7">
    <cfRule type="cellIs" dxfId="17119" priority="51" operator="greaterThan">
      <formula>0.9</formula>
    </cfRule>
    <cfRule type="cellIs" dxfId="17118" priority="52" operator="greaterThan">
      <formula>0.85</formula>
    </cfRule>
  </conditionalFormatting>
  <conditionalFormatting sqref="N7">
    <cfRule type="cellIs" dxfId="17117" priority="49" operator="greaterThan">
      <formula>0.9</formula>
    </cfRule>
    <cfRule type="cellIs" dxfId="17116" priority="50" operator="greaterThan">
      <formula>0.85</formula>
    </cfRule>
  </conditionalFormatting>
  <conditionalFormatting sqref="E7">
    <cfRule type="expression" dxfId="17115" priority="45">
      <formula>AND(IF(OR($Q7=1,$Q7=2),1,0),IF($X7&lt;=20,1,0))</formula>
    </cfRule>
    <cfRule type="expression" dxfId="17114" priority="46">
      <formula>AND(IF($Q7=2,1,0),IF($X7&lt;30,1,0))</formula>
    </cfRule>
    <cfRule type="expression" dxfId="17113" priority="47">
      <formula>AND(IF($Q7=3,1,0),IF($X7&lt;30,1,0))</formula>
    </cfRule>
    <cfRule type="expression" dxfId="17112" priority="48">
      <formula>AND(IF($Q7=3,1,IF($Q7=4,1,0)),IF($F7&lt;=85,1,0))</formula>
    </cfRule>
  </conditionalFormatting>
  <conditionalFormatting sqref="X7">
    <cfRule type="expression" dxfId="17111" priority="41">
      <formula>AND(IF(OR($Q7=1,$Q7=2),1,0),IF($X7&lt;=20,1,0))</formula>
    </cfRule>
    <cfRule type="expression" dxfId="17110" priority="42">
      <formula>AND(IF($Q7=2,1,0),IF($X7&lt;30,1,0))</formula>
    </cfRule>
    <cfRule type="expression" dxfId="17109" priority="43">
      <formula>AND(IF($Q7=3,1,0),IF($X7&lt;30,1,0))</formula>
    </cfRule>
    <cfRule type="expression" dxfId="17108" priority="44">
      <formula>AND(IF($Q7=3,1,IF($Q7=4,1,0)),IF($F7&lt;=85,1,0))</formula>
    </cfRule>
  </conditionalFormatting>
  <conditionalFormatting sqref="AI7">
    <cfRule type="expression" dxfId="17107" priority="37">
      <formula>AND(IF(OR($Q7=1,$Q7=2),1,0),IF($X7&lt;=20,1,0))</formula>
    </cfRule>
    <cfRule type="expression" dxfId="17106" priority="38">
      <formula>AND(IF($Q7=2,1,0),IF($X7&lt;30,1,0))</formula>
    </cfRule>
    <cfRule type="expression" dxfId="17105" priority="39">
      <formula>AND(IF($Q7=3,1,0),IF($X7&lt;30,1,0))</formula>
    </cfRule>
    <cfRule type="expression" dxfId="17104" priority="40">
      <formula>AND(IF($Q7=3,1,IF($Q7=4,1,0)),IF($F7&lt;=85,1,0))</formula>
    </cfRule>
  </conditionalFormatting>
  <conditionalFormatting sqref="AV8">
    <cfRule type="expression" dxfId="17103" priority="35">
      <formula>AV8="X"</formula>
    </cfRule>
    <cfRule type="expression" dxfId="17102" priority="36">
      <formula>AV8="후보"</formula>
    </cfRule>
  </conditionalFormatting>
  <conditionalFormatting sqref="AC8">
    <cfRule type="cellIs" dxfId="17101" priority="33" operator="greaterThan">
      <formula>0.9</formula>
    </cfRule>
    <cfRule type="cellIs" dxfId="17100" priority="34" operator="greaterThan">
      <formula>0.85</formula>
    </cfRule>
  </conditionalFormatting>
  <conditionalFormatting sqref="N8">
    <cfRule type="cellIs" dxfId="17099" priority="31" operator="greaterThan">
      <formula>0.9</formula>
    </cfRule>
    <cfRule type="cellIs" dxfId="17098" priority="32" operator="greaterThan">
      <formula>0.85</formula>
    </cfRule>
  </conditionalFormatting>
  <conditionalFormatting sqref="E8">
    <cfRule type="expression" dxfId="17097" priority="27">
      <formula>AND(IF(OR($Q8=1,$Q8=2),1,0),IF($X8&lt;=20,1,0))</formula>
    </cfRule>
    <cfRule type="expression" dxfId="17096" priority="28">
      <formula>AND(IF($Q8=2,1,0),IF($X8&lt;30,1,0))</formula>
    </cfRule>
    <cfRule type="expression" dxfId="17095" priority="29">
      <formula>AND(IF($Q8=3,1,0),IF($X8&lt;30,1,0))</formula>
    </cfRule>
    <cfRule type="expression" dxfId="17094" priority="30">
      <formula>AND(IF($Q8=3,1,IF($Q8=4,1,0)),IF($F8&lt;=85,1,0))</formula>
    </cfRule>
  </conditionalFormatting>
  <conditionalFormatting sqref="X8">
    <cfRule type="expression" dxfId="17093" priority="23">
      <formula>AND(IF(OR($Q8=1,$Q8=2),1,0),IF($X8&lt;=20,1,0))</formula>
    </cfRule>
    <cfRule type="expression" dxfId="17092" priority="24">
      <formula>AND(IF($Q8=2,1,0),IF($X8&lt;30,1,0))</formula>
    </cfRule>
    <cfRule type="expression" dxfId="17091" priority="25">
      <formula>AND(IF($Q8=3,1,0),IF($X8&lt;30,1,0))</formula>
    </cfRule>
    <cfRule type="expression" dxfId="17090" priority="26">
      <formula>AND(IF($Q8=3,1,IF($Q8=4,1,0)),IF($F8&lt;=85,1,0))</formula>
    </cfRule>
  </conditionalFormatting>
  <conditionalFormatting sqref="AI8">
    <cfRule type="expression" dxfId="17089" priority="19">
      <formula>AND(IF(OR($Q8=1,$Q8=2),1,0),IF($X8&lt;=20,1,0))</formula>
    </cfRule>
    <cfRule type="expression" dxfId="17088" priority="20">
      <formula>AND(IF($Q8=2,1,0),IF($X8&lt;30,1,0))</formula>
    </cfRule>
    <cfRule type="expression" dxfId="17087" priority="21">
      <formula>AND(IF($Q8=3,1,0),IF($X8&lt;30,1,0))</formula>
    </cfRule>
    <cfRule type="expression" dxfId="17086" priority="22">
      <formula>AND(IF($Q8=3,1,IF($Q8=4,1,0)),IF($F8&lt;=85,1,0))</formula>
    </cfRule>
  </conditionalFormatting>
  <conditionalFormatting sqref="AV9">
    <cfRule type="expression" dxfId="17085" priority="17">
      <formula>AV9="X"</formula>
    </cfRule>
    <cfRule type="expression" dxfId="17084" priority="18">
      <formula>AV9="후보"</formula>
    </cfRule>
  </conditionalFormatting>
  <conditionalFormatting sqref="AC9">
    <cfRule type="cellIs" dxfId="17083" priority="15" operator="greaterThan">
      <formula>0.9</formula>
    </cfRule>
    <cfRule type="cellIs" dxfId="17082" priority="16" operator="greaterThan">
      <formula>0.85</formula>
    </cfRule>
  </conditionalFormatting>
  <conditionalFormatting sqref="N9">
    <cfRule type="cellIs" dxfId="17081" priority="13" operator="greaterThan">
      <formula>0.9</formula>
    </cfRule>
    <cfRule type="cellIs" dxfId="17080" priority="14" operator="greaterThan">
      <formula>0.85</formula>
    </cfRule>
  </conditionalFormatting>
  <conditionalFormatting sqref="E9">
    <cfRule type="expression" dxfId="17079" priority="9">
      <formula>AND(IF(OR($Q9=1,$Q9=2),1,0),IF($X9&lt;=20,1,0))</formula>
    </cfRule>
    <cfRule type="expression" dxfId="17078" priority="10">
      <formula>AND(IF($Q9=2,1,0),IF($X9&lt;30,1,0))</formula>
    </cfRule>
    <cfRule type="expression" dxfId="17077" priority="11">
      <formula>AND(IF($Q9=3,1,0),IF($X9&lt;30,1,0))</formula>
    </cfRule>
    <cfRule type="expression" dxfId="17076" priority="12">
      <formula>AND(IF($Q9=3,1,IF($Q9=4,1,0)),IF($F9&lt;=85,1,0))</formula>
    </cfRule>
  </conditionalFormatting>
  <conditionalFormatting sqref="X9">
    <cfRule type="expression" dxfId="17075" priority="5">
      <formula>AND(IF(OR($Q9=1,$Q9=2),1,0),IF($X9&lt;=20,1,0))</formula>
    </cfRule>
    <cfRule type="expression" dxfId="17074" priority="6">
      <formula>AND(IF($Q9=2,1,0),IF($X9&lt;30,1,0))</formula>
    </cfRule>
    <cfRule type="expression" dxfId="17073" priority="7">
      <formula>AND(IF($Q9=3,1,0),IF($X9&lt;30,1,0))</formula>
    </cfRule>
    <cfRule type="expression" dxfId="17072" priority="8">
      <formula>AND(IF($Q9=3,1,IF($Q9=4,1,0)),IF($F9&lt;=85,1,0))</formula>
    </cfRule>
  </conditionalFormatting>
  <conditionalFormatting sqref="AI9">
    <cfRule type="expression" dxfId="17071" priority="1">
      <formula>AND(IF(OR($Q9=1,$Q9=2),1,0),IF($X9&lt;=20,1,0))</formula>
    </cfRule>
    <cfRule type="expression" dxfId="17070" priority="2">
      <formula>AND(IF($Q9=2,1,0),IF($X9&lt;30,1,0))</formula>
    </cfRule>
    <cfRule type="expression" dxfId="17069" priority="3">
      <formula>AND(IF($Q9=3,1,0),IF($X9&lt;30,1,0))</formula>
    </cfRule>
    <cfRule type="expression" dxfId="17068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옥산면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1072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옥산면 힐스테이트은파('15.09.,449^)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1068</v>
      </c>
      <c r="B6" s="10" t="s">
        <v>1338</v>
      </c>
      <c r="C6" s="107">
        <v>449</v>
      </c>
      <c r="D6" s="104">
        <v>110.9</v>
      </c>
      <c r="E6" s="106">
        <v>34</v>
      </c>
      <c r="F6" s="104">
        <v>85</v>
      </c>
      <c r="G6" s="17">
        <v>26</v>
      </c>
      <c r="H6" s="107">
        <v>449</v>
      </c>
      <c r="I6" s="108">
        <v>27000</v>
      </c>
      <c r="J6" s="108" t="s">
        <v>1294</v>
      </c>
      <c r="K6" s="108">
        <v>23000</v>
      </c>
      <c r="L6" s="108" t="s">
        <v>1248</v>
      </c>
      <c r="M6" s="109">
        <f>I6-K6</f>
        <v>4000</v>
      </c>
      <c r="N6" s="4">
        <f>IF(ISERROR(K6/I6),"",K6/I6)</f>
        <v>0.85185185185185186</v>
      </c>
      <c r="O6" s="105">
        <f>I6/E6</f>
        <v>794.11764705882354</v>
      </c>
      <c r="P6" s="105">
        <f>K6/E6</f>
        <v>676.47058823529414</v>
      </c>
      <c r="Q6" s="77">
        <v>3</v>
      </c>
      <c r="R6" s="77">
        <v>2</v>
      </c>
      <c r="S6" s="77" t="s">
        <v>1244</v>
      </c>
      <c r="T6" s="5">
        <v>110</v>
      </c>
      <c r="U6" s="9"/>
      <c r="W6" s="104">
        <f>D6</f>
        <v>110.9</v>
      </c>
      <c r="X6" s="106">
        <f>E6</f>
        <v>34</v>
      </c>
      <c r="Y6" s="102">
        <f>H6</f>
        <v>449</v>
      </c>
      <c r="Z6" s="109">
        <f>I6</f>
        <v>27000</v>
      </c>
      <c r="AA6" s="109">
        <f>K6</f>
        <v>23000</v>
      </c>
      <c r="AB6" s="109">
        <f>M6</f>
        <v>4000</v>
      </c>
      <c r="AC6" s="4">
        <f>N6</f>
        <v>0.85185185185185186</v>
      </c>
      <c r="AD6" s="105">
        <f>O6</f>
        <v>794.11764705882354</v>
      </c>
      <c r="AE6" s="77" t="str">
        <f>S6</f>
        <v>계</v>
      </c>
      <c r="AF6" s="77" t="str">
        <f>Q6&amp;"/"&amp;R6</f>
        <v>3/2</v>
      </c>
      <c r="AH6" s="20" t="str">
        <f t="shared" si="1"/>
        <v>힐스테이트은파</v>
      </c>
      <c r="AI6" s="106">
        <f t="shared" si="0"/>
        <v>34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>O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후보</v>
      </c>
    </row>
    <row r="7" spans="1:48" x14ac:dyDescent="0.3">
      <c r="A7" s="9"/>
      <c r="B7" s="77"/>
      <c r="C7" s="6"/>
      <c r="D7" s="9"/>
      <c r="E7" s="14"/>
      <c r="F7" s="104"/>
      <c r="G7" s="9"/>
      <c r="H7" s="9"/>
      <c r="I7" s="9"/>
      <c r="J7" s="9"/>
      <c r="K7" s="9"/>
      <c r="L7" s="9"/>
      <c r="M7" s="9"/>
      <c r="N7" s="9"/>
      <c r="O7" s="105"/>
      <c r="P7" s="105"/>
      <c r="Q7" s="106"/>
      <c r="R7" s="106"/>
      <c r="S7" s="9"/>
      <c r="T7" s="47"/>
      <c r="U7" s="9"/>
      <c r="W7" s="67" t="str">
        <f>$A$4&amp;" "&amp;A8&amp;"("&amp;B8&amp;","&amp;C8&amp;"^)"</f>
        <v>옥산면 군산대광로제비앙('17.12.,469^)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3" t="str">
        <f t="shared" si="0"/>
        <v/>
      </c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</row>
    <row r="8" spans="1:48" x14ac:dyDescent="0.3">
      <c r="A8" s="9" t="s">
        <v>1074</v>
      </c>
      <c r="B8" s="10" t="s">
        <v>1339</v>
      </c>
      <c r="C8" s="107">
        <v>469</v>
      </c>
      <c r="D8" s="104">
        <v>109.8</v>
      </c>
      <c r="E8" s="106">
        <v>33</v>
      </c>
      <c r="F8" s="104">
        <v>85</v>
      </c>
      <c r="G8" s="17">
        <v>26</v>
      </c>
      <c r="H8" s="107">
        <v>380</v>
      </c>
      <c r="I8" s="108">
        <v>31000</v>
      </c>
      <c r="J8" s="108" t="s">
        <v>1262</v>
      </c>
      <c r="K8" s="108">
        <v>24000</v>
      </c>
      <c r="L8" s="108" t="s">
        <v>1311</v>
      </c>
      <c r="M8" s="109">
        <f>I8-K8</f>
        <v>7000</v>
      </c>
      <c r="N8" s="4">
        <f>IF(ISERROR(K8/I8),"",K8/I8)</f>
        <v>0.77419354838709675</v>
      </c>
      <c r="O8" s="105">
        <f>I8/E8</f>
        <v>939.39393939393938</v>
      </c>
      <c r="P8" s="105">
        <f>K8/E8</f>
        <v>727.27272727272725</v>
      </c>
      <c r="Q8" s="77">
        <v>3</v>
      </c>
      <c r="R8" s="77">
        <v>2</v>
      </c>
      <c r="S8" s="77" t="s">
        <v>1244</v>
      </c>
      <c r="T8" s="5" t="s">
        <v>1075</v>
      </c>
      <c r="U8" s="9"/>
      <c r="W8" s="104">
        <f t="shared" ref="W8:X10" si="2">D8</f>
        <v>109.8</v>
      </c>
      <c r="X8" s="106">
        <f t="shared" si="2"/>
        <v>33</v>
      </c>
      <c r="Y8" s="102">
        <f t="shared" ref="Y8:Z10" si="3">H8</f>
        <v>380</v>
      </c>
      <c r="Z8" s="109">
        <f t="shared" si="3"/>
        <v>31000</v>
      </c>
      <c r="AA8" s="109">
        <f>K8</f>
        <v>24000</v>
      </c>
      <c r="AB8" s="109">
        <f t="shared" ref="AB8:AD10" si="4">M8</f>
        <v>7000</v>
      </c>
      <c r="AC8" s="4">
        <f t="shared" si="4"/>
        <v>0.77419354838709675</v>
      </c>
      <c r="AD8" s="105">
        <f t="shared" si="4"/>
        <v>939.39393939393938</v>
      </c>
      <c r="AE8" s="77" t="str">
        <f>S8</f>
        <v>계</v>
      </c>
      <c r="AF8" s="77" t="str">
        <f>Q8&amp;"/"&amp;R8</f>
        <v>3/2</v>
      </c>
      <c r="AH8" s="20" t="str">
        <f t="shared" si="1"/>
        <v>군산대광로제비앙</v>
      </c>
      <c r="AI8" s="106">
        <f t="shared" si="0"/>
        <v>33</v>
      </c>
      <c r="AJ8" s="77" t="str">
        <f>IF(AI8="","",$AJ$2)</f>
        <v>A-</v>
      </c>
      <c r="AK8" s="77" t="s">
        <v>13</v>
      </c>
      <c r="AL8" s="77" t="s">
        <v>1242</v>
      </c>
      <c r="AM8" s="77" t="s">
        <v>1243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O</v>
      </c>
      <c r="AQ8" s="77" t="str">
        <f>IF(O8="","",IF(O8&lt;=$AQ$1,"O","X"))</f>
        <v>O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1074</v>
      </c>
      <c r="B9" s="10" t="s">
        <v>1339</v>
      </c>
      <c r="C9" s="107">
        <v>469</v>
      </c>
      <c r="D9" s="104">
        <v>111.4</v>
      </c>
      <c r="E9" s="106">
        <v>34</v>
      </c>
      <c r="F9" s="104">
        <v>85</v>
      </c>
      <c r="G9" s="17">
        <v>26</v>
      </c>
      <c r="H9" s="107">
        <v>46</v>
      </c>
      <c r="I9" s="108">
        <v>31500</v>
      </c>
      <c r="J9" s="108" t="s">
        <v>1245</v>
      </c>
      <c r="K9" s="108">
        <v>24000</v>
      </c>
      <c r="L9" s="108" t="s">
        <v>1245</v>
      </c>
      <c r="M9" s="109">
        <f>I9-K9</f>
        <v>7500</v>
      </c>
      <c r="N9" s="4">
        <f>IF(ISERROR(K9/I9),"",K9/I9)</f>
        <v>0.76190476190476186</v>
      </c>
      <c r="O9" s="105">
        <f>I9/E9</f>
        <v>926.47058823529414</v>
      </c>
      <c r="P9" s="105">
        <f>K9/E9</f>
        <v>705.88235294117646</v>
      </c>
      <c r="Q9" s="77">
        <v>3</v>
      </c>
      <c r="R9" s="77">
        <v>2</v>
      </c>
      <c r="S9" s="77" t="s">
        <v>1244</v>
      </c>
      <c r="T9" s="5" t="s">
        <v>427</v>
      </c>
      <c r="U9" s="9"/>
      <c r="W9" s="104">
        <f t="shared" si="2"/>
        <v>111.4</v>
      </c>
      <c r="X9" s="106">
        <f t="shared" si="2"/>
        <v>34</v>
      </c>
      <c r="Y9" s="102">
        <f t="shared" si="3"/>
        <v>46</v>
      </c>
      <c r="Z9" s="109">
        <f t="shared" si="3"/>
        <v>31500</v>
      </c>
      <c r="AA9" s="109">
        <f>K9</f>
        <v>24000</v>
      </c>
      <c r="AB9" s="109">
        <f t="shared" si="4"/>
        <v>7500</v>
      </c>
      <c r="AC9" s="4">
        <f t="shared" si="4"/>
        <v>0.76190476190476186</v>
      </c>
      <c r="AD9" s="105">
        <f t="shared" si="4"/>
        <v>926.47058823529414</v>
      </c>
      <c r="AE9" s="77" t="str">
        <f>S9</f>
        <v>계</v>
      </c>
      <c r="AF9" s="77" t="str">
        <f>Q9&amp;"/"&amp;R9</f>
        <v>3/2</v>
      </c>
      <c r="AH9" s="20" t="str">
        <f t="shared" si="1"/>
        <v>군산대광로제비앙</v>
      </c>
      <c r="AI9" s="106">
        <f t="shared" si="0"/>
        <v>34</v>
      </c>
      <c r="AJ9" s="77" t="str">
        <f>IF(AI9="","",$AJ$2)</f>
        <v>A-</v>
      </c>
      <c r="AK9" s="77" t="s">
        <v>13</v>
      </c>
      <c r="AL9" s="77" t="s">
        <v>1242</v>
      </c>
      <c r="AM9" s="77" t="s">
        <v>1243</v>
      </c>
      <c r="AN9" s="77" t="str">
        <f>IF(AI9="","",$AN$2)</f>
        <v>C</v>
      </c>
      <c r="AO9" s="77" t="str">
        <f>IF(N9="","",IF(N9&gt;=$AO$1/100,"O","X"))</f>
        <v>X</v>
      </c>
      <c r="AP9" s="77" t="str">
        <f>IF(I9="","",IF(I9&lt;=$AP$1,"O","X"))</f>
        <v>O</v>
      </c>
      <c r="AQ9" s="77" t="str">
        <f>IF(O9="","",IF(O9&lt;=$AQ$1,"O","X"))</f>
        <v>O</v>
      </c>
      <c r="AR9" s="77" t="str">
        <f>IF(M9="","",IF(M9&lt;=$AR$1,"O","X"))</f>
        <v>X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>X</v>
      </c>
    </row>
    <row r="10" spans="1:48" x14ac:dyDescent="0.3">
      <c r="A10" s="9" t="s">
        <v>1074</v>
      </c>
      <c r="B10" s="10" t="s">
        <v>1339</v>
      </c>
      <c r="C10" s="107">
        <v>469</v>
      </c>
      <c r="D10" s="104">
        <v>111.6</v>
      </c>
      <c r="E10" s="106">
        <v>34</v>
      </c>
      <c r="F10" s="104">
        <v>85</v>
      </c>
      <c r="G10" s="17">
        <v>26</v>
      </c>
      <c r="H10" s="107">
        <v>43</v>
      </c>
      <c r="I10" s="108"/>
      <c r="J10" s="108"/>
      <c r="K10" s="108"/>
      <c r="L10" s="108"/>
      <c r="M10" s="109">
        <f>I10-K10</f>
        <v>0</v>
      </c>
      <c r="N10" s="4" t="str">
        <f>IF(ISERROR(K10/I10),"",K10/I10)</f>
        <v/>
      </c>
      <c r="O10" s="105">
        <f>I10/E10</f>
        <v>0</v>
      </c>
      <c r="P10" s="105">
        <f>K10/E10</f>
        <v>0</v>
      </c>
      <c r="Q10" s="77">
        <v>3</v>
      </c>
      <c r="R10" s="77">
        <v>2</v>
      </c>
      <c r="S10" s="77" t="s">
        <v>1244</v>
      </c>
      <c r="T10" s="5" t="s">
        <v>428</v>
      </c>
      <c r="U10" s="9"/>
      <c r="W10" s="104">
        <f t="shared" si="2"/>
        <v>111.6</v>
      </c>
      <c r="X10" s="106">
        <f t="shared" si="2"/>
        <v>34</v>
      </c>
      <c r="Y10" s="102">
        <f t="shared" si="3"/>
        <v>43</v>
      </c>
      <c r="Z10" s="109">
        <f t="shared" si="3"/>
        <v>0</v>
      </c>
      <c r="AA10" s="109">
        <f>K10</f>
        <v>0</v>
      </c>
      <c r="AB10" s="109">
        <f t="shared" si="4"/>
        <v>0</v>
      </c>
      <c r="AC10" s="4" t="str">
        <f t="shared" si="4"/>
        <v/>
      </c>
      <c r="AD10" s="105">
        <f t="shared" si="4"/>
        <v>0</v>
      </c>
      <c r="AE10" s="77" t="str">
        <f>S10</f>
        <v>계</v>
      </c>
      <c r="AF10" s="77" t="str">
        <f>Q10&amp;"/"&amp;R10</f>
        <v>3/2</v>
      </c>
      <c r="AH10" s="20" t="str">
        <f t="shared" si="1"/>
        <v>군산대광로제비앙</v>
      </c>
      <c r="AI10" s="106">
        <f t="shared" si="0"/>
        <v>34</v>
      </c>
      <c r="AJ10" s="77" t="str">
        <f>IF(AI10="","",$AJ$2)</f>
        <v>A-</v>
      </c>
      <c r="AK10" s="77" t="s">
        <v>13</v>
      </c>
      <c r="AL10" s="77" t="s">
        <v>1242</v>
      </c>
      <c r="AM10" s="77" t="s">
        <v>1243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/>
      </c>
    </row>
  </sheetData>
  <mergeCells count="1">
    <mergeCell ref="AJ1:AN1"/>
  </mergeCells>
  <phoneticPr fontId="2" type="noConversion"/>
  <conditionalFormatting sqref="AV4:AV6">
    <cfRule type="expression" dxfId="17067" priority="77">
      <formula>AV4="X"</formula>
    </cfRule>
    <cfRule type="expression" dxfId="17066" priority="78">
      <formula>AV4="후보"</formula>
    </cfRule>
  </conditionalFormatting>
  <conditionalFormatting sqref="AC1:AC2 AC4:AC6 N4:N5">
    <cfRule type="cellIs" dxfId="17065" priority="75" operator="greaterThan">
      <formula>0.9</formula>
    </cfRule>
    <cfRule type="cellIs" dxfId="17064" priority="76" operator="greaterThan">
      <formula>0.85</formula>
    </cfRule>
  </conditionalFormatting>
  <conditionalFormatting sqref="N1:N2">
    <cfRule type="cellIs" dxfId="17063" priority="73" operator="greaterThan">
      <formula>0.9</formula>
    </cfRule>
    <cfRule type="cellIs" dxfId="17062" priority="74" operator="greaterThan">
      <formula>0.85</formula>
    </cfRule>
  </conditionalFormatting>
  <conditionalFormatting sqref="N6">
    <cfRule type="cellIs" dxfId="17061" priority="71" operator="greaterThan">
      <formula>0.9</formula>
    </cfRule>
    <cfRule type="cellIs" dxfId="17060" priority="72" operator="greaterThan">
      <formula>0.85</formula>
    </cfRule>
  </conditionalFormatting>
  <conditionalFormatting sqref="E6">
    <cfRule type="expression" dxfId="17059" priority="67">
      <formula>AND(IF(OR($Q6=1,$Q6=2),1,0),IF($X6&lt;=20,1,0))</formula>
    </cfRule>
    <cfRule type="expression" dxfId="17058" priority="68">
      <formula>AND(IF($Q6=2,1,0),IF($X6&lt;30,1,0))</formula>
    </cfRule>
    <cfRule type="expression" dxfId="17057" priority="69">
      <formula>AND(IF($Q6=3,1,0),IF($X6&lt;30,1,0))</formula>
    </cfRule>
    <cfRule type="expression" dxfId="17056" priority="70">
      <formula>AND(IF($Q6=3,1,IF($Q6=4,1,0)),IF($F6&lt;=85,1,0))</formula>
    </cfRule>
  </conditionalFormatting>
  <conditionalFormatting sqref="X6">
    <cfRule type="expression" dxfId="17055" priority="63">
      <formula>AND(IF(OR($Q6=1,$Q6=2),1,0),IF($X6&lt;=20,1,0))</formula>
    </cfRule>
    <cfRule type="expression" dxfId="17054" priority="64">
      <formula>AND(IF($Q6=2,1,0),IF($X6&lt;30,1,0))</formula>
    </cfRule>
    <cfRule type="expression" dxfId="17053" priority="65">
      <formula>AND(IF($Q6=3,1,0),IF($X6&lt;30,1,0))</formula>
    </cfRule>
    <cfRule type="expression" dxfId="17052" priority="66">
      <formula>AND(IF($Q6=3,1,IF($Q6=4,1,0)),IF($F6&lt;=85,1,0))</formula>
    </cfRule>
  </conditionalFormatting>
  <conditionalFormatting sqref="AI6">
    <cfRule type="expression" dxfId="17051" priority="59">
      <formula>AND(IF(OR($Q6=1,$Q6=2),1,0),IF($X6&lt;=20,1,0))</formula>
    </cfRule>
    <cfRule type="expression" dxfId="17050" priority="60">
      <formula>AND(IF($Q6=2,1,0),IF($X6&lt;30,1,0))</formula>
    </cfRule>
    <cfRule type="expression" dxfId="17049" priority="61">
      <formula>AND(IF($Q6=3,1,0),IF($X6&lt;30,1,0))</formula>
    </cfRule>
    <cfRule type="expression" dxfId="17048" priority="62">
      <formula>AND(IF($Q6=3,1,IF($Q6=4,1,0)),IF($F6&lt;=85,1,0))</formula>
    </cfRule>
  </conditionalFormatting>
  <conditionalFormatting sqref="AV7">
    <cfRule type="expression" dxfId="17047" priority="57">
      <formula>AV7="X"</formula>
    </cfRule>
    <cfRule type="expression" dxfId="17046" priority="58">
      <formula>AV7="후보"</formula>
    </cfRule>
  </conditionalFormatting>
  <conditionalFormatting sqref="AC7 N7">
    <cfRule type="cellIs" dxfId="17045" priority="55" operator="greaterThan">
      <formula>0.9</formula>
    </cfRule>
    <cfRule type="cellIs" dxfId="17044" priority="56" operator="greaterThan">
      <formula>0.85</formula>
    </cfRule>
  </conditionalFormatting>
  <conditionalFormatting sqref="AV8">
    <cfRule type="expression" dxfId="17043" priority="53">
      <formula>AV8="X"</formula>
    </cfRule>
    <cfRule type="expression" dxfId="17042" priority="54">
      <formula>AV8="후보"</formula>
    </cfRule>
  </conditionalFormatting>
  <conditionalFormatting sqref="AC8">
    <cfRule type="cellIs" dxfId="17041" priority="51" operator="greaterThan">
      <formula>0.9</formula>
    </cfRule>
    <cfRule type="cellIs" dxfId="17040" priority="52" operator="greaterThan">
      <formula>0.85</formula>
    </cfRule>
  </conditionalFormatting>
  <conditionalFormatting sqref="N8">
    <cfRule type="cellIs" dxfId="17039" priority="49" operator="greaterThan">
      <formula>0.9</formula>
    </cfRule>
    <cfRule type="cellIs" dxfId="17038" priority="50" operator="greaterThan">
      <formula>0.85</formula>
    </cfRule>
  </conditionalFormatting>
  <conditionalFormatting sqref="E8">
    <cfRule type="expression" dxfId="17037" priority="45">
      <formula>AND(IF(OR($Q8=1,$Q8=2),1,0),IF($X8&lt;=20,1,0))</formula>
    </cfRule>
    <cfRule type="expression" dxfId="17036" priority="46">
      <formula>AND(IF($Q8=2,1,0),IF($X8&lt;30,1,0))</formula>
    </cfRule>
    <cfRule type="expression" dxfId="17035" priority="47">
      <formula>AND(IF($Q8=3,1,0),IF($X8&lt;30,1,0))</formula>
    </cfRule>
    <cfRule type="expression" dxfId="17034" priority="48">
      <formula>AND(IF($Q8=3,1,IF($Q8=4,1,0)),IF($F8&lt;=85,1,0))</formula>
    </cfRule>
  </conditionalFormatting>
  <conditionalFormatting sqref="X8">
    <cfRule type="expression" dxfId="17033" priority="41">
      <formula>AND(IF(OR($Q8=1,$Q8=2),1,0),IF($X8&lt;=20,1,0))</formula>
    </cfRule>
    <cfRule type="expression" dxfId="17032" priority="42">
      <formula>AND(IF($Q8=2,1,0),IF($X8&lt;30,1,0))</formula>
    </cfRule>
    <cfRule type="expression" dxfId="17031" priority="43">
      <formula>AND(IF($Q8=3,1,0),IF($X8&lt;30,1,0))</formula>
    </cfRule>
    <cfRule type="expression" dxfId="17030" priority="44">
      <formula>AND(IF($Q8=3,1,IF($Q8=4,1,0)),IF($F8&lt;=85,1,0))</formula>
    </cfRule>
  </conditionalFormatting>
  <conditionalFormatting sqref="AI8">
    <cfRule type="expression" dxfId="17029" priority="37">
      <formula>AND(IF(OR($Q8=1,$Q8=2),1,0),IF($X8&lt;=20,1,0))</formula>
    </cfRule>
    <cfRule type="expression" dxfId="17028" priority="38">
      <formula>AND(IF($Q8=2,1,0),IF($X8&lt;30,1,0))</formula>
    </cfRule>
    <cfRule type="expression" dxfId="17027" priority="39">
      <formula>AND(IF($Q8=3,1,0),IF($X8&lt;30,1,0))</formula>
    </cfRule>
    <cfRule type="expression" dxfId="17026" priority="40">
      <formula>AND(IF($Q8=3,1,IF($Q8=4,1,0)),IF($F8&lt;=85,1,0))</formula>
    </cfRule>
  </conditionalFormatting>
  <conditionalFormatting sqref="AV9">
    <cfRule type="expression" dxfId="17025" priority="35">
      <formula>AV9="X"</formula>
    </cfRule>
    <cfRule type="expression" dxfId="17024" priority="36">
      <formula>AV9="후보"</formula>
    </cfRule>
  </conditionalFormatting>
  <conditionalFormatting sqref="AC9">
    <cfRule type="cellIs" dxfId="17023" priority="33" operator="greaterThan">
      <formula>0.9</formula>
    </cfRule>
    <cfRule type="cellIs" dxfId="17022" priority="34" operator="greaterThan">
      <formula>0.85</formula>
    </cfRule>
  </conditionalFormatting>
  <conditionalFormatting sqref="N9">
    <cfRule type="cellIs" dxfId="17021" priority="31" operator="greaterThan">
      <formula>0.9</formula>
    </cfRule>
    <cfRule type="cellIs" dxfId="17020" priority="32" operator="greaterThan">
      <formula>0.85</formula>
    </cfRule>
  </conditionalFormatting>
  <conditionalFormatting sqref="E9">
    <cfRule type="expression" dxfId="17019" priority="27">
      <formula>AND(IF(OR($Q9=1,$Q9=2),1,0),IF($X9&lt;=20,1,0))</formula>
    </cfRule>
    <cfRule type="expression" dxfId="17018" priority="28">
      <formula>AND(IF($Q9=2,1,0),IF($X9&lt;30,1,0))</formula>
    </cfRule>
    <cfRule type="expression" dxfId="17017" priority="29">
      <formula>AND(IF($Q9=3,1,0),IF($X9&lt;30,1,0))</formula>
    </cfRule>
    <cfRule type="expression" dxfId="17016" priority="30">
      <formula>AND(IF($Q9=3,1,IF($Q9=4,1,0)),IF($F9&lt;=85,1,0))</formula>
    </cfRule>
  </conditionalFormatting>
  <conditionalFormatting sqref="X9">
    <cfRule type="expression" dxfId="17015" priority="23">
      <formula>AND(IF(OR($Q9=1,$Q9=2),1,0),IF($X9&lt;=20,1,0))</formula>
    </cfRule>
    <cfRule type="expression" dxfId="17014" priority="24">
      <formula>AND(IF($Q9=2,1,0),IF($X9&lt;30,1,0))</formula>
    </cfRule>
    <cfRule type="expression" dxfId="17013" priority="25">
      <formula>AND(IF($Q9=3,1,0),IF($X9&lt;30,1,0))</formula>
    </cfRule>
    <cfRule type="expression" dxfId="17012" priority="26">
      <formula>AND(IF($Q9=3,1,IF($Q9=4,1,0)),IF($F9&lt;=85,1,0))</formula>
    </cfRule>
  </conditionalFormatting>
  <conditionalFormatting sqref="AI9">
    <cfRule type="expression" dxfId="17011" priority="19">
      <formula>AND(IF(OR($Q9=1,$Q9=2),1,0),IF($X9&lt;=20,1,0))</formula>
    </cfRule>
    <cfRule type="expression" dxfId="17010" priority="20">
      <formula>AND(IF($Q9=2,1,0),IF($X9&lt;30,1,0))</formula>
    </cfRule>
    <cfRule type="expression" dxfId="17009" priority="21">
      <formula>AND(IF($Q9=3,1,0),IF($X9&lt;30,1,0))</formula>
    </cfRule>
    <cfRule type="expression" dxfId="17008" priority="22">
      <formula>AND(IF($Q9=3,1,IF($Q9=4,1,0)),IF($F9&lt;=85,1,0))</formula>
    </cfRule>
  </conditionalFormatting>
  <conditionalFormatting sqref="AV10">
    <cfRule type="expression" dxfId="17007" priority="17">
      <formula>AV10="X"</formula>
    </cfRule>
    <cfRule type="expression" dxfId="17006" priority="18">
      <formula>AV10="후보"</formula>
    </cfRule>
  </conditionalFormatting>
  <conditionalFormatting sqref="AC10">
    <cfRule type="cellIs" dxfId="17005" priority="15" operator="greaterThan">
      <formula>0.9</formula>
    </cfRule>
    <cfRule type="cellIs" dxfId="17004" priority="16" operator="greaterThan">
      <formula>0.85</formula>
    </cfRule>
  </conditionalFormatting>
  <conditionalFormatting sqref="N10">
    <cfRule type="cellIs" dxfId="17003" priority="13" operator="greaterThan">
      <formula>0.9</formula>
    </cfRule>
    <cfRule type="cellIs" dxfId="17002" priority="14" operator="greaterThan">
      <formula>0.85</formula>
    </cfRule>
  </conditionalFormatting>
  <conditionalFormatting sqref="E10">
    <cfRule type="expression" dxfId="17001" priority="9">
      <formula>AND(IF(OR($Q10=1,$Q10=2),1,0),IF($X10&lt;=20,1,0))</formula>
    </cfRule>
    <cfRule type="expression" dxfId="17000" priority="10">
      <formula>AND(IF($Q10=2,1,0),IF($X10&lt;30,1,0))</formula>
    </cfRule>
    <cfRule type="expression" dxfId="16999" priority="11">
      <formula>AND(IF($Q10=3,1,0),IF($X10&lt;30,1,0))</formula>
    </cfRule>
    <cfRule type="expression" dxfId="16998" priority="12">
      <formula>AND(IF($Q10=3,1,IF($Q10=4,1,0)),IF($F10&lt;=85,1,0))</formula>
    </cfRule>
  </conditionalFormatting>
  <conditionalFormatting sqref="X10">
    <cfRule type="expression" dxfId="16997" priority="5">
      <formula>AND(IF(OR($Q10=1,$Q10=2),1,0),IF($X10&lt;=20,1,0))</formula>
    </cfRule>
    <cfRule type="expression" dxfId="16996" priority="6">
      <formula>AND(IF($Q10=2,1,0),IF($X10&lt;30,1,0))</formula>
    </cfRule>
    <cfRule type="expression" dxfId="16995" priority="7">
      <formula>AND(IF($Q10=3,1,0),IF($X10&lt;30,1,0))</formula>
    </cfRule>
    <cfRule type="expression" dxfId="16994" priority="8">
      <formula>AND(IF($Q10=3,1,IF($Q10=4,1,0)),IF($F10&lt;=85,1,0))</formula>
    </cfRule>
  </conditionalFormatting>
  <conditionalFormatting sqref="AI10">
    <cfRule type="expression" dxfId="16993" priority="1">
      <formula>AND(IF(OR($Q10=1,$Q10=2),1,0),IF($X10&lt;=20,1,0))</formula>
    </cfRule>
    <cfRule type="expression" dxfId="16992" priority="2">
      <formula>AND(IF($Q10=2,1,0),IF($X10&lt;30,1,0))</formula>
    </cfRule>
    <cfRule type="expression" dxfId="16991" priority="3">
      <formula>AND(IF($Q10=3,1,0),IF($X10&lt;30,1,0))</formula>
    </cfRule>
    <cfRule type="expression" dxfId="1699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월명동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1090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월명동 클래시움('04.05.,210^)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1092</v>
      </c>
      <c r="B6" s="10" t="s">
        <v>1340</v>
      </c>
      <c r="C6" s="107">
        <v>210</v>
      </c>
      <c r="D6" s="104">
        <v>126.8</v>
      </c>
      <c r="E6" s="106">
        <v>38</v>
      </c>
      <c r="F6" s="104">
        <v>101.7</v>
      </c>
      <c r="G6" s="17">
        <v>31</v>
      </c>
      <c r="H6" s="107">
        <v>120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7">
        <v>3</v>
      </c>
      <c r="R6" s="77">
        <v>2</v>
      </c>
      <c r="S6" s="77" t="s">
        <v>1244</v>
      </c>
      <c r="T6" s="5">
        <v>126</v>
      </c>
      <c r="U6" s="9"/>
      <c r="W6" s="104">
        <f t="shared" ref="W6:X9" si="1">D6</f>
        <v>126.8</v>
      </c>
      <c r="X6" s="106">
        <f t="shared" si="1"/>
        <v>38</v>
      </c>
      <c r="Y6" s="102">
        <f t="shared" ref="Y6:Z9" si="2">H6</f>
        <v>120</v>
      </c>
      <c r="Z6" s="109">
        <f t="shared" si="2"/>
        <v>0</v>
      </c>
      <c r="AA6" s="109">
        <f>K6</f>
        <v>0</v>
      </c>
      <c r="AB6" s="109">
        <f t="shared" ref="AB6:AD9" si="3">M6</f>
        <v>0</v>
      </c>
      <c r="AC6" s="4" t="str">
        <f t="shared" si="3"/>
        <v/>
      </c>
      <c r="AD6" s="105">
        <f t="shared" si="3"/>
        <v>0</v>
      </c>
      <c r="AE6" s="77" t="str">
        <f>S6</f>
        <v>계</v>
      </c>
      <c r="AF6" s="77" t="str">
        <f>Q6&amp;"/"&amp;R6</f>
        <v>3/2</v>
      </c>
      <c r="AH6" s="20" t="str">
        <f>IF(A6="","",A6)</f>
        <v>클래시움</v>
      </c>
      <c r="AI6" s="106">
        <f t="shared" si="0"/>
        <v>38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X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1092</v>
      </c>
      <c r="B7" s="10" t="s">
        <v>1340</v>
      </c>
      <c r="C7" s="107">
        <v>210</v>
      </c>
      <c r="D7" s="104">
        <v>165</v>
      </c>
      <c r="E7" s="106">
        <v>50</v>
      </c>
      <c r="F7" s="104">
        <v>142.1</v>
      </c>
      <c r="G7" s="17">
        <v>43</v>
      </c>
      <c r="H7" s="107">
        <v>30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7">
        <v>4</v>
      </c>
      <c r="R7" s="77">
        <v>2</v>
      </c>
      <c r="S7" s="77" t="s">
        <v>1244</v>
      </c>
      <c r="T7" s="5">
        <v>164</v>
      </c>
      <c r="U7" s="9"/>
      <c r="W7" s="104">
        <f t="shared" si="1"/>
        <v>165</v>
      </c>
      <c r="X7" s="106">
        <f t="shared" si="1"/>
        <v>50</v>
      </c>
      <c r="Y7" s="102">
        <f t="shared" si="2"/>
        <v>30</v>
      </c>
      <c r="Z7" s="109">
        <f t="shared" si="2"/>
        <v>0</v>
      </c>
      <c r="AA7" s="109">
        <f>K7</f>
        <v>0</v>
      </c>
      <c r="AB7" s="109">
        <f t="shared" si="3"/>
        <v>0</v>
      </c>
      <c r="AC7" s="4" t="str">
        <f t="shared" si="3"/>
        <v/>
      </c>
      <c r="AD7" s="105">
        <f t="shared" si="3"/>
        <v>0</v>
      </c>
      <c r="AE7" s="77" t="str">
        <f>S7</f>
        <v>계</v>
      </c>
      <c r="AF7" s="77" t="str">
        <f>Q7&amp;"/"&amp;R7</f>
        <v>4/2</v>
      </c>
      <c r="AH7" s="20" t="str">
        <f>IF(A7="","",A7)</f>
        <v>클래시움</v>
      </c>
      <c r="AI7" s="106">
        <f t="shared" si="0"/>
        <v>50</v>
      </c>
      <c r="AJ7" s="77" t="str">
        <f>IF(AI7="","",$AJ$2)</f>
        <v>A-</v>
      </c>
      <c r="AK7" s="77" t="s">
        <v>13</v>
      </c>
      <c r="AL7" s="77" t="s">
        <v>1242</v>
      </c>
      <c r="AM7" s="77" t="s">
        <v>1243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X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 t="s">
        <v>1092</v>
      </c>
      <c r="B8" s="10" t="s">
        <v>1340</v>
      </c>
      <c r="C8" s="107">
        <v>210</v>
      </c>
      <c r="D8" s="104">
        <v>189.9</v>
      </c>
      <c r="E8" s="106">
        <v>57</v>
      </c>
      <c r="F8" s="104">
        <v>166.5</v>
      </c>
      <c r="G8" s="17">
        <v>50</v>
      </c>
      <c r="H8" s="107">
        <v>45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7">
        <v>4</v>
      </c>
      <c r="R8" s="77">
        <v>2</v>
      </c>
      <c r="S8" s="77" t="s">
        <v>1244</v>
      </c>
      <c r="T8" s="5">
        <v>189</v>
      </c>
      <c r="U8" s="9"/>
      <c r="W8" s="104">
        <f t="shared" si="1"/>
        <v>189.9</v>
      </c>
      <c r="X8" s="106">
        <f t="shared" si="1"/>
        <v>57</v>
      </c>
      <c r="Y8" s="102">
        <f t="shared" si="2"/>
        <v>45</v>
      </c>
      <c r="Z8" s="109">
        <f t="shared" si="2"/>
        <v>0</v>
      </c>
      <c r="AA8" s="109">
        <f>K8</f>
        <v>0</v>
      </c>
      <c r="AB8" s="109">
        <f t="shared" si="3"/>
        <v>0</v>
      </c>
      <c r="AC8" s="4" t="str">
        <f t="shared" si="3"/>
        <v/>
      </c>
      <c r="AD8" s="105">
        <f t="shared" si="3"/>
        <v>0</v>
      </c>
      <c r="AE8" s="77" t="str">
        <f>S8</f>
        <v>계</v>
      </c>
      <c r="AF8" s="77" t="str">
        <f>Q8&amp;"/"&amp;R8</f>
        <v>4/2</v>
      </c>
      <c r="AH8" s="20" t="str">
        <f>IF(A8="","",A8)</f>
        <v>클래시움</v>
      </c>
      <c r="AI8" s="106">
        <f t="shared" si="0"/>
        <v>57</v>
      </c>
      <c r="AJ8" s="77" t="str">
        <f>IF(AI8="","",$AJ$2)</f>
        <v>A-</v>
      </c>
      <c r="AK8" s="77" t="s">
        <v>13</v>
      </c>
      <c r="AL8" s="77" t="s">
        <v>1242</v>
      </c>
      <c r="AM8" s="77" t="s">
        <v>1243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X</v>
      </c>
      <c r="AV8" s="77" t="str">
        <f>IF(AO8="","",IF(AND(AO8="O",AP8="O",AR8="O",AT8="O",AU8="O"),"후보","X"))</f>
        <v/>
      </c>
    </row>
    <row r="9" spans="1:48" x14ac:dyDescent="0.3">
      <c r="A9" s="9" t="s">
        <v>1092</v>
      </c>
      <c r="B9" s="10" t="s">
        <v>1340</v>
      </c>
      <c r="C9" s="107">
        <v>210</v>
      </c>
      <c r="D9" s="104">
        <v>193.8</v>
      </c>
      <c r="E9" s="106">
        <v>59</v>
      </c>
      <c r="F9" s="104">
        <v>170.4</v>
      </c>
      <c r="G9" s="17">
        <v>52</v>
      </c>
      <c r="H9" s="107">
        <v>15</v>
      </c>
      <c r="I9" s="108"/>
      <c r="J9" s="108"/>
      <c r="K9" s="108"/>
      <c r="L9" s="108"/>
      <c r="M9" s="109">
        <f>I9-K9</f>
        <v>0</v>
      </c>
      <c r="N9" s="4" t="str">
        <f>IF(ISERROR(K9/I9),"",K9/I9)</f>
        <v/>
      </c>
      <c r="O9" s="105">
        <f>I9/E9</f>
        <v>0</v>
      </c>
      <c r="P9" s="105">
        <f>K9/E9</f>
        <v>0</v>
      </c>
      <c r="Q9" s="77">
        <v>4</v>
      </c>
      <c r="R9" s="77">
        <v>2</v>
      </c>
      <c r="S9" s="77" t="s">
        <v>1244</v>
      </c>
      <c r="T9" s="5">
        <v>193</v>
      </c>
      <c r="U9" s="9"/>
      <c r="W9" s="104">
        <f t="shared" si="1"/>
        <v>193.8</v>
      </c>
      <c r="X9" s="106">
        <f t="shared" si="1"/>
        <v>59</v>
      </c>
      <c r="Y9" s="102">
        <f t="shared" si="2"/>
        <v>15</v>
      </c>
      <c r="Z9" s="109">
        <f t="shared" si="2"/>
        <v>0</v>
      </c>
      <c r="AA9" s="109">
        <f>K9</f>
        <v>0</v>
      </c>
      <c r="AB9" s="109">
        <f t="shared" si="3"/>
        <v>0</v>
      </c>
      <c r="AC9" s="4" t="str">
        <f t="shared" si="3"/>
        <v/>
      </c>
      <c r="AD9" s="105">
        <f t="shared" si="3"/>
        <v>0</v>
      </c>
      <c r="AE9" s="77" t="str">
        <f>S9</f>
        <v>계</v>
      </c>
      <c r="AF9" s="77" t="str">
        <f>Q9&amp;"/"&amp;R9</f>
        <v>4/2</v>
      </c>
      <c r="AH9" s="20" t="str">
        <f>IF(A9="","",A9)</f>
        <v>클래시움</v>
      </c>
      <c r="AI9" s="106">
        <f t="shared" si="0"/>
        <v>59</v>
      </c>
      <c r="AJ9" s="77" t="str">
        <f>IF(AI9="","",$AJ$2)</f>
        <v>A-</v>
      </c>
      <c r="AK9" s="77" t="s">
        <v>13</v>
      </c>
      <c r="AL9" s="77" t="s">
        <v>1242</v>
      </c>
      <c r="AM9" s="77" t="s">
        <v>1243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X</v>
      </c>
      <c r="AV9" s="77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16989" priority="73">
      <formula>AV4="X"</formula>
    </cfRule>
    <cfRule type="expression" dxfId="16988" priority="74">
      <formula>AV4="후보"</formula>
    </cfRule>
  </conditionalFormatting>
  <conditionalFormatting sqref="AC1:AC2 AC4:AC6 N4:N5">
    <cfRule type="cellIs" dxfId="16987" priority="71" operator="greaterThan">
      <formula>0.9</formula>
    </cfRule>
    <cfRule type="cellIs" dxfId="16986" priority="72" operator="greaterThan">
      <formula>0.85</formula>
    </cfRule>
  </conditionalFormatting>
  <conditionalFormatting sqref="N1:N2">
    <cfRule type="cellIs" dxfId="16985" priority="69" operator="greaterThan">
      <formula>0.9</formula>
    </cfRule>
    <cfRule type="cellIs" dxfId="16984" priority="70" operator="greaterThan">
      <formula>0.85</formula>
    </cfRule>
  </conditionalFormatting>
  <conditionalFormatting sqref="N6">
    <cfRule type="cellIs" dxfId="16983" priority="67" operator="greaterThan">
      <formula>0.9</formula>
    </cfRule>
    <cfRule type="cellIs" dxfId="16982" priority="68" operator="greaterThan">
      <formula>0.85</formula>
    </cfRule>
  </conditionalFormatting>
  <conditionalFormatting sqref="E6">
    <cfRule type="expression" dxfId="16981" priority="63">
      <formula>AND(IF(OR($Q6=1,$Q6=2),1,0),IF($X6&lt;=20,1,0))</formula>
    </cfRule>
    <cfRule type="expression" dxfId="16980" priority="64">
      <formula>AND(IF($Q6=2,1,0),IF($X6&lt;30,1,0))</formula>
    </cfRule>
    <cfRule type="expression" dxfId="16979" priority="65">
      <formula>AND(IF($Q6=3,1,0),IF($X6&lt;30,1,0))</formula>
    </cfRule>
    <cfRule type="expression" dxfId="16978" priority="66">
      <formula>AND(IF($Q6=3,1,IF($Q6=4,1,0)),IF($F6&lt;=85,1,0))</formula>
    </cfRule>
  </conditionalFormatting>
  <conditionalFormatting sqref="X6">
    <cfRule type="expression" dxfId="16977" priority="59">
      <formula>AND(IF(OR($Q6=1,$Q6=2),1,0),IF($X6&lt;=20,1,0))</formula>
    </cfRule>
    <cfRule type="expression" dxfId="16976" priority="60">
      <formula>AND(IF($Q6=2,1,0),IF($X6&lt;30,1,0))</formula>
    </cfRule>
    <cfRule type="expression" dxfId="16975" priority="61">
      <formula>AND(IF($Q6=3,1,0),IF($X6&lt;30,1,0))</formula>
    </cfRule>
    <cfRule type="expression" dxfId="16974" priority="62">
      <formula>AND(IF($Q6=3,1,IF($Q6=4,1,0)),IF($F6&lt;=85,1,0))</formula>
    </cfRule>
  </conditionalFormatting>
  <conditionalFormatting sqref="AI6">
    <cfRule type="expression" dxfId="16973" priority="55">
      <formula>AND(IF(OR($Q6=1,$Q6=2),1,0),IF($X6&lt;=20,1,0))</formula>
    </cfRule>
    <cfRule type="expression" dxfId="16972" priority="56">
      <formula>AND(IF($Q6=2,1,0),IF($X6&lt;30,1,0))</formula>
    </cfRule>
    <cfRule type="expression" dxfId="16971" priority="57">
      <formula>AND(IF($Q6=3,1,0),IF($X6&lt;30,1,0))</formula>
    </cfRule>
    <cfRule type="expression" dxfId="16970" priority="58">
      <formula>AND(IF($Q6=3,1,IF($Q6=4,1,0)),IF($F6&lt;=85,1,0))</formula>
    </cfRule>
  </conditionalFormatting>
  <conditionalFormatting sqref="AV7">
    <cfRule type="expression" dxfId="16969" priority="53">
      <formula>AV7="X"</formula>
    </cfRule>
    <cfRule type="expression" dxfId="16968" priority="54">
      <formula>AV7="후보"</formula>
    </cfRule>
  </conditionalFormatting>
  <conditionalFormatting sqref="AC7">
    <cfRule type="cellIs" dxfId="16967" priority="51" operator="greaterThan">
      <formula>0.9</formula>
    </cfRule>
    <cfRule type="cellIs" dxfId="16966" priority="52" operator="greaterThan">
      <formula>0.85</formula>
    </cfRule>
  </conditionalFormatting>
  <conditionalFormatting sqref="N7">
    <cfRule type="cellIs" dxfId="16965" priority="49" operator="greaterThan">
      <formula>0.9</formula>
    </cfRule>
    <cfRule type="cellIs" dxfId="16964" priority="50" operator="greaterThan">
      <formula>0.85</formula>
    </cfRule>
  </conditionalFormatting>
  <conditionalFormatting sqref="E7">
    <cfRule type="expression" dxfId="16963" priority="45">
      <formula>AND(IF(OR($Q7=1,$Q7=2),1,0),IF($X7&lt;=20,1,0))</formula>
    </cfRule>
    <cfRule type="expression" dxfId="16962" priority="46">
      <formula>AND(IF($Q7=2,1,0),IF($X7&lt;30,1,0))</formula>
    </cfRule>
    <cfRule type="expression" dxfId="16961" priority="47">
      <formula>AND(IF($Q7=3,1,0),IF($X7&lt;30,1,0))</formula>
    </cfRule>
    <cfRule type="expression" dxfId="16960" priority="48">
      <formula>AND(IF($Q7=3,1,IF($Q7=4,1,0)),IF($F7&lt;=85,1,0))</formula>
    </cfRule>
  </conditionalFormatting>
  <conditionalFormatting sqref="X7">
    <cfRule type="expression" dxfId="16959" priority="41">
      <formula>AND(IF(OR($Q7=1,$Q7=2),1,0),IF($X7&lt;=20,1,0))</formula>
    </cfRule>
    <cfRule type="expression" dxfId="16958" priority="42">
      <formula>AND(IF($Q7=2,1,0),IF($X7&lt;30,1,0))</formula>
    </cfRule>
    <cfRule type="expression" dxfId="16957" priority="43">
      <formula>AND(IF($Q7=3,1,0),IF($X7&lt;30,1,0))</formula>
    </cfRule>
    <cfRule type="expression" dxfId="16956" priority="44">
      <formula>AND(IF($Q7=3,1,IF($Q7=4,1,0)),IF($F7&lt;=85,1,0))</formula>
    </cfRule>
  </conditionalFormatting>
  <conditionalFormatting sqref="AI7">
    <cfRule type="expression" dxfId="16955" priority="37">
      <formula>AND(IF(OR($Q7=1,$Q7=2),1,0),IF($X7&lt;=20,1,0))</formula>
    </cfRule>
    <cfRule type="expression" dxfId="16954" priority="38">
      <formula>AND(IF($Q7=2,1,0),IF($X7&lt;30,1,0))</formula>
    </cfRule>
    <cfRule type="expression" dxfId="16953" priority="39">
      <formula>AND(IF($Q7=3,1,0),IF($X7&lt;30,1,0))</formula>
    </cfRule>
    <cfRule type="expression" dxfId="16952" priority="40">
      <formula>AND(IF($Q7=3,1,IF($Q7=4,1,0)),IF($F7&lt;=85,1,0))</formula>
    </cfRule>
  </conditionalFormatting>
  <conditionalFormatting sqref="AV8">
    <cfRule type="expression" dxfId="16951" priority="35">
      <formula>AV8="X"</formula>
    </cfRule>
    <cfRule type="expression" dxfId="16950" priority="36">
      <formula>AV8="후보"</formula>
    </cfRule>
  </conditionalFormatting>
  <conditionalFormatting sqref="AC8">
    <cfRule type="cellIs" dxfId="16949" priority="33" operator="greaterThan">
      <formula>0.9</formula>
    </cfRule>
    <cfRule type="cellIs" dxfId="16948" priority="34" operator="greaterThan">
      <formula>0.85</formula>
    </cfRule>
  </conditionalFormatting>
  <conditionalFormatting sqref="N8">
    <cfRule type="cellIs" dxfId="16947" priority="31" operator="greaterThan">
      <formula>0.9</formula>
    </cfRule>
    <cfRule type="cellIs" dxfId="16946" priority="32" operator="greaterThan">
      <formula>0.85</formula>
    </cfRule>
  </conditionalFormatting>
  <conditionalFormatting sqref="E8">
    <cfRule type="expression" dxfId="16945" priority="27">
      <formula>AND(IF(OR($Q8=1,$Q8=2),1,0),IF($X8&lt;=20,1,0))</formula>
    </cfRule>
    <cfRule type="expression" dxfId="16944" priority="28">
      <formula>AND(IF($Q8=2,1,0),IF($X8&lt;30,1,0))</formula>
    </cfRule>
    <cfRule type="expression" dxfId="16943" priority="29">
      <formula>AND(IF($Q8=3,1,0),IF($X8&lt;30,1,0))</formula>
    </cfRule>
    <cfRule type="expression" dxfId="16942" priority="30">
      <formula>AND(IF($Q8=3,1,IF($Q8=4,1,0)),IF($F8&lt;=85,1,0))</formula>
    </cfRule>
  </conditionalFormatting>
  <conditionalFormatting sqref="X8">
    <cfRule type="expression" dxfId="16941" priority="23">
      <formula>AND(IF(OR($Q8=1,$Q8=2),1,0),IF($X8&lt;=20,1,0))</formula>
    </cfRule>
    <cfRule type="expression" dxfId="16940" priority="24">
      <formula>AND(IF($Q8=2,1,0),IF($X8&lt;30,1,0))</formula>
    </cfRule>
    <cfRule type="expression" dxfId="16939" priority="25">
      <formula>AND(IF($Q8=3,1,0),IF($X8&lt;30,1,0))</formula>
    </cfRule>
    <cfRule type="expression" dxfId="16938" priority="26">
      <formula>AND(IF($Q8=3,1,IF($Q8=4,1,0)),IF($F8&lt;=85,1,0))</formula>
    </cfRule>
  </conditionalFormatting>
  <conditionalFormatting sqref="AI8">
    <cfRule type="expression" dxfId="16937" priority="19">
      <formula>AND(IF(OR($Q8=1,$Q8=2),1,0),IF($X8&lt;=20,1,0))</formula>
    </cfRule>
    <cfRule type="expression" dxfId="16936" priority="20">
      <formula>AND(IF($Q8=2,1,0),IF($X8&lt;30,1,0))</formula>
    </cfRule>
    <cfRule type="expression" dxfId="16935" priority="21">
      <formula>AND(IF($Q8=3,1,0),IF($X8&lt;30,1,0))</formula>
    </cfRule>
    <cfRule type="expression" dxfId="16934" priority="22">
      <formula>AND(IF($Q8=3,1,IF($Q8=4,1,0)),IF($F8&lt;=85,1,0))</formula>
    </cfRule>
  </conditionalFormatting>
  <conditionalFormatting sqref="AV9">
    <cfRule type="expression" dxfId="16933" priority="17">
      <formula>AV9="X"</formula>
    </cfRule>
    <cfRule type="expression" dxfId="16932" priority="18">
      <formula>AV9="후보"</formula>
    </cfRule>
  </conditionalFormatting>
  <conditionalFormatting sqref="AC9">
    <cfRule type="cellIs" dxfId="16931" priority="15" operator="greaterThan">
      <formula>0.9</formula>
    </cfRule>
    <cfRule type="cellIs" dxfId="16930" priority="16" operator="greaterThan">
      <formula>0.85</formula>
    </cfRule>
  </conditionalFormatting>
  <conditionalFormatting sqref="N9">
    <cfRule type="cellIs" dxfId="16929" priority="13" operator="greaterThan">
      <formula>0.9</formula>
    </cfRule>
    <cfRule type="cellIs" dxfId="16928" priority="14" operator="greaterThan">
      <formula>0.85</formula>
    </cfRule>
  </conditionalFormatting>
  <conditionalFormatting sqref="E9">
    <cfRule type="expression" dxfId="16927" priority="9">
      <formula>AND(IF(OR($Q9=1,$Q9=2),1,0),IF($X9&lt;=20,1,0))</formula>
    </cfRule>
    <cfRule type="expression" dxfId="16926" priority="10">
      <formula>AND(IF($Q9=2,1,0),IF($X9&lt;30,1,0))</formula>
    </cfRule>
    <cfRule type="expression" dxfId="16925" priority="11">
      <formula>AND(IF($Q9=3,1,0),IF($X9&lt;30,1,0))</formula>
    </cfRule>
    <cfRule type="expression" dxfId="16924" priority="12">
      <formula>AND(IF($Q9=3,1,IF($Q9=4,1,0)),IF($F9&lt;=85,1,0))</formula>
    </cfRule>
  </conditionalFormatting>
  <conditionalFormatting sqref="X9">
    <cfRule type="expression" dxfId="16923" priority="5">
      <formula>AND(IF(OR($Q9=1,$Q9=2),1,0),IF($X9&lt;=20,1,0))</formula>
    </cfRule>
    <cfRule type="expression" dxfId="16922" priority="6">
      <formula>AND(IF($Q9=2,1,0),IF($X9&lt;30,1,0))</formula>
    </cfRule>
    <cfRule type="expression" dxfId="16921" priority="7">
      <formula>AND(IF($Q9=3,1,0),IF($X9&lt;30,1,0))</formula>
    </cfRule>
    <cfRule type="expression" dxfId="16920" priority="8">
      <formula>AND(IF($Q9=3,1,IF($Q9=4,1,0)),IF($F9&lt;=85,1,0))</formula>
    </cfRule>
  </conditionalFormatting>
  <conditionalFormatting sqref="AI9">
    <cfRule type="expression" dxfId="16919" priority="1">
      <formula>AND(IF(OR($Q9=1,$Q9=2),1,0),IF($X9&lt;=20,1,0))</formula>
    </cfRule>
    <cfRule type="expression" dxfId="16918" priority="2">
      <formula>AND(IF($Q9=2,1,0),IF($X9&lt;30,1,0))</formula>
    </cfRule>
    <cfRule type="expression" dxfId="16917" priority="3">
      <formula>AND(IF($Q9=3,1,0),IF($X9&lt;30,1,0))</formula>
    </cfRule>
    <cfRule type="expression" dxfId="16916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장재동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1111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장재동 현대세솔('02.03.,547^)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1118</v>
      </c>
      <c r="B6" s="10" t="s">
        <v>1334</v>
      </c>
      <c r="C6" s="107">
        <v>547</v>
      </c>
      <c r="D6" s="104">
        <v>76.5</v>
      </c>
      <c r="E6" s="106">
        <v>23</v>
      </c>
      <c r="F6" s="104">
        <v>59.7</v>
      </c>
      <c r="G6" s="17">
        <v>18</v>
      </c>
      <c r="H6" s="107">
        <v>48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7">
        <v>2</v>
      </c>
      <c r="R6" s="77">
        <v>1</v>
      </c>
      <c r="S6" s="77" t="s">
        <v>1244</v>
      </c>
      <c r="T6" s="5">
        <v>76</v>
      </c>
      <c r="U6" s="9"/>
      <c r="W6" s="104">
        <f t="shared" ref="W6:X9" si="1">D6</f>
        <v>76.5</v>
      </c>
      <c r="X6" s="106">
        <f t="shared" si="1"/>
        <v>23</v>
      </c>
      <c r="Y6" s="102">
        <f t="shared" ref="Y6:Z9" si="2">H6</f>
        <v>48</v>
      </c>
      <c r="Z6" s="109">
        <f t="shared" si="2"/>
        <v>0</v>
      </c>
      <c r="AA6" s="109">
        <f>K6</f>
        <v>0</v>
      </c>
      <c r="AB6" s="109">
        <f t="shared" ref="AB6:AD9" si="3">M6</f>
        <v>0</v>
      </c>
      <c r="AC6" s="4" t="str">
        <f t="shared" si="3"/>
        <v/>
      </c>
      <c r="AD6" s="105">
        <f t="shared" si="3"/>
        <v>0</v>
      </c>
      <c r="AE6" s="77" t="str">
        <f>S6</f>
        <v>계</v>
      </c>
      <c r="AF6" s="77" t="str">
        <f>Q6&amp;"/"&amp;R6</f>
        <v>2/1</v>
      </c>
      <c r="AH6" s="20" t="str">
        <f>IF(A6="","",A6)</f>
        <v>현대세솔</v>
      </c>
      <c r="AI6" s="106">
        <f t="shared" si="0"/>
        <v>23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1118</v>
      </c>
      <c r="B7" s="10" t="s">
        <v>1334</v>
      </c>
      <c r="C7" s="107">
        <v>547</v>
      </c>
      <c r="D7" s="104">
        <v>82.5</v>
      </c>
      <c r="E7" s="106">
        <v>25</v>
      </c>
      <c r="F7" s="104">
        <v>60</v>
      </c>
      <c r="G7" s="17">
        <v>18</v>
      </c>
      <c r="H7" s="107">
        <v>259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7">
        <v>2</v>
      </c>
      <c r="R7" s="77">
        <v>1</v>
      </c>
      <c r="S7" s="77" t="s">
        <v>1244</v>
      </c>
      <c r="T7" s="5">
        <v>82</v>
      </c>
      <c r="U7" s="9"/>
      <c r="W7" s="104">
        <f t="shared" si="1"/>
        <v>82.5</v>
      </c>
      <c r="X7" s="106">
        <f t="shared" si="1"/>
        <v>25</v>
      </c>
      <c r="Y7" s="102">
        <f t="shared" si="2"/>
        <v>259</v>
      </c>
      <c r="Z7" s="109">
        <f t="shared" si="2"/>
        <v>0</v>
      </c>
      <c r="AA7" s="109">
        <f>K7</f>
        <v>0</v>
      </c>
      <c r="AB7" s="109">
        <f t="shared" si="3"/>
        <v>0</v>
      </c>
      <c r="AC7" s="4" t="str">
        <f t="shared" si="3"/>
        <v/>
      </c>
      <c r="AD7" s="105">
        <f t="shared" si="3"/>
        <v>0</v>
      </c>
      <c r="AE7" s="77" t="str">
        <f>S7</f>
        <v>계</v>
      </c>
      <c r="AF7" s="77" t="str">
        <f>Q7&amp;"/"&amp;R7</f>
        <v>2/1</v>
      </c>
      <c r="AH7" s="20" t="str">
        <f>IF(A7="","",A7)</f>
        <v>현대세솔</v>
      </c>
      <c r="AI7" s="106">
        <f t="shared" si="0"/>
        <v>25</v>
      </c>
      <c r="AJ7" s="77" t="str">
        <f>IF(AI7="","",$AJ$2)</f>
        <v>A-</v>
      </c>
      <c r="AK7" s="77" t="s">
        <v>13</v>
      </c>
      <c r="AL7" s="77" t="s">
        <v>1242</v>
      </c>
      <c r="AM7" s="77" t="s">
        <v>1243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48" x14ac:dyDescent="0.3">
      <c r="A8" s="9" t="s">
        <v>1118</v>
      </c>
      <c r="B8" s="10" t="s">
        <v>1334</v>
      </c>
      <c r="C8" s="107">
        <v>547</v>
      </c>
      <c r="D8" s="104">
        <v>103.1</v>
      </c>
      <c r="E8" s="106">
        <v>31</v>
      </c>
      <c r="F8" s="104">
        <v>85</v>
      </c>
      <c r="G8" s="17">
        <v>26</v>
      </c>
      <c r="H8" s="107">
        <v>210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7">
        <v>3</v>
      </c>
      <c r="R8" s="77">
        <v>2</v>
      </c>
      <c r="S8" s="77" t="s">
        <v>1241</v>
      </c>
      <c r="T8" s="5" t="s">
        <v>1122</v>
      </c>
      <c r="U8" s="9"/>
      <c r="W8" s="104">
        <f t="shared" si="1"/>
        <v>103.1</v>
      </c>
      <c r="X8" s="106">
        <f t="shared" si="1"/>
        <v>31</v>
      </c>
      <c r="Y8" s="102">
        <f t="shared" si="2"/>
        <v>210</v>
      </c>
      <c r="Z8" s="109">
        <f t="shared" si="2"/>
        <v>0</v>
      </c>
      <c r="AA8" s="109">
        <f>K8</f>
        <v>0</v>
      </c>
      <c r="AB8" s="109">
        <f t="shared" si="3"/>
        <v>0</v>
      </c>
      <c r="AC8" s="4" t="str">
        <f t="shared" si="3"/>
        <v/>
      </c>
      <c r="AD8" s="105">
        <f t="shared" si="3"/>
        <v>0</v>
      </c>
      <c r="AE8" s="77" t="str">
        <f>S8</f>
        <v>복</v>
      </c>
      <c r="AF8" s="77" t="str">
        <f>Q8&amp;"/"&amp;R8</f>
        <v>3/2</v>
      </c>
      <c r="AH8" s="20" t="str">
        <f>IF(A8="","",A8)</f>
        <v>현대세솔</v>
      </c>
      <c r="AI8" s="106">
        <f t="shared" si="0"/>
        <v>31</v>
      </c>
      <c r="AJ8" s="77" t="str">
        <f>IF(AI8="","",$AJ$2)</f>
        <v>A-</v>
      </c>
      <c r="AK8" s="77" t="s">
        <v>13</v>
      </c>
      <c r="AL8" s="77" t="s">
        <v>1242</v>
      </c>
      <c r="AM8" s="77" t="s">
        <v>1243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 t="s">
        <v>1118</v>
      </c>
      <c r="B9" s="10" t="s">
        <v>1334</v>
      </c>
      <c r="C9" s="107">
        <v>547</v>
      </c>
      <c r="D9" s="104">
        <v>103.1</v>
      </c>
      <c r="E9" s="106">
        <v>31</v>
      </c>
      <c r="F9" s="104">
        <v>85</v>
      </c>
      <c r="G9" s="17">
        <v>26</v>
      </c>
      <c r="H9" s="107">
        <v>30</v>
      </c>
      <c r="I9" s="108"/>
      <c r="J9" s="108"/>
      <c r="K9" s="108"/>
      <c r="L9" s="108"/>
      <c r="M9" s="109">
        <f>I9-K9</f>
        <v>0</v>
      </c>
      <c r="N9" s="4" t="str">
        <f>IF(ISERROR(K9/I9),"",K9/I9)</f>
        <v/>
      </c>
      <c r="O9" s="105">
        <f>I9/E9</f>
        <v>0</v>
      </c>
      <c r="P9" s="105">
        <f>K9/E9</f>
        <v>0</v>
      </c>
      <c r="Q9" s="77">
        <v>3</v>
      </c>
      <c r="R9" s="77">
        <v>2</v>
      </c>
      <c r="S9" s="77" t="s">
        <v>1244</v>
      </c>
      <c r="T9" s="5" t="s">
        <v>913</v>
      </c>
      <c r="U9" s="9"/>
      <c r="W9" s="104">
        <f t="shared" si="1"/>
        <v>103.1</v>
      </c>
      <c r="X9" s="106">
        <f t="shared" si="1"/>
        <v>31</v>
      </c>
      <c r="Y9" s="102">
        <f t="shared" si="2"/>
        <v>30</v>
      </c>
      <c r="Z9" s="109">
        <f t="shared" si="2"/>
        <v>0</v>
      </c>
      <c r="AA9" s="109">
        <f>K9</f>
        <v>0</v>
      </c>
      <c r="AB9" s="109">
        <f t="shared" si="3"/>
        <v>0</v>
      </c>
      <c r="AC9" s="4" t="str">
        <f t="shared" si="3"/>
        <v/>
      </c>
      <c r="AD9" s="105">
        <f t="shared" si="3"/>
        <v>0</v>
      </c>
      <c r="AE9" s="77" t="str">
        <f>S9</f>
        <v>계</v>
      </c>
      <c r="AF9" s="77" t="str">
        <f>Q9&amp;"/"&amp;R9</f>
        <v>3/2</v>
      </c>
      <c r="AH9" s="20" t="str">
        <f>IF(A9="","",A9)</f>
        <v>현대세솔</v>
      </c>
      <c r="AI9" s="106">
        <f t="shared" si="0"/>
        <v>31</v>
      </c>
      <c r="AJ9" s="77" t="str">
        <f>IF(AI9="","",$AJ$2)</f>
        <v>A-</v>
      </c>
      <c r="AK9" s="77" t="s">
        <v>13</v>
      </c>
      <c r="AL9" s="77" t="s">
        <v>1242</v>
      </c>
      <c r="AM9" s="77" t="s">
        <v>1243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16915" priority="73">
      <formula>AV4="X"</formula>
    </cfRule>
    <cfRule type="expression" dxfId="16914" priority="74">
      <formula>AV4="후보"</formula>
    </cfRule>
  </conditionalFormatting>
  <conditionalFormatting sqref="AC1:AC2 AC4:AC6 N4:N5">
    <cfRule type="cellIs" dxfId="16913" priority="71" operator="greaterThan">
      <formula>0.9</formula>
    </cfRule>
    <cfRule type="cellIs" dxfId="16912" priority="72" operator="greaterThan">
      <formula>0.85</formula>
    </cfRule>
  </conditionalFormatting>
  <conditionalFormatting sqref="N1:N2">
    <cfRule type="cellIs" dxfId="16911" priority="69" operator="greaterThan">
      <formula>0.9</formula>
    </cfRule>
    <cfRule type="cellIs" dxfId="16910" priority="70" operator="greaterThan">
      <formula>0.85</formula>
    </cfRule>
  </conditionalFormatting>
  <conditionalFormatting sqref="N6">
    <cfRule type="cellIs" dxfId="16909" priority="67" operator="greaterThan">
      <formula>0.9</formula>
    </cfRule>
    <cfRule type="cellIs" dxfId="16908" priority="68" operator="greaterThan">
      <formula>0.85</formula>
    </cfRule>
  </conditionalFormatting>
  <conditionalFormatting sqref="E6">
    <cfRule type="expression" dxfId="16907" priority="63">
      <formula>AND(IF(OR($Q6=1,$Q6=2),1,0),IF($X6&lt;=20,1,0))</formula>
    </cfRule>
    <cfRule type="expression" dxfId="16906" priority="64">
      <formula>AND(IF($Q6=2,1,0),IF($X6&lt;30,1,0))</formula>
    </cfRule>
    <cfRule type="expression" dxfId="16905" priority="65">
      <formula>AND(IF($Q6=3,1,0),IF($X6&lt;30,1,0))</formula>
    </cfRule>
    <cfRule type="expression" dxfId="16904" priority="66">
      <formula>AND(IF($Q6=3,1,IF($Q6=4,1,0)),IF($F6&lt;=85,1,0))</formula>
    </cfRule>
  </conditionalFormatting>
  <conditionalFormatting sqref="X6">
    <cfRule type="expression" dxfId="16903" priority="59">
      <formula>AND(IF(OR($Q6=1,$Q6=2),1,0),IF($X6&lt;=20,1,0))</formula>
    </cfRule>
    <cfRule type="expression" dxfId="16902" priority="60">
      <formula>AND(IF($Q6=2,1,0),IF($X6&lt;30,1,0))</formula>
    </cfRule>
    <cfRule type="expression" dxfId="16901" priority="61">
      <formula>AND(IF($Q6=3,1,0),IF($X6&lt;30,1,0))</formula>
    </cfRule>
    <cfRule type="expression" dxfId="16900" priority="62">
      <formula>AND(IF($Q6=3,1,IF($Q6=4,1,0)),IF($F6&lt;=85,1,0))</formula>
    </cfRule>
  </conditionalFormatting>
  <conditionalFormatting sqref="AI6">
    <cfRule type="expression" dxfId="16899" priority="55">
      <formula>AND(IF(OR($Q6=1,$Q6=2),1,0),IF($X6&lt;=20,1,0))</formula>
    </cfRule>
    <cfRule type="expression" dxfId="16898" priority="56">
      <formula>AND(IF($Q6=2,1,0),IF($X6&lt;30,1,0))</formula>
    </cfRule>
    <cfRule type="expression" dxfId="16897" priority="57">
      <formula>AND(IF($Q6=3,1,0),IF($X6&lt;30,1,0))</formula>
    </cfRule>
    <cfRule type="expression" dxfId="16896" priority="58">
      <formula>AND(IF($Q6=3,1,IF($Q6=4,1,0)),IF($F6&lt;=85,1,0))</formula>
    </cfRule>
  </conditionalFormatting>
  <conditionalFormatting sqref="AV7">
    <cfRule type="expression" dxfId="16895" priority="53">
      <formula>AV7="X"</formula>
    </cfRule>
    <cfRule type="expression" dxfId="16894" priority="54">
      <formula>AV7="후보"</formula>
    </cfRule>
  </conditionalFormatting>
  <conditionalFormatting sqref="AC7">
    <cfRule type="cellIs" dxfId="16893" priority="51" operator="greaterThan">
      <formula>0.9</formula>
    </cfRule>
    <cfRule type="cellIs" dxfId="16892" priority="52" operator="greaterThan">
      <formula>0.85</formula>
    </cfRule>
  </conditionalFormatting>
  <conditionalFormatting sqref="N7">
    <cfRule type="cellIs" dxfId="16891" priority="49" operator="greaterThan">
      <formula>0.9</formula>
    </cfRule>
    <cfRule type="cellIs" dxfId="16890" priority="50" operator="greaterThan">
      <formula>0.85</formula>
    </cfRule>
  </conditionalFormatting>
  <conditionalFormatting sqref="E7">
    <cfRule type="expression" dxfId="16889" priority="45">
      <formula>AND(IF(OR($Q7=1,$Q7=2),1,0),IF($X7&lt;=20,1,0))</formula>
    </cfRule>
    <cfRule type="expression" dxfId="16888" priority="46">
      <formula>AND(IF($Q7=2,1,0),IF($X7&lt;30,1,0))</formula>
    </cfRule>
    <cfRule type="expression" dxfId="16887" priority="47">
      <formula>AND(IF($Q7=3,1,0),IF($X7&lt;30,1,0))</formula>
    </cfRule>
    <cfRule type="expression" dxfId="16886" priority="48">
      <formula>AND(IF($Q7=3,1,IF($Q7=4,1,0)),IF($F7&lt;=85,1,0))</formula>
    </cfRule>
  </conditionalFormatting>
  <conditionalFormatting sqref="X7">
    <cfRule type="expression" dxfId="16885" priority="41">
      <formula>AND(IF(OR($Q7=1,$Q7=2),1,0),IF($X7&lt;=20,1,0))</formula>
    </cfRule>
    <cfRule type="expression" dxfId="16884" priority="42">
      <formula>AND(IF($Q7=2,1,0),IF($X7&lt;30,1,0))</formula>
    </cfRule>
    <cfRule type="expression" dxfId="16883" priority="43">
      <formula>AND(IF($Q7=3,1,0),IF($X7&lt;30,1,0))</formula>
    </cfRule>
    <cfRule type="expression" dxfId="16882" priority="44">
      <formula>AND(IF($Q7=3,1,IF($Q7=4,1,0)),IF($F7&lt;=85,1,0))</formula>
    </cfRule>
  </conditionalFormatting>
  <conditionalFormatting sqref="AI7">
    <cfRule type="expression" dxfId="16881" priority="37">
      <formula>AND(IF(OR($Q7=1,$Q7=2),1,0),IF($X7&lt;=20,1,0))</formula>
    </cfRule>
    <cfRule type="expression" dxfId="16880" priority="38">
      <formula>AND(IF($Q7=2,1,0),IF($X7&lt;30,1,0))</formula>
    </cfRule>
    <cfRule type="expression" dxfId="16879" priority="39">
      <formula>AND(IF($Q7=3,1,0),IF($X7&lt;30,1,0))</formula>
    </cfRule>
    <cfRule type="expression" dxfId="16878" priority="40">
      <formula>AND(IF($Q7=3,1,IF($Q7=4,1,0)),IF($F7&lt;=85,1,0))</formula>
    </cfRule>
  </conditionalFormatting>
  <conditionalFormatting sqref="AV8">
    <cfRule type="expression" dxfId="16877" priority="35">
      <formula>AV8="X"</formula>
    </cfRule>
    <cfRule type="expression" dxfId="16876" priority="36">
      <formula>AV8="후보"</formula>
    </cfRule>
  </conditionalFormatting>
  <conditionalFormatting sqref="AC8">
    <cfRule type="cellIs" dxfId="16875" priority="33" operator="greaterThan">
      <formula>0.9</formula>
    </cfRule>
    <cfRule type="cellIs" dxfId="16874" priority="34" operator="greaterThan">
      <formula>0.85</formula>
    </cfRule>
  </conditionalFormatting>
  <conditionalFormatting sqref="N8">
    <cfRule type="cellIs" dxfId="16873" priority="31" operator="greaterThan">
      <formula>0.9</formula>
    </cfRule>
    <cfRule type="cellIs" dxfId="16872" priority="32" operator="greaterThan">
      <formula>0.85</formula>
    </cfRule>
  </conditionalFormatting>
  <conditionalFormatting sqref="E8">
    <cfRule type="expression" dxfId="16871" priority="27">
      <formula>AND(IF(OR($Q8=1,$Q8=2),1,0),IF($X8&lt;=20,1,0))</formula>
    </cfRule>
    <cfRule type="expression" dxfId="16870" priority="28">
      <formula>AND(IF($Q8=2,1,0),IF($X8&lt;30,1,0))</formula>
    </cfRule>
    <cfRule type="expression" dxfId="16869" priority="29">
      <formula>AND(IF($Q8=3,1,0),IF($X8&lt;30,1,0))</formula>
    </cfRule>
    <cfRule type="expression" dxfId="16868" priority="30">
      <formula>AND(IF($Q8=3,1,IF($Q8=4,1,0)),IF($F8&lt;=85,1,0))</formula>
    </cfRule>
  </conditionalFormatting>
  <conditionalFormatting sqref="X8">
    <cfRule type="expression" dxfId="16867" priority="23">
      <formula>AND(IF(OR($Q8=1,$Q8=2),1,0),IF($X8&lt;=20,1,0))</formula>
    </cfRule>
    <cfRule type="expression" dxfId="16866" priority="24">
      <formula>AND(IF($Q8=2,1,0),IF($X8&lt;30,1,0))</formula>
    </cfRule>
    <cfRule type="expression" dxfId="16865" priority="25">
      <formula>AND(IF($Q8=3,1,0),IF($X8&lt;30,1,0))</formula>
    </cfRule>
    <cfRule type="expression" dxfId="16864" priority="26">
      <formula>AND(IF($Q8=3,1,IF($Q8=4,1,0)),IF($F8&lt;=85,1,0))</formula>
    </cfRule>
  </conditionalFormatting>
  <conditionalFormatting sqref="AI8">
    <cfRule type="expression" dxfId="16863" priority="19">
      <formula>AND(IF(OR($Q8=1,$Q8=2),1,0),IF($X8&lt;=20,1,0))</formula>
    </cfRule>
    <cfRule type="expression" dxfId="16862" priority="20">
      <formula>AND(IF($Q8=2,1,0),IF($X8&lt;30,1,0))</formula>
    </cfRule>
    <cfRule type="expression" dxfId="16861" priority="21">
      <formula>AND(IF($Q8=3,1,0),IF($X8&lt;30,1,0))</formula>
    </cfRule>
    <cfRule type="expression" dxfId="16860" priority="22">
      <formula>AND(IF($Q8=3,1,IF($Q8=4,1,0)),IF($F8&lt;=85,1,0))</formula>
    </cfRule>
  </conditionalFormatting>
  <conditionalFormatting sqref="AV9">
    <cfRule type="expression" dxfId="16859" priority="17">
      <formula>AV9="X"</formula>
    </cfRule>
    <cfRule type="expression" dxfId="16858" priority="18">
      <formula>AV9="후보"</formula>
    </cfRule>
  </conditionalFormatting>
  <conditionalFormatting sqref="AC9">
    <cfRule type="cellIs" dxfId="16857" priority="15" operator="greaterThan">
      <formula>0.9</formula>
    </cfRule>
    <cfRule type="cellIs" dxfId="16856" priority="16" operator="greaterThan">
      <formula>0.85</formula>
    </cfRule>
  </conditionalFormatting>
  <conditionalFormatting sqref="N9">
    <cfRule type="cellIs" dxfId="16855" priority="13" operator="greaterThan">
      <formula>0.9</formula>
    </cfRule>
    <cfRule type="cellIs" dxfId="16854" priority="14" operator="greaterThan">
      <formula>0.85</formula>
    </cfRule>
  </conditionalFormatting>
  <conditionalFormatting sqref="E9">
    <cfRule type="expression" dxfId="16853" priority="9">
      <formula>AND(IF(OR($Q9=1,$Q9=2),1,0),IF($X9&lt;=20,1,0))</formula>
    </cfRule>
    <cfRule type="expression" dxfId="16852" priority="10">
      <formula>AND(IF($Q9=2,1,0),IF($X9&lt;30,1,0))</formula>
    </cfRule>
    <cfRule type="expression" dxfId="16851" priority="11">
      <formula>AND(IF($Q9=3,1,0),IF($X9&lt;30,1,0))</formula>
    </cfRule>
    <cfRule type="expression" dxfId="16850" priority="12">
      <formula>AND(IF($Q9=3,1,IF($Q9=4,1,0)),IF($F9&lt;=85,1,0))</formula>
    </cfRule>
  </conditionalFormatting>
  <conditionalFormatting sqref="X9">
    <cfRule type="expression" dxfId="16849" priority="5">
      <formula>AND(IF(OR($Q9=1,$Q9=2),1,0),IF($X9&lt;=20,1,0))</formula>
    </cfRule>
    <cfRule type="expression" dxfId="16848" priority="6">
      <formula>AND(IF($Q9=2,1,0),IF($X9&lt;30,1,0))</formula>
    </cfRule>
    <cfRule type="expression" dxfId="16847" priority="7">
      <formula>AND(IF($Q9=3,1,0),IF($X9&lt;30,1,0))</formula>
    </cfRule>
    <cfRule type="expression" dxfId="16846" priority="8">
      <formula>AND(IF($Q9=3,1,IF($Q9=4,1,0)),IF($F9&lt;=85,1,0))</formula>
    </cfRule>
  </conditionalFormatting>
  <conditionalFormatting sqref="AI9">
    <cfRule type="expression" dxfId="16845" priority="1">
      <formula>AND(IF(OR($Q9=1,$Q9=2),1,0),IF($X9&lt;=20,1,0))</formula>
    </cfRule>
    <cfRule type="expression" dxfId="16844" priority="2">
      <formula>AND(IF($Q9=2,1,0),IF($X9&lt;30,1,0))</formula>
    </cfRule>
    <cfRule type="expression" dxfId="16843" priority="3">
      <formula>AND(IF($Q9=3,1,0),IF($X9&lt;30,1,0))</formula>
    </cfRule>
    <cfRule type="expression" dxfId="16842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L33" sqref="L3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조촌동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1128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조촌동 군산디오션시티푸르지오('18.03.,1400^)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3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1124</v>
      </c>
      <c r="B6" s="10" t="s">
        <v>1341</v>
      </c>
      <c r="C6" s="107">
        <v>1400</v>
      </c>
      <c r="D6" s="104">
        <v>82</v>
      </c>
      <c r="E6" s="106">
        <v>25</v>
      </c>
      <c r="F6" s="104">
        <v>60</v>
      </c>
      <c r="G6" s="17">
        <v>18</v>
      </c>
      <c r="H6" s="107">
        <v>189</v>
      </c>
      <c r="I6" s="108">
        <v>33000</v>
      </c>
      <c r="J6" s="108" t="s">
        <v>1311</v>
      </c>
      <c r="K6" s="108">
        <v>25000</v>
      </c>
      <c r="L6" s="108" t="s">
        <v>1253</v>
      </c>
      <c r="M6" s="109">
        <f t="shared" ref="M6:M15" si="2">I6-K6</f>
        <v>8000</v>
      </c>
      <c r="N6" s="4">
        <f t="shared" ref="N6:N15" si="3">IF(ISERROR(K6/I6),"",K6/I6)</f>
        <v>0.75757575757575757</v>
      </c>
      <c r="O6" s="105">
        <f t="shared" ref="O6:O15" si="4">I6/E6</f>
        <v>1320</v>
      </c>
      <c r="P6" s="105">
        <f t="shared" ref="P6:P15" si="5">K6/E6</f>
        <v>1000</v>
      </c>
      <c r="Q6" s="77">
        <v>3</v>
      </c>
      <c r="R6" s="77">
        <v>2</v>
      </c>
      <c r="S6" s="77" t="s">
        <v>1244</v>
      </c>
      <c r="T6" s="5" t="s">
        <v>162</v>
      </c>
      <c r="U6" s="9"/>
      <c r="W6" s="104">
        <f t="shared" ref="W6:W15" si="6">D6</f>
        <v>82</v>
      </c>
      <c r="X6" s="106">
        <f t="shared" ref="X6:X15" si="7">E6</f>
        <v>25</v>
      </c>
      <c r="Y6" s="102">
        <f t="shared" ref="Y6:Y15" si="8">H6</f>
        <v>189</v>
      </c>
      <c r="Z6" s="109">
        <f t="shared" ref="Z6:Z15" si="9">I6</f>
        <v>33000</v>
      </c>
      <c r="AA6" s="109">
        <f t="shared" ref="AA6:AA15" si="10">K6</f>
        <v>25000</v>
      </c>
      <c r="AB6" s="109">
        <f t="shared" ref="AB6:AB15" si="11">M6</f>
        <v>8000</v>
      </c>
      <c r="AC6" s="4">
        <f t="shared" ref="AC6:AC15" si="12">N6</f>
        <v>0.75757575757575757</v>
      </c>
      <c r="AD6" s="105">
        <f t="shared" ref="AD6:AD15" si="13">O6</f>
        <v>1320</v>
      </c>
      <c r="AE6" s="77" t="str">
        <f t="shared" ref="AE6:AE15" si="14">S6</f>
        <v>계</v>
      </c>
      <c r="AF6" s="77" t="str">
        <f t="shared" ref="AF6:AF15" si="15">Q6&amp;"/"&amp;R6</f>
        <v>3/2</v>
      </c>
      <c r="AH6" s="20" t="str">
        <f t="shared" si="1"/>
        <v>군산디오션시티푸르지오</v>
      </c>
      <c r="AI6" s="106">
        <f t="shared" si="0"/>
        <v>25</v>
      </c>
      <c r="AJ6" s="77" t="str">
        <f t="shared" ref="AJ6:AJ15" si="16"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 t="shared" ref="AN6:AN15" si="17">IF(AI6="","",$AN$2)</f>
        <v>C</v>
      </c>
      <c r="AO6" s="77" t="str">
        <f t="shared" ref="AO6:AO15" si="18">IF(N6="","",IF(N6&gt;=$AO$1/100,"O","X"))</f>
        <v>X</v>
      </c>
      <c r="AP6" s="77" t="str">
        <f t="shared" ref="AP6:AP15" si="19">IF(I6="","",IF(I6&lt;=$AP$1,"O","X"))</f>
        <v>O</v>
      </c>
      <c r="AQ6" s="77" t="str">
        <f t="shared" ref="AQ6:AQ15" si="20">IF(O6="","",IF(O6&lt;=$AQ$1,"O","X"))</f>
        <v>X</v>
      </c>
      <c r="AR6" s="77" t="str">
        <f t="shared" ref="AR6:AR15" si="21">IF(M6="","",IF(M6&lt;=$AR$1,"O","X"))</f>
        <v>X</v>
      </c>
      <c r="AS6" s="77" t="s">
        <v>2</v>
      </c>
      <c r="AT6" s="77" t="str">
        <f t="shared" ref="AT6:AT15" si="22">IF(OR(F6="",AI6=""),"",IF(AND((F6&lt;=85),(AI6&gt;=15)),"O","X"))</f>
        <v>O</v>
      </c>
      <c r="AU6" s="77" t="str">
        <f t="shared" ref="AU6:AU15" si="23">IF(C6="","",IF(C6&gt;=$AU$1,"O","X"))</f>
        <v>O</v>
      </c>
      <c r="AV6" s="77" t="str">
        <f t="shared" ref="AV6:AV15" si="24">IF(AO6="","",IF(AND(AO6="O",AP6="O",AR6="O",AT6="O",AU6="O"),"후보","X"))</f>
        <v>X</v>
      </c>
    </row>
    <row r="7" spans="1:48" x14ac:dyDescent="0.3">
      <c r="A7" s="9" t="s">
        <v>1124</v>
      </c>
      <c r="B7" s="10" t="s">
        <v>1341</v>
      </c>
      <c r="C7" s="107">
        <v>1400</v>
      </c>
      <c r="D7" s="104">
        <v>82.4</v>
      </c>
      <c r="E7" s="106">
        <v>25</v>
      </c>
      <c r="F7" s="104">
        <v>59.2</v>
      </c>
      <c r="G7" s="17">
        <v>18</v>
      </c>
      <c r="H7" s="107">
        <v>55</v>
      </c>
      <c r="I7" s="108">
        <v>32700</v>
      </c>
      <c r="J7" s="108" t="s">
        <v>1245</v>
      </c>
      <c r="K7" s="108"/>
      <c r="L7" s="108"/>
      <c r="M7" s="109">
        <f t="shared" si="2"/>
        <v>32700</v>
      </c>
      <c r="N7" s="4">
        <f t="shared" si="3"/>
        <v>0</v>
      </c>
      <c r="O7" s="105">
        <f t="shared" si="4"/>
        <v>1308</v>
      </c>
      <c r="P7" s="105">
        <f t="shared" si="5"/>
        <v>0</v>
      </c>
      <c r="Q7" s="77">
        <v>3</v>
      </c>
      <c r="R7" s="77">
        <v>2</v>
      </c>
      <c r="S7" s="77" t="s">
        <v>1244</v>
      </c>
      <c r="T7" s="5" t="s">
        <v>411</v>
      </c>
      <c r="U7" s="9"/>
      <c r="W7" s="104">
        <f t="shared" si="6"/>
        <v>82.4</v>
      </c>
      <c r="X7" s="106">
        <f t="shared" si="7"/>
        <v>25</v>
      </c>
      <c r="Y7" s="102">
        <f t="shared" si="8"/>
        <v>55</v>
      </c>
      <c r="Z7" s="109">
        <f t="shared" si="9"/>
        <v>32700</v>
      </c>
      <c r="AA7" s="109">
        <f t="shared" si="10"/>
        <v>0</v>
      </c>
      <c r="AB7" s="109">
        <f t="shared" si="11"/>
        <v>32700</v>
      </c>
      <c r="AC7" s="4">
        <f t="shared" si="12"/>
        <v>0</v>
      </c>
      <c r="AD7" s="105">
        <f t="shared" si="13"/>
        <v>1308</v>
      </c>
      <c r="AE7" s="77" t="str">
        <f t="shared" si="14"/>
        <v>계</v>
      </c>
      <c r="AF7" s="77" t="str">
        <f t="shared" si="15"/>
        <v>3/2</v>
      </c>
      <c r="AH7" s="20" t="str">
        <f t="shared" si="1"/>
        <v>군산디오션시티푸르지오</v>
      </c>
      <c r="AI7" s="106">
        <f t="shared" si="0"/>
        <v>25</v>
      </c>
      <c r="AJ7" s="77" t="str">
        <f t="shared" si="16"/>
        <v>A-</v>
      </c>
      <c r="AK7" s="77" t="s">
        <v>13</v>
      </c>
      <c r="AL7" s="77" t="s">
        <v>1242</v>
      </c>
      <c r="AM7" s="77" t="s">
        <v>1243</v>
      </c>
      <c r="AN7" s="77" t="str">
        <f t="shared" si="17"/>
        <v>C</v>
      </c>
      <c r="AO7" s="77" t="str">
        <f t="shared" si="18"/>
        <v>X</v>
      </c>
      <c r="AP7" s="77" t="str">
        <f t="shared" si="19"/>
        <v>O</v>
      </c>
      <c r="AQ7" s="77" t="str">
        <f t="shared" si="20"/>
        <v>X</v>
      </c>
      <c r="AR7" s="77" t="str">
        <f t="shared" si="21"/>
        <v>X</v>
      </c>
      <c r="AS7" s="77" t="s">
        <v>2</v>
      </c>
      <c r="AT7" s="77" t="str">
        <f t="shared" si="22"/>
        <v>O</v>
      </c>
      <c r="AU7" s="77" t="str">
        <f t="shared" si="23"/>
        <v>O</v>
      </c>
      <c r="AV7" s="77" t="str">
        <f t="shared" si="24"/>
        <v>X</v>
      </c>
    </row>
    <row r="8" spans="1:48" x14ac:dyDescent="0.3">
      <c r="A8" s="9" t="s">
        <v>1124</v>
      </c>
      <c r="B8" s="10" t="s">
        <v>1341</v>
      </c>
      <c r="C8" s="107">
        <v>1400</v>
      </c>
      <c r="D8" s="104">
        <v>101.7</v>
      </c>
      <c r="E8" s="106">
        <v>31</v>
      </c>
      <c r="F8" s="104">
        <v>74.900000000000006</v>
      </c>
      <c r="G8" s="17">
        <v>23</v>
      </c>
      <c r="H8" s="107">
        <v>279</v>
      </c>
      <c r="I8" s="108">
        <v>44000</v>
      </c>
      <c r="J8" s="108" t="s">
        <v>1342</v>
      </c>
      <c r="K8" s="108"/>
      <c r="L8" s="108"/>
      <c r="M8" s="109">
        <f t="shared" si="2"/>
        <v>44000</v>
      </c>
      <c r="N8" s="4">
        <f t="shared" si="3"/>
        <v>0</v>
      </c>
      <c r="O8" s="105">
        <f t="shared" si="4"/>
        <v>1419.3548387096773</v>
      </c>
      <c r="P8" s="105">
        <f t="shared" si="5"/>
        <v>0</v>
      </c>
      <c r="Q8" s="77">
        <v>3</v>
      </c>
      <c r="R8" s="77">
        <v>2</v>
      </c>
      <c r="S8" s="77" t="s">
        <v>1244</v>
      </c>
      <c r="T8" s="5" t="s">
        <v>468</v>
      </c>
      <c r="U8" s="9"/>
      <c r="W8" s="104">
        <f t="shared" si="6"/>
        <v>101.7</v>
      </c>
      <c r="X8" s="106">
        <f t="shared" si="7"/>
        <v>31</v>
      </c>
      <c r="Y8" s="102">
        <f t="shared" si="8"/>
        <v>279</v>
      </c>
      <c r="Z8" s="109">
        <f t="shared" si="9"/>
        <v>44000</v>
      </c>
      <c r="AA8" s="109">
        <f t="shared" si="10"/>
        <v>0</v>
      </c>
      <c r="AB8" s="109">
        <f t="shared" si="11"/>
        <v>44000</v>
      </c>
      <c r="AC8" s="4">
        <f t="shared" si="12"/>
        <v>0</v>
      </c>
      <c r="AD8" s="105">
        <f t="shared" si="13"/>
        <v>1419.3548387096773</v>
      </c>
      <c r="AE8" s="77" t="str">
        <f t="shared" si="14"/>
        <v>계</v>
      </c>
      <c r="AF8" s="77" t="str">
        <f t="shared" si="15"/>
        <v>3/2</v>
      </c>
      <c r="AH8" s="20" t="str">
        <f t="shared" si="1"/>
        <v>군산디오션시티푸르지오</v>
      </c>
      <c r="AI8" s="106">
        <f t="shared" si="0"/>
        <v>31</v>
      </c>
      <c r="AJ8" s="77" t="str">
        <f t="shared" si="16"/>
        <v>A-</v>
      </c>
      <c r="AK8" s="77" t="s">
        <v>13</v>
      </c>
      <c r="AL8" s="77" t="s">
        <v>1242</v>
      </c>
      <c r="AM8" s="77" t="s">
        <v>1243</v>
      </c>
      <c r="AN8" s="77" t="str">
        <f t="shared" si="17"/>
        <v>C</v>
      </c>
      <c r="AO8" s="77" t="str">
        <f t="shared" si="18"/>
        <v>X</v>
      </c>
      <c r="AP8" s="77" t="str">
        <f t="shared" si="19"/>
        <v>O</v>
      </c>
      <c r="AQ8" s="77" t="str">
        <f t="shared" si="20"/>
        <v>X</v>
      </c>
      <c r="AR8" s="77" t="str">
        <f t="shared" si="21"/>
        <v>X</v>
      </c>
      <c r="AS8" s="77" t="s">
        <v>2</v>
      </c>
      <c r="AT8" s="77" t="str">
        <f t="shared" si="22"/>
        <v>O</v>
      </c>
      <c r="AU8" s="77" t="str">
        <f t="shared" si="23"/>
        <v>O</v>
      </c>
      <c r="AV8" s="77" t="str">
        <f t="shared" si="24"/>
        <v>X</v>
      </c>
    </row>
    <row r="9" spans="1:48" x14ac:dyDescent="0.3">
      <c r="A9" s="9" t="s">
        <v>1124</v>
      </c>
      <c r="B9" s="10" t="s">
        <v>1341</v>
      </c>
      <c r="C9" s="107">
        <v>1400</v>
      </c>
      <c r="D9" s="104">
        <v>102.3</v>
      </c>
      <c r="E9" s="106">
        <v>31</v>
      </c>
      <c r="F9" s="104">
        <v>74.8</v>
      </c>
      <c r="G9" s="17">
        <v>23</v>
      </c>
      <c r="H9" s="107">
        <v>113</v>
      </c>
      <c r="I9" s="108">
        <v>41000</v>
      </c>
      <c r="J9" s="108" t="s">
        <v>1262</v>
      </c>
      <c r="K9" s="108">
        <v>29000</v>
      </c>
      <c r="L9" s="108" t="s">
        <v>1262</v>
      </c>
      <c r="M9" s="109">
        <f t="shared" si="2"/>
        <v>12000</v>
      </c>
      <c r="N9" s="4">
        <f t="shared" si="3"/>
        <v>0.70731707317073167</v>
      </c>
      <c r="O9" s="105">
        <f t="shared" si="4"/>
        <v>1322.5806451612902</v>
      </c>
      <c r="P9" s="105">
        <f t="shared" si="5"/>
        <v>935.48387096774195</v>
      </c>
      <c r="Q9" s="77">
        <v>3</v>
      </c>
      <c r="R9" s="77">
        <v>2</v>
      </c>
      <c r="S9" s="77" t="s">
        <v>1244</v>
      </c>
      <c r="T9" s="5" t="s">
        <v>1130</v>
      </c>
      <c r="U9" s="9"/>
      <c r="W9" s="104">
        <f t="shared" si="6"/>
        <v>102.3</v>
      </c>
      <c r="X9" s="106">
        <f t="shared" si="7"/>
        <v>31</v>
      </c>
      <c r="Y9" s="102">
        <f t="shared" si="8"/>
        <v>113</v>
      </c>
      <c r="Z9" s="109">
        <f t="shared" si="9"/>
        <v>41000</v>
      </c>
      <c r="AA9" s="109">
        <f t="shared" si="10"/>
        <v>29000</v>
      </c>
      <c r="AB9" s="109">
        <f t="shared" si="11"/>
        <v>12000</v>
      </c>
      <c r="AC9" s="4">
        <f t="shared" si="12"/>
        <v>0.70731707317073167</v>
      </c>
      <c r="AD9" s="105">
        <f t="shared" si="13"/>
        <v>1322.5806451612902</v>
      </c>
      <c r="AE9" s="77" t="str">
        <f t="shared" si="14"/>
        <v>계</v>
      </c>
      <c r="AF9" s="77" t="str">
        <f t="shared" si="15"/>
        <v>3/2</v>
      </c>
      <c r="AH9" s="20" t="str">
        <f t="shared" si="1"/>
        <v>군산디오션시티푸르지오</v>
      </c>
      <c r="AI9" s="106">
        <f t="shared" si="0"/>
        <v>31</v>
      </c>
      <c r="AJ9" s="77" t="str">
        <f t="shared" si="16"/>
        <v>A-</v>
      </c>
      <c r="AK9" s="77" t="s">
        <v>13</v>
      </c>
      <c r="AL9" s="77" t="s">
        <v>1242</v>
      </c>
      <c r="AM9" s="77" t="s">
        <v>1243</v>
      </c>
      <c r="AN9" s="77" t="str">
        <f t="shared" si="17"/>
        <v>C</v>
      </c>
      <c r="AO9" s="77" t="str">
        <f t="shared" si="18"/>
        <v>X</v>
      </c>
      <c r="AP9" s="77" t="str">
        <f t="shared" si="19"/>
        <v>O</v>
      </c>
      <c r="AQ9" s="77" t="str">
        <f t="shared" si="20"/>
        <v>X</v>
      </c>
      <c r="AR9" s="77" t="str">
        <f t="shared" si="21"/>
        <v>X</v>
      </c>
      <c r="AS9" s="77" t="s">
        <v>2</v>
      </c>
      <c r="AT9" s="77" t="str">
        <f t="shared" si="22"/>
        <v>O</v>
      </c>
      <c r="AU9" s="77" t="str">
        <f t="shared" si="23"/>
        <v>O</v>
      </c>
      <c r="AV9" s="77" t="str">
        <f t="shared" si="24"/>
        <v>X</v>
      </c>
    </row>
    <row r="10" spans="1:48" x14ac:dyDescent="0.3">
      <c r="A10" s="9" t="s">
        <v>1124</v>
      </c>
      <c r="B10" s="10" t="s">
        <v>1341</v>
      </c>
      <c r="C10" s="107">
        <v>1400</v>
      </c>
      <c r="D10" s="104">
        <v>102.3</v>
      </c>
      <c r="E10" s="106">
        <v>31</v>
      </c>
      <c r="F10" s="104">
        <v>74.8</v>
      </c>
      <c r="G10" s="17">
        <v>23</v>
      </c>
      <c r="H10" s="107">
        <v>110</v>
      </c>
      <c r="I10" s="108">
        <v>41000</v>
      </c>
      <c r="J10" s="108" t="s">
        <v>1262</v>
      </c>
      <c r="K10" s="108">
        <v>29000</v>
      </c>
      <c r="L10" s="108" t="s">
        <v>1262</v>
      </c>
      <c r="M10" s="109">
        <f t="shared" si="2"/>
        <v>12000</v>
      </c>
      <c r="N10" s="4">
        <f t="shared" si="3"/>
        <v>0.70731707317073167</v>
      </c>
      <c r="O10" s="105">
        <f t="shared" si="4"/>
        <v>1322.5806451612902</v>
      </c>
      <c r="P10" s="105">
        <f t="shared" si="5"/>
        <v>935.48387096774195</v>
      </c>
      <c r="Q10" s="77">
        <v>3</v>
      </c>
      <c r="R10" s="77">
        <v>2</v>
      </c>
      <c r="S10" s="77" t="s">
        <v>1244</v>
      </c>
      <c r="T10" s="5" t="s">
        <v>1131</v>
      </c>
      <c r="U10" s="9"/>
      <c r="W10" s="104">
        <f t="shared" si="6"/>
        <v>102.3</v>
      </c>
      <c r="X10" s="106">
        <f t="shared" si="7"/>
        <v>31</v>
      </c>
      <c r="Y10" s="102">
        <f t="shared" si="8"/>
        <v>110</v>
      </c>
      <c r="Z10" s="109">
        <f t="shared" si="9"/>
        <v>41000</v>
      </c>
      <c r="AA10" s="109">
        <f t="shared" si="10"/>
        <v>29000</v>
      </c>
      <c r="AB10" s="109">
        <f t="shared" si="11"/>
        <v>12000</v>
      </c>
      <c r="AC10" s="4">
        <f t="shared" si="12"/>
        <v>0.70731707317073167</v>
      </c>
      <c r="AD10" s="105">
        <f t="shared" si="13"/>
        <v>1322.5806451612902</v>
      </c>
      <c r="AE10" s="77" t="str">
        <f t="shared" si="14"/>
        <v>계</v>
      </c>
      <c r="AF10" s="77" t="str">
        <f t="shared" si="15"/>
        <v>3/2</v>
      </c>
      <c r="AH10" s="20" t="str">
        <f t="shared" si="1"/>
        <v>군산디오션시티푸르지오</v>
      </c>
      <c r="AI10" s="106">
        <f t="shared" si="0"/>
        <v>31</v>
      </c>
      <c r="AJ10" s="77" t="str">
        <f t="shared" si="16"/>
        <v>A-</v>
      </c>
      <c r="AK10" s="77" t="s">
        <v>13</v>
      </c>
      <c r="AL10" s="77" t="s">
        <v>1242</v>
      </c>
      <c r="AM10" s="77" t="s">
        <v>1243</v>
      </c>
      <c r="AN10" s="77" t="str">
        <f t="shared" si="17"/>
        <v>C</v>
      </c>
      <c r="AO10" s="77" t="str">
        <f t="shared" si="18"/>
        <v>X</v>
      </c>
      <c r="AP10" s="77" t="str">
        <f t="shared" si="19"/>
        <v>O</v>
      </c>
      <c r="AQ10" s="77" t="str">
        <f t="shared" si="20"/>
        <v>X</v>
      </c>
      <c r="AR10" s="77" t="str">
        <f t="shared" si="21"/>
        <v>X</v>
      </c>
      <c r="AS10" s="77" t="s">
        <v>2</v>
      </c>
      <c r="AT10" s="77" t="str">
        <f t="shared" si="22"/>
        <v>O</v>
      </c>
      <c r="AU10" s="77" t="str">
        <f t="shared" si="23"/>
        <v>O</v>
      </c>
      <c r="AV10" s="77" t="str">
        <f t="shared" si="24"/>
        <v>X</v>
      </c>
    </row>
    <row r="11" spans="1:48" x14ac:dyDescent="0.3">
      <c r="A11" s="9" t="s">
        <v>1124</v>
      </c>
      <c r="B11" s="10" t="s">
        <v>1341</v>
      </c>
      <c r="C11" s="107">
        <v>1400</v>
      </c>
      <c r="D11" s="104">
        <v>114.5</v>
      </c>
      <c r="E11" s="106">
        <v>35</v>
      </c>
      <c r="F11" s="104">
        <v>84.7</v>
      </c>
      <c r="G11" s="17">
        <v>26</v>
      </c>
      <c r="H11" s="107">
        <v>215</v>
      </c>
      <c r="I11" s="108">
        <v>49500</v>
      </c>
      <c r="J11" s="108" t="s">
        <v>1343</v>
      </c>
      <c r="K11" s="108"/>
      <c r="L11" s="108"/>
      <c r="M11" s="109">
        <f t="shared" si="2"/>
        <v>49500</v>
      </c>
      <c r="N11" s="4">
        <f t="shared" si="3"/>
        <v>0</v>
      </c>
      <c r="O11" s="105">
        <f t="shared" si="4"/>
        <v>1414.2857142857142</v>
      </c>
      <c r="P11" s="105">
        <f t="shared" si="5"/>
        <v>0</v>
      </c>
      <c r="Q11" s="77">
        <v>3</v>
      </c>
      <c r="R11" s="77">
        <v>2</v>
      </c>
      <c r="S11" s="77" t="s">
        <v>1244</v>
      </c>
      <c r="T11" s="5" t="s">
        <v>978</v>
      </c>
      <c r="U11" s="9"/>
      <c r="W11" s="104">
        <f t="shared" si="6"/>
        <v>114.5</v>
      </c>
      <c r="X11" s="106">
        <f t="shared" si="7"/>
        <v>35</v>
      </c>
      <c r="Y11" s="102">
        <f t="shared" si="8"/>
        <v>215</v>
      </c>
      <c r="Z11" s="109">
        <f t="shared" si="9"/>
        <v>49500</v>
      </c>
      <c r="AA11" s="109">
        <f t="shared" si="10"/>
        <v>0</v>
      </c>
      <c r="AB11" s="109">
        <f t="shared" si="11"/>
        <v>49500</v>
      </c>
      <c r="AC11" s="4">
        <f t="shared" si="12"/>
        <v>0</v>
      </c>
      <c r="AD11" s="105">
        <f t="shared" si="13"/>
        <v>1414.2857142857142</v>
      </c>
      <c r="AE11" s="77" t="str">
        <f t="shared" si="14"/>
        <v>계</v>
      </c>
      <c r="AF11" s="77" t="str">
        <f t="shared" si="15"/>
        <v>3/2</v>
      </c>
      <c r="AH11" s="20" t="str">
        <f t="shared" si="1"/>
        <v>군산디오션시티푸르지오</v>
      </c>
      <c r="AI11" s="106">
        <f t="shared" si="0"/>
        <v>35</v>
      </c>
      <c r="AJ11" s="77" t="str">
        <f t="shared" si="16"/>
        <v>A-</v>
      </c>
      <c r="AK11" s="77" t="s">
        <v>13</v>
      </c>
      <c r="AL11" s="77" t="s">
        <v>1242</v>
      </c>
      <c r="AM11" s="77" t="s">
        <v>1243</v>
      </c>
      <c r="AN11" s="77" t="str">
        <f t="shared" si="17"/>
        <v>C</v>
      </c>
      <c r="AO11" s="77" t="str">
        <f t="shared" si="18"/>
        <v>X</v>
      </c>
      <c r="AP11" s="77" t="str">
        <f t="shared" si="19"/>
        <v>X</v>
      </c>
      <c r="AQ11" s="77" t="str">
        <f t="shared" si="20"/>
        <v>X</v>
      </c>
      <c r="AR11" s="77" t="str">
        <f t="shared" si="21"/>
        <v>X</v>
      </c>
      <c r="AS11" s="77" t="s">
        <v>2</v>
      </c>
      <c r="AT11" s="77" t="str">
        <f t="shared" si="22"/>
        <v>O</v>
      </c>
      <c r="AU11" s="77" t="str">
        <f t="shared" si="23"/>
        <v>O</v>
      </c>
      <c r="AV11" s="77" t="str">
        <f t="shared" si="24"/>
        <v>X</v>
      </c>
    </row>
    <row r="12" spans="1:48" x14ac:dyDescent="0.3">
      <c r="A12" s="9" t="s">
        <v>1124</v>
      </c>
      <c r="B12" s="10" t="s">
        <v>1341</v>
      </c>
      <c r="C12" s="107">
        <v>1400</v>
      </c>
      <c r="D12" s="104">
        <v>114.3</v>
      </c>
      <c r="E12" s="106">
        <v>35</v>
      </c>
      <c r="F12" s="104">
        <v>84.6</v>
      </c>
      <c r="G12" s="17">
        <v>26</v>
      </c>
      <c r="H12" s="107">
        <v>128</v>
      </c>
      <c r="I12" s="108">
        <v>50000</v>
      </c>
      <c r="J12" s="108" t="s">
        <v>1287</v>
      </c>
      <c r="K12" s="108">
        <v>25000</v>
      </c>
      <c r="L12" s="108" t="s">
        <v>1247</v>
      </c>
      <c r="M12" s="109">
        <f t="shared" si="2"/>
        <v>25000</v>
      </c>
      <c r="N12" s="4">
        <f t="shared" si="3"/>
        <v>0.5</v>
      </c>
      <c r="O12" s="105">
        <f t="shared" si="4"/>
        <v>1428.5714285714287</v>
      </c>
      <c r="P12" s="105">
        <f t="shared" si="5"/>
        <v>714.28571428571433</v>
      </c>
      <c r="Q12" s="77">
        <v>3</v>
      </c>
      <c r="R12" s="77">
        <v>2</v>
      </c>
      <c r="S12" s="77" t="s">
        <v>1244</v>
      </c>
      <c r="T12" s="5">
        <v>114</v>
      </c>
      <c r="U12" s="9"/>
      <c r="W12" s="104">
        <f t="shared" si="6"/>
        <v>114.3</v>
      </c>
      <c r="X12" s="106">
        <f t="shared" si="7"/>
        <v>35</v>
      </c>
      <c r="Y12" s="102">
        <f t="shared" si="8"/>
        <v>128</v>
      </c>
      <c r="Z12" s="109">
        <f t="shared" si="9"/>
        <v>50000</v>
      </c>
      <c r="AA12" s="109">
        <f t="shared" si="10"/>
        <v>25000</v>
      </c>
      <c r="AB12" s="109">
        <f t="shared" si="11"/>
        <v>25000</v>
      </c>
      <c r="AC12" s="4">
        <f t="shared" si="12"/>
        <v>0.5</v>
      </c>
      <c r="AD12" s="105">
        <f t="shared" si="13"/>
        <v>1428.5714285714287</v>
      </c>
      <c r="AE12" s="77" t="str">
        <f t="shared" si="14"/>
        <v>계</v>
      </c>
      <c r="AF12" s="77" t="str">
        <f t="shared" si="15"/>
        <v>3/2</v>
      </c>
      <c r="AH12" s="20" t="str">
        <f t="shared" si="1"/>
        <v>군산디오션시티푸르지오</v>
      </c>
      <c r="AI12" s="106">
        <f t="shared" si="0"/>
        <v>35</v>
      </c>
      <c r="AJ12" s="77" t="str">
        <f t="shared" si="16"/>
        <v>A-</v>
      </c>
      <c r="AK12" s="77" t="s">
        <v>13</v>
      </c>
      <c r="AL12" s="77" t="s">
        <v>1242</v>
      </c>
      <c r="AM12" s="77" t="s">
        <v>1243</v>
      </c>
      <c r="AN12" s="77" t="str">
        <f t="shared" si="17"/>
        <v>C</v>
      </c>
      <c r="AO12" s="77" t="str">
        <f t="shared" si="18"/>
        <v>X</v>
      </c>
      <c r="AP12" s="77" t="str">
        <f t="shared" si="19"/>
        <v>X</v>
      </c>
      <c r="AQ12" s="77" t="str">
        <f t="shared" si="20"/>
        <v>X</v>
      </c>
      <c r="AR12" s="77" t="str">
        <f t="shared" si="21"/>
        <v>X</v>
      </c>
      <c r="AS12" s="77" t="s">
        <v>2</v>
      </c>
      <c r="AT12" s="77" t="str">
        <f t="shared" si="22"/>
        <v>O</v>
      </c>
      <c r="AU12" s="77" t="str">
        <f t="shared" si="23"/>
        <v>O</v>
      </c>
      <c r="AV12" s="77" t="str">
        <f t="shared" si="24"/>
        <v>X</v>
      </c>
    </row>
    <row r="13" spans="1:48" x14ac:dyDescent="0.3">
      <c r="A13" s="9" t="s">
        <v>1124</v>
      </c>
      <c r="B13" s="10" t="s">
        <v>1341</v>
      </c>
      <c r="C13" s="107">
        <v>1400</v>
      </c>
      <c r="D13" s="104">
        <v>115.4</v>
      </c>
      <c r="E13" s="106">
        <v>35</v>
      </c>
      <c r="F13" s="104">
        <v>84.6</v>
      </c>
      <c r="G13" s="17">
        <v>26</v>
      </c>
      <c r="H13" s="107">
        <v>135</v>
      </c>
      <c r="I13" s="108"/>
      <c r="J13" s="108"/>
      <c r="K13" s="108"/>
      <c r="L13" s="108"/>
      <c r="M13" s="109">
        <f t="shared" si="2"/>
        <v>0</v>
      </c>
      <c r="N13" s="4" t="str">
        <f t="shared" si="3"/>
        <v/>
      </c>
      <c r="O13" s="105">
        <f t="shared" si="4"/>
        <v>0</v>
      </c>
      <c r="P13" s="105">
        <f t="shared" si="5"/>
        <v>0</v>
      </c>
      <c r="Q13" s="77">
        <v>3</v>
      </c>
      <c r="R13" s="77">
        <v>2</v>
      </c>
      <c r="S13" s="77" t="s">
        <v>1244</v>
      </c>
      <c r="T13" s="5" t="s">
        <v>544</v>
      </c>
      <c r="U13" s="9"/>
      <c r="W13" s="104">
        <f t="shared" si="6"/>
        <v>115.4</v>
      </c>
      <c r="X13" s="106">
        <f t="shared" si="7"/>
        <v>35</v>
      </c>
      <c r="Y13" s="102">
        <f t="shared" si="8"/>
        <v>135</v>
      </c>
      <c r="Z13" s="109">
        <f t="shared" si="9"/>
        <v>0</v>
      </c>
      <c r="AA13" s="109">
        <f t="shared" si="10"/>
        <v>0</v>
      </c>
      <c r="AB13" s="109">
        <f t="shared" si="11"/>
        <v>0</v>
      </c>
      <c r="AC13" s="4" t="str">
        <f t="shared" si="12"/>
        <v/>
      </c>
      <c r="AD13" s="105">
        <f t="shared" si="13"/>
        <v>0</v>
      </c>
      <c r="AE13" s="77" t="str">
        <f t="shared" si="14"/>
        <v>계</v>
      </c>
      <c r="AF13" s="77" t="str">
        <f t="shared" si="15"/>
        <v>3/2</v>
      </c>
      <c r="AH13" s="20" t="str">
        <f t="shared" si="1"/>
        <v>군산디오션시티푸르지오</v>
      </c>
      <c r="AI13" s="106">
        <f t="shared" si="0"/>
        <v>35</v>
      </c>
      <c r="AJ13" s="77" t="str">
        <f t="shared" si="16"/>
        <v>A-</v>
      </c>
      <c r="AK13" s="77" t="s">
        <v>13</v>
      </c>
      <c r="AL13" s="77" t="s">
        <v>1242</v>
      </c>
      <c r="AM13" s="77" t="s">
        <v>1243</v>
      </c>
      <c r="AN13" s="77" t="str">
        <f t="shared" si="17"/>
        <v>C</v>
      </c>
      <c r="AO13" s="77" t="str">
        <f t="shared" si="18"/>
        <v/>
      </c>
      <c r="AP13" s="77" t="str">
        <f t="shared" si="19"/>
        <v/>
      </c>
      <c r="AQ13" s="77" t="str">
        <f t="shared" si="20"/>
        <v>O</v>
      </c>
      <c r="AR13" s="77" t="str">
        <f t="shared" si="21"/>
        <v>O</v>
      </c>
      <c r="AS13" s="77" t="s">
        <v>2</v>
      </c>
      <c r="AT13" s="77" t="str">
        <f t="shared" si="22"/>
        <v>O</v>
      </c>
      <c r="AU13" s="77" t="str">
        <f t="shared" si="23"/>
        <v>O</v>
      </c>
      <c r="AV13" s="77" t="str">
        <f t="shared" si="24"/>
        <v/>
      </c>
    </row>
    <row r="14" spans="1:48" x14ac:dyDescent="0.3">
      <c r="A14" s="9" t="s">
        <v>1124</v>
      </c>
      <c r="B14" s="10" t="s">
        <v>1341</v>
      </c>
      <c r="C14" s="107">
        <v>1400</v>
      </c>
      <c r="D14" s="104">
        <v>115.6</v>
      </c>
      <c r="E14" s="106">
        <v>35</v>
      </c>
      <c r="F14" s="104">
        <v>84</v>
      </c>
      <c r="G14" s="17">
        <v>25</v>
      </c>
      <c r="H14" s="107">
        <v>127</v>
      </c>
      <c r="I14" s="108">
        <v>49800</v>
      </c>
      <c r="J14" s="108" t="s">
        <v>1272</v>
      </c>
      <c r="K14" s="108">
        <v>31000</v>
      </c>
      <c r="L14" s="108" t="s">
        <v>1272</v>
      </c>
      <c r="M14" s="109">
        <f t="shared" si="2"/>
        <v>18800</v>
      </c>
      <c r="N14" s="4">
        <f t="shared" si="3"/>
        <v>0.6224899598393574</v>
      </c>
      <c r="O14" s="105">
        <f t="shared" si="4"/>
        <v>1422.8571428571429</v>
      </c>
      <c r="P14" s="105">
        <f t="shared" si="5"/>
        <v>885.71428571428567</v>
      </c>
      <c r="Q14" s="77">
        <v>3</v>
      </c>
      <c r="R14" s="77">
        <v>2</v>
      </c>
      <c r="S14" s="77" t="s">
        <v>1244</v>
      </c>
      <c r="T14" s="5" t="s">
        <v>179</v>
      </c>
      <c r="U14" s="9"/>
      <c r="W14" s="104">
        <f t="shared" si="6"/>
        <v>115.6</v>
      </c>
      <c r="X14" s="106">
        <f t="shared" si="7"/>
        <v>35</v>
      </c>
      <c r="Y14" s="102">
        <f t="shared" si="8"/>
        <v>127</v>
      </c>
      <c r="Z14" s="109">
        <f t="shared" si="9"/>
        <v>49800</v>
      </c>
      <c r="AA14" s="109">
        <f t="shared" si="10"/>
        <v>31000</v>
      </c>
      <c r="AB14" s="109">
        <f t="shared" si="11"/>
        <v>18800</v>
      </c>
      <c r="AC14" s="4">
        <f t="shared" si="12"/>
        <v>0.6224899598393574</v>
      </c>
      <c r="AD14" s="105">
        <f t="shared" si="13"/>
        <v>1422.8571428571429</v>
      </c>
      <c r="AE14" s="77" t="str">
        <f t="shared" si="14"/>
        <v>계</v>
      </c>
      <c r="AF14" s="77" t="str">
        <f t="shared" si="15"/>
        <v>3/2</v>
      </c>
      <c r="AH14" s="20" t="str">
        <f t="shared" si="1"/>
        <v>군산디오션시티푸르지오</v>
      </c>
      <c r="AI14" s="106">
        <f t="shared" si="0"/>
        <v>35</v>
      </c>
      <c r="AJ14" s="77" t="str">
        <f t="shared" si="16"/>
        <v>A-</v>
      </c>
      <c r="AK14" s="77" t="s">
        <v>13</v>
      </c>
      <c r="AL14" s="77" t="s">
        <v>1242</v>
      </c>
      <c r="AM14" s="77" t="s">
        <v>1243</v>
      </c>
      <c r="AN14" s="77" t="str">
        <f t="shared" si="17"/>
        <v>C</v>
      </c>
      <c r="AO14" s="77" t="str">
        <f t="shared" si="18"/>
        <v>X</v>
      </c>
      <c r="AP14" s="77" t="str">
        <f t="shared" si="19"/>
        <v>X</v>
      </c>
      <c r="AQ14" s="77" t="str">
        <f t="shared" si="20"/>
        <v>X</v>
      </c>
      <c r="AR14" s="77" t="str">
        <f t="shared" si="21"/>
        <v>X</v>
      </c>
      <c r="AS14" s="77" t="s">
        <v>2</v>
      </c>
      <c r="AT14" s="77" t="str">
        <f t="shared" si="22"/>
        <v>O</v>
      </c>
      <c r="AU14" s="77" t="str">
        <f t="shared" si="23"/>
        <v>O</v>
      </c>
      <c r="AV14" s="77" t="str">
        <f t="shared" si="24"/>
        <v>X</v>
      </c>
    </row>
    <row r="15" spans="1:48" x14ac:dyDescent="0.3">
      <c r="A15" s="9" t="s">
        <v>1124</v>
      </c>
      <c r="B15" s="10" t="s">
        <v>1341</v>
      </c>
      <c r="C15" s="107">
        <v>1400</v>
      </c>
      <c r="D15" s="104">
        <v>134.69999999999999</v>
      </c>
      <c r="E15" s="106">
        <v>41</v>
      </c>
      <c r="F15" s="104">
        <v>99.5</v>
      </c>
      <c r="G15" s="17">
        <v>30</v>
      </c>
      <c r="H15" s="107">
        <v>49</v>
      </c>
      <c r="I15" s="108">
        <v>69000</v>
      </c>
      <c r="J15" s="108" t="s">
        <v>1250</v>
      </c>
      <c r="K15" s="108"/>
      <c r="L15" s="108"/>
      <c r="M15" s="109">
        <f t="shared" si="2"/>
        <v>69000</v>
      </c>
      <c r="N15" s="4">
        <f t="shared" si="3"/>
        <v>0</v>
      </c>
      <c r="O15" s="105">
        <f t="shared" si="4"/>
        <v>1682.9268292682927</v>
      </c>
      <c r="P15" s="105">
        <f t="shared" si="5"/>
        <v>0</v>
      </c>
      <c r="Q15" s="77">
        <v>4</v>
      </c>
      <c r="R15" s="77">
        <v>2</v>
      </c>
      <c r="S15" s="77" t="s">
        <v>1244</v>
      </c>
      <c r="T15" s="5">
        <v>134</v>
      </c>
      <c r="U15" s="9"/>
      <c r="W15" s="104">
        <f t="shared" si="6"/>
        <v>134.69999999999999</v>
      </c>
      <c r="X15" s="106">
        <f t="shared" si="7"/>
        <v>41</v>
      </c>
      <c r="Y15" s="102">
        <f t="shared" si="8"/>
        <v>49</v>
      </c>
      <c r="Z15" s="109">
        <f t="shared" si="9"/>
        <v>69000</v>
      </c>
      <c r="AA15" s="109">
        <f t="shared" si="10"/>
        <v>0</v>
      </c>
      <c r="AB15" s="109">
        <f t="shared" si="11"/>
        <v>69000</v>
      </c>
      <c r="AC15" s="4">
        <f t="shared" si="12"/>
        <v>0</v>
      </c>
      <c r="AD15" s="105">
        <f t="shared" si="13"/>
        <v>1682.9268292682927</v>
      </c>
      <c r="AE15" s="77" t="str">
        <f t="shared" si="14"/>
        <v>계</v>
      </c>
      <c r="AF15" s="77" t="str">
        <f t="shared" si="15"/>
        <v>4/2</v>
      </c>
      <c r="AH15" s="20" t="str">
        <f t="shared" si="1"/>
        <v>군산디오션시티푸르지오</v>
      </c>
      <c r="AI15" s="106">
        <f t="shared" si="0"/>
        <v>41</v>
      </c>
      <c r="AJ15" s="77" t="str">
        <f t="shared" si="16"/>
        <v>A-</v>
      </c>
      <c r="AK15" s="77" t="s">
        <v>13</v>
      </c>
      <c r="AL15" s="77" t="s">
        <v>1242</v>
      </c>
      <c r="AM15" s="77" t="s">
        <v>1243</v>
      </c>
      <c r="AN15" s="77" t="str">
        <f t="shared" si="17"/>
        <v>C</v>
      </c>
      <c r="AO15" s="77" t="str">
        <f t="shared" si="18"/>
        <v>X</v>
      </c>
      <c r="AP15" s="77" t="str">
        <f t="shared" si="19"/>
        <v>X</v>
      </c>
      <c r="AQ15" s="77" t="str">
        <f t="shared" si="20"/>
        <v>X</v>
      </c>
      <c r="AR15" s="77" t="str">
        <f t="shared" si="21"/>
        <v>X</v>
      </c>
      <c r="AS15" s="77" t="s">
        <v>2</v>
      </c>
      <c r="AT15" s="77" t="str">
        <f t="shared" si="22"/>
        <v>X</v>
      </c>
      <c r="AU15" s="77" t="str">
        <f t="shared" si="23"/>
        <v>O</v>
      </c>
      <c r="AV15" s="77" t="str">
        <f t="shared" si="24"/>
        <v>X</v>
      </c>
    </row>
    <row r="16" spans="1:48" x14ac:dyDescent="0.3">
      <c r="A16" s="9"/>
      <c r="B16" s="77"/>
      <c r="C16" s="6"/>
      <c r="D16" s="9"/>
      <c r="E16" s="14"/>
      <c r="F16" s="104"/>
      <c r="G16" s="9"/>
      <c r="H16" s="9"/>
      <c r="I16" s="9"/>
      <c r="J16" s="9"/>
      <c r="K16" s="9"/>
      <c r="L16" s="9"/>
      <c r="M16" s="9"/>
      <c r="N16" s="9"/>
      <c r="O16" s="105"/>
      <c r="P16" s="105"/>
      <c r="Q16" s="106"/>
      <c r="R16" s="106"/>
      <c r="S16" s="9"/>
      <c r="T16" s="47"/>
      <c r="U16" s="9"/>
      <c r="W16" s="67" t="str">
        <f>$A$4&amp;" "&amp;A17&amp;"("&amp;B17&amp;","&amp;C17&amp;"^)"</f>
        <v>조촌동 타워써미트('12.06.,770^)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3" t="str">
        <f t="shared" si="0"/>
        <v/>
      </c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</row>
    <row r="17" spans="1:48" x14ac:dyDescent="0.3">
      <c r="A17" s="9" t="s">
        <v>1132</v>
      </c>
      <c r="B17" s="10" t="s">
        <v>1344</v>
      </c>
      <c r="C17" s="107">
        <v>770</v>
      </c>
      <c r="D17" s="104">
        <v>79.099999999999994</v>
      </c>
      <c r="E17" s="106">
        <v>24</v>
      </c>
      <c r="F17" s="104">
        <v>59.9</v>
      </c>
      <c r="G17" s="17">
        <v>18</v>
      </c>
      <c r="H17" s="107">
        <v>129</v>
      </c>
      <c r="I17" s="108">
        <v>21000</v>
      </c>
      <c r="J17" s="108" t="s">
        <v>1268</v>
      </c>
      <c r="K17" s="108">
        <v>17000</v>
      </c>
      <c r="L17" s="108" t="s">
        <v>1249</v>
      </c>
      <c r="M17" s="109">
        <f>I17-K17</f>
        <v>4000</v>
      </c>
      <c r="N17" s="4">
        <f>IF(ISERROR(K17/I17),"",K17/I17)</f>
        <v>0.80952380952380953</v>
      </c>
      <c r="O17" s="105">
        <f>I17/E17</f>
        <v>875</v>
      </c>
      <c r="P17" s="105">
        <f>K17/E17</f>
        <v>708.33333333333337</v>
      </c>
      <c r="Q17" s="77">
        <v>3</v>
      </c>
      <c r="R17" s="77">
        <v>1</v>
      </c>
      <c r="S17" s="77" t="s">
        <v>1244</v>
      </c>
      <c r="T17" s="5">
        <v>79</v>
      </c>
      <c r="U17" s="9"/>
      <c r="W17" s="104">
        <f t="shared" ref="W17:X20" si="25">D17</f>
        <v>79.099999999999994</v>
      </c>
      <c r="X17" s="106">
        <f t="shared" si="25"/>
        <v>24</v>
      </c>
      <c r="Y17" s="102">
        <f t="shared" ref="Y17:Z20" si="26">H17</f>
        <v>129</v>
      </c>
      <c r="Z17" s="109">
        <f t="shared" si="26"/>
        <v>21000</v>
      </c>
      <c r="AA17" s="109">
        <f>K17</f>
        <v>17000</v>
      </c>
      <c r="AB17" s="109">
        <f t="shared" ref="AB17:AD20" si="27">M17</f>
        <v>4000</v>
      </c>
      <c r="AC17" s="4">
        <f t="shared" si="27"/>
        <v>0.80952380952380953</v>
      </c>
      <c r="AD17" s="105">
        <f t="shared" si="27"/>
        <v>875</v>
      </c>
      <c r="AE17" s="77" t="str">
        <f>S17</f>
        <v>계</v>
      </c>
      <c r="AF17" s="77" t="str">
        <f>Q17&amp;"/"&amp;R17</f>
        <v>3/1</v>
      </c>
      <c r="AH17" s="20" t="str">
        <f t="shared" si="1"/>
        <v>타워써미트</v>
      </c>
      <c r="AI17" s="106">
        <f t="shared" si="0"/>
        <v>24</v>
      </c>
      <c r="AJ17" s="77" t="str">
        <f>IF(AI17="","",$AJ$2)</f>
        <v>A-</v>
      </c>
      <c r="AK17" s="77" t="s">
        <v>13</v>
      </c>
      <c r="AL17" s="77" t="s">
        <v>1242</v>
      </c>
      <c r="AM17" s="77" t="s">
        <v>1243</v>
      </c>
      <c r="AN17" s="77" t="str">
        <f>IF(AI17="","",$AN$2)</f>
        <v>C</v>
      </c>
      <c r="AO17" s="77" t="str">
        <f>IF(N17="","",IF(N17&gt;=$AO$1/100,"O","X"))</f>
        <v>O</v>
      </c>
      <c r="AP17" s="77" t="str">
        <f>IF(I17="","",IF(I17&lt;=$AP$1,"O","X"))</f>
        <v>O</v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>후보</v>
      </c>
    </row>
    <row r="18" spans="1:48" x14ac:dyDescent="0.3">
      <c r="A18" s="9" t="s">
        <v>1132</v>
      </c>
      <c r="B18" s="10" t="s">
        <v>1344</v>
      </c>
      <c r="C18" s="107">
        <v>770</v>
      </c>
      <c r="D18" s="104">
        <v>112.1</v>
      </c>
      <c r="E18" s="106">
        <v>34</v>
      </c>
      <c r="F18" s="104">
        <v>85</v>
      </c>
      <c r="G18" s="17">
        <v>26</v>
      </c>
      <c r="H18" s="107">
        <v>277</v>
      </c>
      <c r="I18" s="108">
        <v>28000</v>
      </c>
      <c r="J18" s="108" t="s">
        <v>1272</v>
      </c>
      <c r="K18" s="108">
        <v>20000</v>
      </c>
      <c r="L18" s="108" t="s">
        <v>1271</v>
      </c>
      <c r="M18" s="109">
        <f>I18-K18</f>
        <v>8000</v>
      </c>
      <c r="N18" s="4">
        <f>IF(ISERROR(K18/I18),"",K18/I18)</f>
        <v>0.7142857142857143</v>
      </c>
      <c r="O18" s="105">
        <f>I18/E18</f>
        <v>823.52941176470586</v>
      </c>
      <c r="P18" s="105">
        <f>K18/E18</f>
        <v>588.23529411764707</v>
      </c>
      <c r="Q18" s="77">
        <v>3</v>
      </c>
      <c r="R18" s="77">
        <v>2</v>
      </c>
      <c r="S18" s="77" t="s">
        <v>1244</v>
      </c>
      <c r="T18" s="5" t="s">
        <v>711</v>
      </c>
      <c r="U18" s="9"/>
      <c r="W18" s="104">
        <f t="shared" si="25"/>
        <v>112.1</v>
      </c>
      <c r="X18" s="106">
        <f t="shared" si="25"/>
        <v>34</v>
      </c>
      <c r="Y18" s="102">
        <f t="shared" si="26"/>
        <v>277</v>
      </c>
      <c r="Z18" s="109">
        <f t="shared" si="26"/>
        <v>28000</v>
      </c>
      <c r="AA18" s="109">
        <f>K18</f>
        <v>20000</v>
      </c>
      <c r="AB18" s="109">
        <f t="shared" si="27"/>
        <v>8000</v>
      </c>
      <c r="AC18" s="4">
        <f t="shared" si="27"/>
        <v>0.7142857142857143</v>
      </c>
      <c r="AD18" s="105">
        <f t="shared" si="27"/>
        <v>823.52941176470586</v>
      </c>
      <c r="AE18" s="77" t="str">
        <f>S18</f>
        <v>계</v>
      </c>
      <c r="AF18" s="77" t="str">
        <f>Q18&amp;"/"&amp;R18</f>
        <v>3/2</v>
      </c>
      <c r="AH18" s="20" t="str">
        <f t="shared" si="1"/>
        <v>타워써미트</v>
      </c>
      <c r="AI18" s="106">
        <f t="shared" si="0"/>
        <v>34</v>
      </c>
      <c r="AJ18" s="77" t="str">
        <f>IF(AI18="","",$AJ$2)</f>
        <v>A-</v>
      </c>
      <c r="AK18" s="77" t="s">
        <v>13</v>
      </c>
      <c r="AL18" s="77" t="s">
        <v>1242</v>
      </c>
      <c r="AM18" s="77" t="s">
        <v>1243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O</v>
      </c>
      <c r="AQ18" s="77" t="str">
        <f>IF(O18="","",IF(O18&lt;=$AQ$1,"O","X"))</f>
        <v>O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 t="s">
        <v>1132</v>
      </c>
      <c r="B19" s="10" t="s">
        <v>1344</v>
      </c>
      <c r="C19" s="107">
        <v>770</v>
      </c>
      <c r="D19" s="104">
        <v>112</v>
      </c>
      <c r="E19" s="106">
        <v>34</v>
      </c>
      <c r="F19" s="104">
        <v>84.9</v>
      </c>
      <c r="G19" s="17">
        <v>26</v>
      </c>
      <c r="H19" s="107">
        <v>191</v>
      </c>
      <c r="I19" s="108">
        <v>27000</v>
      </c>
      <c r="J19" s="108" t="s">
        <v>1294</v>
      </c>
      <c r="K19" s="108">
        <v>20000</v>
      </c>
      <c r="L19" s="108" t="s">
        <v>1251</v>
      </c>
      <c r="M19" s="109">
        <f>I19-K19</f>
        <v>7000</v>
      </c>
      <c r="N19" s="4">
        <f>IF(ISERROR(K19/I19),"",K19/I19)</f>
        <v>0.7407407407407407</v>
      </c>
      <c r="O19" s="105">
        <f>I19/E19</f>
        <v>794.11764705882354</v>
      </c>
      <c r="P19" s="105">
        <f>K19/E19</f>
        <v>588.23529411764707</v>
      </c>
      <c r="Q19" s="77">
        <v>3</v>
      </c>
      <c r="R19" s="77">
        <v>2</v>
      </c>
      <c r="S19" s="77" t="s">
        <v>1244</v>
      </c>
      <c r="T19" s="5" t="s">
        <v>177</v>
      </c>
      <c r="U19" s="9"/>
      <c r="W19" s="104">
        <f t="shared" si="25"/>
        <v>112</v>
      </c>
      <c r="X19" s="106">
        <f t="shared" si="25"/>
        <v>34</v>
      </c>
      <c r="Y19" s="102">
        <f t="shared" si="26"/>
        <v>191</v>
      </c>
      <c r="Z19" s="109">
        <f t="shared" si="26"/>
        <v>27000</v>
      </c>
      <c r="AA19" s="109">
        <f>K19</f>
        <v>20000</v>
      </c>
      <c r="AB19" s="109">
        <f t="shared" si="27"/>
        <v>7000</v>
      </c>
      <c r="AC19" s="4">
        <f t="shared" si="27"/>
        <v>0.7407407407407407</v>
      </c>
      <c r="AD19" s="105">
        <f t="shared" si="27"/>
        <v>794.11764705882354</v>
      </c>
      <c r="AE19" s="77" t="str">
        <f>S19</f>
        <v>계</v>
      </c>
      <c r="AF19" s="77" t="str">
        <f>Q19&amp;"/"&amp;R19</f>
        <v>3/2</v>
      </c>
      <c r="AH19" s="20" t="str">
        <f t="shared" si="1"/>
        <v>타워써미트</v>
      </c>
      <c r="AI19" s="106">
        <f t="shared" si="0"/>
        <v>34</v>
      </c>
      <c r="AJ19" s="77" t="str">
        <f>IF(AI19="","",$AJ$2)</f>
        <v>A-</v>
      </c>
      <c r="AK19" s="77" t="s">
        <v>13</v>
      </c>
      <c r="AL19" s="77" t="s">
        <v>1242</v>
      </c>
      <c r="AM19" s="77" t="s">
        <v>1243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O</v>
      </c>
      <c r="AQ19" s="77" t="str">
        <f>IF(O19="","",IF(O19&lt;=$AQ$1,"O","X"))</f>
        <v>O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 t="s">
        <v>1132</v>
      </c>
      <c r="B20" s="10" t="s">
        <v>1344</v>
      </c>
      <c r="C20" s="107">
        <v>770</v>
      </c>
      <c r="D20" s="104">
        <v>112.1</v>
      </c>
      <c r="E20" s="106">
        <v>34</v>
      </c>
      <c r="F20" s="104">
        <v>85</v>
      </c>
      <c r="G20" s="17">
        <v>26</v>
      </c>
      <c r="H20" s="107">
        <v>173</v>
      </c>
      <c r="I20" s="108">
        <v>28000</v>
      </c>
      <c r="J20" s="108" t="s">
        <v>1272</v>
      </c>
      <c r="K20" s="108">
        <v>20000</v>
      </c>
      <c r="L20" s="108" t="s">
        <v>1271</v>
      </c>
      <c r="M20" s="109">
        <f>I20-K20</f>
        <v>8000</v>
      </c>
      <c r="N20" s="4">
        <f>IF(ISERROR(K20/I20),"",K20/I20)</f>
        <v>0.7142857142857143</v>
      </c>
      <c r="O20" s="105">
        <f>I20/E20</f>
        <v>823.52941176470586</v>
      </c>
      <c r="P20" s="105">
        <f>K20/E20</f>
        <v>588.23529411764707</v>
      </c>
      <c r="Q20" s="77">
        <v>3</v>
      </c>
      <c r="R20" s="77">
        <v>2</v>
      </c>
      <c r="S20" s="77" t="s">
        <v>1244</v>
      </c>
      <c r="T20" s="5" t="s">
        <v>712</v>
      </c>
      <c r="U20" s="9"/>
      <c r="W20" s="104">
        <f t="shared" si="25"/>
        <v>112.1</v>
      </c>
      <c r="X20" s="106">
        <f t="shared" si="25"/>
        <v>34</v>
      </c>
      <c r="Y20" s="102">
        <f t="shared" si="26"/>
        <v>173</v>
      </c>
      <c r="Z20" s="109">
        <f t="shared" si="26"/>
        <v>28000</v>
      </c>
      <c r="AA20" s="109">
        <f>K20</f>
        <v>20000</v>
      </c>
      <c r="AB20" s="109">
        <f t="shared" si="27"/>
        <v>8000</v>
      </c>
      <c r="AC20" s="4">
        <f t="shared" si="27"/>
        <v>0.7142857142857143</v>
      </c>
      <c r="AD20" s="105">
        <f t="shared" si="27"/>
        <v>823.52941176470586</v>
      </c>
      <c r="AE20" s="77" t="str">
        <f>S20</f>
        <v>계</v>
      </c>
      <c r="AF20" s="77" t="str">
        <f>Q20&amp;"/"&amp;R20</f>
        <v>3/2</v>
      </c>
      <c r="AH20" s="20" t="str">
        <f t="shared" si="1"/>
        <v>타워써미트</v>
      </c>
      <c r="AI20" s="106">
        <f t="shared" si="0"/>
        <v>34</v>
      </c>
      <c r="AJ20" s="77" t="str">
        <f>IF(AI20="","",$AJ$2)</f>
        <v>A-</v>
      </c>
      <c r="AK20" s="77" t="s">
        <v>13</v>
      </c>
      <c r="AL20" s="77" t="s">
        <v>1242</v>
      </c>
      <c r="AM20" s="77" t="s">
        <v>1243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O</v>
      </c>
      <c r="AQ20" s="77" t="str">
        <f>IF(O20="","",IF(O20&lt;=$AQ$1,"O","X"))</f>
        <v>O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/>
      <c r="B21" s="77"/>
      <c r="C21" s="6"/>
      <c r="D21" s="9"/>
      <c r="E21" s="14"/>
      <c r="F21" s="104"/>
      <c r="G21" s="9"/>
      <c r="H21" s="9"/>
      <c r="I21" s="9"/>
      <c r="J21" s="9"/>
      <c r="K21" s="9"/>
      <c r="L21" s="9"/>
      <c r="M21" s="9"/>
      <c r="N21" s="9"/>
      <c r="O21" s="105"/>
      <c r="P21" s="105"/>
      <c r="Q21" s="106"/>
      <c r="R21" s="106"/>
      <c r="S21" s="9"/>
      <c r="T21" s="47"/>
      <c r="U21" s="9"/>
      <c r="W21" s="67" t="str">
        <f>$A$4&amp;" "&amp;A22&amp;"("&amp;B22&amp;","&amp;C22&amp;"^)"</f>
        <v>조촌동 삼성('92.10.,306^)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3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148</v>
      </c>
      <c r="B22" s="10" t="s">
        <v>1345</v>
      </c>
      <c r="C22" s="107">
        <v>306</v>
      </c>
      <c r="D22" s="104">
        <v>92.3</v>
      </c>
      <c r="E22" s="106">
        <v>28</v>
      </c>
      <c r="F22" s="104">
        <v>73.8</v>
      </c>
      <c r="G22" s="17">
        <v>22</v>
      </c>
      <c r="H22" s="107">
        <v>72</v>
      </c>
      <c r="I22" s="108">
        <v>15000</v>
      </c>
      <c r="J22" s="108" t="s">
        <v>1256</v>
      </c>
      <c r="K22" s="108"/>
      <c r="L22" s="108"/>
      <c r="M22" s="109">
        <f>I22-K22</f>
        <v>15000</v>
      </c>
      <c r="N22" s="4">
        <f>IF(ISERROR(K22/I22),"",K22/I22)</f>
        <v>0</v>
      </c>
      <c r="O22" s="105">
        <f>I22/E22</f>
        <v>535.71428571428567</v>
      </c>
      <c r="P22" s="105">
        <f>K22/E22</f>
        <v>0</v>
      </c>
      <c r="Q22" s="77">
        <v>3</v>
      </c>
      <c r="R22" s="77">
        <v>1</v>
      </c>
      <c r="S22" s="77" t="s">
        <v>1244</v>
      </c>
      <c r="T22" s="5">
        <v>92</v>
      </c>
      <c r="U22" s="9"/>
      <c r="W22" s="104">
        <f t="shared" ref="W22:X25" si="28">D22</f>
        <v>92.3</v>
      </c>
      <c r="X22" s="106">
        <f t="shared" si="28"/>
        <v>28</v>
      </c>
      <c r="Y22" s="102">
        <f t="shared" ref="Y22:Z25" si="29">H22</f>
        <v>72</v>
      </c>
      <c r="Z22" s="109">
        <f t="shared" si="29"/>
        <v>15000</v>
      </c>
      <c r="AA22" s="109">
        <f>K22</f>
        <v>0</v>
      </c>
      <c r="AB22" s="109">
        <f t="shared" ref="AB22:AD25" si="30">M22</f>
        <v>15000</v>
      </c>
      <c r="AC22" s="4">
        <f t="shared" si="30"/>
        <v>0</v>
      </c>
      <c r="AD22" s="105">
        <f t="shared" si="30"/>
        <v>535.71428571428567</v>
      </c>
      <c r="AE22" s="77" t="str">
        <f>S22</f>
        <v>계</v>
      </c>
      <c r="AF22" s="77" t="str">
        <f>Q22&amp;"/"&amp;R22</f>
        <v>3/1</v>
      </c>
      <c r="AH22" s="20" t="str">
        <f t="shared" si="1"/>
        <v>삼성</v>
      </c>
      <c r="AI22" s="106">
        <f t="shared" si="0"/>
        <v>28</v>
      </c>
      <c r="AJ22" s="77" t="str">
        <f>IF(AI22="","",$AJ$2)</f>
        <v>A-</v>
      </c>
      <c r="AK22" s="77" t="s">
        <v>13</v>
      </c>
      <c r="AL22" s="77" t="s">
        <v>1242</v>
      </c>
      <c r="AM22" s="77" t="s">
        <v>1243</v>
      </c>
      <c r="AN22" s="77" t="str">
        <f>IF(AI22="","",$AN$2)</f>
        <v>C</v>
      </c>
      <c r="AO22" s="77" t="str">
        <f>IF(N22="","",IF(N22&gt;=$AO$1/100,"O","X"))</f>
        <v>X</v>
      </c>
      <c r="AP22" s="77" t="str">
        <f>IF(I22="","",IF(I22&lt;=$AP$1,"O","X"))</f>
        <v>O</v>
      </c>
      <c r="AQ22" s="77" t="str">
        <f>IF(O22="","",IF(O22&lt;=$AQ$1,"O","X"))</f>
        <v>O</v>
      </c>
      <c r="AR22" s="77" t="str">
        <f>IF(M22="","",IF(M22&lt;=$AR$1,"O","X"))</f>
        <v>X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>X</v>
      </c>
    </row>
    <row r="23" spans="1:48" x14ac:dyDescent="0.3">
      <c r="A23" s="9" t="s">
        <v>148</v>
      </c>
      <c r="B23" s="10" t="s">
        <v>1345</v>
      </c>
      <c r="C23" s="107">
        <v>306</v>
      </c>
      <c r="D23" s="104">
        <v>92.2</v>
      </c>
      <c r="E23" s="106">
        <v>28</v>
      </c>
      <c r="F23" s="104">
        <v>73.5</v>
      </c>
      <c r="G23" s="17">
        <v>22</v>
      </c>
      <c r="H23" s="107">
        <v>72</v>
      </c>
      <c r="I23" s="108"/>
      <c r="J23" s="108"/>
      <c r="K23" s="108"/>
      <c r="L23" s="108"/>
      <c r="M23" s="109">
        <f>I23-K23</f>
        <v>0</v>
      </c>
      <c r="N23" s="4" t="str">
        <f>IF(ISERROR(K23/I23),"",K23/I23)</f>
        <v/>
      </c>
      <c r="O23" s="105">
        <f>I23/E23</f>
        <v>0</v>
      </c>
      <c r="P23" s="105">
        <f>K23/E23</f>
        <v>0</v>
      </c>
      <c r="Q23" s="77">
        <v>3</v>
      </c>
      <c r="R23" s="77">
        <v>1</v>
      </c>
      <c r="S23" s="77" t="s">
        <v>1244</v>
      </c>
      <c r="T23" s="5" t="s">
        <v>1145</v>
      </c>
      <c r="U23" s="9"/>
      <c r="W23" s="104">
        <f t="shared" si="28"/>
        <v>92.2</v>
      </c>
      <c r="X23" s="106">
        <f t="shared" si="28"/>
        <v>28</v>
      </c>
      <c r="Y23" s="102">
        <f t="shared" si="29"/>
        <v>72</v>
      </c>
      <c r="Z23" s="109">
        <f t="shared" si="29"/>
        <v>0</v>
      </c>
      <c r="AA23" s="109">
        <f>K23</f>
        <v>0</v>
      </c>
      <c r="AB23" s="109">
        <f t="shared" si="30"/>
        <v>0</v>
      </c>
      <c r="AC23" s="4" t="str">
        <f t="shared" si="30"/>
        <v/>
      </c>
      <c r="AD23" s="105">
        <f t="shared" si="30"/>
        <v>0</v>
      </c>
      <c r="AE23" s="77" t="str">
        <f>S23</f>
        <v>계</v>
      </c>
      <c r="AF23" s="77" t="str">
        <f>Q23&amp;"/"&amp;R23</f>
        <v>3/1</v>
      </c>
      <c r="AH23" s="20" t="str">
        <f t="shared" si="1"/>
        <v>삼성</v>
      </c>
      <c r="AI23" s="106">
        <f t="shared" si="0"/>
        <v>28</v>
      </c>
      <c r="AJ23" s="77" t="str">
        <f>IF(AI23="","",$AJ$2)</f>
        <v>A-</v>
      </c>
      <c r="AK23" s="77" t="s">
        <v>13</v>
      </c>
      <c r="AL23" s="77" t="s">
        <v>1242</v>
      </c>
      <c r="AM23" s="77" t="s">
        <v>1243</v>
      </c>
      <c r="AN23" s="77" t="str">
        <f>IF(AI23="","",$AN$2)</f>
        <v>C</v>
      </c>
      <c r="AO23" s="77" t="str">
        <f>IF(N23="","",IF(N23&gt;=$AO$1/100,"O","X"))</f>
        <v/>
      </c>
      <c r="AP23" s="77" t="str">
        <f>IF(I23="","",IF(I23&lt;=$AP$1,"O","X"))</f>
        <v/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/>
      </c>
    </row>
    <row r="24" spans="1:48" x14ac:dyDescent="0.3">
      <c r="A24" s="9" t="s">
        <v>148</v>
      </c>
      <c r="B24" s="10" t="s">
        <v>1345</v>
      </c>
      <c r="C24" s="107">
        <v>306</v>
      </c>
      <c r="D24" s="104">
        <v>104.6</v>
      </c>
      <c r="E24" s="106">
        <v>32</v>
      </c>
      <c r="F24" s="104">
        <v>85</v>
      </c>
      <c r="G24" s="17">
        <v>26</v>
      </c>
      <c r="H24" s="107">
        <v>132</v>
      </c>
      <c r="I24" s="108">
        <v>16800</v>
      </c>
      <c r="J24" s="108" t="s">
        <v>1287</v>
      </c>
      <c r="K24" s="108"/>
      <c r="L24" s="108"/>
      <c r="M24" s="109">
        <f>I24-K24</f>
        <v>16800</v>
      </c>
      <c r="N24" s="4">
        <f>IF(ISERROR(K24/I24),"",K24/I24)</f>
        <v>0</v>
      </c>
      <c r="O24" s="105">
        <f>I24/E24</f>
        <v>525</v>
      </c>
      <c r="P24" s="105">
        <f>K24/E24</f>
        <v>0</v>
      </c>
      <c r="Q24" s="77">
        <v>3</v>
      </c>
      <c r="R24" s="77">
        <v>2</v>
      </c>
      <c r="S24" s="77" t="s">
        <v>1244</v>
      </c>
      <c r="T24" s="5">
        <v>104</v>
      </c>
      <c r="U24" s="9"/>
      <c r="W24" s="104">
        <f t="shared" si="28"/>
        <v>104.6</v>
      </c>
      <c r="X24" s="106">
        <f t="shared" si="28"/>
        <v>32</v>
      </c>
      <c r="Y24" s="102">
        <f t="shared" si="29"/>
        <v>132</v>
      </c>
      <c r="Z24" s="109">
        <f t="shared" si="29"/>
        <v>16800</v>
      </c>
      <c r="AA24" s="109">
        <f>K24</f>
        <v>0</v>
      </c>
      <c r="AB24" s="109">
        <f t="shared" si="30"/>
        <v>16800</v>
      </c>
      <c r="AC24" s="4">
        <f t="shared" si="30"/>
        <v>0</v>
      </c>
      <c r="AD24" s="105">
        <f t="shared" si="30"/>
        <v>525</v>
      </c>
      <c r="AE24" s="77" t="str">
        <f>S24</f>
        <v>계</v>
      </c>
      <c r="AF24" s="77" t="str">
        <f>Q24&amp;"/"&amp;R24</f>
        <v>3/2</v>
      </c>
      <c r="AH24" s="20" t="str">
        <f t="shared" si="1"/>
        <v>삼성</v>
      </c>
      <c r="AI24" s="106">
        <f t="shared" si="0"/>
        <v>32</v>
      </c>
      <c r="AJ24" s="77" t="str">
        <f>IF(AI24="","",$AJ$2)</f>
        <v>A-</v>
      </c>
      <c r="AK24" s="77" t="s">
        <v>13</v>
      </c>
      <c r="AL24" s="77" t="s">
        <v>1242</v>
      </c>
      <c r="AM24" s="77" t="s">
        <v>1243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O</v>
      </c>
      <c r="AQ24" s="77" t="str">
        <f>IF(O24="","",IF(O24&lt;=$AQ$1,"O","X"))</f>
        <v>O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x14ac:dyDescent="0.3">
      <c r="A25" s="9" t="s">
        <v>148</v>
      </c>
      <c r="B25" s="10" t="s">
        <v>1345</v>
      </c>
      <c r="C25" s="107">
        <v>306</v>
      </c>
      <c r="D25" s="104">
        <v>104.5</v>
      </c>
      <c r="E25" s="106">
        <v>32</v>
      </c>
      <c r="F25" s="104">
        <v>84.9</v>
      </c>
      <c r="G25" s="17">
        <v>26</v>
      </c>
      <c r="H25" s="107">
        <v>30</v>
      </c>
      <c r="I25" s="108"/>
      <c r="J25" s="108"/>
      <c r="K25" s="108"/>
      <c r="L25" s="108"/>
      <c r="M25" s="109">
        <f>I25-K25</f>
        <v>0</v>
      </c>
      <c r="N25" s="4" t="str">
        <f>IF(ISERROR(K25/I25),"",K25/I25)</f>
        <v/>
      </c>
      <c r="O25" s="105">
        <f>I25/E25</f>
        <v>0</v>
      </c>
      <c r="P25" s="105">
        <f>K25/E25</f>
        <v>0</v>
      </c>
      <c r="Q25" s="77">
        <v>3</v>
      </c>
      <c r="R25" s="77">
        <v>2</v>
      </c>
      <c r="S25" s="77" t="s">
        <v>1244</v>
      </c>
      <c r="T25" s="5" t="s">
        <v>1146</v>
      </c>
      <c r="U25" s="9"/>
      <c r="W25" s="104">
        <f t="shared" si="28"/>
        <v>104.5</v>
      </c>
      <c r="X25" s="106">
        <f t="shared" si="28"/>
        <v>32</v>
      </c>
      <c r="Y25" s="102">
        <f t="shared" si="29"/>
        <v>30</v>
      </c>
      <c r="Z25" s="109">
        <f t="shared" si="29"/>
        <v>0</v>
      </c>
      <c r="AA25" s="109">
        <f>K25</f>
        <v>0</v>
      </c>
      <c r="AB25" s="109">
        <f t="shared" si="30"/>
        <v>0</v>
      </c>
      <c r="AC25" s="4" t="str">
        <f t="shared" si="30"/>
        <v/>
      </c>
      <c r="AD25" s="105">
        <f t="shared" si="30"/>
        <v>0</v>
      </c>
      <c r="AE25" s="77" t="str">
        <f>S25</f>
        <v>계</v>
      </c>
      <c r="AF25" s="77" t="str">
        <f>Q25&amp;"/"&amp;R25</f>
        <v>3/2</v>
      </c>
      <c r="AH25" s="20" t="str">
        <f t="shared" si="1"/>
        <v>삼성</v>
      </c>
      <c r="AI25" s="106">
        <f t="shared" si="0"/>
        <v>32</v>
      </c>
      <c r="AJ25" s="77" t="str">
        <f>IF(AI25="","",$AJ$2)</f>
        <v>A-</v>
      </c>
      <c r="AK25" s="77" t="s">
        <v>13</v>
      </c>
      <c r="AL25" s="77" t="s">
        <v>1242</v>
      </c>
      <c r="AM25" s="77" t="s">
        <v>1243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x14ac:dyDescent="0.3">
      <c r="A26" s="9"/>
      <c r="B26" s="77"/>
      <c r="C26" s="6"/>
      <c r="D26" s="9"/>
      <c r="E26" s="14"/>
      <c r="F26" s="104"/>
      <c r="G26" s="9"/>
      <c r="H26" s="9"/>
      <c r="I26" s="9"/>
      <c r="J26" s="9"/>
      <c r="K26" s="9"/>
      <c r="L26" s="9"/>
      <c r="M26" s="9"/>
      <c r="N26" s="9"/>
      <c r="O26" s="105"/>
      <c r="P26" s="105"/>
      <c r="Q26" s="106"/>
      <c r="R26" s="106"/>
      <c r="S26" s="9"/>
      <c r="T26" s="47"/>
      <c r="U26" s="9"/>
      <c r="W26" s="67" t="str">
        <f>$A$4&amp;" "&amp;A27&amp;"("&amp;B27&amp;","&amp;C27&amp;"^)"</f>
        <v>조촌동 부향하나로('96.09.,402^)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3" t="str">
        <f t="shared" si="0"/>
        <v/>
      </c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</row>
    <row r="27" spans="1:48" x14ac:dyDescent="0.3">
      <c r="A27" s="9" t="s">
        <v>1147</v>
      </c>
      <c r="B27" s="10" t="s">
        <v>1346</v>
      </c>
      <c r="C27" s="107">
        <v>402</v>
      </c>
      <c r="D27" s="104">
        <v>53.7</v>
      </c>
      <c r="E27" s="106">
        <v>16</v>
      </c>
      <c r="F27" s="104">
        <v>40</v>
      </c>
      <c r="G27" s="17">
        <v>12</v>
      </c>
      <c r="H27" s="107">
        <v>402</v>
      </c>
      <c r="I27" s="108"/>
      <c r="J27" s="108"/>
      <c r="K27" s="108"/>
      <c r="L27" s="108"/>
      <c r="M27" s="109">
        <f>I27-K27</f>
        <v>0</v>
      </c>
      <c r="N27" s="4" t="str">
        <f>IF(ISERROR(K27/I27),"",K27/I27)</f>
        <v/>
      </c>
      <c r="O27" s="105">
        <f>I27/E27</f>
        <v>0</v>
      </c>
      <c r="P27" s="105">
        <f>K27/E27</f>
        <v>0</v>
      </c>
      <c r="Q27" s="77">
        <v>2</v>
      </c>
      <c r="R27" s="77">
        <v>1</v>
      </c>
      <c r="S27" s="77" t="s">
        <v>1244</v>
      </c>
      <c r="T27" s="5">
        <v>53</v>
      </c>
      <c r="U27" s="9"/>
      <c r="W27" s="104">
        <f>D27</f>
        <v>53.7</v>
      </c>
      <c r="X27" s="106">
        <f>E27</f>
        <v>16</v>
      </c>
      <c r="Y27" s="102">
        <f>H27</f>
        <v>402</v>
      </c>
      <c r="Z27" s="109">
        <f>I27</f>
        <v>0</v>
      </c>
      <c r="AA27" s="109">
        <f>K27</f>
        <v>0</v>
      </c>
      <c r="AB27" s="109">
        <f>M27</f>
        <v>0</v>
      </c>
      <c r="AC27" s="4" t="str">
        <f>N27</f>
        <v/>
      </c>
      <c r="AD27" s="105">
        <f>O27</f>
        <v>0</v>
      </c>
      <c r="AE27" s="77" t="str">
        <f>S27</f>
        <v>계</v>
      </c>
      <c r="AF27" s="77" t="str">
        <f>Q27&amp;"/"&amp;R27</f>
        <v>2/1</v>
      </c>
      <c r="AH27" s="20" t="str">
        <f t="shared" si="1"/>
        <v>부향하나로</v>
      </c>
      <c r="AI27" s="106">
        <f t="shared" si="0"/>
        <v>16</v>
      </c>
      <c r="AJ27" s="77" t="str">
        <f>IF(AI27="","",$AJ$2)</f>
        <v>A-</v>
      </c>
      <c r="AK27" s="77" t="s">
        <v>13</v>
      </c>
      <c r="AL27" s="77" t="s">
        <v>1242</v>
      </c>
      <c r="AM27" s="77" t="s">
        <v>1243</v>
      </c>
      <c r="AN27" s="77" t="str">
        <f>IF(AI27="","",$AN$2)</f>
        <v>C</v>
      </c>
      <c r="AO27" s="77" t="str">
        <f>IF(N27="","",IF(N27&gt;=$AO$1/100,"O","X"))</f>
        <v/>
      </c>
      <c r="AP27" s="77" t="str">
        <f>IF(I27="","",IF(I27&lt;=$AP$1,"O","X"))</f>
        <v/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O</v>
      </c>
      <c r="AV27" s="77" t="str">
        <f>IF(AO27="","",IF(AND(AO27="O",AP27="O",AR27="O",AT27="O",AU27="O"),"후보","X"))</f>
        <v/>
      </c>
    </row>
    <row r="28" spans="1:48" x14ac:dyDescent="0.3">
      <c r="A28" s="9"/>
      <c r="B28" s="77"/>
      <c r="C28" s="6"/>
      <c r="D28" s="9"/>
      <c r="E28" s="14"/>
      <c r="F28" s="104"/>
      <c r="G28" s="9"/>
      <c r="H28" s="9"/>
      <c r="I28" s="9"/>
      <c r="J28" s="9"/>
      <c r="K28" s="9"/>
      <c r="L28" s="9"/>
      <c r="M28" s="9"/>
      <c r="N28" s="9"/>
      <c r="O28" s="105"/>
      <c r="P28" s="105"/>
      <c r="Q28" s="106"/>
      <c r="R28" s="106"/>
      <c r="S28" s="9"/>
      <c r="T28" s="47"/>
      <c r="U28" s="9"/>
      <c r="W28" s="67" t="str">
        <f>$A$4&amp;" "&amp;A29&amp;"("&amp;B29&amp;","&amp;C29&amp;"^)"</f>
        <v>조촌동 e편한세상군산디오션시티('18.11.,854^)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3" t="str">
        <f t="shared" si="0"/>
        <v/>
      </c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</row>
    <row r="29" spans="1:48" x14ac:dyDescent="0.3">
      <c r="A29" s="9" t="s">
        <v>1152</v>
      </c>
      <c r="B29" s="10" t="s">
        <v>1347</v>
      </c>
      <c r="C29" s="107">
        <v>854</v>
      </c>
      <c r="D29" s="104">
        <v>80.5</v>
      </c>
      <c r="E29" s="106">
        <v>24</v>
      </c>
      <c r="F29" s="104">
        <v>59.9</v>
      </c>
      <c r="G29" s="17">
        <v>18</v>
      </c>
      <c r="H29" s="107">
        <v>174</v>
      </c>
      <c r="I29" s="108">
        <v>32000</v>
      </c>
      <c r="J29" s="108" t="s">
        <v>1311</v>
      </c>
      <c r="K29" s="108">
        <v>25000</v>
      </c>
      <c r="L29" s="108" t="s">
        <v>1253</v>
      </c>
      <c r="M29" s="109">
        <f t="shared" ref="M29:M34" si="31">I29-K29</f>
        <v>7000</v>
      </c>
      <c r="N29" s="4">
        <f t="shared" ref="N29:N34" si="32">IF(ISERROR(K29/I29),"",K29/I29)</f>
        <v>0.78125</v>
      </c>
      <c r="O29" s="105">
        <f t="shared" ref="O29:O34" si="33">I29/E29</f>
        <v>1333.3333333333333</v>
      </c>
      <c r="P29" s="105">
        <f t="shared" ref="P29:P34" si="34">K29/E29</f>
        <v>1041.6666666666667</v>
      </c>
      <c r="Q29" s="77">
        <v>3</v>
      </c>
      <c r="R29" s="77">
        <v>2</v>
      </c>
      <c r="S29" s="77" t="s">
        <v>1244</v>
      </c>
      <c r="T29" s="5">
        <v>80</v>
      </c>
      <c r="U29" s="9"/>
      <c r="W29" s="104">
        <f t="shared" ref="W29:X34" si="35">D29</f>
        <v>80.5</v>
      </c>
      <c r="X29" s="106">
        <f t="shared" si="35"/>
        <v>24</v>
      </c>
      <c r="Y29" s="102">
        <f t="shared" ref="Y29:Z34" si="36">H29</f>
        <v>174</v>
      </c>
      <c r="Z29" s="109">
        <f t="shared" si="36"/>
        <v>32000</v>
      </c>
      <c r="AA29" s="109">
        <f t="shared" ref="AA29:AA34" si="37">K29</f>
        <v>25000</v>
      </c>
      <c r="AB29" s="109">
        <f t="shared" ref="AB29:AD34" si="38">M29</f>
        <v>7000</v>
      </c>
      <c r="AC29" s="4">
        <f t="shared" si="38"/>
        <v>0.78125</v>
      </c>
      <c r="AD29" s="105">
        <f t="shared" si="38"/>
        <v>1333.3333333333333</v>
      </c>
      <c r="AE29" s="77" t="str">
        <f t="shared" ref="AE29:AE34" si="39">S29</f>
        <v>계</v>
      </c>
      <c r="AF29" s="77" t="str">
        <f t="shared" ref="AF29:AF34" si="40">Q29&amp;"/"&amp;R29</f>
        <v>3/2</v>
      </c>
      <c r="AH29" s="20" t="str">
        <f t="shared" si="1"/>
        <v>e편한세상군산디오션시티</v>
      </c>
      <c r="AI29" s="106">
        <f t="shared" si="0"/>
        <v>24</v>
      </c>
      <c r="AJ29" s="77" t="str">
        <f t="shared" ref="AJ29:AJ34" si="41">IF(AI29="","",$AJ$2)</f>
        <v>A-</v>
      </c>
      <c r="AK29" s="77" t="s">
        <v>13</v>
      </c>
      <c r="AL29" s="77" t="s">
        <v>1242</v>
      </c>
      <c r="AM29" s="77" t="s">
        <v>1243</v>
      </c>
      <c r="AN29" s="77" t="str">
        <f t="shared" ref="AN29:AN34" si="42">IF(AI29="","",$AN$2)</f>
        <v>C</v>
      </c>
      <c r="AO29" s="77" t="str">
        <f t="shared" ref="AO29:AO34" si="43">IF(N29="","",IF(N29&gt;=$AO$1/100,"O","X"))</f>
        <v>X</v>
      </c>
      <c r="AP29" s="77" t="str">
        <f t="shared" ref="AP29:AP34" si="44">IF(I29="","",IF(I29&lt;=$AP$1,"O","X"))</f>
        <v>O</v>
      </c>
      <c r="AQ29" s="77" t="str">
        <f t="shared" ref="AQ29:AQ34" si="45">IF(O29="","",IF(O29&lt;=$AQ$1,"O","X"))</f>
        <v>X</v>
      </c>
      <c r="AR29" s="77" t="str">
        <f t="shared" ref="AR29:AR34" si="46">IF(M29="","",IF(M29&lt;=$AR$1,"O","X"))</f>
        <v>X</v>
      </c>
      <c r="AS29" s="77" t="s">
        <v>2</v>
      </c>
      <c r="AT29" s="77" t="str">
        <f t="shared" ref="AT29:AT34" si="47">IF(OR(F29="",AI29=""),"",IF(AND((F29&lt;=85),(AI29&gt;=15)),"O","X"))</f>
        <v>O</v>
      </c>
      <c r="AU29" s="77" t="str">
        <f t="shared" ref="AU29:AU34" si="48">IF(C29="","",IF(C29&gt;=$AU$1,"O","X"))</f>
        <v>O</v>
      </c>
      <c r="AV29" s="77" t="str">
        <f t="shared" ref="AV29:AV34" si="49">IF(AO29="","",IF(AND(AO29="O",AP29="O",AR29="O",AT29="O",AU29="O"),"후보","X"))</f>
        <v>X</v>
      </c>
    </row>
    <row r="30" spans="1:48" x14ac:dyDescent="0.3">
      <c r="A30" s="9" t="s">
        <v>1152</v>
      </c>
      <c r="B30" s="10" t="s">
        <v>1347</v>
      </c>
      <c r="C30" s="107">
        <v>854</v>
      </c>
      <c r="D30" s="104">
        <v>100.4</v>
      </c>
      <c r="E30" s="106">
        <v>30</v>
      </c>
      <c r="F30" s="104">
        <v>75</v>
      </c>
      <c r="G30" s="17">
        <v>23</v>
      </c>
      <c r="H30" s="107">
        <v>174</v>
      </c>
      <c r="I30" s="108">
        <v>40000</v>
      </c>
      <c r="J30" s="108" t="s">
        <v>1251</v>
      </c>
      <c r="K30" s="108"/>
      <c r="L30" s="108"/>
      <c r="M30" s="109">
        <f t="shared" si="31"/>
        <v>40000</v>
      </c>
      <c r="N30" s="4">
        <f t="shared" si="32"/>
        <v>0</v>
      </c>
      <c r="O30" s="105">
        <f t="shared" si="33"/>
        <v>1333.3333333333333</v>
      </c>
      <c r="P30" s="105">
        <f t="shared" si="34"/>
        <v>0</v>
      </c>
      <c r="Q30" s="77">
        <v>3</v>
      </c>
      <c r="R30" s="77">
        <v>2</v>
      </c>
      <c r="S30" s="77" t="s">
        <v>1244</v>
      </c>
      <c r="T30" s="5" t="s">
        <v>467</v>
      </c>
      <c r="U30" s="9"/>
      <c r="W30" s="104">
        <f t="shared" si="35"/>
        <v>100.4</v>
      </c>
      <c r="X30" s="106">
        <f t="shared" si="35"/>
        <v>30</v>
      </c>
      <c r="Y30" s="102">
        <f t="shared" si="36"/>
        <v>174</v>
      </c>
      <c r="Z30" s="109">
        <f t="shared" si="36"/>
        <v>40000</v>
      </c>
      <c r="AA30" s="109">
        <f t="shared" si="37"/>
        <v>0</v>
      </c>
      <c r="AB30" s="109">
        <f t="shared" si="38"/>
        <v>40000</v>
      </c>
      <c r="AC30" s="4">
        <f t="shared" si="38"/>
        <v>0</v>
      </c>
      <c r="AD30" s="105">
        <f t="shared" si="38"/>
        <v>1333.3333333333333</v>
      </c>
      <c r="AE30" s="77" t="str">
        <f t="shared" si="39"/>
        <v>계</v>
      </c>
      <c r="AF30" s="77" t="str">
        <f t="shared" si="40"/>
        <v>3/2</v>
      </c>
      <c r="AH30" s="20" t="str">
        <f t="shared" si="1"/>
        <v>e편한세상군산디오션시티</v>
      </c>
      <c r="AI30" s="106">
        <f t="shared" si="0"/>
        <v>30</v>
      </c>
      <c r="AJ30" s="77" t="str">
        <f t="shared" si="41"/>
        <v>A-</v>
      </c>
      <c r="AK30" s="77" t="s">
        <v>13</v>
      </c>
      <c r="AL30" s="77" t="s">
        <v>1242</v>
      </c>
      <c r="AM30" s="77" t="s">
        <v>1243</v>
      </c>
      <c r="AN30" s="77" t="str">
        <f t="shared" si="42"/>
        <v>C</v>
      </c>
      <c r="AO30" s="77" t="str">
        <f t="shared" si="43"/>
        <v>X</v>
      </c>
      <c r="AP30" s="77" t="str">
        <f t="shared" si="44"/>
        <v>O</v>
      </c>
      <c r="AQ30" s="77" t="str">
        <f t="shared" si="45"/>
        <v>X</v>
      </c>
      <c r="AR30" s="77" t="str">
        <f t="shared" si="46"/>
        <v>X</v>
      </c>
      <c r="AS30" s="77" t="s">
        <v>2</v>
      </c>
      <c r="AT30" s="77" t="str">
        <f t="shared" si="47"/>
        <v>O</v>
      </c>
      <c r="AU30" s="77" t="str">
        <f t="shared" si="48"/>
        <v>O</v>
      </c>
      <c r="AV30" s="77" t="str">
        <f t="shared" si="49"/>
        <v>X</v>
      </c>
    </row>
    <row r="31" spans="1:48" x14ac:dyDescent="0.3">
      <c r="A31" s="9" t="s">
        <v>1152</v>
      </c>
      <c r="B31" s="10" t="s">
        <v>1347</v>
      </c>
      <c r="C31" s="107">
        <v>854</v>
      </c>
      <c r="D31" s="104">
        <v>100.1</v>
      </c>
      <c r="E31" s="106">
        <v>30</v>
      </c>
      <c r="F31" s="104">
        <v>75</v>
      </c>
      <c r="G31" s="17">
        <v>23</v>
      </c>
      <c r="H31" s="107">
        <v>84</v>
      </c>
      <c r="I31" s="108">
        <v>43500</v>
      </c>
      <c r="J31" s="108" t="s">
        <v>1245</v>
      </c>
      <c r="K31" s="108"/>
      <c r="L31" s="108"/>
      <c r="M31" s="109">
        <f t="shared" si="31"/>
        <v>43500</v>
      </c>
      <c r="N31" s="4">
        <f t="shared" si="32"/>
        <v>0</v>
      </c>
      <c r="O31" s="105">
        <f t="shared" si="33"/>
        <v>1450</v>
      </c>
      <c r="P31" s="105">
        <f t="shared" si="34"/>
        <v>0</v>
      </c>
      <c r="Q31" s="77">
        <v>3</v>
      </c>
      <c r="R31" s="77">
        <v>2</v>
      </c>
      <c r="S31" s="77" t="s">
        <v>1244</v>
      </c>
      <c r="T31" s="5" t="s">
        <v>702</v>
      </c>
      <c r="U31" s="9"/>
      <c r="W31" s="104">
        <f t="shared" si="35"/>
        <v>100.1</v>
      </c>
      <c r="X31" s="106">
        <f t="shared" si="35"/>
        <v>30</v>
      </c>
      <c r="Y31" s="102">
        <f t="shared" si="36"/>
        <v>84</v>
      </c>
      <c r="Z31" s="109">
        <f t="shared" si="36"/>
        <v>43500</v>
      </c>
      <c r="AA31" s="109">
        <f t="shared" si="37"/>
        <v>0</v>
      </c>
      <c r="AB31" s="109">
        <f t="shared" si="38"/>
        <v>43500</v>
      </c>
      <c r="AC31" s="4">
        <f t="shared" si="38"/>
        <v>0</v>
      </c>
      <c r="AD31" s="105">
        <f t="shared" si="38"/>
        <v>1450</v>
      </c>
      <c r="AE31" s="77" t="str">
        <f t="shared" si="39"/>
        <v>계</v>
      </c>
      <c r="AF31" s="77" t="str">
        <f t="shared" si="40"/>
        <v>3/2</v>
      </c>
      <c r="AH31" s="20" t="str">
        <f t="shared" si="1"/>
        <v>e편한세상군산디오션시티</v>
      </c>
      <c r="AI31" s="106">
        <f t="shared" si="0"/>
        <v>30</v>
      </c>
      <c r="AJ31" s="77" t="str">
        <f t="shared" si="41"/>
        <v>A-</v>
      </c>
      <c r="AK31" s="77" t="s">
        <v>13</v>
      </c>
      <c r="AL31" s="77" t="s">
        <v>1242</v>
      </c>
      <c r="AM31" s="77" t="s">
        <v>1243</v>
      </c>
      <c r="AN31" s="77" t="str">
        <f t="shared" si="42"/>
        <v>C</v>
      </c>
      <c r="AO31" s="77" t="str">
        <f t="shared" si="43"/>
        <v>X</v>
      </c>
      <c r="AP31" s="77" t="str">
        <f t="shared" si="44"/>
        <v>O</v>
      </c>
      <c r="AQ31" s="77" t="str">
        <f t="shared" si="45"/>
        <v>X</v>
      </c>
      <c r="AR31" s="77" t="str">
        <f t="shared" si="46"/>
        <v>X</v>
      </c>
      <c r="AS31" s="77" t="s">
        <v>2</v>
      </c>
      <c r="AT31" s="77" t="str">
        <f t="shared" si="47"/>
        <v>O</v>
      </c>
      <c r="AU31" s="77" t="str">
        <f t="shared" si="48"/>
        <v>O</v>
      </c>
      <c r="AV31" s="77" t="str">
        <f t="shared" si="49"/>
        <v>X</v>
      </c>
    </row>
    <row r="32" spans="1:48" x14ac:dyDescent="0.3">
      <c r="A32" s="9" t="s">
        <v>1152</v>
      </c>
      <c r="B32" s="10" t="s">
        <v>1347</v>
      </c>
      <c r="C32" s="107">
        <v>854</v>
      </c>
      <c r="D32" s="104">
        <v>113.2</v>
      </c>
      <c r="E32" s="106">
        <v>34</v>
      </c>
      <c r="F32" s="104">
        <v>85</v>
      </c>
      <c r="G32" s="17">
        <v>26</v>
      </c>
      <c r="H32" s="107">
        <v>253</v>
      </c>
      <c r="I32" s="108">
        <v>50000</v>
      </c>
      <c r="J32" s="108" t="s">
        <v>1305</v>
      </c>
      <c r="K32" s="108">
        <v>35000</v>
      </c>
      <c r="L32" s="108" t="s">
        <v>1294</v>
      </c>
      <c r="M32" s="109">
        <f t="shared" si="31"/>
        <v>15000</v>
      </c>
      <c r="N32" s="4">
        <f t="shared" si="32"/>
        <v>0.7</v>
      </c>
      <c r="O32" s="105">
        <f t="shared" si="33"/>
        <v>1470.5882352941176</v>
      </c>
      <c r="P32" s="105">
        <f t="shared" si="34"/>
        <v>1029.4117647058824</v>
      </c>
      <c r="Q32" s="77">
        <v>3</v>
      </c>
      <c r="R32" s="77">
        <v>2</v>
      </c>
      <c r="S32" s="77" t="s">
        <v>1244</v>
      </c>
      <c r="T32" s="5" t="s">
        <v>727</v>
      </c>
      <c r="U32" s="9"/>
      <c r="W32" s="104">
        <f t="shared" si="35"/>
        <v>113.2</v>
      </c>
      <c r="X32" s="106">
        <f t="shared" si="35"/>
        <v>34</v>
      </c>
      <c r="Y32" s="102">
        <f t="shared" si="36"/>
        <v>253</v>
      </c>
      <c r="Z32" s="109">
        <f t="shared" si="36"/>
        <v>50000</v>
      </c>
      <c r="AA32" s="109">
        <f t="shared" si="37"/>
        <v>35000</v>
      </c>
      <c r="AB32" s="109">
        <f t="shared" si="38"/>
        <v>15000</v>
      </c>
      <c r="AC32" s="4">
        <f t="shared" si="38"/>
        <v>0.7</v>
      </c>
      <c r="AD32" s="105">
        <f t="shared" si="38"/>
        <v>1470.5882352941176</v>
      </c>
      <c r="AE32" s="77" t="str">
        <f t="shared" si="39"/>
        <v>계</v>
      </c>
      <c r="AF32" s="77" t="str">
        <f t="shared" si="40"/>
        <v>3/2</v>
      </c>
      <c r="AH32" s="20" t="str">
        <f t="shared" si="1"/>
        <v>e편한세상군산디오션시티</v>
      </c>
      <c r="AI32" s="106">
        <f t="shared" si="0"/>
        <v>34</v>
      </c>
      <c r="AJ32" s="77" t="str">
        <f t="shared" si="41"/>
        <v>A-</v>
      </c>
      <c r="AK32" s="77" t="s">
        <v>13</v>
      </c>
      <c r="AL32" s="77" t="s">
        <v>1242</v>
      </c>
      <c r="AM32" s="77" t="s">
        <v>1243</v>
      </c>
      <c r="AN32" s="77" t="str">
        <f t="shared" si="42"/>
        <v>C</v>
      </c>
      <c r="AO32" s="77" t="str">
        <f t="shared" si="43"/>
        <v>X</v>
      </c>
      <c r="AP32" s="77" t="str">
        <f t="shared" si="44"/>
        <v>X</v>
      </c>
      <c r="AQ32" s="77" t="str">
        <f t="shared" si="45"/>
        <v>X</v>
      </c>
      <c r="AR32" s="77" t="str">
        <f t="shared" si="46"/>
        <v>X</v>
      </c>
      <c r="AS32" s="77" t="s">
        <v>2</v>
      </c>
      <c r="AT32" s="77" t="str">
        <f t="shared" si="47"/>
        <v>O</v>
      </c>
      <c r="AU32" s="77" t="str">
        <f t="shared" si="48"/>
        <v>O</v>
      </c>
      <c r="AV32" s="77" t="str">
        <f t="shared" si="49"/>
        <v>X</v>
      </c>
    </row>
    <row r="33" spans="1:48" x14ac:dyDescent="0.3">
      <c r="A33" s="9" t="s">
        <v>1152</v>
      </c>
      <c r="B33" s="10" t="s">
        <v>1347</v>
      </c>
      <c r="C33" s="107">
        <v>854</v>
      </c>
      <c r="D33" s="104">
        <v>113.9</v>
      </c>
      <c r="E33" s="106">
        <v>34</v>
      </c>
      <c r="F33" s="104">
        <v>84.8</v>
      </c>
      <c r="G33" s="17">
        <v>26</v>
      </c>
      <c r="H33" s="107">
        <v>82</v>
      </c>
      <c r="I33" s="108">
        <v>48000</v>
      </c>
      <c r="J33" s="108" t="s">
        <v>1268</v>
      </c>
      <c r="K33" s="108">
        <v>32000</v>
      </c>
      <c r="L33" s="108" t="s">
        <v>1343</v>
      </c>
      <c r="M33" s="109">
        <f t="shared" si="31"/>
        <v>16000</v>
      </c>
      <c r="N33" s="4">
        <f t="shared" si="32"/>
        <v>0.66666666666666663</v>
      </c>
      <c r="O33" s="105">
        <f t="shared" si="33"/>
        <v>1411.7647058823529</v>
      </c>
      <c r="P33" s="105">
        <f t="shared" si="34"/>
        <v>941.17647058823525</v>
      </c>
      <c r="Q33" s="77">
        <v>3</v>
      </c>
      <c r="R33" s="77">
        <v>2</v>
      </c>
      <c r="S33" s="77" t="s">
        <v>1244</v>
      </c>
      <c r="T33" s="5" t="s">
        <v>178</v>
      </c>
      <c r="U33" s="9"/>
      <c r="W33" s="104">
        <f t="shared" si="35"/>
        <v>113.9</v>
      </c>
      <c r="X33" s="106">
        <f t="shared" si="35"/>
        <v>34</v>
      </c>
      <c r="Y33" s="102">
        <f t="shared" si="36"/>
        <v>82</v>
      </c>
      <c r="Z33" s="109">
        <f t="shared" si="36"/>
        <v>48000</v>
      </c>
      <c r="AA33" s="109">
        <f t="shared" si="37"/>
        <v>32000</v>
      </c>
      <c r="AB33" s="109">
        <f t="shared" si="38"/>
        <v>16000</v>
      </c>
      <c r="AC33" s="4">
        <f t="shared" si="38"/>
        <v>0.66666666666666663</v>
      </c>
      <c r="AD33" s="105">
        <f t="shared" si="38"/>
        <v>1411.7647058823529</v>
      </c>
      <c r="AE33" s="77" t="str">
        <f t="shared" si="39"/>
        <v>계</v>
      </c>
      <c r="AF33" s="77" t="str">
        <f t="shared" si="40"/>
        <v>3/2</v>
      </c>
      <c r="AH33" s="20" t="str">
        <f t="shared" si="1"/>
        <v>e편한세상군산디오션시티</v>
      </c>
      <c r="AI33" s="106">
        <f t="shared" si="0"/>
        <v>34</v>
      </c>
      <c r="AJ33" s="77" t="str">
        <f t="shared" si="41"/>
        <v>A-</v>
      </c>
      <c r="AK33" s="77" t="s">
        <v>13</v>
      </c>
      <c r="AL33" s="77" t="s">
        <v>1242</v>
      </c>
      <c r="AM33" s="77" t="s">
        <v>1243</v>
      </c>
      <c r="AN33" s="77" t="str">
        <f t="shared" si="42"/>
        <v>C</v>
      </c>
      <c r="AO33" s="77" t="str">
        <f t="shared" si="43"/>
        <v>X</v>
      </c>
      <c r="AP33" s="77" t="str">
        <f t="shared" si="44"/>
        <v>X</v>
      </c>
      <c r="AQ33" s="77" t="str">
        <f t="shared" si="45"/>
        <v>X</v>
      </c>
      <c r="AR33" s="77" t="str">
        <f t="shared" si="46"/>
        <v>X</v>
      </c>
      <c r="AS33" s="77" t="s">
        <v>2</v>
      </c>
      <c r="AT33" s="77" t="str">
        <f t="shared" si="47"/>
        <v>O</v>
      </c>
      <c r="AU33" s="77" t="str">
        <f t="shared" si="48"/>
        <v>O</v>
      </c>
      <c r="AV33" s="77" t="str">
        <f t="shared" si="49"/>
        <v>X</v>
      </c>
    </row>
    <row r="34" spans="1:48" x14ac:dyDescent="0.3">
      <c r="A34" s="9" t="s">
        <v>1152</v>
      </c>
      <c r="B34" s="10" t="s">
        <v>1347</v>
      </c>
      <c r="C34" s="107">
        <v>854</v>
      </c>
      <c r="D34" s="104">
        <v>140.30000000000001</v>
      </c>
      <c r="E34" s="106">
        <v>42</v>
      </c>
      <c r="F34" s="104">
        <v>106.4</v>
      </c>
      <c r="G34" s="17">
        <v>32</v>
      </c>
      <c r="H34" s="107">
        <v>87</v>
      </c>
      <c r="I34" s="108"/>
      <c r="J34" s="108"/>
      <c r="K34" s="108"/>
      <c r="L34" s="108"/>
      <c r="M34" s="109">
        <f t="shared" si="31"/>
        <v>0</v>
      </c>
      <c r="N34" s="4" t="str">
        <f t="shared" si="32"/>
        <v/>
      </c>
      <c r="O34" s="105">
        <f t="shared" si="33"/>
        <v>0</v>
      </c>
      <c r="P34" s="105">
        <f t="shared" si="34"/>
        <v>0</v>
      </c>
      <c r="Q34" s="77">
        <v>4</v>
      </c>
      <c r="R34" s="77">
        <v>2</v>
      </c>
      <c r="S34" s="77" t="s">
        <v>1244</v>
      </c>
      <c r="T34" s="5">
        <v>140</v>
      </c>
      <c r="U34" s="9"/>
      <c r="W34" s="104">
        <f t="shared" si="35"/>
        <v>140.30000000000001</v>
      </c>
      <c r="X34" s="106">
        <f t="shared" si="35"/>
        <v>42</v>
      </c>
      <c r="Y34" s="102">
        <f t="shared" si="36"/>
        <v>87</v>
      </c>
      <c r="Z34" s="109">
        <f t="shared" si="36"/>
        <v>0</v>
      </c>
      <c r="AA34" s="109">
        <f t="shared" si="37"/>
        <v>0</v>
      </c>
      <c r="AB34" s="109">
        <f t="shared" si="38"/>
        <v>0</v>
      </c>
      <c r="AC34" s="4" t="str">
        <f t="shared" si="38"/>
        <v/>
      </c>
      <c r="AD34" s="105">
        <f t="shared" si="38"/>
        <v>0</v>
      </c>
      <c r="AE34" s="77" t="str">
        <f t="shared" si="39"/>
        <v>계</v>
      </c>
      <c r="AF34" s="77" t="str">
        <f t="shared" si="40"/>
        <v>4/2</v>
      </c>
      <c r="AH34" s="20" t="str">
        <f t="shared" si="1"/>
        <v>e편한세상군산디오션시티</v>
      </c>
      <c r="AI34" s="106">
        <f t="shared" si="0"/>
        <v>42</v>
      </c>
      <c r="AJ34" s="77" t="str">
        <f t="shared" si="41"/>
        <v>A-</v>
      </c>
      <c r="AK34" s="77" t="s">
        <v>13</v>
      </c>
      <c r="AL34" s="77" t="s">
        <v>1242</v>
      </c>
      <c r="AM34" s="77" t="s">
        <v>1243</v>
      </c>
      <c r="AN34" s="77" t="str">
        <f t="shared" si="42"/>
        <v>C</v>
      </c>
      <c r="AO34" s="77" t="str">
        <f t="shared" si="43"/>
        <v/>
      </c>
      <c r="AP34" s="77" t="str">
        <f t="shared" si="44"/>
        <v/>
      </c>
      <c r="AQ34" s="77" t="str">
        <f t="shared" si="45"/>
        <v>O</v>
      </c>
      <c r="AR34" s="77" t="str">
        <f t="shared" si="46"/>
        <v>O</v>
      </c>
      <c r="AS34" s="77" t="s">
        <v>2</v>
      </c>
      <c r="AT34" s="77" t="str">
        <f t="shared" si="47"/>
        <v>X</v>
      </c>
      <c r="AU34" s="77" t="str">
        <f t="shared" si="48"/>
        <v>O</v>
      </c>
      <c r="AV34" s="77" t="str">
        <f t="shared" si="49"/>
        <v/>
      </c>
    </row>
    <row r="35" spans="1:48" x14ac:dyDescent="0.3">
      <c r="A35" s="9"/>
      <c r="B35" s="77"/>
      <c r="C35" s="6"/>
      <c r="D35" s="9"/>
      <c r="E35" s="14"/>
      <c r="F35" s="104"/>
      <c r="G35" s="9"/>
      <c r="H35" s="9"/>
      <c r="I35" s="9"/>
      <c r="J35" s="9"/>
      <c r="K35" s="9"/>
      <c r="L35" s="9"/>
      <c r="M35" s="9"/>
      <c r="N35" s="9"/>
      <c r="O35" s="105"/>
      <c r="P35" s="105"/>
      <c r="Q35" s="106"/>
      <c r="R35" s="106"/>
      <c r="S35" s="9"/>
      <c r="T35" s="47"/>
      <c r="U35" s="9"/>
      <c r="W35" s="67" t="str">
        <f>$A$4&amp;" "&amp;A36&amp;"("&amp;B36&amp;","&amp;C36&amp;"^)"</f>
        <v>조촌동 시영('93.12.,270^)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3" t="str">
        <f t="shared" ref="AI35:AI65" si="50">IF(E35="","",E35)</f>
        <v/>
      </c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</row>
    <row r="36" spans="1:48" x14ac:dyDescent="0.3">
      <c r="A36" s="9" t="s">
        <v>1157</v>
      </c>
      <c r="B36" s="10" t="s">
        <v>1283</v>
      </c>
      <c r="C36" s="107">
        <v>270</v>
      </c>
      <c r="D36" s="104">
        <v>66.599999999999994</v>
      </c>
      <c r="E36" s="106">
        <v>20</v>
      </c>
      <c r="F36" s="104">
        <v>49.1</v>
      </c>
      <c r="G36" s="17">
        <v>15</v>
      </c>
      <c r="H36" s="107">
        <v>150</v>
      </c>
      <c r="I36" s="108"/>
      <c r="J36" s="108"/>
      <c r="K36" s="108"/>
      <c r="L36" s="108"/>
      <c r="M36" s="109">
        <f>I36-K36</f>
        <v>0</v>
      </c>
      <c r="N36" s="4" t="str">
        <f>IF(ISERROR(K36/I36),"",K36/I36)</f>
        <v/>
      </c>
      <c r="O36" s="105">
        <f>I36/E36</f>
        <v>0</v>
      </c>
      <c r="P36" s="105">
        <f>K36/E36</f>
        <v>0</v>
      </c>
      <c r="Q36" s="77">
        <v>2</v>
      </c>
      <c r="R36" s="77">
        <v>1</v>
      </c>
      <c r="S36" s="77" t="s">
        <v>1241</v>
      </c>
      <c r="T36" s="5">
        <v>66</v>
      </c>
      <c r="U36" s="9"/>
      <c r="W36" s="104">
        <f>D36</f>
        <v>66.599999999999994</v>
      </c>
      <c r="X36" s="106">
        <f>E36</f>
        <v>20</v>
      </c>
      <c r="Y36" s="102">
        <f>H36</f>
        <v>150</v>
      </c>
      <c r="Z36" s="109">
        <f>I36</f>
        <v>0</v>
      </c>
      <c r="AA36" s="109">
        <f>K36</f>
        <v>0</v>
      </c>
      <c r="AB36" s="109">
        <f t="shared" ref="AB36:AD37" si="51">M36</f>
        <v>0</v>
      </c>
      <c r="AC36" s="4" t="str">
        <f t="shared" si="51"/>
        <v/>
      </c>
      <c r="AD36" s="105">
        <f t="shared" si="51"/>
        <v>0</v>
      </c>
      <c r="AE36" s="77" t="str">
        <f>S36</f>
        <v>복</v>
      </c>
      <c r="AF36" s="77" t="str">
        <f>Q36&amp;"/"&amp;R36</f>
        <v>2/1</v>
      </c>
      <c r="AH36" s="20" t="str">
        <f t="shared" si="1"/>
        <v>시영</v>
      </c>
      <c r="AI36" s="106">
        <f t="shared" si="50"/>
        <v>20</v>
      </c>
      <c r="AJ36" s="77" t="str">
        <f>IF(AI36="","",$AJ$2)</f>
        <v>A-</v>
      </c>
      <c r="AK36" s="77" t="s">
        <v>13</v>
      </c>
      <c r="AL36" s="77" t="s">
        <v>1242</v>
      </c>
      <c r="AM36" s="77" t="s">
        <v>1243</v>
      </c>
      <c r="AN36" s="77" t="str">
        <f>IF(AI36="","",$AN$2)</f>
        <v>C</v>
      </c>
      <c r="AO36" s="77" t="str">
        <f>IF(N36="","",IF(N36&gt;=$AO$1/100,"O","X"))</f>
        <v/>
      </c>
      <c r="AP36" s="77" t="str">
        <f>IF(I36="","",IF(I36&lt;=$AP$1,"O","X"))</f>
        <v/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X</v>
      </c>
      <c r="AV36" s="77" t="str">
        <f>IF(AO36="","",IF(AND(AO36="O",AP36="O",AR36="O",AT36="O",AU36="O"),"후보","X"))</f>
        <v/>
      </c>
    </row>
    <row r="37" spans="1:48" x14ac:dyDescent="0.3">
      <c r="A37" s="9" t="s">
        <v>1157</v>
      </c>
      <c r="B37" s="10" t="s">
        <v>1283</v>
      </c>
      <c r="C37" s="107">
        <v>270</v>
      </c>
      <c r="D37" s="104">
        <v>79.400000000000006</v>
      </c>
      <c r="E37" s="106">
        <v>24</v>
      </c>
      <c r="F37" s="104">
        <v>59.4</v>
      </c>
      <c r="G37" s="17">
        <v>18</v>
      </c>
      <c r="H37" s="107">
        <v>120</v>
      </c>
      <c r="I37" s="108"/>
      <c r="J37" s="108"/>
      <c r="K37" s="108"/>
      <c r="L37" s="108"/>
      <c r="M37" s="109">
        <f>I37-K37</f>
        <v>0</v>
      </c>
      <c r="N37" s="4" t="str">
        <f>IF(ISERROR(K37/I37),"",K37/I37)</f>
        <v/>
      </c>
      <c r="O37" s="105">
        <f>I37/E37</f>
        <v>0</v>
      </c>
      <c r="P37" s="105">
        <f>K37/E37</f>
        <v>0</v>
      </c>
      <c r="Q37" s="77">
        <v>3</v>
      </c>
      <c r="R37" s="77">
        <v>1</v>
      </c>
      <c r="S37" s="77" t="s">
        <v>1241</v>
      </c>
      <c r="T37" s="5">
        <v>79</v>
      </c>
      <c r="U37" s="9"/>
      <c r="W37" s="104">
        <f>D37</f>
        <v>79.400000000000006</v>
      </c>
      <c r="X37" s="106">
        <f>E37</f>
        <v>24</v>
      </c>
      <c r="Y37" s="102">
        <f>H37</f>
        <v>120</v>
      </c>
      <c r="Z37" s="109">
        <f>I37</f>
        <v>0</v>
      </c>
      <c r="AA37" s="109">
        <f>K37</f>
        <v>0</v>
      </c>
      <c r="AB37" s="109">
        <f t="shared" si="51"/>
        <v>0</v>
      </c>
      <c r="AC37" s="4" t="str">
        <f t="shared" si="51"/>
        <v/>
      </c>
      <c r="AD37" s="105">
        <f t="shared" si="51"/>
        <v>0</v>
      </c>
      <c r="AE37" s="77" t="str">
        <f>S37</f>
        <v>복</v>
      </c>
      <c r="AF37" s="77" t="str">
        <f>Q37&amp;"/"&amp;R37</f>
        <v>3/1</v>
      </c>
      <c r="AH37" s="20" t="str">
        <f t="shared" ref="AH37:AH65" si="52">IF(A37="","",A37)</f>
        <v>시영</v>
      </c>
      <c r="AI37" s="106">
        <f t="shared" si="50"/>
        <v>24</v>
      </c>
      <c r="AJ37" s="77" t="str">
        <f>IF(AI37="","",$AJ$2)</f>
        <v>A-</v>
      </c>
      <c r="AK37" s="77" t="s">
        <v>13</v>
      </c>
      <c r="AL37" s="77" t="s">
        <v>1242</v>
      </c>
      <c r="AM37" s="77" t="s">
        <v>1243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X</v>
      </c>
      <c r="AV37" s="77" t="str">
        <f>IF(AO37="","",IF(AND(AO37="O",AP37="O",AR37="O",AT37="O",AU37="O"),"후보","X"))</f>
        <v/>
      </c>
    </row>
    <row r="38" spans="1:48" x14ac:dyDescent="0.3">
      <c r="A38" s="9"/>
      <c r="B38" s="77"/>
      <c r="C38" s="6"/>
      <c r="D38" s="9"/>
      <c r="E38" s="14"/>
      <c r="F38" s="104"/>
      <c r="G38" s="9"/>
      <c r="H38" s="9"/>
      <c r="I38" s="9"/>
      <c r="J38" s="9"/>
      <c r="K38" s="9"/>
      <c r="L38" s="9"/>
      <c r="M38" s="9"/>
      <c r="N38" s="9"/>
      <c r="O38" s="105"/>
      <c r="P38" s="105"/>
      <c r="Q38" s="106"/>
      <c r="R38" s="106"/>
      <c r="S38" s="9"/>
      <c r="T38" s="47"/>
      <c r="U38" s="9"/>
      <c r="W38" s="67" t="str">
        <f>$A$4&amp;" "&amp;A39&amp;"("&amp;B39&amp;","&amp;C39&amp;"^)"</f>
        <v>조촌동 더샵디오션시티2차('23.07.,771^)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2"/>
        <v/>
      </c>
      <c r="AI38" s="103" t="str">
        <f t="shared" si="50"/>
        <v/>
      </c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</row>
    <row r="39" spans="1:48" x14ac:dyDescent="0.3">
      <c r="A39" s="9" t="s">
        <v>1161</v>
      </c>
      <c r="B39" s="10" t="s">
        <v>1348</v>
      </c>
      <c r="C39" s="107">
        <v>771</v>
      </c>
      <c r="D39" s="104">
        <v>109.6</v>
      </c>
      <c r="E39" s="106">
        <v>33</v>
      </c>
      <c r="F39" s="104">
        <v>85</v>
      </c>
      <c r="G39" s="17">
        <v>26</v>
      </c>
      <c r="H39" s="107">
        <v>442</v>
      </c>
      <c r="I39" s="108"/>
      <c r="J39" s="108"/>
      <c r="K39" s="108"/>
      <c r="L39" s="108"/>
      <c r="M39" s="109">
        <f t="shared" ref="M39:M45" si="53">I39-K39</f>
        <v>0</v>
      </c>
      <c r="N39" s="4" t="str">
        <f t="shared" ref="N39:N45" si="54">IF(ISERROR(K39/I39),"",K39/I39)</f>
        <v/>
      </c>
      <c r="O39" s="105">
        <f t="shared" ref="O39:O45" si="55">I39/E39</f>
        <v>0</v>
      </c>
      <c r="P39" s="105">
        <f t="shared" ref="P39:P45" si="56">K39/E39</f>
        <v>0</v>
      </c>
      <c r="Q39" s="77">
        <v>3</v>
      </c>
      <c r="R39" s="77">
        <v>2</v>
      </c>
      <c r="S39" s="77" t="s">
        <v>1244</v>
      </c>
      <c r="T39" s="5" t="s">
        <v>1075</v>
      </c>
      <c r="U39" s="9"/>
      <c r="W39" s="104">
        <f t="shared" ref="W39:X45" si="57">D39</f>
        <v>109.6</v>
      </c>
      <c r="X39" s="106">
        <f t="shared" si="57"/>
        <v>33</v>
      </c>
      <c r="Y39" s="102">
        <f t="shared" ref="Y39:Z45" si="58">H39</f>
        <v>442</v>
      </c>
      <c r="Z39" s="109">
        <f t="shared" si="58"/>
        <v>0</v>
      </c>
      <c r="AA39" s="109">
        <f t="shared" ref="AA39:AA45" si="59">K39</f>
        <v>0</v>
      </c>
      <c r="AB39" s="109">
        <f t="shared" ref="AB39:AD45" si="60">M39</f>
        <v>0</v>
      </c>
      <c r="AC39" s="4" t="str">
        <f t="shared" si="60"/>
        <v/>
      </c>
      <c r="AD39" s="105">
        <f t="shared" si="60"/>
        <v>0</v>
      </c>
      <c r="AE39" s="77" t="str">
        <f t="shared" ref="AE39:AE45" si="61">S39</f>
        <v>계</v>
      </c>
      <c r="AF39" s="77" t="str">
        <f t="shared" ref="AF39:AF45" si="62">Q39&amp;"/"&amp;R39</f>
        <v>3/2</v>
      </c>
      <c r="AH39" s="20" t="str">
        <f t="shared" si="52"/>
        <v>더샵디오션시티2차</v>
      </c>
      <c r="AI39" s="106">
        <f t="shared" si="50"/>
        <v>33</v>
      </c>
      <c r="AJ39" s="77" t="str">
        <f t="shared" ref="AJ39:AJ45" si="63">IF(AI39="","",$AJ$2)</f>
        <v>A-</v>
      </c>
      <c r="AK39" s="77" t="s">
        <v>13</v>
      </c>
      <c r="AL39" s="77" t="s">
        <v>1242</v>
      </c>
      <c r="AM39" s="77" t="s">
        <v>1243</v>
      </c>
      <c r="AN39" s="77" t="str">
        <f t="shared" ref="AN39:AN45" si="64">IF(AI39="","",$AN$2)</f>
        <v>C</v>
      </c>
      <c r="AO39" s="77" t="str">
        <f t="shared" ref="AO39:AO45" si="65">IF(N39="","",IF(N39&gt;=$AO$1/100,"O","X"))</f>
        <v/>
      </c>
      <c r="AP39" s="77" t="str">
        <f t="shared" ref="AP39:AP45" si="66">IF(I39="","",IF(I39&lt;=$AP$1,"O","X"))</f>
        <v/>
      </c>
      <c r="AQ39" s="77" t="str">
        <f t="shared" ref="AQ39:AQ45" si="67">IF(O39="","",IF(O39&lt;=$AQ$1,"O","X"))</f>
        <v>O</v>
      </c>
      <c r="AR39" s="77" t="str">
        <f t="shared" ref="AR39:AR45" si="68">IF(M39="","",IF(M39&lt;=$AR$1,"O","X"))</f>
        <v>O</v>
      </c>
      <c r="AS39" s="77" t="s">
        <v>2</v>
      </c>
      <c r="AT39" s="77" t="str">
        <f t="shared" ref="AT39:AT45" si="69">IF(OR(F39="",AI39=""),"",IF(AND((F39&lt;=85),(AI39&gt;=15)),"O","X"))</f>
        <v>O</v>
      </c>
      <c r="AU39" s="77" t="str">
        <f t="shared" ref="AU39:AU45" si="70">IF(C39="","",IF(C39&gt;=$AU$1,"O","X"))</f>
        <v>O</v>
      </c>
      <c r="AV39" s="77" t="str">
        <f t="shared" ref="AV39:AV45" si="71">IF(AO39="","",IF(AND(AO39="O",AP39="O",AR39="O",AT39="O",AU39="O"),"후보","X"))</f>
        <v/>
      </c>
    </row>
    <row r="40" spans="1:48" x14ac:dyDescent="0.3">
      <c r="A40" s="9" t="s">
        <v>1161</v>
      </c>
      <c r="B40" s="10" t="s">
        <v>1348</v>
      </c>
      <c r="C40" s="107">
        <v>771</v>
      </c>
      <c r="D40" s="104">
        <v>109.7</v>
      </c>
      <c r="E40" s="106">
        <v>33</v>
      </c>
      <c r="F40" s="104">
        <v>85</v>
      </c>
      <c r="G40" s="17">
        <v>26</v>
      </c>
      <c r="H40" s="107">
        <v>111</v>
      </c>
      <c r="I40" s="108"/>
      <c r="J40" s="108"/>
      <c r="K40" s="108"/>
      <c r="L40" s="108"/>
      <c r="M40" s="109">
        <f t="shared" si="53"/>
        <v>0</v>
      </c>
      <c r="N40" s="4" t="str">
        <f t="shared" si="54"/>
        <v/>
      </c>
      <c r="O40" s="105">
        <f t="shared" si="55"/>
        <v>0</v>
      </c>
      <c r="P40" s="105">
        <f t="shared" si="56"/>
        <v>0</v>
      </c>
      <c r="Q40" s="77">
        <v>3</v>
      </c>
      <c r="R40" s="77">
        <v>2</v>
      </c>
      <c r="S40" s="77" t="s">
        <v>1244</v>
      </c>
      <c r="T40" s="5" t="s">
        <v>1165</v>
      </c>
      <c r="U40" s="9"/>
      <c r="W40" s="104">
        <f t="shared" si="57"/>
        <v>109.7</v>
      </c>
      <c r="X40" s="106">
        <f t="shared" si="57"/>
        <v>33</v>
      </c>
      <c r="Y40" s="102">
        <f t="shared" si="58"/>
        <v>111</v>
      </c>
      <c r="Z40" s="109">
        <f t="shared" si="58"/>
        <v>0</v>
      </c>
      <c r="AA40" s="109">
        <f t="shared" si="59"/>
        <v>0</v>
      </c>
      <c r="AB40" s="109">
        <f t="shared" si="60"/>
        <v>0</v>
      </c>
      <c r="AC40" s="4" t="str">
        <f t="shared" si="60"/>
        <v/>
      </c>
      <c r="AD40" s="105">
        <f t="shared" si="60"/>
        <v>0</v>
      </c>
      <c r="AE40" s="77" t="str">
        <f t="shared" si="61"/>
        <v>계</v>
      </c>
      <c r="AF40" s="77" t="str">
        <f t="shared" si="62"/>
        <v>3/2</v>
      </c>
      <c r="AH40" s="20" t="str">
        <f t="shared" si="52"/>
        <v>더샵디오션시티2차</v>
      </c>
      <c r="AI40" s="106">
        <f t="shared" si="50"/>
        <v>33</v>
      </c>
      <c r="AJ40" s="77" t="str">
        <f t="shared" si="63"/>
        <v>A-</v>
      </c>
      <c r="AK40" s="77" t="s">
        <v>13</v>
      </c>
      <c r="AL40" s="77" t="s">
        <v>1242</v>
      </c>
      <c r="AM40" s="77" t="s">
        <v>1243</v>
      </c>
      <c r="AN40" s="77" t="str">
        <f t="shared" si="64"/>
        <v>C</v>
      </c>
      <c r="AO40" s="77" t="str">
        <f t="shared" si="65"/>
        <v/>
      </c>
      <c r="AP40" s="77" t="str">
        <f t="shared" si="66"/>
        <v/>
      </c>
      <c r="AQ40" s="77" t="str">
        <f t="shared" si="67"/>
        <v>O</v>
      </c>
      <c r="AR40" s="77" t="str">
        <f t="shared" si="68"/>
        <v>O</v>
      </c>
      <c r="AS40" s="77" t="s">
        <v>2</v>
      </c>
      <c r="AT40" s="77" t="str">
        <f t="shared" si="69"/>
        <v>O</v>
      </c>
      <c r="AU40" s="77" t="str">
        <f t="shared" si="70"/>
        <v>O</v>
      </c>
      <c r="AV40" s="77" t="str">
        <f t="shared" si="71"/>
        <v/>
      </c>
    </row>
    <row r="41" spans="1:48" x14ac:dyDescent="0.3">
      <c r="A41" s="9" t="s">
        <v>1161</v>
      </c>
      <c r="B41" s="10" t="s">
        <v>1348</v>
      </c>
      <c r="C41" s="107">
        <v>771</v>
      </c>
      <c r="D41" s="104">
        <v>109.7</v>
      </c>
      <c r="E41" s="106">
        <v>33</v>
      </c>
      <c r="F41" s="104">
        <v>85</v>
      </c>
      <c r="G41" s="17">
        <v>26</v>
      </c>
      <c r="H41" s="107">
        <v>36</v>
      </c>
      <c r="I41" s="108"/>
      <c r="J41" s="108"/>
      <c r="K41" s="108"/>
      <c r="L41" s="108"/>
      <c r="M41" s="109">
        <f t="shared" si="53"/>
        <v>0</v>
      </c>
      <c r="N41" s="4" t="str">
        <f t="shared" si="54"/>
        <v/>
      </c>
      <c r="O41" s="105">
        <f t="shared" si="55"/>
        <v>0</v>
      </c>
      <c r="P41" s="105">
        <f t="shared" si="56"/>
        <v>0</v>
      </c>
      <c r="Q41" s="77">
        <v>3</v>
      </c>
      <c r="R41" s="77">
        <v>2</v>
      </c>
      <c r="S41" s="77" t="s">
        <v>1244</v>
      </c>
      <c r="T41" s="5" t="s">
        <v>1166</v>
      </c>
      <c r="U41" s="9"/>
      <c r="W41" s="104">
        <f t="shared" si="57"/>
        <v>109.7</v>
      </c>
      <c r="X41" s="106">
        <f t="shared" si="57"/>
        <v>33</v>
      </c>
      <c r="Y41" s="102">
        <f t="shared" si="58"/>
        <v>36</v>
      </c>
      <c r="Z41" s="109">
        <f t="shared" si="58"/>
        <v>0</v>
      </c>
      <c r="AA41" s="109">
        <f t="shared" si="59"/>
        <v>0</v>
      </c>
      <c r="AB41" s="109">
        <f t="shared" si="60"/>
        <v>0</v>
      </c>
      <c r="AC41" s="4" t="str">
        <f t="shared" si="60"/>
        <v/>
      </c>
      <c r="AD41" s="105">
        <f t="shared" si="60"/>
        <v>0</v>
      </c>
      <c r="AE41" s="77" t="str">
        <f t="shared" si="61"/>
        <v>계</v>
      </c>
      <c r="AF41" s="77" t="str">
        <f t="shared" si="62"/>
        <v>3/2</v>
      </c>
      <c r="AH41" s="20" t="str">
        <f t="shared" si="52"/>
        <v>더샵디오션시티2차</v>
      </c>
      <c r="AI41" s="106">
        <f t="shared" si="50"/>
        <v>33</v>
      </c>
      <c r="AJ41" s="77" t="str">
        <f t="shared" si="63"/>
        <v>A-</v>
      </c>
      <c r="AK41" s="77" t="s">
        <v>13</v>
      </c>
      <c r="AL41" s="77" t="s">
        <v>1242</v>
      </c>
      <c r="AM41" s="77" t="s">
        <v>1243</v>
      </c>
      <c r="AN41" s="77" t="str">
        <f t="shared" si="64"/>
        <v>C</v>
      </c>
      <c r="AO41" s="77" t="str">
        <f t="shared" si="65"/>
        <v/>
      </c>
      <c r="AP41" s="77" t="str">
        <f t="shared" si="66"/>
        <v/>
      </c>
      <c r="AQ41" s="77" t="str">
        <f t="shared" si="67"/>
        <v>O</v>
      </c>
      <c r="AR41" s="77" t="str">
        <f t="shared" si="68"/>
        <v>O</v>
      </c>
      <c r="AS41" s="77" t="s">
        <v>2</v>
      </c>
      <c r="AT41" s="77" t="str">
        <f t="shared" si="69"/>
        <v>O</v>
      </c>
      <c r="AU41" s="77" t="str">
        <f t="shared" si="70"/>
        <v>O</v>
      </c>
      <c r="AV41" s="77" t="str">
        <f t="shared" si="71"/>
        <v/>
      </c>
    </row>
    <row r="42" spans="1:48" x14ac:dyDescent="0.3">
      <c r="A42" s="9" t="s">
        <v>1161</v>
      </c>
      <c r="B42" s="10" t="s">
        <v>1348</v>
      </c>
      <c r="C42" s="107">
        <v>771</v>
      </c>
      <c r="D42" s="104">
        <v>135.4</v>
      </c>
      <c r="E42" s="106">
        <v>41</v>
      </c>
      <c r="F42" s="104">
        <v>107</v>
      </c>
      <c r="G42" s="17">
        <v>32</v>
      </c>
      <c r="H42" s="107">
        <v>125</v>
      </c>
      <c r="I42" s="108"/>
      <c r="J42" s="108"/>
      <c r="K42" s="108"/>
      <c r="L42" s="108"/>
      <c r="M42" s="109">
        <f t="shared" si="53"/>
        <v>0</v>
      </c>
      <c r="N42" s="4" t="str">
        <f t="shared" si="54"/>
        <v/>
      </c>
      <c r="O42" s="105">
        <f t="shared" si="55"/>
        <v>0</v>
      </c>
      <c r="P42" s="105">
        <f t="shared" si="56"/>
        <v>0</v>
      </c>
      <c r="Q42" s="77">
        <v>4</v>
      </c>
      <c r="R42" s="77">
        <v>2</v>
      </c>
      <c r="S42" s="77" t="s">
        <v>1244</v>
      </c>
      <c r="T42" s="5">
        <v>135</v>
      </c>
      <c r="U42" s="9"/>
      <c r="W42" s="104">
        <f t="shared" si="57"/>
        <v>135.4</v>
      </c>
      <c r="X42" s="106">
        <f t="shared" si="57"/>
        <v>41</v>
      </c>
      <c r="Y42" s="102">
        <f t="shared" si="58"/>
        <v>125</v>
      </c>
      <c r="Z42" s="109">
        <f t="shared" si="58"/>
        <v>0</v>
      </c>
      <c r="AA42" s="109">
        <f t="shared" si="59"/>
        <v>0</v>
      </c>
      <c r="AB42" s="109">
        <f t="shared" si="60"/>
        <v>0</v>
      </c>
      <c r="AC42" s="4" t="str">
        <f t="shared" si="60"/>
        <v/>
      </c>
      <c r="AD42" s="105">
        <f t="shared" si="60"/>
        <v>0</v>
      </c>
      <c r="AE42" s="77" t="str">
        <f t="shared" si="61"/>
        <v>계</v>
      </c>
      <c r="AF42" s="77" t="str">
        <f t="shared" si="62"/>
        <v>4/2</v>
      </c>
      <c r="AH42" s="20" t="str">
        <f t="shared" si="52"/>
        <v>더샵디오션시티2차</v>
      </c>
      <c r="AI42" s="106">
        <f t="shared" si="50"/>
        <v>41</v>
      </c>
      <c r="AJ42" s="77" t="str">
        <f t="shared" si="63"/>
        <v>A-</v>
      </c>
      <c r="AK42" s="77" t="s">
        <v>13</v>
      </c>
      <c r="AL42" s="77" t="s">
        <v>1242</v>
      </c>
      <c r="AM42" s="77" t="s">
        <v>1243</v>
      </c>
      <c r="AN42" s="77" t="str">
        <f t="shared" si="64"/>
        <v>C</v>
      </c>
      <c r="AO42" s="77" t="str">
        <f t="shared" si="65"/>
        <v/>
      </c>
      <c r="AP42" s="77" t="str">
        <f t="shared" si="66"/>
        <v/>
      </c>
      <c r="AQ42" s="77" t="str">
        <f t="shared" si="67"/>
        <v>O</v>
      </c>
      <c r="AR42" s="77" t="str">
        <f t="shared" si="68"/>
        <v>O</v>
      </c>
      <c r="AS42" s="77" t="s">
        <v>2</v>
      </c>
      <c r="AT42" s="77" t="str">
        <f t="shared" si="69"/>
        <v>X</v>
      </c>
      <c r="AU42" s="77" t="str">
        <f t="shared" si="70"/>
        <v>O</v>
      </c>
      <c r="AV42" s="77" t="str">
        <f t="shared" si="71"/>
        <v/>
      </c>
    </row>
    <row r="43" spans="1:48" x14ac:dyDescent="0.3">
      <c r="A43" s="9" t="s">
        <v>1161</v>
      </c>
      <c r="B43" s="10" t="s">
        <v>1348</v>
      </c>
      <c r="C43" s="107">
        <v>771</v>
      </c>
      <c r="D43" s="104">
        <v>158</v>
      </c>
      <c r="E43" s="106">
        <v>48</v>
      </c>
      <c r="F43" s="104">
        <v>124.9</v>
      </c>
      <c r="G43" s="17">
        <v>38</v>
      </c>
      <c r="H43" s="107">
        <v>54</v>
      </c>
      <c r="I43" s="108"/>
      <c r="J43" s="108"/>
      <c r="K43" s="108"/>
      <c r="L43" s="108"/>
      <c r="M43" s="109">
        <f t="shared" si="53"/>
        <v>0</v>
      </c>
      <c r="N43" s="4" t="str">
        <f t="shared" si="54"/>
        <v/>
      </c>
      <c r="O43" s="105">
        <f t="shared" si="55"/>
        <v>0</v>
      </c>
      <c r="P43" s="105">
        <f t="shared" si="56"/>
        <v>0</v>
      </c>
      <c r="Q43" s="77">
        <v>4</v>
      </c>
      <c r="R43" s="77">
        <v>2</v>
      </c>
      <c r="S43" s="77" t="s">
        <v>1244</v>
      </c>
      <c r="T43" s="5">
        <v>158</v>
      </c>
      <c r="U43" s="9"/>
      <c r="W43" s="104">
        <f t="shared" si="57"/>
        <v>158</v>
      </c>
      <c r="X43" s="106">
        <f t="shared" si="57"/>
        <v>48</v>
      </c>
      <c r="Y43" s="102">
        <f t="shared" si="58"/>
        <v>54</v>
      </c>
      <c r="Z43" s="109">
        <f t="shared" si="58"/>
        <v>0</v>
      </c>
      <c r="AA43" s="109">
        <f t="shared" si="59"/>
        <v>0</v>
      </c>
      <c r="AB43" s="109">
        <f t="shared" si="60"/>
        <v>0</v>
      </c>
      <c r="AC43" s="4" t="str">
        <f t="shared" si="60"/>
        <v/>
      </c>
      <c r="AD43" s="105">
        <f t="shared" si="60"/>
        <v>0</v>
      </c>
      <c r="AE43" s="77" t="str">
        <f t="shared" si="61"/>
        <v>계</v>
      </c>
      <c r="AF43" s="77" t="str">
        <f t="shared" si="62"/>
        <v>4/2</v>
      </c>
      <c r="AH43" s="20" t="str">
        <f t="shared" si="52"/>
        <v>더샵디오션시티2차</v>
      </c>
      <c r="AI43" s="106">
        <f t="shared" si="50"/>
        <v>48</v>
      </c>
      <c r="AJ43" s="77" t="str">
        <f t="shared" si="63"/>
        <v>A-</v>
      </c>
      <c r="AK43" s="77" t="s">
        <v>13</v>
      </c>
      <c r="AL43" s="77" t="s">
        <v>1242</v>
      </c>
      <c r="AM43" s="77" t="s">
        <v>1243</v>
      </c>
      <c r="AN43" s="77" t="str">
        <f t="shared" si="64"/>
        <v>C</v>
      </c>
      <c r="AO43" s="77" t="str">
        <f t="shared" si="65"/>
        <v/>
      </c>
      <c r="AP43" s="77" t="str">
        <f t="shared" si="66"/>
        <v/>
      </c>
      <c r="AQ43" s="77" t="str">
        <f t="shared" si="67"/>
        <v>O</v>
      </c>
      <c r="AR43" s="77" t="str">
        <f t="shared" si="68"/>
        <v>O</v>
      </c>
      <c r="AS43" s="77" t="s">
        <v>2</v>
      </c>
      <c r="AT43" s="77" t="str">
        <f t="shared" si="69"/>
        <v>X</v>
      </c>
      <c r="AU43" s="77" t="str">
        <f t="shared" si="70"/>
        <v>O</v>
      </c>
      <c r="AV43" s="77" t="str">
        <f t="shared" si="71"/>
        <v/>
      </c>
    </row>
    <row r="44" spans="1:48" x14ac:dyDescent="0.3">
      <c r="A44" s="9" t="s">
        <v>1161</v>
      </c>
      <c r="B44" s="10" t="s">
        <v>1348</v>
      </c>
      <c r="C44" s="107">
        <v>771</v>
      </c>
      <c r="D44" s="104">
        <v>184.4</v>
      </c>
      <c r="E44" s="106">
        <v>56</v>
      </c>
      <c r="F44" s="104">
        <v>143.1</v>
      </c>
      <c r="G44" s="17">
        <v>43</v>
      </c>
      <c r="H44" s="107">
        <v>1</v>
      </c>
      <c r="I44" s="108"/>
      <c r="J44" s="108"/>
      <c r="K44" s="108"/>
      <c r="L44" s="108"/>
      <c r="M44" s="109">
        <f t="shared" si="53"/>
        <v>0</v>
      </c>
      <c r="N44" s="4" t="str">
        <f t="shared" si="54"/>
        <v/>
      </c>
      <c r="O44" s="105">
        <f t="shared" si="55"/>
        <v>0</v>
      </c>
      <c r="P44" s="105">
        <f t="shared" si="56"/>
        <v>0</v>
      </c>
      <c r="Q44" s="77">
        <v>4</v>
      </c>
      <c r="R44" s="77">
        <v>3</v>
      </c>
      <c r="S44" s="77" t="s">
        <v>1244</v>
      </c>
      <c r="T44" s="5">
        <v>184</v>
      </c>
      <c r="U44" s="9"/>
      <c r="W44" s="104">
        <f t="shared" si="57"/>
        <v>184.4</v>
      </c>
      <c r="X44" s="106">
        <f t="shared" si="57"/>
        <v>56</v>
      </c>
      <c r="Y44" s="102">
        <f t="shared" si="58"/>
        <v>1</v>
      </c>
      <c r="Z44" s="109">
        <f t="shared" si="58"/>
        <v>0</v>
      </c>
      <c r="AA44" s="109">
        <f t="shared" si="59"/>
        <v>0</v>
      </c>
      <c r="AB44" s="109">
        <f t="shared" si="60"/>
        <v>0</v>
      </c>
      <c r="AC44" s="4" t="str">
        <f t="shared" si="60"/>
        <v/>
      </c>
      <c r="AD44" s="105">
        <f t="shared" si="60"/>
        <v>0</v>
      </c>
      <c r="AE44" s="77" t="str">
        <f t="shared" si="61"/>
        <v>계</v>
      </c>
      <c r="AF44" s="77" t="str">
        <f t="shared" si="62"/>
        <v>4/3</v>
      </c>
      <c r="AH44" s="20" t="str">
        <f t="shared" si="52"/>
        <v>더샵디오션시티2차</v>
      </c>
      <c r="AI44" s="106">
        <f t="shared" si="50"/>
        <v>56</v>
      </c>
      <c r="AJ44" s="77" t="str">
        <f t="shared" si="63"/>
        <v>A-</v>
      </c>
      <c r="AK44" s="77" t="s">
        <v>13</v>
      </c>
      <c r="AL44" s="77" t="s">
        <v>1242</v>
      </c>
      <c r="AM44" s="77" t="s">
        <v>1243</v>
      </c>
      <c r="AN44" s="77" t="str">
        <f t="shared" si="64"/>
        <v>C</v>
      </c>
      <c r="AO44" s="77" t="str">
        <f t="shared" si="65"/>
        <v/>
      </c>
      <c r="AP44" s="77" t="str">
        <f t="shared" si="66"/>
        <v/>
      </c>
      <c r="AQ44" s="77" t="str">
        <f t="shared" si="67"/>
        <v>O</v>
      </c>
      <c r="AR44" s="77" t="str">
        <f t="shared" si="68"/>
        <v>O</v>
      </c>
      <c r="AS44" s="77" t="s">
        <v>2</v>
      </c>
      <c r="AT44" s="77" t="str">
        <f t="shared" si="69"/>
        <v>X</v>
      </c>
      <c r="AU44" s="77" t="str">
        <f t="shared" si="70"/>
        <v>O</v>
      </c>
      <c r="AV44" s="77" t="str">
        <f t="shared" si="71"/>
        <v/>
      </c>
    </row>
    <row r="45" spans="1:48" x14ac:dyDescent="0.3">
      <c r="A45" s="9" t="s">
        <v>1161</v>
      </c>
      <c r="B45" s="10" t="s">
        <v>1348</v>
      </c>
      <c r="C45" s="107">
        <v>771</v>
      </c>
      <c r="D45" s="104">
        <v>197.5</v>
      </c>
      <c r="E45" s="106">
        <v>60</v>
      </c>
      <c r="F45" s="104">
        <v>155</v>
      </c>
      <c r="G45" s="17">
        <v>47</v>
      </c>
      <c r="H45" s="107">
        <v>2</v>
      </c>
      <c r="I45" s="108"/>
      <c r="J45" s="108"/>
      <c r="K45" s="108"/>
      <c r="L45" s="108"/>
      <c r="M45" s="109">
        <f t="shared" si="53"/>
        <v>0</v>
      </c>
      <c r="N45" s="4" t="str">
        <f t="shared" si="54"/>
        <v/>
      </c>
      <c r="O45" s="105">
        <f t="shared" si="55"/>
        <v>0</v>
      </c>
      <c r="P45" s="105">
        <f t="shared" si="56"/>
        <v>0</v>
      </c>
      <c r="Q45" s="77">
        <v>5</v>
      </c>
      <c r="R45" s="77">
        <v>3</v>
      </c>
      <c r="S45" s="77" t="s">
        <v>1244</v>
      </c>
      <c r="T45" s="5">
        <v>197</v>
      </c>
      <c r="U45" s="9"/>
      <c r="W45" s="104">
        <f t="shared" si="57"/>
        <v>197.5</v>
      </c>
      <c r="X45" s="106">
        <f t="shared" si="57"/>
        <v>60</v>
      </c>
      <c r="Y45" s="102">
        <f t="shared" si="58"/>
        <v>2</v>
      </c>
      <c r="Z45" s="109">
        <f t="shared" si="58"/>
        <v>0</v>
      </c>
      <c r="AA45" s="109">
        <f t="shared" si="59"/>
        <v>0</v>
      </c>
      <c r="AB45" s="109">
        <f t="shared" si="60"/>
        <v>0</v>
      </c>
      <c r="AC45" s="4" t="str">
        <f t="shared" si="60"/>
        <v/>
      </c>
      <c r="AD45" s="105">
        <f t="shared" si="60"/>
        <v>0</v>
      </c>
      <c r="AE45" s="77" t="str">
        <f t="shared" si="61"/>
        <v>계</v>
      </c>
      <c r="AF45" s="77" t="str">
        <f t="shared" si="62"/>
        <v>5/3</v>
      </c>
      <c r="AH45" s="20" t="str">
        <f t="shared" si="52"/>
        <v>더샵디오션시티2차</v>
      </c>
      <c r="AI45" s="106">
        <f t="shared" si="50"/>
        <v>60</v>
      </c>
      <c r="AJ45" s="77" t="str">
        <f t="shared" si="63"/>
        <v>A-</v>
      </c>
      <c r="AK45" s="77" t="s">
        <v>13</v>
      </c>
      <c r="AL45" s="77" t="s">
        <v>1242</v>
      </c>
      <c r="AM45" s="77" t="s">
        <v>1243</v>
      </c>
      <c r="AN45" s="77" t="str">
        <f t="shared" si="64"/>
        <v>C</v>
      </c>
      <c r="AO45" s="77" t="str">
        <f t="shared" si="65"/>
        <v/>
      </c>
      <c r="AP45" s="77" t="str">
        <f t="shared" si="66"/>
        <v/>
      </c>
      <c r="AQ45" s="77" t="str">
        <f t="shared" si="67"/>
        <v>O</v>
      </c>
      <c r="AR45" s="77" t="str">
        <f t="shared" si="68"/>
        <v>O</v>
      </c>
      <c r="AS45" s="77" t="s">
        <v>2</v>
      </c>
      <c r="AT45" s="77" t="str">
        <f t="shared" si="69"/>
        <v>X</v>
      </c>
      <c r="AU45" s="77" t="str">
        <f t="shared" si="70"/>
        <v>O</v>
      </c>
      <c r="AV45" s="77" t="str">
        <f t="shared" si="71"/>
        <v/>
      </c>
    </row>
    <row r="46" spans="1:48" x14ac:dyDescent="0.3">
      <c r="A46" s="9"/>
      <c r="B46" s="77"/>
      <c r="C46" s="6"/>
      <c r="D46" s="9"/>
      <c r="E46" s="14"/>
      <c r="F46" s="104"/>
      <c r="G46" s="9"/>
      <c r="H46" s="9"/>
      <c r="I46" s="9"/>
      <c r="J46" s="9"/>
      <c r="K46" s="9"/>
      <c r="L46" s="9"/>
      <c r="M46" s="9"/>
      <c r="N46" s="9"/>
      <c r="O46" s="105"/>
      <c r="P46" s="105"/>
      <c r="Q46" s="106"/>
      <c r="R46" s="106"/>
      <c r="S46" s="9"/>
      <c r="T46" s="47"/>
      <c r="U46" s="9"/>
      <c r="W46" s="67" t="str">
        <f>$A$4&amp;" "&amp;A47&amp;"("&amp;B47&amp;","&amp;C47&amp;"^)"</f>
        <v>조촌동 동신개나리('95.12.,383^)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52"/>
        <v/>
      </c>
      <c r="AI46" s="103" t="str">
        <f t="shared" si="50"/>
        <v/>
      </c>
      <c r="AJ46" s="77"/>
      <c r="AK46" s="77"/>
      <c r="AL46" s="77"/>
      <c r="AM46" s="77"/>
      <c r="AN46" s="77"/>
      <c r="AO46" s="77"/>
      <c r="AP46" s="77"/>
      <c r="AQ46" s="77"/>
      <c r="AR46" s="77"/>
      <c r="AS46" s="77"/>
      <c r="AT46" s="77"/>
      <c r="AU46" s="77"/>
      <c r="AV46" s="77"/>
    </row>
    <row r="47" spans="1:48" x14ac:dyDescent="0.3">
      <c r="A47" s="9" t="s">
        <v>1167</v>
      </c>
      <c r="B47" s="10" t="s">
        <v>1267</v>
      </c>
      <c r="C47" s="107">
        <v>383</v>
      </c>
      <c r="D47" s="104">
        <v>60.5</v>
      </c>
      <c r="E47" s="106">
        <v>18</v>
      </c>
      <c r="F47" s="104">
        <v>47.6</v>
      </c>
      <c r="G47" s="17">
        <v>14</v>
      </c>
      <c r="H47" s="107">
        <v>120</v>
      </c>
      <c r="I47" s="108">
        <v>6400</v>
      </c>
      <c r="J47" s="108" t="s">
        <v>1253</v>
      </c>
      <c r="K47" s="108"/>
      <c r="L47" s="108"/>
      <c r="M47" s="109">
        <f>I47-K47</f>
        <v>6400</v>
      </c>
      <c r="N47" s="4">
        <f>IF(ISERROR(K47/I47),"",K47/I47)</f>
        <v>0</v>
      </c>
      <c r="O47" s="105">
        <f>I47/E47</f>
        <v>355.55555555555554</v>
      </c>
      <c r="P47" s="105">
        <f>K47/E47</f>
        <v>0</v>
      </c>
      <c r="Q47" s="77">
        <v>3</v>
      </c>
      <c r="R47" s="77">
        <v>1</v>
      </c>
      <c r="S47" s="77" t="s">
        <v>1244</v>
      </c>
      <c r="T47" s="5">
        <v>60</v>
      </c>
      <c r="U47" s="9"/>
      <c r="W47" s="104">
        <f>D47</f>
        <v>60.5</v>
      </c>
      <c r="X47" s="106">
        <f>E47</f>
        <v>18</v>
      </c>
      <c r="Y47" s="102">
        <f>H47</f>
        <v>120</v>
      </c>
      <c r="Z47" s="109">
        <f>I47</f>
        <v>6400</v>
      </c>
      <c r="AA47" s="109">
        <f>K47</f>
        <v>0</v>
      </c>
      <c r="AB47" s="109">
        <f t="shared" ref="AB47:AD48" si="72">M47</f>
        <v>6400</v>
      </c>
      <c r="AC47" s="4">
        <f t="shared" si="72"/>
        <v>0</v>
      </c>
      <c r="AD47" s="105">
        <f t="shared" si="72"/>
        <v>355.55555555555554</v>
      </c>
      <c r="AE47" s="77" t="str">
        <f>S47</f>
        <v>계</v>
      </c>
      <c r="AF47" s="77" t="str">
        <f>Q47&amp;"/"&amp;R47</f>
        <v>3/1</v>
      </c>
      <c r="AH47" s="20" t="str">
        <f t="shared" si="52"/>
        <v>동신개나리</v>
      </c>
      <c r="AI47" s="106">
        <f t="shared" si="50"/>
        <v>18</v>
      </c>
      <c r="AJ47" s="77" t="str">
        <f>IF(AI47="","",$AJ$2)</f>
        <v>A-</v>
      </c>
      <c r="AK47" s="77" t="s">
        <v>13</v>
      </c>
      <c r="AL47" s="77" t="s">
        <v>1242</v>
      </c>
      <c r="AM47" s="77" t="s">
        <v>1243</v>
      </c>
      <c r="AN47" s="77" t="str">
        <f>IF(AI47="","",$AN$2)</f>
        <v>C</v>
      </c>
      <c r="AO47" s="77" t="str">
        <f>IF(N47="","",IF(N47&gt;=$AO$1/100,"O","X"))</f>
        <v>X</v>
      </c>
      <c r="AP47" s="77" t="str">
        <f>IF(I47="","",IF(I47&lt;=$AP$1,"O","X"))</f>
        <v>O</v>
      </c>
      <c r="AQ47" s="77" t="str">
        <f>IF(O47="","",IF(O47&lt;=$AQ$1,"O","X"))</f>
        <v>O</v>
      </c>
      <c r="AR47" s="77" t="str">
        <f>IF(M47="","",IF(M47&lt;=$AR$1,"O","X"))</f>
        <v>X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O</v>
      </c>
      <c r="AV47" s="77" t="str">
        <f>IF(AO47="","",IF(AND(AO47="O",AP47="O",AR47="O",AT47="O",AU47="O"),"후보","X"))</f>
        <v>X</v>
      </c>
    </row>
    <row r="48" spans="1:48" x14ac:dyDescent="0.3">
      <c r="A48" s="9" t="s">
        <v>1167</v>
      </c>
      <c r="B48" s="10" t="s">
        <v>1267</v>
      </c>
      <c r="C48" s="107">
        <v>383</v>
      </c>
      <c r="D48" s="104">
        <v>76</v>
      </c>
      <c r="E48" s="106">
        <v>23</v>
      </c>
      <c r="F48" s="104">
        <v>59.8</v>
      </c>
      <c r="G48" s="17">
        <v>18</v>
      </c>
      <c r="H48" s="107">
        <v>263</v>
      </c>
      <c r="I48" s="108">
        <v>9000</v>
      </c>
      <c r="J48" s="108" t="s">
        <v>1250</v>
      </c>
      <c r="K48" s="108"/>
      <c r="L48" s="108"/>
      <c r="M48" s="109">
        <f>I48-K48</f>
        <v>9000</v>
      </c>
      <c r="N48" s="4">
        <f>IF(ISERROR(K48/I48),"",K48/I48)</f>
        <v>0</v>
      </c>
      <c r="O48" s="105">
        <f>I48/E48</f>
        <v>391.30434782608694</v>
      </c>
      <c r="P48" s="105">
        <f>K48/E48</f>
        <v>0</v>
      </c>
      <c r="Q48" s="77">
        <v>3</v>
      </c>
      <c r="R48" s="77">
        <v>1</v>
      </c>
      <c r="S48" s="77" t="s">
        <v>1244</v>
      </c>
      <c r="T48" s="5">
        <v>76</v>
      </c>
      <c r="U48" s="9"/>
      <c r="W48" s="104">
        <f>D48</f>
        <v>76</v>
      </c>
      <c r="X48" s="106">
        <f>E48</f>
        <v>23</v>
      </c>
      <c r="Y48" s="102">
        <f>H48</f>
        <v>263</v>
      </c>
      <c r="Z48" s="109">
        <f>I48</f>
        <v>9000</v>
      </c>
      <c r="AA48" s="109">
        <f>K48</f>
        <v>0</v>
      </c>
      <c r="AB48" s="109">
        <f t="shared" si="72"/>
        <v>9000</v>
      </c>
      <c r="AC48" s="4">
        <f t="shared" si="72"/>
        <v>0</v>
      </c>
      <c r="AD48" s="105">
        <f t="shared" si="72"/>
        <v>391.30434782608694</v>
      </c>
      <c r="AE48" s="77" t="str">
        <f>S48</f>
        <v>계</v>
      </c>
      <c r="AF48" s="77" t="str">
        <f>Q48&amp;"/"&amp;R48</f>
        <v>3/1</v>
      </c>
      <c r="AH48" s="20" t="str">
        <f t="shared" si="52"/>
        <v>동신개나리</v>
      </c>
      <c r="AI48" s="106">
        <f t="shared" si="50"/>
        <v>23</v>
      </c>
      <c r="AJ48" s="77" t="str">
        <f>IF(AI48="","",$AJ$2)</f>
        <v>A-</v>
      </c>
      <c r="AK48" s="77" t="s">
        <v>13</v>
      </c>
      <c r="AL48" s="77" t="s">
        <v>1242</v>
      </c>
      <c r="AM48" s="77" t="s">
        <v>1243</v>
      </c>
      <c r="AN48" s="77" t="str">
        <f>IF(AI48="","",$AN$2)</f>
        <v>C</v>
      </c>
      <c r="AO48" s="77" t="str">
        <f>IF(N48="","",IF(N48&gt;=$AO$1/100,"O","X"))</f>
        <v>X</v>
      </c>
      <c r="AP48" s="77" t="str">
        <f>IF(I48="","",IF(I48&lt;=$AP$1,"O","X"))</f>
        <v>O</v>
      </c>
      <c r="AQ48" s="77" t="str">
        <f>IF(O48="","",IF(O48&lt;=$AQ$1,"O","X"))</f>
        <v>O</v>
      </c>
      <c r="AR48" s="77" t="str">
        <f>IF(M48="","",IF(M48&lt;=$AR$1,"O","X"))</f>
        <v>X</v>
      </c>
      <c r="AS48" s="77" t="s">
        <v>2</v>
      </c>
      <c r="AT48" s="77" t="str">
        <f>IF(OR(F48="",AI48=""),"",IF(AND((F48&lt;=85),(AI48&gt;=15)),"O","X"))</f>
        <v>O</v>
      </c>
      <c r="AU48" s="77" t="str">
        <f>IF(C48="","",IF(C48&gt;=$AU$1,"O","X"))</f>
        <v>O</v>
      </c>
      <c r="AV48" s="77" t="str">
        <f>IF(AO48="","",IF(AND(AO48="O",AP48="O",AR48="O",AT48="O",AU48="O"),"후보","X"))</f>
        <v>X</v>
      </c>
    </row>
    <row r="49" spans="1:48" x14ac:dyDescent="0.3">
      <c r="A49" s="9"/>
      <c r="B49" s="77"/>
      <c r="C49" s="6"/>
      <c r="D49" s="9"/>
      <c r="E49" s="14"/>
      <c r="F49" s="104"/>
      <c r="G49" s="9"/>
      <c r="H49" s="9"/>
      <c r="I49" s="9"/>
      <c r="J49" s="9"/>
      <c r="K49" s="9"/>
      <c r="L49" s="9"/>
      <c r="M49" s="9"/>
      <c r="N49" s="9"/>
      <c r="O49" s="105"/>
      <c r="P49" s="105"/>
      <c r="Q49" s="106"/>
      <c r="R49" s="106"/>
      <c r="S49" s="9"/>
      <c r="T49" s="47"/>
      <c r="U49" s="9"/>
      <c r="W49" s="67" t="str">
        <f>$A$4&amp;" "&amp;A50&amp;"("&amp;B50&amp;","&amp;C50&amp;"^)"</f>
        <v>조촌동 센트럴파크('17.10.,480^)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52"/>
        <v/>
      </c>
      <c r="AI49" s="103" t="str">
        <f t="shared" si="50"/>
        <v/>
      </c>
      <c r="AJ49" s="77"/>
      <c r="AK49" s="77"/>
      <c r="AL49" s="77"/>
      <c r="AM49" s="77"/>
      <c r="AN49" s="77"/>
      <c r="AO49" s="77"/>
      <c r="AP49" s="77"/>
      <c r="AQ49" s="77"/>
      <c r="AR49" s="77"/>
      <c r="AS49" s="77"/>
      <c r="AT49" s="77"/>
      <c r="AU49" s="77"/>
      <c r="AV49" s="77"/>
    </row>
    <row r="50" spans="1:48" x14ac:dyDescent="0.3">
      <c r="A50" s="9" t="s">
        <v>1171</v>
      </c>
      <c r="B50" s="10" t="s">
        <v>1349</v>
      </c>
      <c r="C50" s="107">
        <v>480</v>
      </c>
      <c r="D50" s="104">
        <v>110.7</v>
      </c>
      <c r="E50" s="106">
        <v>33</v>
      </c>
      <c r="F50" s="104">
        <v>84.9</v>
      </c>
      <c r="G50" s="17">
        <v>26</v>
      </c>
      <c r="H50" s="107">
        <v>251</v>
      </c>
      <c r="I50" s="108">
        <v>27000</v>
      </c>
      <c r="J50" s="108" t="s">
        <v>1248</v>
      </c>
      <c r="K50" s="108">
        <v>24000</v>
      </c>
      <c r="L50" s="108" t="s">
        <v>1350</v>
      </c>
      <c r="M50" s="109">
        <f>I50-K50</f>
        <v>3000</v>
      </c>
      <c r="N50" s="4">
        <f>IF(ISERROR(K50/I50),"",K50/I50)</f>
        <v>0.88888888888888884</v>
      </c>
      <c r="O50" s="105">
        <f>I50/E50</f>
        <v>818.18181818181813</v>
      </c>
      <c r="P50" s="105">
        <f>K50/E50</f>
        <v>727.27272727272725</v>
      </c>
      <c r="Q50" s="77">
        <v>3</v>
      </c>
      <c r="R50" s="77">
        <v>2</v>
      </c>
      <c r="S50" s="77" t="s">
        <v>1244</v>
      </c>
      <c r="T50" s="5" t="s">
        <v>102</v>
      </c>
      <c r="U50" s="9"/>
      <c r="W50" s="104">
        <f>D50</f>
        <v>110.7</v>
      </c>
      <c r="X50" s="106">
        <f>E50</f>
        <v>33</v>
      </c>
      <c r="Y50" s="102">
        <f>H50</f>
        <v>251</v>
      </c>
      <c r="Z50" s="109">
        <f>I50</f>
        <v>27000</v>
      </c>
      <c r="AA50" s="109">
        <f>K50</f>
        <v>24000</v>
      </c>
      <c r="AB50" s="109">
        <f t="shared" ref="AB50:AD51" si="73">M50</f>
        <v>3000</v>
      </c>
      <c r="AC50" s="4">
        <f t="shared" si="73"/>
        <v>0.88888888888888884</v>
      </c>
      <c r="AD50" s="105">
        <f t="shared" si="73"/>
        <v>818.18181818181813</v>
      </c>
      <c r="AE50" s="77" t="str">
        <f>S50</f>
        <v>계</v>
      </c>
      <c r="AF50" s="77" t="str">
        <f>Q50&amp;"/"&amp;R50</f>
        <v>3/2</v>
      </c>
      <c r="AH50" s="20" t="str">
        <f t="shared" si="52"/>
        <v>센트럴파크</v>
      </c>
      <c r="AI50" s="106">
        <f t="shared" si="50"/>
        <v>33</v>
      </c>
      <c r="AJ50" s="77" t="str">
        <f>IF(AI50="","",$AJ$2)</f>
        <v>A-</v>
      </c>
      <c r="AK50" s="77" t="s">
        <v>13</v>
      </c>
      <c r="AL50" s="77" t="s">
        <v>1242</v>
      </c>
      <c r="AM50" s="77" t="s">
        <v>1243</v>
      </c>
      <c r="AN50" s="77" t="str">
        <f>IF(AI50="","",$AN$2)</f>
        <v>C</v>
      </c>
      <c r="AO50" s="77" t="str">
        <f>IF(N50="","",IF(N50&gt;=$AO$1/100,"O","X"))</f>
        <v>O</v>
      </c>
      <c r="AP50" s="77" t="str">
        <f>IF(I50="","",IF(I50&lt;=$AP$1,"O","X"))</f>
        <v>O</v>
      </c>
      <c r="AQ50" s="77" t="str">
        <f>IF(O50="","",IF(O50&lt;=$AQ$1,"O","X"))</f>
        <v>O</v>
      </c>
      <c r="AR50" s="77" t="str">
        <f>IF(M50="","",IF(M50&lt;=$AR$1,"O","X"))</f>
        <v>O</v>
      </c>
      <c r="AS50" s="77" t="s">
        <v>2</v>
      </c>
      <c r="AT50" s="77" t="str">
        <f>IF(OR(F50="",AI50=""),"",IF(AND((F50&lt;=85),(AI50&gt;=15)),"O","X"))</f>
        <v>O</v>
      </c>
      <c r="AU50" s="77" t="str">
        <f>IF(C50="","",IF(C50&gt;=$AU$1,"O","X"))</f>
        <v>O</v>
      </c>
      <c r="AV50" s="77" t="str">
        <f>IF(AO50="","",IF(AND(AO50="O",AP50="O",AR50="O",AT50="O",AU50="O"),"후보","X"))</f>
        <v>후보</v>
      </c>
    </row>
    <row r="51" spans="1:48" x14ac:dyDescent="0.3">
      <c r="A51" s="9" t="s">
        <v>1171</v>
      </c>
      <c r="B51" s="10" t="s">
        <v>1349</v>
      </c>
      <c r="C51" s="107">
        <v>480</v>
      </c>
      <c r="D51" s="104">
        <v>110.2</v>
      </c>
      <c r="E51" s="106">
        <v>33</v>
      </c>
      <c r="F51" s="104">
        <v>85</v>
      </c>
      <c r="G51" s="17">
        <v>26</v>
      </c>
      <c r="H51" s="107">
        <v>229</v>
      </c>
      <c r="I51" s="108">
        <v>28000</v>
      </c>
      <c r="J51" s="108" t="s">
        <v>1294</v>
      </c>
      <c r="K51" s="108">
        <v>24000</v>
      </c>
      <c r="L51" s="108" t="s">
        <v>1249</v>
      </c>
      <c r="M51" s="109">
        <f>I51-K51</f>
        <v>4000</v>
      </c>
      <c r="N51" s="4">
        <f>IF(ISERROR(K51/I51),"",K51/I51)</f>
        <v>0.8571428571428571</v>
      </c>
      <c r="O51" s="105">
        <f>I51/E51</f>
        <v>848.4848484848485</v>
      </c>
      <c r="P51" s="105">
        <f>K51/E51</f>
        <v>727.27272727272725</v>
      </c>
      <c r="Q51" s="77">
        <v>3</v>
      </c>
      <c r="R51" s="77">
        <v>2</v>
      </c>
      <c r="S51" s="77" t="s">
        <v>1244</v>
      </c>
      <c r="T51" s="5" t="s">
        <v>101</v>
      </c>
      <c r="U51" s="9"/>
      <c r="W51" s="104">
        <f>D51</f>
        <v>110.2</v>
      </c>
      <c r="X51" s="106">
        <f>E51</f>
        <v>33</v>
      </c>
      <c r="Y51" s="102">
        <f>H51</f>
        <v>229</v>
      </c>
      <c r="Z51" s="109">
        <f>I51</f>
        <v>28000</v>
      </c>
      <c r="AA51" s="109">
        <f>K51</f>
        <v>24000</v>
      </c>
      <c r="AB51" s="109">
        <f t="shared" si="73"/>
        <v>4000</v>
      </c>
      <c r="AC51" s="4">
        <f t="shared" si="73"/>
        <v>0.8571428571428571</v>
      </c>
      <c r="AD51" s="105">
        <f t="shared" si="73"/>
        <v>848.4848484848485</v>
      </c>
      <c r="AE51" s="77" t="str">
        <f>S51</f>
        <v>계</v>
      </c>
      <c r="AF51" s="77" t="str">
        <f>Q51&amp;"/"&amp;R51</f>
        <v>3/2</v>
      </c>
      <c r="AH51" s="20" t="str">
        <f t="shared" si="52"/>
        <v>센트럴파크</v>
      </c>
      <c r="AI51" s="106">
        <f t="shared" si="50"/>
        <v>33</v>
      </c>
      <c r="AJ51" s="77" t="str">
        <f>IF(AI51="","",$AJ$2)</f>
        <v>A-</v>
      </c>
      <c r="AK51" s="77" t="s">
        <v>13</v>
      </c>
      <c r="AL51" s="77" t="s">
        <v>1242</v>
      </c>
      <c r="AM51" s="77" t="s">
        <v>1243</v>
      </c>
      <c r="AN51" s="77" t="str">
        <f>IF(AI51="","",$AN$2)</f>
        <v>C</v>
      </c>
      <c r="AO51" s="77" t="str">
        <f>IF(N51="","",IF(N51&gt;=$AO$1/100,"O","X"))</f>
        <v>O</v>
      </c>
      <c r="AP51" s="77" t="str">
        <f>IF(I51="","",IF(I51&lt;=$AP$1,"O","X"))</f>
        <v>O</v>
      </c>
      <c r="AQ51" s="77" t="str">
        <f>IF(O51="","",IF(O51&lt;=$AQ$1,"O","X"))</f>
        <v>O</v>
      </c>
      <c r="AR51" s="77" t="str">
        <f>IF(M51="","",IF(M51&lt;=$AR$1,"O","X"))</f>
        <v>O</v>
      </c>
      <c r="AS51" s="77" t="s">
        <v>2</v>
      </c>
      <c r="AT51" s="77" t="str">
        <f>IF(OR(F51="",AI51=""),"",IF(AND((F51&lt;=85),(AI51&gt;=15)),"O","X"))</f>
        <v>O</v>
      </c>
      <c r="AU51" s="77" t="str">
        <f>IF(C51="","",IF(C51&gt;=$AU$1,"O","X"))</f>
        <v>O</v>
      </c>
      <c r="AV51" s="77" t="str">
        <f>IF(AO51="","",IF(AND(AO51="O",AP51="O",AR51="O",AT51="O",AU51="O"),"후보","X"))</f>
        <v>후보</v>
      </c>
    </row>
    <row r="52" spans="1:48" x14ac:dyDescent="0.3">
      <c r="A52" s="9"/>
      <c r="B52" s="77"/>
      <c r="C52" s="6"/>
      <c r="D52" s="9"/>
      <c r="E52" s="14"/>
      <c r="F52" s="104"/>
      <c r="G52" s="9"/>
      <c r="H52" s="9"/>
      <c r="I52" s="9"/>
      <c r="J52" s="9"/>
      <c r="K52" s="9"/>
      <c r="L52" s="9"/>
      <c r="M52" s="9"/>
      <c r="N52" s="9"/>
      <c r="O52" s="105"/>
      <c r="P52" s="105"/>
      <c r="Q52" s="106"/>
      <c r="R52" s="106"/>
      <c r="S52" s="9"/>
      <c r="T52" s="47"/>
      <c r="U52" s="9"/>
      <c r="W52" s="67" t="str">
        <f>$A$4&amp;" "&amp;A53&amp;"("&amp;B53&amp;","&amp;C53&amp;"^)"</f>
        <v>조촌동 현대('95.09.,560^)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52"/>
        <v/>
      </c>
      <c r="AI52" s="103" t="str">
        <f t="shared" si="50"/>
        <v/>
      </c>
      <c r="AJ52" s="77"/>
      <c r="AK52" s="77"/>
      <c r="AL52" s="77"/>
      <c r="AM52" s="77"/>
      <c r="AN52" s="77"/>
      <c r="AO52" s="77"/>
      <c r="AP52" s="77"/>
      <c r="AQ52" s="77"/>
      <c r="AR52" s="77"/>
      <c r="AS52" s="77"/>
      <c r="AT52" s="77"/>
      <c r="AU52" s="77"/>
      <c r="AV52" s="77"/>
    </row>
    <row r="53" spans="1:48" x14ac:dyDescent="0.3">
      <c r="A53" s="9" t="s">
        <v>121</v>
      </c>
      <c r="B53" s="10" t="s">
        <v>1351</v>
      </c>
      <c r="C53" s="107">
        <v>560</v>
      </c>
      <c r="D53" s="104">
        <v>91.9</v>
      </c>
      <c r="E53" s="106">
        <v>28</v>
      </c>
      <c r="F53" s="104">
        <v>75.099999999999994</v>
      </c>
      <c r="G53" s="17">
        <v>23</v>
      </c>
      <c r="H53" s="107">
        <v>112</v>
      </c>
      <c r="I53" s="108">
        <v>12500</v>
      </c>
      <c r="J53" s="108" t="s">
        <v>1280</v>
      </c>
      <c r="K53" s="108"/>
      <c r="L53" s="108"/>
      <c r="M53" s="109">
        <f>I53-K53</f>
        <v>12500</v>
      </c>
      <c r="N53" s="4">
        <f>IF(ISERROR(K53/I53),"",K53/I53)</f>
        <v>0</v>
      </c>
      <c r="O53" s="105">
        <f>I53/E53</f>
        <v>446.42857142857144</v>
      </c>
      <c r="P53" s="105">
        <f>K53/E53</f>
        <v>0</v>
      </c>
      <c r="Q53" s="77">
        <v>3</v>
      </c>
      <c r="R53" s="77">
        <v>1</v>
      </c>
      <c r="S53" s="77" t="s">
        <v>1244</v>
      </c>
      <c r="T53" s="5">
        <v>91</v>
      </c>
      <c r="U53" s="9"/>
      <c r="W53" s="104">
        <f t="shared" ref="W53:X55" si="74">D53</f>
        <v>91.9</v>
      </c>
      <c r="X53" s="106">
        <f t="shared" si="74"/>
        <v>28</v>
      </c>
      <c r="Y53" s="102">
        <f t="shared" ref="Y53:Z55" si="75">H53</f>
        <v>112</v>
      </c>
      <c r="Z53" s="109">
        <f t="shared" si="75"/>
        <v>12500</v>
      </c>
      <c r="AA53" s="109">
        <f>K53</f>
        <v>0</v>
      </c>
      <c r="AB53" s="109">
        <f t="shared" ref="AB53:AD55" si="76">M53</f>
        <v>12500</v>
      </c>
      <c r="AC53" s="4">
        <f t="shared" si="76"/>
        <v>0</v>
      </c>
      <c r="AD53" s="105">
        <f t="shared" si="76"/>
        <v>446.42857142857144</v>
      </c>
      <c r="AE53" s="77" t="str">
        <f>S53</f>
        <v>계</v>
      </c>
      <c r="AF53" s="77" t="str">
        <f>Q53&amp;"/"&amp;R53</f>
        <v>3/1</v>
      </c>
      <c r="AH53" s="20" t="str">
        <f t="shared" si="52"/>
        <v>현대</v>
      </c>
      <c r="AI53" s="106">
        <f t="shared" si="50"/>
        <v>28</v>
      </c>
      <c r="AJ53" s="77" t="str">
        <f>IF(AI53="","",$AJ$2)</f>
        <v>A-</v>
      </c>
      <c r="AK53" s="77" t="s">
        <v>13</v>
      </c>
      <c r="AL53" s="77" t="s">
        <v>1242</v>
      </c>
      <c r="AM53" s="77" t="s">
        <v>1243</v>
      </c>
      <c r="AN53" s="77" t="str">
        <f>IF(AI53="","",$AN$2)</f>
        <v>C</v>
      </c>
      <c r="AO53" s="77" t="str">
        <f>IF(N53="","",IF(N53&gt;=$AO$1/100,"O","X"))</f>
        <v>X</v>
      </c>
      <c r="AP53" s="77" t="str">
        <f>IF(I53="","",IF(I53&lt;=$AP$1,"O","X"))</f>
        <v>O</v>
      </c>
      <c r="AQ53" s="77" t="str">
        <f>IF(O53="","",IF(O53&lt;=$AQ$1,"O","X"))</f>
        <v>O</v>
      </c>
      <c r="AR53" s="77" t="str">
        <f>IF(M53="","",IF(M53&lt;=$AR$1,"O","X"))</f>
        <v>X</v>
      </c>
      <c r="AS53" s="77" t="s">
        <v>2</v>
      </c>
      <c r="AT53" s="77" t="str">
        <f>IF(OR(F53="",AI53=""),"",IF(AND((F53&lt;=85),(AI53&gt;=15)),"O","X"))</f>
        <v>O</v>
      </c>
      <c r="AU53" s="77" t="str">
        <f>IF(C53="","",IF(C53&gt;=$AU$1,"O","X"))</f>
        <v>O</v>
      </c>
      <c r="AV53" s="77" t="str">
        <f>IF(AO53="","",IF(AND(AO53="O",AP53="O",AR53="O",AT53="O",AU53="O"),"후보","X"))</f>
        <v>X</v>
      </c>
    </row>
    <row r="54" spans="1:48" x14ac:dyDescent="0.3">
      <c r="A54" s="9" t="s">
        <v>121</v>
      </c>
      <c r="B54" s="10" t="s">
        <v>1351</v>
      </c>
      <c r="C54" s="107">
        <v>560</v>
      </c>
      <c r="D54" s="104">
        <v>91.8</v>
      </c>
      <c r="E54" s="106">
        <v>28</v>
      </c>
      <c r="F54" s="104">
        <v>75</v>
      </c>
      <c r="G54" s="17">
        <v>23</v>
      </c>
      <c r="H54" s="107">
        <v>28</v>
      </c>
      <c r="I54" s="108"/>
      <c r="J54" s="108"/>
      <c r="K54" s="108"/>
      <c r="L54" s="108"/>
      <c r="M54" s="109">
        <f>I54-K54</f>
        <v>0</v>
      </c>
      <c r="N54" s="4" t="str">
        <f>IF(ISERROR(K54/I54),"",K54/I54)</f>
        <v/>
      </c>
      <c r="O54" s="105">
        <f>I54/E54</f>
        <v>0</v>
      </c>
      <c r="P54" s="105">
        <f>K54/E54</f>
        <v>0</v>
      </c>
      <c r="Q54" s="77">
        <v>3</v>
      </c>
      <c r="R54" s="77">
        <v>1</v>
      </c>
      <c r="S54" s="77" t="s">
        <v>1244</v>
      </c>
      <c r="T54" s="5">
        <v>91</v>
      </c>
      <c r="U54" s="9"/>
      <c r="W54" s="104">
        <f t="shared" si="74"/>
        <v>91.8</v>
      </c>
      <c r="X54" s="106">
        <f t="shared" si="74"/>
        <v>28</v>
      </c>
      <c r="Y54" s="102">
        <f t="shared" si="75"/>
        <v>28</v>
      </c>
      <c r="Z54" s="109">
        <f t="shared" si="75"/>
        <v>0</v>
      </c>
      <c r="AA54" s="109">
        <f>K54</f>
        <v>0</v>
      </c>
      <c r="AB54" s="109">
        <f t="shared" si="76"/>
        <v>0</v>
      </c>
      <c r="AC54" s="4" t="str">
        <f t="shared" si="76"/>
        <v/>
      </c>
      <c r="AD54" s="105">
        <f t="shared" si="76"/>
        <v>0</v>
      </c>
      <c r="AE54" s="77" t="str">
        <f>S54</f>
        <v>계</v>
      </c>
      <c r="AF54" s="77" t="str">
        <f>Q54&amp;"/"&amp;R54</f>
        <v>3/1</v>
      </c>
      <c r="AH54" s="20" t="str">
        <f t="shared" si="52"/>
        <v>현대</v>
      </c>
      <c r="AI54" s="106">
        <f t="shared" si="50"/>
        <v>28</v>
      </c>
      <c r="AJ54" s="77" t="str">
        <f>IF(AI54="","",$AJ$2)</f>
        <v>A-</v>
      </c>
      <c r="AK54" s="77" t="s">
        <v>13</v>
      </c>
      <c r="AL54" s="77" t="s">
        <v>1242</v>
      </c>
      <c r="AM54" s="77" t="s">
        <v>1243</v>
      </c>
      <c r="AN54" s="77" t="str">
        <f>IF(AI54="","",$AN$2)</f>
        <v>C</v>
      </c>
      <c r="AO54" s="77" t="str">
        <f>IF(N54="","",IF(N54&gt;=$AO$1/100,"O","X"))</f>
        <v/>
      </c>
      <c r="AP54" s="77" t="str">
        <f>IF(I54="","",IF(I54&lt;=$AP$1,"O","X"))</f>
        <v/>
      </c>
      <c r="AQ54" s="77" t="str">
        <f>IF(O54="","",IF(O54&lt;=$AQ$1,"O","X"))</f>
        <v>O</v>
      </c>
      <c r="AR54" s="77" t="str">
        <f>IF(M54="","",IF(M54&lt;=$AR$1,"O","X"))</f>
        <v>O</v>
      </c>
      <c r="AS54" s="77" t="s">
        <v>2</v>
      </c>
      <c r="AT54" s="77" t="str">
        <f>IF(OR(F54="",AI54=""),"",IF(AND((F54&lt;=85),(AI54&gt;=15)),"O","X"))</f>
        <v>O</v>
      </c>
      <c r="AU54" s="77" t="str">
        <f>IF(C54="","",IF(C54&gt;=$AU$1,"O","X"))</f>
        <v>O</v>
      </c>
      <c r="AV54" s="77" t="str">
        <f>IF(AO54="","",IF(AND(AO54="O",AP54="O",AR54="O",AT54="O",AU54="O"),"후보","X"))</f>
        <v/>
      </c>
    </row>
    <row r="55" spans="1:48" x14ac:dyDescent="0.3">
      <c r="A55" s="9" t="s">
        <v>121</v>
      </c>
      <c r="B55" s="10" t="s">
        <v>1351</v>
      </c>
      <c r="C55" s="107">
        <v>560</v>
      </c>
      <c r="D55" s="104">
        <v>103.9</v>
      </c>
      <c r="E55" s="106">
        <v>31</v>
      </c>
      <c r="F55" s="104">
        <v>85</v>
      </c>
      <c r="G55" s="17">
        <v>26</v>
      </c>
      <c r="H55" s="107">
        <v>420</v>
      </c>
      <c r="I55" s="108">
        <v>16500</v>
      </c>
      <c r="J55" s="108" t="s">
        <v>1251</v>
      </c>
      <c r="K55" s="108"/>
      <c r="L55" s="108"/>
      <c r="M55" s="109">
        <f>I55-K55</f>
        <v>16500</v>
      </c>
      <c r="N55" s="4">
        <f>IF(ISERROR(K55/I55),"",K55/I55)</f>
        <v>0</v>
      </c>
      <c r="O55" s="105">
        <f>I55/E55</f>
        <v>532.25806451612902</v>
      </c>
      <c r="P55" s="105">
        <f>K55/E55</f>
        <v>0</v>
      </c>
      <c r="Q55" s="77">
        <v>3</v>
      </c>
      <c r="R55" s="77">
        <v>2</v>
      </c>
      <c r="S55" s="77" t="s">
        <v>1244</v>
      </c>
      <c r="T55" s="5">
        <v>103</v>
      </c>
      <c r="U55" s="9"/>
      <c r="W55" s="104">
        <f t="shared" si="74"/>
        <v>103.9</v>
      </c>
      <c r="X55" s="106">
        <f t="shared" si="74"/>
        <v>31</v>
      </c>
      <c r="Y55" s="102">
        <f t="shared" si="75"/>
        <v>420</v>
      </c>
      <c r="Z55" s="109">
        <f t="shared" si="75"/>
        <v>16500</v>
      </c>
      <c r="AA55" s="109">
        <f>K55</f>
        <v>0</v>
      </c>
      <c r="AB55" s="109">
        <f t="shared" si="76"/>
        <v>16500</v>
      </c>
      <c r="AC55" s="4">
        <f t="shared" si="76"/>
        <v>0</v>
      </c>
      <c r="AD55" s="105">
        <f t="shared" si="76"/>
        <v>532.25806451612902</v>
      </c>
      <c r="AE55" s="77" t="str">
        <f>S55</f>
        <v>계</v>
      </c>
      <c r="AF55" s="77" t="str">
        <f>Q55&amp;"/"&amp;R55</f>
        <v>3/2</v>
      </c>
      <c r="AH55" s="20" t="str">
        <f t="shared" si="52"/>
        <v>현대</v>
      </c>
      <c r="AI55" s="106">
        <f t="shared" si="50"/>
        <v>31</v>
      </c>
      <c r="AJ55" s="77" t="str">
        <f>IF(AI55="","",$AJ$2)</f>
        <v>A-</v>
      </c>
      <c r="AK55" s="77" t="s">
        <v>13</v>
      </c>
      <c r="AL55" s="77" t="s">
        <v>1242</v>
      </c>
      <c r="AM55" s="77" t="s">
        <v>1243</v>
      </c>
      <c r="AN55" s="77" t="str">
        <f>IF(AI55="","",$AN$2)</f>
        <v>C</v>
      </c>
      <c r="AO55" s="77" t="str">
        <f>IF(N55="","",IF(N55&gt;=$AO$1/100,"O","X"))</f>
        <v>X</v>
      </c>
      <c r="AP55" s="77" t="str">
        <f>IF(I55="","",IF(I55&lt;=$AP$1,"O","X"))</f>
        <v>O</v>
      </c>
      <c r="AQ55" s="77" t="str">
        <f>IF(O55="","",IF(O55&lt;=$AQ$1,"O","X"))</f>
        <v>O</v>
      </c>
      <c r="AR55" s="77" t="str">
        <f>IF(M55="","",IF(M55&lt;=$AR$1,"O","X"))</f>
        <v>X</v>
      </c>
      <c r="AS55" s="77" t="s">
        <v>2</v>
      </c>
      <c r="AT55" s="77" t="str">
        <f>IF(OR(F55="",AI55=""),"",IF(AND((F55&lt;=85),(AI55&gt;=15)),"O","X"))</f>
        <v>O</v>
      </c>
      <c r="AU55" s="77" t="str">
        <f>IF(C55="","",IF(C55&gt;=$AU$1,"O","X"))</f>
        <v>O</v>
      </c>
      <c r="AV55" s="77" t="str">
        <f>IF(AO55="","",IF(AND(AO55="O",AP55="O",AR55="O",AT55="O",AU55="O"),"후보","X"))</f>
        <v>X</v>
      </c>
    </row>
    <row r="56" spans="1:48" x14ac:dyDescent="0.3">
      <c r="A56" s="9"/>
      <c r="B56" s="77"/>
      <c r="C56" s="6"/>
      <c r="D56" s="9"/>
      <c r="E56" s="14"/>
      <c r="F56" s="104"/>
      <c r="G56" s="9"/>
      <c r="H56" s="9"/>
      <c r="I56" s="9"/>
      <c r="J56" s="9"/>
      <c r="K56" s="9"/>
      <c r="L56" s="9"/>
      <c r="M56" s="9"/>
      <c r="N56" s="9"/>
      <c r="O56" s="105"/>
      <c r="P56" s="105"/>
      <c r="Q56" s="106"/>
      <c r="R56" s="106"/>
      <c r="S56" s="9"/>
      <c r="T56" s="47"/>
      <c r="U56" s="9"/>
      <c r="W56" s="67" t="str">
        <f>$A$4&amp;" "&amp;A57&amp;"("&amp;B57&amp;","&amp;C57&amp;"^)"</f>
        <v>조촌동 더샵디오션시티('21.10.,973^)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52"/>
        <v/>
      </c>
      <c r="AI56" s="103" t="str">
        <f t="shared" si="50"/>
        <v/>
      </c>
      <c r="AJ56" s="77"/>
      <c r="AK56" s="77"/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</row>
    <row r="57" spans="1:48" x14ac:dyDescent="0.3">
      <c r="A57" s="9" t="s">
        <v>1188</v>
      </c>
      <c r="B57" s="10" t="s">
        <v>1352</v>
      </c>
      <c r="C57" s="107">
        <v>973</v>
      </c>
      <c r="D57" s="104">
        <v>79.5</v>
      </c>
      <c r="E57" s="106">
        <v>24</v>
      </c>
      <c r="F57" s="104">
        <v>60</v>
      </c>
      <c r="G57" s="17">
        <v>18</v>
      </c>
      <c r="H57" s="107">
        <v>171</v>
      </c>
      <c r="I57" s="108"/>
      <c r="J57" s="108"/>
      <c r="K57" s="108">
        <v>25000</v>
      </c>
      <c r="L57" s="108" t="s">
        <v>1247</v>
      </c>
      <c r="M57" s="109">
        <f t="shared" ref="M57:M63" si="77">I57-K57</f>
        <v>-25000</v>
      </c>
      <c r="N57" s="4" t="str">
        <f t="shared" ref="N57:N63" si="78">IF(ISERROR(K57/I57),"",K57/I57)</f>
        <v/>
      </c>
      <c r="O57" s="105">
        <f t="shared" ref="O57:O63" si="79">I57/E57</f>
        <v>0</v>
      </c>
      <c r="P57" s="105">
        <f t="shared" ref="P57:P63" si="80">K57/E57</f>
        <v>1041.6666666666667</v>
      </c>
      <c r="Q57" s="77">
        <v>3</v>
      </c>
      <c r="R57" s="77">
        <v>2</v>
      </c>
      <c r="S57" s="77" t="s">
        <v>1244</v>
      </c>
      <c r="T57" s="5" t="s">
        <v>282</v>
      </c>
      <c r="U57" s="9"/>
      <c r="W57" s="104">
        <f t="shared" ref="W57:X63" si="81">D57</f>
        <v>79.5</v>
      </c>
      <c r="X57" s="106">
        <f t="shared" si="81"/>
        <v>24</v>
      </c>
      <c r="Y57" s="102">
        <f t="shared" ref="Y57:Z63" si="82">H57</f>
        <v>171</v>
      </c>
      <c r="Z57" s="109">
        <f t="shared" si="82"/>
        <v>0</v>
      </c>
      <c r="AA57" s="109">
        <f t="shared" ref="AA57:AA63" si="83">K57</f>
        <v>25000</v>
      </c>
      <c r="AB57" s="109">
        <f t="shared" ref="AB57:AD63" si="84">M57</f>
        <v>-25000</v>
      </c>
      <c r="AC57" s="4" t="str">
        <f t="shared" si="84"/>
        <v/>
      </c>
      <c r="AD57" s="105">
        <f t="shared" si="84"/>
        <v>0</v>
      </c>
      <c r="AE57" s="77" t="str">
        <f t="shared" ref="AE57:AE63" si="85">S57</f>
        <v>계</v>
      </c>
      <c r="AF57" s="77" t="str">
        <f t="shared" ref="AF57:AF63" si="86">Q57&amp;"/"&amp;R57</f>
        <v>3/2</v>
      </c>
      <c r="AH57" s="20" t="str">
        <f t="shared" si="52"/>
        <v>더샵디오션시티</v>
      </c>
      <c r="AI57" s="106">
        <f t="shared" si="50"/>
        <v>24</v>
      </c>
      <c r="AJ57" s="77" t="str">
        <f t="shared" ref="AJ57:AJ63" si="87">IF(AI57="","",$AJ$2)</f>
        <v>A-</v>
      </c>
      <c r="AK57" s="77" t="s">
        <v>13</v>
      </c>
      <c r="AL57" s="77" t="s">
        <v>1242</v>
      </c>
      <c r="AM57" s="77" t="s">
        <v>1243</v>
      </c>
      <c r="AN57" s="77" t="str">
        <f t="shared" ref="AN57:AN63" si="88">IF(AI57="","",$AN$2)</f>
        <v>C</v>
      </c>
      <c r="AO57" s="77" t="str">
        <f t="shared" ref="AO57:AO63" si="89">IF(N57="","",IF(N57&gt;=$AO$1/100,"O","X"))</f>
        <v/>
      </c>
      <c r="AP57" s="77" t="str">
        <f t="shared" ref="AP57:AP63" si="90">IF(I57="","",IF(I57&lt;=$AP$1,"O","X"))</f>
        <v/>
      </c>
      <c r="AQ57" s="77" t="str">
        <f t="shared" ref="AQ57:AQ63" si="91">IF(O57="","",IF(O57&lt;=$AQ$1,"O","X"))</f>
        <v>O</v>
      </c>
      <c r="AR57" s="77" t="str">
        <f t="shared" ref="AR57:AR63" si="92">IF(M57="","",IF(M57&lt;=$AR$1,"O","X"))</f>
        <v>O</v>
      </c>
      <c r="AS57" s="77" t="s">
        <v>2</v>
      </c>
      <c r="AT57" s="77" t="str">
        <f t="shared" ref="AT57:AT63" si="93">IF(OR(F57="",AI57=""),"",IF(AND((F57&lt;=85),(AI57&gt;=15)),"O","X"))</f>
        <v>O</v>
      </c>
      <c r="AU57" s="77" t="str">
        <f t="shared" ref="AU57:AU63" si="94">IF(C57="","",IF(C57&gt;=$AU$1,"O","X"))</f>
        <v>O</v>
      </c>
      <c r="AV57" s="77" t="str">
        <f t="shared" ref="AV57:AV63" si="95">IF(AO57="","",IF(AND(AO57="O",AP57="O",AR57="O",AT57="O",AU57="O"),"후보","X"))</f>
        <v/>
      </c>
    </row>
    <row r="58" spans="1:48" x14ac:dyDescent="0.3">
      <c r="A58" s="9" t="s">
        <v>1188</v>
      </c>
      <c r="B58" s="10" t="s">
        <v>1352</v>
      </c>
      <c r="C58" s="107">
        <v>973</v>
      </c>
      <c r="D58" s="104">
        <v>79.5</v>
      </c>
      <c r="E58" s="106">
        <v>24</v>
      </c>
      <c r="F58" s="104">
        <v>60</v>
      </c>
      <c r="G58" s="17">
        <v>18</v>
      </c>
      <c r="H58" s="107">
        <v>58</v>
      </c>
      <c r="I58" s="108"/>
      <c r="J58" s="108"/>
      <c r="K58" s="108">
        <v>25000</v>
      </c>
      <c r="L58" s="108" t="s">
        <v>1247</v>
      </c>
      <c r="M58" s="109">
        <f t="shared" si="77"/>
        <v>-25000</v>
      </c>
      <c r="N58" s="4" t="str">
        <f t="shared" si="78"/>
        <v/>
      </c>
      <c r="O58" s="105">
        <f t="shared" si="79"/>
        <v>0</v>
      </c>
      <c r="P58" s="105">
        <f t="shared" si="80"/>
        <v>1041.6666666666667</v>
      </c>
      <c r="Q58" s="77">
        <v>3</v>
      </c>
      <c r="R58" s="77">
        <v>2</v>
      </c>
      <c r="S58" s="77" t="s">
        <v>1244</v>
      </c>
      <c r="T58" s="5" t="s">
        <v>912</v>
      </c>
      <c r="U58" s="9"/>
      <c r="W58" s="104">
        <f t="shared" si="81"/>
        <v>79.5</v>
      </c>
      <c r="X58" s="106">
        <f t="shared" si="81"/>
        <v>24</v>
      </c>
      <c r="Y58" s="102">
        <f t="shared" si="82"/>
        <v>58</v>
      </c>
      <c r="Z58" s="109">
        <f t="shared" si="82"/>
        <v>0</v>
      </c>
      <c r="AA58" s="109">
        <f t="shared" si="83"/>
        <v>25000</v>
      </c>
      <c r="AB58" s="109">
        <f t="shared" si="84"/>
        <v>-25000</v>
      </c>
      <c r="AC58" s="4" t="str">
        <f t="shared" si="84"/>
        <v/>
      </c>
      <c r="AD58" s="105">
        <f t="shared" si="84"/>
        <v>0</v>
      </c>
      <c r="AE58" s="77" t="str">
        <f t="shared" si="85"/>
        <v>계</v>
      </c>
      <c r="AF58" s="77" t="str">
        <f t="shared" si="86"/>
        <v>3/2</v>
      </c>
      <c r="AH58" s="20" t="str">
        <f t="shared" si="52"/>
        <v>더샵디오션시티</v>
      </c>
      <c r="AI58" s="106">
        <f t="shared" si="50"/>
        <v>24</v>
      </c>
      <c r="AJ58" s="77" t="str">
        <f t="shared" si="87"/>
        <v>A-</v>
      </c>
      <c r="AK58" s="77" t="s">
        <v>13</v>
      </c>
      <c r="AL58" s="77" t="s">
        <v>1242</v>
      </c>
      <c r="AM58" s="77" t="s">
        <v>1243</v>
      </c>
      <c r="AN58" s="77" t="str">
        <f t="shared" si="88"/>
        <v>C</v>
      </c>
      <c r="AO58" s="77" t="str">
        <f t="shared" si="89"/>
        <v/>
      </c>
      <c r="AP58" s="77" t="str">
        <f t="shared" si="90"/>
        <v/>
      </c>
      <c r="AQ58" s="77" t="str">
        <f t="shared" si="91"/>
        <v>O</v>
      </c>
      <c r="AR58" s="77" t="str">
        <f t="shared" si="92"/>
        <v>O</v>
      </c>
      <c r="AS58" s="77" t="s">
        <v>2</v>
      </c>
      <c r="AT58" s="77" t="str">
        <f t="shared" si="93"/>
        <v>O</v>
      </c>
      <c r="AU58" s="77" t="str">
        <f t="shared" si="94"/>
        <v>O</v>
      </c>
      <c r="AV58" s="77" t="str">
        <f t="shared" si="95"/>
        <v/>
      </c>
    </row>
    <row r="59" spans="1:48" x14ac:dyDescent="0.3">
      <c r="A59" s="9" t="s">
        <v>1188</v>
      </c>
      <c r="B59" s="10" t="s">
        <v>1352</v>
      </c>
      <c r="C59" s="107">
        <v>973</v>
      </c>
      <c r="D59" s="104">
        <v>110.7</v>
      </c>
      <c r="E59" s="106">
        <v>33</v>
      </c>
      <c r="F59" s="104">
        <v>85</v>
      </c>
      <c r="G59" s="17">
        <v>26</v>
      </c>
      <c r="H59" s="107">
        <v>492</v>
      </c>
      <c r="I59" s="108"/>
      <c r="J59" s="108"/>
      <c r="K59" s="108">
        <v>30000</v>
      </c>
      <c r="L59" s="108" t="s">
        <v>1245</v>
      </c>
      <c r="M59" s="109">
        <f t="shared" si="77"/>
        <v>-30000</v>
      </c>
      <c r="N59" s="4" t="str">
        <f t="shared" si="78"/>
        <v/>
      </c>
      <c r="O59" s="105">
        <f t="shared" si="79"/>
        <v>0</v>
      </c>
      <c r="P59" s="105">
        <f t="shared" si="80"/>
        <v>909.09090909090912</v>
      </c>
      <c r="Q59" s="77">
        <v>3</v>
      </c>
      <c r="R59" s="77">
        <v>2</v>
      </c>
      <c r="S59" s="77" t="s">
        <v>1244</v>
      </c>
      <c r="T59" s="5" t="s">
        <v>102</v>
      </c>
      <c r="U59" s="9"/>
      <c r="W59" s="104">
        <f t="shared" si="81"/>
        <v>110.7</v>
      </c>
      <c r="X59" s="106">
        <f t="shared" si="81"/>
        <v>33</v>
      </c>
      <c r="Y59" s="102">
        <f t="shared" si="82"/>
        <v>492</v>
      </c>
      <c r="Z59" s="109">
        <f t="shared" si="82"/>
        <v>0</v>
      </c>
      <c r="AA59" s="109">
        <f t="shared" si="83"/>
        <v>30000</v>
      </c>
      <c r="AB59" s="109">
        <f t="shared" si="84"/>
        <v>-30000</v>
      </c>
      <c r="AC59" s="4" t="str">
        <f t="shared" si="84"/>
        <v/>
      </c>
      <c r="AD59" s="105">
        <f t="shared" si="84"/>
        <v>0</v>
      </c>
      <c r="AE59" s="77" t="str">
        <f t="shared" si="85"/>
        <v>계</v>
      </c>
      <c r="AF59" s="77" t="str">
        <f t="shared" si="86"/>
        <v>3/2</v>
      </c>
      <c r="AH59" s="20" t="str">
        <f t="shared" si="52"/>
        <v>더샵디오션시티</v>
      </c>
      <c r="AI59" s="106">
        <f t="shared" si="50"/>
        <v>33</v>
      </c>
      <c r="AJ59" s="77" t="str">
        <f t="shared" si="87"/>
        <v>A-</v>
      </c>
      <c r="AK59" s="77" t="s">
        <v>13</v>
      </c>
      <c r="AL59" s="77" t="s">
        <v>1242</v>
      </c>
      <c r="AM59" s="77" t="s">
        <v>1243</v>
      </c>
      <c r="AN59" s="77" t="str">
        <f t="shared" si="88"/>
        <v>C</v>
      </c>
      <c r="AO59" s="77" t="str">
        <f t="shared" si="89"/>
        <v/>
      </c>
      <c r="AP59" s="77" t="str">
        <f t="shared" si="90"/>
        <v/>
      </c>
      <c r="AQ59" s="77" t="str">
        <f t="shared" si="91"/>
        <v>O</v>
      </c>
      <c r="AR59" s="77" t="str">
        <f t="shared" si="92"/>
        <v>O</v>
      </c>
      <c r="AS59" s="77" t="s">
        <v>2</v>
      </c>
      <c r="AT59" s="77" t="str">
        <f t="shared" si="93"/>
        <v>O</v>
      </c>
      <c r="AU59" s="77" t="str">
        <f t="shared" si="94"/>
        <v>O</v>
      </c>
      <c r="AV59" s="77" t="str">
        <f t="shared" si="95"/>
        <v/>
      </c>
    </row>
    <row r="60" spans="1:48" x14ac:dyDescent="0.3">
      <c r="A60" s="9" t="s">
        <v>1188</v>
      </c>
      <c r="B60" s="10" t="s">
        <v>1352</v>
      </c>
      <c r="C60" s="107">
        <v>973</v>
      </c>
      <c r="D60" s="104">
        <v>111</v>
      </c>
      <c r="E60" s="106">
        <v>34</v>
      </c>
      <c r="F60" s="104">
        <v>85</v>
      </c>
      <c r="G60" s="17">
        <v>26</v>
      </c>
      <c r="H60" s="107">
        <v>81</v>
      </c>
      <c r="I60" s="108"/>
      <c r="J60" s="108"/>
      <c r="K60" s="108">
        <v>31000</v>
      </c>
      <c r="L60" s="108" t="s">
        <v>1251</v>
      </c>
      <c r="M60" s="109">
        <f t="shared" si="77"/>
        <v>-31000</v>
      </c>
      <c r="N60" s="4" t="str">
        <f t="shared" si="78"/>
        <v/>
      </c>
      <c r="O60" s="105">
        <f t="shared" si="79"/>
        <v>0</v>
      </c>
      <c r="P60" s="105">
        <f t="shared" si="80"/>
        <v>911.76470588235293</v>
      </c>
      <c r="Q60" s="77">
        <v>3</v>
      </c>
      <c r="R60" s="77">
        <v>2</v>
      </c>
      <c r="S60" s="77" t="s">
        <v>1244</v>
      </c>
      <c r="T60" s="5" t="s">
        <v>101</v>
      </c>
      <c r="U60" s="9"/>
      <c r="W60" s="104">
        <f t="shared" si="81"/>
        <v>111</v>
      </c>
      <c r="X60" s="106">
        <f t="shared" si="81"/>
        <v>34</v>
      </c>
      <c r="Y60" s="102">
        <f t="shared" si="82"/>
        <v>81</v>
      </c>
      <c r="Z60" s="109">
        <f t="shared" si="82"/>
        <v>0</v>
      </c>
      <c r="AA60" s="109">
        <f t="shared" si="83"/>
        <v>31000</v>
      </c>
      <c r="AB60" s="109">
        <f t="shared" si="84"/>
        <v>-31000</v>
      </c>
      <c r="AC60" s="4" t="str">
        <f t="shared" si="84"/>
        <v/>
      </c>
      <c r="AD60" s="105">
        <f t="shared" si="84"/>
        <v>0</v>
      </c>
      <c r="AE60" s="77" t="str">
        <f t="shared" si="85"/>
        <v>계</v>
      </c>
      <c r="AF60" s="77" t="str">
        <f t="shared" si="86"/>
        <v>3/2</v>
      </c>
      <c r="AH60" s="20" t="str">
        <f t="shared" si="52"/>
        <v>더샵디오션시티</v>
      </c>
      <c r="AI60" s="106">
        <f t="shared" si="50"/>
        <v>34</v>
      </c>
      <c r="AJ60" s="77" t="str">
        <f t="shared" si="87"/>
        <v>A-</v>
      </c>
      <c r="AK60" s="77" t="s">
        <v>13</v>
      </c>
      <c r="AL60" s="77" t="s">
        <v>1242</v>
      </c>
      <c r="AM60" s="77" t="s">
        <v>1243</v>
      </c>
      <c r="AN60" s="77" t="str">
        <f t="shared" si="88"/>
        <v>C</v>
      </c>
      <c r="AO60" s="77" t="str">
        <f t="shared" si="89"/>
        <v/>
      </c>
      <c r="AP60" s="77" t="str">
        <f t="shared" si="90"/>
        <v/>
      </c>
      <c r="AQ60" s="77" t="str">
        <f t="shared" si="91"/>
        <v>O</v>
      </c>
      <c r="AR60" s="77" t="str">
        <f t="shared" si="92"/>
        <v>O</v>
      </c>
      <c r="AS60" s="77" t="s">
        <v>2</v>
      </c>
      <c r="AT60" s="77" t="str">
        <f t="shared" si="93"/>
        <v>O</v>
      </c>
      <c r="AU60" s="77" t="str">
        <f t="shared" si="94"/>
        <v>O</v>
      </c>
      <c r="AV60" s="77" t="str">
        <f t="shared" si="95"/>
        <v/>
      </c>
    </row>
    <row r="61" spans="1:48" x14ac:dyDescent="0.3">
      <c r="A61" s="9" t="s">
        <v>1188</v>
      </c>
      <c r="B61" s="10" t="s">
        <v>1352</v>
      </c>
      <c r="C61" s="107">
        <v>973</v>
      </c>
      <c r="D61" s="104">
        <v>134.19999999999999</v>
      </c>
      <c r="E61" s="106">
        <v>41</v>
      </c>
      <c r="F61" s="104">
        <v>104</v>
      </c>
      <c r="G61" s="17">
        <v>31</v>
      </c>
      <c r="H61" s="107">
        <v>112</v>
      </c>
      <c r="I61" s="108"/>
      <c r="J61" s="108"/>
      <c r="K61" s="108">
        <v>41000</v>
      </c>
      <c r="L61" s="108" t="s">
        <v>1310</v>
      </c>
      <c r="M61" s="109">
        <f t="shared" si="77"/>
        <v>-41000</v>
      </c>
      <c r="N61" s="4" t="str">
        <f t="shared" si="78"/>
        <v/>
      </c>
      <c r="O61" s="105">
        <f t="shared" si="79"/>
        <v>0</v>
      </c>
      <c r="P61" s="105">
        <f t="shared" si="80"/>
        <v>1000</v>
      </c>
      <c r="Q61" s="77">
        <v>4</v>
      </c>
      <c r="R61" s="77">
        <v>2</v>
      </c>
      <c r="S61" s="77" t="s">
        <v>1244</v>
      </c>
      <c r="T61" s="5">
        <v>134</v>
      </c>
      <c r="U61" s="9"/>
      <c r="W61" s="104">
        <f t="shared" si="81"/>
        <v>134.19999999999999</v>
      </c>
      <c r="X61" s="106">
        <f t="shared" si="81"/>
        <v>41</v>
      </c>
      <c r="Y61" s="102">
        <f t="shared" si="82"/>
        <v>112</v>
      </c>
      <c r="Z61" s="109">
        <f t="shared" si="82"/>
        <v>0</v>
      </c>
      <c r="AA61" s="109">
        <f t="shared" si="83"/>
        <v>41000</v>
      </c>
      <c r="AB61" s="109">
        <f t="shared" si="84"/>
        <v>-41000</v>
      </c>
      <c r="AC61" s="4" t="str">
        <f t="shared" si="84"/>
        <v/>
      </c>
      <c r="AD61" s="105">
        <f t="shared" si="84"/>
        <v>0</v>
      </c>
      <c r="AE61" s="77" t="str">
        <f t="shared" si="85"/>
        <v>계</v>
      </c>
      <c r="AF61" s="77" t="str">
        <f t="shared" si="86"/>
        <v>4/2</v>
      </c>
      <c r="AH61" s="20" t="str">
        <f t="shared" si="52"/>
        <v>더샵디오션시티</v>
      </c>
      <c r="AI61" s="106">
        <f t="shared" si="50"/>
        <v>41</v>
      </c>
      <c r="AJ61" s="77" t="str">
        <f t="shared" si="87"/>
        <v>A-</v>
      </c>
      <c r="AK61" s="77" t="s">
        <v>13</v>
      </c>
      <c r="AL61" s="77" t="s">
        <v>1242</v>
      </c>
      <c r="AM61" s="77" t="s">
        <v>1243</v>
      </c>
      <c r="AN61" s="77" t="str">
        <f t="shared" si="88"/>
        <v>C</v>
      </c>
      <c r="AO61" s="77" t="str">
        <f t="shared" si="89"/>
        <v/>
      </c>
      <c r="AP61" s="77" t="str">
        <f t="shared" si="90"/>
        <v/>
      </c>
      <c r="AQ61" s="77" t="str">
        <f t="shared" si="91"/>
        <v>O</v>
      </c>
      <c r="AR61" s="77" t="str">
        <f t="shared" si="92"/>
        <v>O</v>
      </c>
      <c r="AS61" s="77" t="s">
        <v>2</v>
      </c>
      <c r="AT61" s="77" t="str">
        <f t="shared" si="93"/>
        <v>X</v>
      </c>
      <c r="AU61" s="77" t="str">
        <f t="shared" si="94"/>
        <v>O</v>
      </c>
      <c r="AV61" s="77" t="str">
        <f t="shared" si="95"/>
        <v/>
      </c>
    </row>
    <row r="62" spans="1:48" x14ac:dyDescent="0.3">
      <c r="A62" s="9" t="s">
        <v>1188</v>
      </c>
      <c r="B62" s="10" t="s">
        <v>1352</v>
      </c>
      <c r="C62" s="107">
        <v>973</v>
      </c>
      <c r="D62" s="104">
        <v>153.19999999999999</v>
      </c>
      <c r="E62" s="106">
        <v>46</v>
      </c>
      <c r="F62" s="104">
        <v>119</v>
      </c>
      <c r="G62" s="17">
        <v>36</v>
      </c>
      <c r="H62" s="107">
        <v>56</v>
      </c>
      <c r="I62" s="108"/>
      <c r="J62" s="108"/>
      <c r="K62" s="108">
        <v>48000</v>
      </c>
      <c r="L62" s="108" t="s">
        <v>1312</v>
      </c>
      <c r="M62" s="109">
        <f t="shared" si="77"/>
        <v>-48000</v>
      </c>
      <c r="N62" s="4" t="str">
        <f t="shared" si="78"/>
        <v/>
      </c>
      <c r="O62" s="105">
        <f t="shared" si="79"/>
        <v>0</v>
      </c>
      <c r="P62" s="105">
        <f t="shared" si="80"/>
        <v>1043.4782608695652</v>
      </c>
      <c r="Q62" s="77">
        <v>4</v>
      </c>
      <c r="R62" s="77">
        <v>2</v>
      </c>
      <c r="S62" s="77" t="s">
        <v>1244</v>
      </c>
      <c r="T62" s="5">
        <v>153</v>
      </c>
      <c r="U62" s="9"/>
      <c r="W62" s="104">
        <f t="shared" si="81"/>
        <v>153.19999999999999</v>
      </c>
      <c r="X62" s="106">
        <f t="shared" si="81"/>
        <v>46</v>
      </c>
      <c r="Y62" s="102">
        <f t="shared" si="82"/>
        <v>56</v>
      </c>
      <c r="Z62" s="109">
        <f t="shared" si="82"/>
        <v>0</v>
      </c>
      <c r="AA62" s="109">
        <f t="shared" si="83"/>
        <v>48000</v>
      </c>
      <c r="AB62" s="109">
        <f t="shared" si="84"/>
        <v>-48000</v>
      </c>
      <c r="AC62" s="4" t="str">
        <f t="shared" si="84"/>
        <v/>
      </c>
      <c r="AD62" s="105">
        <f t="shared" si="84"/>
        <v>0</v>
      </c>
      <c r="AE62" s="77" t="str">
        <f t="shared" si="85"/>
        <v>계</v>
      </c>
      <c r="AF62" s="77" t="str">
        <f t="shared" si="86"/>
        <v>4/2</v>
      </c>
      <c r="AH62" s="20" t="str">
        <f t="shared" si="52"/>
        <v>더샵디오션시티</v>
      </c>
      <c r="AI62" s="106">
        <f t="shared" si="50"/>
        <v>46</v>
      </c>
      <c r="AJ62" s="77" t="str">
        <f t="shared" si="87"/>
        <v>A-</v>
      </c>
      <c r="AK62" s="77" t="s">
        <v>13</v>
      </c>
      <c r="AL62" s="77" t="s">
        <v>1242</v>
      </c>
      <c r="AM62" s="77" t="s">
        <v>1243</v>
      </c>
      <c r="AN62" s="77" t="str">
        <f t="shared" si="88"/>
        <v>C</v>
      </c>
      <c r="AO62" s="77" t="str">
        <f t="shared" si="89"/>
        <v/>
      </c>
      <c r="AP62" s="77" t="str">
        <f t="shared" si="90"/>
        <v/>
      </c>
      <c r="AQ62" s="77" t="str">
        <f t="shared" si="91"/>
        <v>O</v>
      </c>
      <c r="AR62" s="77" t="str">
        <f t="shared" si="92"/>
        <v>O</v>
      </c>
      <c r="AS62" s="77" t="s">
        <v>2</v>
      </c>
      <c r="AT62" s="77" t="str">
        <f t="shared" si="93"/>
        <v>X</v>
      </c>
      <c r="AU62" s="77" t="str">
        <f t="shared" si="94"/>
        <v>O</v>
      </c>
      <c r="AV62" s="77" t="str">
        <f t="shared" si="95"/>
        <v/>
      </c>
    </row>
    <row r="63" spans="1:48" x14ac:dyDescent="0.3">
      <c r="A63" s="9" t="s">
        <v>1188</v>
      </c>
      <c r="B63" s="10" t="s">
        <v>1352</v>
      </c>
      <c r="C63" s="107">
        <v>973</v>
      </c>
      <c r="D63" s="104">
        <v>192.2</v>
      </c>
      <c r="E63" s="106">
        <v>58</v>
      </c>
      <c r="F63" s="104">
        <v>146</v>
      </c>
      <c r="G63" s="17">
        <v>44</v>
      </c>
      <c r="H63" s="107">
        <v>3</v>
      </c>
      <c r="I63" s="108"/>
      <c r="J63" s="108"/>
      <c r="K63" s="108"/>
      <c r="L63" s="108"/>
      <c r="M63" s="109">
        <f t="shared" si="77"/>
        <v>0</v>
      </c>
      <c r="N63" s="4" t="str">
        <f t="shared" si="78"/>
        <v/>
      </c>
      <c r="O63" s="105">
        <f t="shared" si="79"/>
        <v>0</v>
      </c>
      <c r="P63" s="105">
        <f t="shared" si="80"/>
        <v>0</v>
      </c>
      <c r="Q63" s="77">
        <v>4</v>
      </c>
      <c r="R63" s="77">
        <v>3</v>
      </c>
      <c r="S63" s="77" t="s">
        <v>1244</v>
      </c>
      <c r="T63" s="5">
        <v>192</v>
      </c>
      <c r="U63" s="9"/>
      <c r="W63" s="104">
        <f t="shared" si="81"/>
        <v>192.2</v>
      </c>
      <c r="X63" s="106">
        <f t="shared" si="81"/>
        <v>58</v>
      </c>
      <c r="Y63" s="102">
        <f t="shared" si="82"/>
        <v>3</v>
      </c>
      <c r="Z63" s="109">
        <f t="shared" si="82"/>
        <v>0</v>
      </c>
      <c r="AA63" s="109">
        <f t="shared" si="83"/>
        <v>0</v>
      </c>
      <c r="AB63" s="109">
        <f t="shared" si="84"/>
        <v>0</v>
      </c>
      <c r="AC63" s="4" t="str">
        <f t="shared" si="84"/>
        <v/>
      </c>
      <c r="AD63" s="105">
        <f t="shared" si="84"/>
        <v>0</v>
      </c>
      <c r="AE63" s="77" t="str">
        <f t="shared" si="85"/>
        <v>계</v>
      </c>
      <c r="AF63" s="77" t="str">
        <f t="shared" si="86"/>
        <v>4/3</v>
      </c>
      <c r="AH63" s="20" t="str">
        <f t="shared" si="52"/>
        <v>더샵디오션시티</v>
      </c>
      <c r="AI63" s="106">
        <f t="shared" si="50"/>
        <v>58</v>
      </c>
      <c r="AJ63" s="77" t="str">
        <f t="shared" si="87"/>
        <v>A-</v>
      </c>
      <c r="AK63" s="77" t="s">
        <v>13</v>
      </c>
      <c r="AL63" s="77" t="s">
        <v>1242</v>
      </c>
      <c r="AM63" s="77" t="s">
        <v>1243</v>
      </c>
      <c r="AN63" s="77" t="str">
        <f t="shared" si="88"/>
        <v>C</v>
      </c>
      <c r="AO63" s="77" t="str">
        <f t="shared" si="89"/>
        <v/>
      </c>
      <c r="AP63" s="77" t="str">
        <f t="shared" si="90"/>
        <v/>
      </c>
      <c r="AQ63" s="77" t="str">
        <f t="shared" si="91"/>
        <v>O</v>
      </c>
      <c r="AR63" s="77" t="str">
        <f t="shared" si="92"/>
        <v>O</v>
      </c>
      <c r="AS63" s="77" t="s">
        <v>2</v>
      </c>
      <c r="AT63" s="77" t="str">
        <f t="shared" si="93"/>
        <v>X</v>
      </c>
      <c r="AU63" s="77" t="str">
        <f t="shared" si="94"/>
        <v>O</v>
      </c>
      <c r="AV63" s="77" t="str">
        <f t="shared" si="95"/>
        <v/>
      </c>
    </row>
    <row r="64" spans="1:48" x14ac:dyDescent="0.3">
      <c r="A64" s="9"/>
      <c r="B64" s="77"/>
      <c r="C64" s="6"/>
      <c r="D64" s="9"/>
      <c r="E64" s="14"/>
      <c r="F64" s="104"/>
      <c r="G64" s="9"/>
      <c r="H64" s="9"/>
      <c r="I64" s="9"/>
      <c r="J64" s="9"/>
      <c r="K64" s="9"/>
      <c r="L64" s="9"/>
      <c r="M64" s="9"/>
      <c r="N64" s="9"/>
      <c r="O64" s="105"/>
      <c r="P64" s="105"/>
      <c r="Q64" s="106"/>
      <c r="R64" s="106"/>
      <c r="S64" s="9"/>
      <c r="T64" s="47"/>
      <c r="U64" s="9"/>
      <c r="W64" s="67" t="str">
        <f>$A$4&amp;" "&amp;A65&amp;"("&amp;B65&amp;","&amp;C65&amp;"^)"</f>
        <v>조촌동 세경('18.03.,1400^)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52"/>
        <v/>
      </c>
      <c r="AI64" s="103" t="str">
        <f t="shared" si="50"/>
        <v/>
      </c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</row>
    <row r="65" spans="1:48" x14ac:dyDescent="0.3">
      <c r="A65" s="9" t="s">
        <v>210</v>
      </c>
      <c r="B65" s="10" t="s">
        <v>1341</v>
      </c>
      <c r="C65" s="107">
        <v>1400</v>
      </c>
      <c r="D65" s="104">
        <v>82</v>
      </c>
      <c r="E65" s="106">
        <v>25</v>
      </c>
      <c r="F65" s="104">
        <v>60</v>
      </c>
      <c r="G65" s="17">
        <v>18</v>
      </c>
      <c r="H65" s="107">
        <v>189</v>
      </c>
      <c r="I65" s="108"/>
      <c r="J65" s="108"/>
      <c r="K65" s="108"/>
      <c r="L65" s="108"/>
      <c r="M65" s="109">
        <f>I65-K65</f>
        <v>0</v>
      </c>
      <c r="N65" s="4" t="str">
        <f>IF(ISERROR(K65/I65),"",K65/I65)</f>
        <v/>
      </c>
      <c r="O65" s="105">
        <f>I65/E65</f>
        <v>0</v>
      </c>
      <c r="P65" s="105">
        <f>K65/E65</f>
        <v>0</v>
      </c>
      <c r="Q65" s="77">
        <v>3</v>
      </c>
      <c r="R65" s="77">
        <v>2</v>
      </c>
      <c r="S65" s="77" t="s">
        <v>1244</v>
      </c>
      <c r="T65" s="5" t="s">
        <v>162</v>
      </c>
      <c r="U65" s="9"/>
      <c r="W65" s="104">
        <f>D65</f>
        <v>82</v>
      </c>
      <c r="X65" s="106">
        <f>E65</f>
        <v>25</v>
      </c>
      <c r="Y65" s="102">
        <f>H65</f>
        <v>189</v>
      </c>
      <c r="Z65" s="109">
        <f>I65</f>
        <v>0</v>
      </c>
      <c r="AA65" s="109">
        <f>K65</f>
        <v>0</v>
      </c>
      <c r="AB65" s="109">
        <f>M65</f>
        <v>0</v>
      </c>
      <c r="AC65" s="4" t="str">
        <f>N65</f>
        <v/>
      </c>
      <c r="AD65" s="105">
        <f>O65</f>
        <v>0</v>
      </c>
      <c r="AE65" s="77" t="str">
        <f>S65</f>
        <v>계</v>
      </c>
      <c r="AF65" s="77" t="str">
        <f>Q65&amp;"/"&amp;R65</f>
        <v>3/2</v>
      </c>
      <c r="AH65" s="20" t="str">
        <f t="shared" si="52"/>
        <v>세경</v>
      </c>
      <c r="AI65" s="106">
        <f t="shared" si="50"/>
        <v>25</v>
      </c>
      <c r="AJ65" s="77" t="str">
        <f>IF(AI65="","",$AJ$2)</f>
        <v>A-</v>
      </c>
      <c r="AK65" s="77" t="s">
        <v>13</v>
      </c>
      <c r="AL65" s="77" t="s">
        <v>1242</v>
      </c>
      <c r="AM65" s="77" t="s">
        <v>1243</v>
      </c>
      <c r="AN65" s="77" t="str">
        <f>IF(AI65="","",$AN$2)</f>
        <v>C</v>
      </c>
      <c r="AO65" s="77" t="str">
        <f>IF(N65="","",IF(N65&gt;=$AO$1/100,"O","X"))</f>
        <v/>
      </c>
      <c r="AP65" s="77" t="str">
        <f>IF(I65="","",IF(I65&lt;=$AP$1,"O","X"))</f>
        <v/>
      </c>
      <c r="AQ65" s="77" t="str">
        <f>IF(O65="","",IF(O65&lt;=$AQ$1,"O","X"))</f>
        <v>O</v>
      </c>
      <c r="AR65" s="77" t="str">
        <f>IF(M65="","",IF(M65&lt;=$AR$1,"O","X"))</f>
        <v>O</v>
      </c>
      <c r="AS65" s="77" t="s">
        <v>2</v>
      </c>
      <c r="AT65" s="77" t="str">
        <f>IF(OR(F65="",AI65=""),"",IF(AND((F65&lt;=85),(AI65&gt;=15)),"O","X"))</f>
        <v>O</v>
      </c>
      <c r="AU65" s="77" t="str">
        <f>IF(C65="","",IF(C65&gt;=$AU$1,"O","X"))</f>
        <v>O</v>
      </c>
      <c r="AV65" s="77" t="str">
        <f>IF(AO65="","",IF(AND(AO65="O",AP65="O",AR65="O",AT65="O",AU65="O"),"후보","X"))</f>
        <v/>
      </c>
    </row>
  </sheetData>
  <mergeCells count="1">
    <mergeCell ref="AJ1:AN1"/>
  </mergeCells>
  <phoneticPr fontId="2" type="noConversion"/>
  <conditionalFormatting sqref="AV4:AV6">
    <cfRule type="expression" dxfId="16841" priority="927">
      <formula>AV4="X"</formula>
    </cfRule>
    <cfRule type="expression" dxfId="16840" priority="928">
      <formula>AV4="후보"</formula>
    </cfRule>
  </conditionalFormatting>
  <conditionalFormatting sqref="AC1:AC2 AC4:AC6 N4:N5">
    <cfRule type="cellIs" dxfId="16839" priority="925" operator="greaterThan">
      <formula>0.9</formula>
    </cfRule>
    <cfRule type="cellIs" dxfId="16838" priority="926" operator="greaterThan">
      <formula>0.85</formula>
    </cfRule>
  </conditionalFormatting>
  <conditionalFormatting sqref="N1:N2">
    <cfRule type="cellIs" dxfId="16837" priority="923" operator="greaterThan">
      <formula>0.9</formula>
    </cfRule>
    <cfRule type="cellIs" dxfId="16836" priority="924" operator="greaterThan">
      <formula>0.85</formula>
    </cfRule>
  </conditionalFormatting>
  <conditionalFormatting sqref="N6">
    <cfRule type="cellIs" dxfId="16835" priority="921" operator="greaterThan">
      <formula>0.9</formula>
    </cfRule>
    <cfRule type="cellIs" dxfId="16834" priority="922" operator="greaterThan">
      <formula>0.85</formula>
    </cfRule>
  </conditionalFormatting>
  <conditionalFormatting sqref="E6">
    <cfRule type="expression" dxfId="16833" priority="917">
      <formula>AND(IF(OR($Q6=1,$Q6=2),1,0),IF($X6&lt;=20,1,0))</formula>
    </cfRule>
    <cfRule type="expression" dxfId="16832" priority="918">
      <formula>AND(IF($Q6=2,1,0),IF($X6&lt;30,1,0))</formula>
    </cfRule>
    <cfRule type="expression" dxfId="16831" priority="919">
      <formula>AND(IF($Q6=3,1,0),IF($X6&lt;30,1,0))</formula>
    </cfRule>
    <cfRule type="expression" dxfId="16830" priority="920">
      <formula>AND(IF($Q6=3,1,IF($Q6=4,1,0)),IF($F6&lt;=85,1,0))</formula>
    </cfRule>
  </conditionalFormatting>
  <conditionalFormatting sqref="X6">
    <cfRule type="expression" dxfId="16829" priority="913">
      <formula>AND(IF(OR($Q6=1,$Q6=2),1,0),IF($X6&lt;=20,1,0))</formula>
    </cfRule>
    <cfRule type="expression" dxfId="16828" priority="914">
      <formula>AND(IF($Q6=2,1,0),IF($X6&lt;30,1,0))</formula>
    </cfRule>
    <cfRule type="expression" dxfId="16827" priority="915">
      <formula>AND(IF($Q6=3,1,0),IF($X6&lt;30,1,0))</formula>
    </cfRule>
    <cfRule type="expression" dxfId="16826" priority="916">
      <formula>AND(IF($Q6=3,1,IF($Q6=4,1,0)),IF($F6&lt;=85,1,0))</formula>
    </cfRule>
  </conditionalFormatting>
  <conditionalFormatting sqref="AI6">
    <cfRule type="expression" dxfId="16825" priority="909">
      <formula>AND(IF(OR($Q6=1,$Q6=2),1,0),IF($X6&lt;=20,1,0))</formula>
    </cfRule>
    <cfRule type="expression" dxfId="16824" priority="910">
      <formula>AND(IF($Q6=2,1,0),IF($X6&lt;30,1,0))</formula>
    </cfRule>
    <cfRule type="expression" dxfId="16823" priority="911">
      <formula>AND(IF($Q6=3,1,0),IF($X6&lt;30,1,0))</formula>
    </cfRule>
    <cfRule type="expression" dxfId="16822" priority="912">
      <formula>AND(IF($Q6=3,1,IF($Q6=4,1,0)),IF($F6&lt;=85,1,0))</formula>
    </cfRule>
  </conditionalFormatting>
  <conditionalFormatting sqref="AV7">
    <cfRule type="expression" dxfId="16821" priority="907">
      <formula>AV7="X"</formula>
    </cfRule>
    <cfRule type="expression" dxfId="16820" priority="908">
      <formula>AV7="후보"</formula>
    </cfRule>
  </conditionalFormatting>
  <conditionalFormatting sqref="AC7">
    <cfRule type="cellIs" dxfId="16819" priority="905" operator="greaterThan">
      <formula>0.9</formula>
    </cfRule>
    <cfRule type="cellIs" dxfId="16818" priority="906" operator="greaterThan">
      <formula>0.85</formula>
    </cfRule>
  </conditionalFormatting>
  <conditionalFormatting sqref="N7">
    <cfRule type="cellIs" dxfId="16817" priority="903" operator="greaterThan">
      <formula>0.9</formula>
    </cfRule>
    <cfRule type="cellIs" dxfId="16816" priority="904" operator="greaterThan">
      <formula>0.85</formula>
    </cfRule>
  </conditionalFormatting>
  <conditionalFormatting sqref="E7">
    <cfRule type="expression" dxfId="16815" priority="899">
      <formula>AND(IF(OR($Q7=1,$Q7=2),1,0),IF($X7&lt;=20,1,0))</formula>
    </cfRule>
    <cfRule type="expression" dxfId="16814" priority="900">
      <formula>AND(IF($Q7=2,1,0),IF($X7&lt;30,1,0))</formula>
    </cfRule>
    <cfRule type="expression" dxfId="16813" priority="901">
      <formula>AND(IF($Q7=3,1,0),IF($X7&lt;30,1,0))</formula>
    </cfRule>
    <cfRule type="expression" dxfId="16812" priority="902">
      <formula>AND(IF($Q7=3,1,IF($Q7=4,1,0)),IF($F7&lt;=85,1,0))</formula>
    </cfRule>
  </conditionalFormatting>
  <conditionalFormatting sqref="X7">
    <cfRule type="expression" dxfId="16811" priority="895">
      <formula>AND(IF(OR($Q7=1,$Q7=2),1,0),IF($X7&lt;=20,1,0))</formula>
    </cfRule>
    <cfRule type="expression" dxfId="16810" priority="896">
      <formula>AND(IF($Q7=2,1,0),IF($X7&lt;30,1,0))</formula>
    </cfRule>
    <cfRule type="expression" dxfId="16809" priority="897">
      <formula>AND(IF($Q7=3,1,0),IF($X7&lt;30,1,0))</formula>
    </cfRule>
    <cfRule type="expression" dxfId="16808" priority="898">
      <formula>AND(IF($Q7=3,1,IF($Q7=4,1,0)),IF($F7&lt;=85,1,0))</formula>
    </cfRule>
  </conditionalFormatting>
  <conditionalFormatting sqref="AI7">
    <cfRule type="expression" dxfId="16807" priority="891">
      <formula>AND(IF(OR($Q7=1,$Q7=2),1,0),IF($X7&lt;=20,1,0))</formula>
    </cfRule>
    <cfRule type="expression" dxfId="16806" priority="892">
      <formula>AND(IF($Q7=2,1,0),IF($X7&lt;30,1,0))</formula>
    </cfRule>
    <cfRule type="expression" dxfId="16805" priority="893">
      <formula>AND(IF($Q7=3,1,0),IF($X7&lt;30,1,0))</formula>
    </cfRule>
    <cfRule type="expression" dxfId="16804" priority="894">
      <formula>AND(IF($Q7=3,1,IF($Q7=4,1,0)),IF($F7&lt;=85,1,0))</formula>
    </cfRule>
  </conditionalFormatting>
  <conditionalFormatting sqref="AV8">
    <cfRule type="expression" dxfId="16803" priority="889">
      <formula>AV8="X"</formula>
    </cfRule>
    <cfRule type="expression" dxfId="16802" priority="890">
      <formula>AV8="후보"</formula>
    </cfRule>
  </conditionalFormatting>
  <conditionalFormatting sqref="AC8">
    <cfRule type="cellIs" dxfId="16801" priority="887" operator="greaterThan">
      <formula>0.9</formula>
    </cfRule>
    <cfRule type="cellIs" dxfId="16800" priority="888" operator="greaterThan">
      <formula>0.85</formula>
    </cfRule>
  </conditionalFormatting>
  <conditionalFormatting sqref="N8">
    <cfRule type="cellIs" dxfId="16799" priority="885" operator="greaterThan">
      <formula>0.9</formula>
    </cfRule>
    <cfRule type="cellIs" dxfId="16798" priority="886" operator="greaterThan">
      <formula>0.85</formula>
    </cfRule>
  </conditionalFormatting>
  <conditionalFormatting sqref="E8">
    <cfRule type="expression" dxfId="16797" priority="881">
      <formula>AND(IF(OR($Q8=1,$Q8=2),1,0),IF($X8&lt;=20,1,0))</formula>
    </cfRule>
    <cfRule type="expression" dxfId="16796" priority="882">
      <formula>AND(IF($Q8=2,1,0),IF($X8&lt;30,1,0))</formula>
    </cfRule>
    <cfRule type="expression" dxfId="16795" priority="883">
      <formula>AND(IF($Q8=3,1,0),IF($X8&lt;30,1,0))</formula>
    </cfRule>
    <cfRule type="expression" dxfId="16794" priority="884">
      <formula>AND(IF($Q8=3,1,IF($Q8=4,1,0)),IF($F8&lt;=85,1,0))</formula>
    </cfRule>
  </conditionalFormatting>
  <conditionalFormatting sqref="X8">
    <cfRule type="expression" dxfId="16793" priority="877">
      <formula>AND(IF(OR($Q8=1,$Q8=2),1,0),IF($X8&lt;=20,1,0))</formula>
    </cfRule>
    <cfRule type="expression" dxfId="16792" priority="878">
      <formula>AND(IF($Q8=2,1,0),IF($X8&lt;30,1,0))</formula>
    </cfRule>
    <cfRule type="expression" dxfId="16791" priority="879">
      <formula>AND(IF($Q8=3,1,0),IF($X8&lt;30,1,0))</formula>
    </cfRule>
    <cfRule type="expression" dxfId="16790" priority="880">
      <formula>AND(IF($Q8=3,1,IF($Q8=4,1,0)),IF($F8&lt;=85,1,0))</formula>
    </cfRule>
  </conditionalFormatting>
  <conditionalFormatting sqref="AI8">
    <cfRule type="expression" dxfId="16789" priority="873">
      <formula>AND(IF(OR($Q8=1,$Q8=2),1,0),IF($X8&lt;=20,1,0))</formula>
    </cfRule>
    <cfRule type="expression" dxfId="16788" priority="874">
      <formula>AND(IF($Q8=2,1,0),IF($X8&lt;30,1,0))</formula>
    </cfRule>
    <cfRule type="expression" dxfId="16787" priority="875">
      <formula>AND(IF($Q8=3,1,0),IF($X8&lt;30,1,0))</formula>
    </cfRule>
    <cfRule type="expression" dxfId="16786" priority="876">
      <formula>AND(IF($Q8=3,1,IF($Q8=4,1,0)),IF($F8&lt;=85,1,0))</formula>
    </cfRule>
  </conditionalFormatting>
  <conditionalFormatting sqref="AV9">
    <cfRule type="expression" dxfId="16785" priority="871">
      <formula>AV9="X"</formula>
    </cfRule>
    <cfRule type="expression" dxfId="16784" priority="872">
      <formula>AV9="후보"</formula>
    </cfRule>
  </conditionalFormatting>
  <conditionalFormatting sqref="AC9">
    <cfRule type="cellIs" dxfId="16783" priority="869" operator="greaterThan">
      <formula>0.9</formula>
    </cfRule>
    <cfRule type="cellIs" dxfId="16782" priority="870" operator="greaterThan">
      <formula>0.85</formula>
    </cfRule>
  </conditionalFormatting>
  <conditionalFormatting sqref="N9">
    <cfRule type="cellIs" dxfId="16781" priority="867" operator="greaterThan">
      <formula>0.9</formula>
    </cfRule>
    <cfRule type="cellIs" dxfId="16780" priority="868" operator="greaterThan">
      <formula>0.85</formula>
    </cfRule>
  </conditionalFormatting>
  <conditionalFormatting sqref="E9">
    <cfRule type="expression" dxfId="16779" priority="863">
      <formula>AND(IF(OR($Q9=1,$Q9=2),1,0),IF($X9&lt;=20,1,0))</formula>
    </cfRule>
    <cfRule type="expression" dxfId="16778" priority="864">
      <formula>AND(IF($Q9=2,1,0),IF($X9&lt;30,1,0))</formula>
    </cfRule>
    <cfRule type="expression" dxfId="16777" priority="865">
      <formula>AND(IF($Q9=3,1,0),IF($X9&lt;30,1,0))</formula>
    </cfRule>
    <cfRule type="expression" dxfId="16776" priority="866">
      <formula>AND(IF($Q9=3,1,IF($Q9=4,1,0)),IF($F9&lt;=85,1,0))</formula>
    </cfRule>
  </conditionalFormatting>
  <conditionalFormatting sqref="X9">
    <cfRule type="expression" dxfId="16775" priority="859">
      <formula>AND(IF(OR($Q9=1,$Q9=2),1,0),IF($X9&lt;=20,1,0))</formula>
    </cfRule>
    <cfRule type="expression" dxfId="16774" priority="860">
      <formula>AND(IF($Q9=2,1,0),IF($X9&lt;30,1,0))</formula>
    </cfRule>
    <cfRule type="expression" dxfId="16773" priority="861">
      <formula>AND(IF($Q9=3,1,0),IF($X9&lt;30,1,0))</formula>
    </cfRule>
    <cfRule type="expression" dxfId="16772" priority="862">
      <formula>AND(IF($Q9=3,1,IF($Q9=4,1,0)),IF($F9&lt;=85,1,0))</formula>
    </cfRule>
  </conditionalFormatting>
  <conditionalFormatting sqref="AI9">
    <cfRule type="expression" dxfId="16771" priority="855">
      <formula>AND(IF(OR($Q9=1,$Q9=2),1,0),IF($X9&lt;=20,1,0))</formula>
    </cfRule>
    <cfRule type="expression" dxfId="16770" priority="856">
      <formula>AND(IF($Q9=2,1,0),IF($X9&lt;30,1,0))</formula>
    </cfRule>
    <cfRule type="expression" dxfId="16769" priority="857">
      <formula>AND(IF($Q9=3,1,0),IF($X9&lt;30,1,0))</formula>
    </cfRule>
    <cfRule type="expression" dxfId="16768" priority="858">
      <formula>AND(IF($Q9=3,1,IF($Q9=4,1,0)),IF($F9&lt;=85,1,0))</formula>
    </cfRule>
  </conditionalFormatting>
  <conditionalFormatting sqref="AV10">
    <cfRule type="expression" dxfId="16767" priority="853">
      <formula>AV10="X"</formula>
    </cfRule>
    <cfRule type="expression" dxfId="16766" priority="854">
      <formula>AV10="후보"</formula>
    </cfRule>
  </conditionalFormatting>
  <conditionalFormatting sqref="AC10">
    <cfRule type="cellIs" dxfId="16765" priority="851" operator="greaterThan">
      <formula>0.9</formula>
    </cfRule>
    <cfRule type="cellIs" dxfId="16764" priority="852" operator="greaterThan">
      <formula>0.85</formula>
    </cfRule>
  </conditionalFormatting>
  <conditionalFormatting sqref="N10">
    <cfRule type="cellIs" dxfId="16763" priority="849" operator="greaterThan">
      <formula>0.9</formula>
    </cfRule>
    <cfRule type="cellIs" dxfId="16762" priority="850" operator="greaterThan">
      <formula>0.85</formula>
    </cfRule>
  </conditionalFormatting>
  <conditionalFormatting sqref="E10">
    <cfRule type="expression" dxfId="16761" priority="845">
      <formula>AND(IF(OR($Q10=1,$Q10=2),1,0),IF($X10&lt;=20,1,0))</formula>
    </cfRule>
    <cfRule type="expression" dxfId="16760" priority="846">
      <formula>AND(IF($Q10=2,1,0),IF($X10&lt;30,1,0))</formula>
    </cfRule>
    <cfRule type="expression" dxfId="16759" priority="847">
      <formula>AND(IF($Q10=3,1,0),IF($X10&lt;30,1,0))</formula>
    </cfRule>
    <cfRule type="expression" dxfId="16758" priority="848">
      <formula>AND(IF($Q10=3,1,IF($Q10=4,1,0)),IF($F10&lt;=85,1,0))</formula>
    </cfRule>
  </conditionalFormatting>
  <conditionalFormatting sqref="X10">
    <cfRule type="expression" dxfId="16757" priority="841">
      <formula>AND(IF(OR($Q10=1,$Q10=2),1,0),IF($X10&lt;=20,1,0))</formula>
    </cfRule>
    <cfRule type="expression" dxfId="16756" priority="842">
      <formula>AND(IF($Q10=2,1,0),IF($X10&lt;30,1,0))</formula>
    </cfRule>
    <cfRule type="expression" dxfId="16755" priority="843">
      <formula>AND(IF($Q10=3,1,0),IF($X10&lt;30,1,0))</formula>
    </cfRule>
    <cfRule type="expression" dxfId="16754" priority="844">
      <formula>AND(IF($Q10=3,1,IF($Q10=4,1,0)),IF($F10&lt;=85,1,0))</formula>
    </cfRule>
  </conditionalFormatting>
  <conditionalFormatting sqref="AI10">
    <cfRule type="expression" dxfId="16753" priority="837">
      <formula>AND(IF(OR($Q10=1,$Q10=2),1,0),IF($X10&lt;=20,1,0))</formula>
    </cfRule>
    <cfRule type="expression" dxfId="16752" priority="838">
      <formula>AND(IF($Q10=2,1,0),IF($X10&lt;30,1,0))</formula>
    </cfRule>
    <cfRule type="expression" dxfId="16751" priority="839">
      <formula>AND(IF($Q10=3,1,0),IF($X10&lt;30,1,0))</formula>
    </cfRule>
    <cfRule type="expression" dxfId="16750" priority="840">
      <formula>AND(IF($Q10=3,1,IF($Q10=4,1,0)),IF($F10&lt;=85,1,0))</formula>
    </cfRule>
  </conditionalFormatting>
  <conditionalFormatting sqref="AV11">
    <cfRule type="expression" dxfId="16749" priority="835">
      <formula>AV11="X"</formula>
    </cfRule>
    <cfRule type="expression" dxfId="16748" priority="836">
      <formula>AV11="후보"</formula>
    </cfRule>
  </conditionalFormatting>
  <conditionalFormatting sqref="AC11">
    <cfRule type="cellIs" dxfId="16747" priority="833" operator="greaterThan">
      <formula>0.9</formula>
    </cfRule>
    <cfRule type="cellIs" dxfId="16746" priority="834" operator="greaterThan">
      <formula>0.85</formula>
    </cfRule>
  </conditionalFormatting>
  <conditionalFormatting sqref="N11">
    <cfRule type="cellIs" dxfId="16745" priority="831" operator="greaterThan">
      <formula>0.9</formula>
    </cfRule>
    <cfRule type="cellIs" dxfId="16744" priority="832" operator="greaterThan">
      <formula>0.85</formula>
    </cfRule>
  </conditionalFormatting>
  <conditionalFormatting sqref="E11">
    <cfRule type="expression" dxfId="16743" priority="827">
      <formula>AND(IF(OR($Q11=1,$Q11=2),1,0),IF($X11&lt;=20,1,0))</formula>
    </cfRule>
    <cfRule type="expression" dxfId="16742" priority="828">
      <formula>AND(IF($Q11=2,1,0),IF($X11&lt;30,1,0))</formula>
    </cfRule>
    <cfRule type="expression" dxfId="16741" priority="829">
      <formula>AND(IF($Q11=3,1,0),IF($X11&lt;30,1,0))</formula>
    </cfRule>
    <cfRule type="expression" dxfId="16740" priority="830">
      <formula>AND(IF($Q11=3,1,IF($Q11=4,1,0)),IF($F11&lt;=85,1,0))</formula>
    </cfRule>
  </conditionalFormatting>
  <conditionalFormatting sqref="X11">
    <cfRule type="expression" dxfId="16739" priority="823">
      <formula>AND(IF(OR($Q11=1,$Q11=2),1,0),IF($X11&lt;=20,1,0))</formula>
    </cfRule>
    <cfRule type="expression" dxfId="16738" priority="824">
      <formula>AND(IF($Q11=2,1,0),IF($X11&lt;30,1,0))</formula>
    </cfRule>
    <cfRule type="expression" dxfId="16737" priority="825">
      <formula>AND(IF($Q11=3,1,0),IF($X11&lt;30,1,0))</formula>
    </cfRule>
    <cfRule type="expression" dxfId="16736" priority="826">
      <formula>AND(IF($Q11=3,1,IF($Q11=4,1,0)),IF($F11&lt;=85,1,0))</formula>
    </cfRule>
  </conditionalFormatting>
  <conditionalFormatting sqref="AI11">
    <cfRule type="expression" dxfId="16735" priority="819">
      <formula>AND(IF(OR($Q11=1,$Q11=2),1,0),IF($X11&lt;=20,1,0))</formula>
    </cfRule>
    <cfRule type="expression" dxfId="16734" priority="820">
      <formula>AND(IF($Q11=2,1,0),IF($X11&lt;30,1,0))</formula>
    </cfRule>
    <cfRule type="expression" dxfId="16733" priority="821">
      <formula>AND(IF($Q11=3,1,0),IF($X11&lt;30,1,0))</formula>
    </cfRule>
    <cfRule type="expression" dxfId="16732" priority="822">
      <formula>AND(IF($Q11=3,1,IF($Q11=4,1,0)),IF($F11&lt;=85,1,0))</formula>
    </cfRule>
  </conditionalFormatting>
  <conditionalFormatting sqref="AV12">
    <cfRule type="expression" dxfId="16731" priority="817">
      <formula>AV12="X"</formula>
    </cfRule>
    <cfRule type="expression" dxfId="16730" priority="818">
      <formula>AV12="후보"</formula>
    </cfRule>
  </conditionalFormatting>
  <conditionalFormatting sqref="AC12">
    <cfRule type="cellIs" dxfId="16729" priority="815" operator="greaterThan">
      <formula>0.9</formula>
    </cfRule>
    <cfRule type="cellIs" dxfId="16728" priority="816" operator="greaterThan">
      <formula>0.85</formula>
    </cfRule>
  </conditionalFormatting>
  <conditionalFormatting sqref="N12">
    <cfRule type="cellIs" dxfId="16727" priority="813" operator="greaterThan">
      <formula>0.9</formula>
    </cfRule>
    <cfRule type="cellIs" dxfId="16726" priority="814" operator="greaterThan">
      <formula>0.85</formula>
    </cfRule>
  </conditionalFormatting>
  <conditionalFormatting sqref="E12">
    <cfRule type="expression" dxfId="16725" priority="809">
      <formula>AND(IF(OR($Q12=1,$Q12=2),1,0),IF($X12&lt;=20,1,0))</formula>
    </cfRule>
    <cfRule type="expression" dxfId="16724" priority="810">
      <formula>AND(IF($Q12=2,1,0),IF($X12&lt;30,1,0))</formula>
    </cfRule>
    <cfRule type="expression" dxfId="16723" priority="811">
      <formula>AND(IF($Q12=3,1,0),IF($X12&lt;30,1,0))</formula>
    </cfRule>
    <cfRule type="expression" dxfId="16722" priority="812">
      <formula>AND(IF($Q12=3,1,IF($Q12=4,1,0)),IF($F12&lt;=85,1,0))</formula>
    </cfRule>
  </conditionalFormatting>
  <conditionalFormatting sqref="X12">
    <cfRule type="expression" dxfId="16721" priority="805">
      <formula>AND(IF(OR($Q12=1,$Q12=2),1,0),IF($X12&lt;=20,1,0))</formula>
    </cfRule>
    <cfRule type="expression" dxfId="16720" priority="806">
      <formula>AND(IF($Q12=2,1,0),IF($X12&lt;30,1,0))</formula>
    </cfRule>
    <cfRule type="expression" dxfId="16719" priority="807">
      <formula>AND(IF($Q12=3,1,0),IF($X12&lt;30,1,0))</formula>
    </cfRule>
    <cfRule type="expression" dxfId="16718" priority="808">
      <formula>AND(IF($Q12=3,1,IF($Q12=4,1,0)),IF($F12&lt;=85,1,0))</formula>
    </cfRule>
  </conditionalFormatting>
  <conditionalFormatting sqref="AI12">
    <cfRule type="expression" dxfId="16717" priority="801">
      <formula>AND(IF(OR($Q12=1,$Q12=2),1,0),IF($X12&lt;=20,1,0))</formula>
    </cfRule>
    <cfRule type="expression" dxfId="16716" priority="802">
      <formula>AND(IF($Q12=2,1,0),IF($X12&lt;30,1,0))</formula>
    </cfRule>
    <cfRule type="expression" dxfId="16715" priority="803">
      <formula>AND(IF($Q12=3,1,0),IF($X12&lt;30,1,0))</formula>
    </cfRule>
    <cfRule type="expression" dxfId="16714" priority="804">
      <formula>AND(IF($Q12=3,1,IF($Q12=4,1,0)),IF($F12&lt;=85,1,0))</formula>
    </cfRule>
  </conditionalFormatting>
  <conditionalFormatting sqref="AV13">
    <cfRule type="expression" dxfId="16713" priority="799">
      <formula>AV13="X"</formula>
    </cfRule>
    <cfRule type="expression" dxfId="16712" priority="800">
      <formula>AV13="후보"</formula>
    </cfRule>
  </conditionalFormatting>
  <conditionalFormatting sqref="AC13">
    <cfRule type="cellIs" dxfId="16711" priority="797" operator="greaterThan">
      <formula>0.9</formula>
    </cfRule>
    <cfRule type="cellIs" dxfId="16710" priority="798" operator="greaterThan">
      <formula>0.85</formula>
    </cfRule>
  </conditionalFormatting>
  <conditionalFormatting sqref="N13">
    <cfRule type="cellIs" dxfId="16709" priority="795" operator="greaterThan">
      <formula>0.9</formula>
    </cfRule>
    <cfRule type="cellIs" dxfId="16708" priority="796" operator="greaterThan">
      <formula>0.85</formula>
    </cfRule>
  </conditionalFormatting>
  <conditionalFormatting sqref="E13">
    <cfRule type="expression" dxfId="16707" priority="791">
      <formula>AND(IF(OR($Q13=1,$Q13=2),1,0),IF($X13&lt;=20,1,0))</formula>
    </cfRule>
    <cfRule type="expression" dxfId="16706" priority="792">
      <formula>AND(IF($Q13=2,1,0),IF($X13&lt;30,1,0))</formula>
    </cfRule>
    <cfRule type="expression" dxfId="16705" priority="793">
      <formula>AND(IF($Q13=3,1,0),IF($X13&lt;30,1,0))</formula>
    </cfRule>
    <cfRule type="expression" dxfId="16704" priority="794">
      <formula>AND(IF($Q13=3,1,IF($Q13=4,1,0)),IF($F13&lt;=85,1,0))</formula>
    </cfRule>
  </conditionalFormatting>
  <conditionalFormatting sqref="X13">
    <cfRule type="expression" dxfId="16703" priority="787">
      <formula>AND(IF(OR($Q13=1,$Q13=2),1,0),IF($X13&lt;=20,1,0))</formula>
    </cfRule>
    <cfRule type="expression" dxfId="16702" priority="788">
      <formula>AND(IF($Q13=2,1,0),IF($X13&lt;30,1,0))</formula>
    </cfRule>
    <cfRule type="expression" dxfId="16701" priority="789">
      <formula>AND(IF($Q13=3,1,0),IF($X13&lt;30,1,0))</formula>
    </cfRule>
    <cfRule type="expression" dxfId="16700" priority="790">
      <formula>AND(IF($Q13=3,1,IF($Q13=4,1,0)),IF($F13&lt;=85,1,0))</formula>
    </cfRule>
  </conditionalFormatting>
  <conditionalFormatting sqref="AI13">
    <cfRule type="expression" dxfId="16699" priority="783">
      <formula>AND(IF(OR($Q13=1,$Q13=2),1,0),IF($X13&lt;=20,1,0))</formula>
    </cfRule>
    <cfRule type="expression" dxfId="16698" priority="784">
      <formula>AND(IF($Q13=2,1,0),IF($X13&lt;30,1,0))</formula>
    </cfRule>
    <cfRule type="expression" dxfId="16697" priority="785">
      <formula>AND(IF($Q13=3,1,0),IF($X13&lt;30,1,0))</formula>
    </cfRule>
    <cfRule type="expression" dxfId="16696" priority="786">
      <formula>AND(IF($Q13=3,1,IF($Q13=4,1,0)),IF($F13&lt;=85,1,0))</formula>
    </cfRule>
  </conditionalFormatting>
  <conditionalFormatting sqref="AV14">
    <cfRule type="expression" dxfId="16695" priority="781">
      <formula>AV14="X"</formula>
    </cfRule>
    <cfRule type="expression" dxfId="16694" priority="782">
      <formula>AV14="후보"</formula>
    </cfRule>
  </conditionalFormatting>
  <conditionalFormatting sqref="AC14">
    <cfRule type="cellIs" dxfId="16693" priority="779" operator="greaterThan">
      <formula>0.9</formula>
    </cfRule>
    <cfRule type="cellIs" dxfId="16692" priority="780" operator="greaterThan">
      <formula>0.85</formula>
    </cfRule>
  </conditionalFormatting>
  <conditionalFormatting sqref="N14">
    <cfRule type="cellIs" dxfId="16691" priority="777" operator="greaterThan">
      <formula>0.9</formula>
    </cfRule>
    <cfRule type="cellIs" dxfId="16690" priority="778" operator="greaterThan">
      <formula>0.85</formula>
    </cfRule>
  </conditionalFormatting>
  <conditionalFormatting sqref="E14">
    <cfRule type="expression" dxfId="16689" priority="773">
      <formula>AND(IF(OR($Q14=1,$Q14=2),1,0),IF($X14&lt;=20,1,0))</formula>
    </cfRule>
    <cfRule type="expression" dxfId="16688" priority="774">
      <formula>AND(IF($Q14=2,1,0),IF($X14&lt;30,1,0))</formula>
    </cfRule>
    <cfRule type="expression" dxfId="16687" priority="775">
      <formula>AND(IF($Q14=3,1,0),IF($X14&lt;30,1,0))</formula>
    </cfRule>
    <cfRule type="expression" dxfId="16686" priority="776">
      <formula>AND(IF($Q14=3,1,IF($Q14=4,1,0)),IF($F14&lt;=85,1,0))</formula>
    </cfRule>
  </conditionalFormatting>
  <conditionalFormatting sqref="X14">
    <cfRule type="expression" dxfId="16685" priority="769">
      <formula>AND(IF(OR($Q14=1,$Q14=2),1,0),IF($X14&lt;=20,1,0))</formula>
    </cfRule>
    <cfRule type="expression" dxfId="16684" priority="770">
      <formula>AND(IF($Q14=2,1,0),IF($X14&lt;30,1,0))</formula>
    </cfRule>
    <cfRule type="expression" dxfId="16683" priority="771">
      <formula>AND(IF($Q14=3,1,0),IF($X14&lt;30,1,0))</formula>
    </cfRule>
    <cfRule type="expression" dxfId="16682" priority="772">
      <formula>AND(IF($Q14=3,1,IF($Q14=4,1,0)),IF($F14&lt;=85,1,0))</formula>
    </cfRule>
  </conditionalFormatting>
  <conditionalFormatting sqref="AI14">
    <cfRule type="expression" dxfId="16681" priority="765">
      <formula>AND(IF(OR($Q14=1,$Q14=2),1,0),IF($X14&lt;=20,1,0))</formula>
    </cfRule>
    <cfRule type="expression" dxfId="16680" priority="766">
      <formula>AND(IF($Q14=2,1,0),IF($X14&lt;30,1,0))</formula>
    </cfRule>
    <cfRule type="expression" dxfId="16679" priority="767">
      <formula>AND(IF($Q14=3,1,0),IF($X14&lt;30,1,0))</formula>
    </cfRule>
    <cfRule type="expression" dxfId="16678" priority="768">
      <formula>AND(IF($Q14=3,1,IF($Q14=4,1,0)),IF($F14&lt;=85,1,0))</formula>
    </cfRule>
  </conditionalFormatting>
  <conditionalFormatting sqref="AV15">
    <cfRule type="expression" dxfId="16677" priority="763">
      <formula>AV15="X"</formula>
    </cfRule>
    <cfRule type="expression" dxfId="16676" priority="764">
      <formula>AV15="후보"</formula>
    </cfRule>
  </conditionalFormatting>
  <conditionalFormatting sqref="AC15">
    <cfRule type="cellIs" dxfId="16675" priority="761" operator="greaterThan">
      <formula>0.9</formula>
    </cfRule>
    <cfRule type="cellIs" dxfId="16674" priority="762" operator="greaterThan">
      <formula>0.85</formula>
    </cfRule>
  </conditionalFormatting>
  <conditionalFormatting sqref="N15">
    <cfRule type="cellIs" dxfId="16673" priority="759" operator="greaterThan">
      <formula>0.9</formula>
    </cfRule>
    <cfRule type="cellIs" dxfId="16672" priority="760" operator="greaterThan">
      <formula>0.85</formula>
    </cfRule>
  </conditionalFormatting>
  <conditionalFormatting sqref="E15">
    <cfRule type="expression" dxfId="16671" priority="755">
      <formula>AND(IF(OR($Q15=1,$Q15=2),1,0),IF($X15&lt;=20,1,0))</formula>
    </cfRule>
    <cfRule type="expression" dxfId="16670" priority="756">
      <formula>AND(IF($Q15=2,1,0),IF($X15&lt;30,1,0))</formula>
    </cfRule>
    <cfRule type="expression" dxfId="16669" priority="757">
      <formula>AND(IF($Q15=3,1,0),IF($X15&lt;30,1,0))</formula>
    </cfRule>
    <cfRule type="expression" dxfId="16668" priority="758">
      <formula>AND(IF($Q15=3,1,IF($Q15=4,1,0)),IF($F15&lt;=85,1,0))</formula>
    </cfRule>
  </conditionalFormatting>
  <conditionalFormatting sqref="X15">
    <cfRule type="expression" dxfId="16667" priority="751">
      <formula>AND(IF(OR($Q15=1,$Q15=2),1,0),IF($X15&lt;=20,1,0))</formula>
    </cfRule>
    <cfRule type="expression" dxfId="16666" priority="752">
      <formula>AND(IF($Q15=2,1,0),IF($X15&lt;30,1,0))</formula>
    </cfRule>
    <cfRule type="expression" dxfId="16665" priority="753">
      <formula>AND(IF($Q15=3,1,0),IF($X15&lt;30,1,0))</formula>
    </cfRule>
    <cfRule type="expression" dxfId="16664" priority="754">
      <formula>AND(IF($Q15=3,1,IF($Q15=4,1,0)),IF($F15&lt;=85,1,0))</formula>
    </cfRule>
  </conditionalFormatting>
  <conditionalFormatting sqref="AI15">
    <cfRule type="expression" dxfId="16663" priority="747">
      <formula>AND(IF(OR($Q15=1,$Q15=2),1,0),IF($X15&lt;=20,1,0))</formula>
    </cfRule>
    <cfRule type="expression" dxfId="16662" priority="748">
      <formula>AND(IF($Q15=2,1,0),IF($X15&lt;30,1,0))</formula>
    </cfRule>
    <cfRule type="expression" dxfId="16661" priority="749">
      <formula>AND(IF($Q15=3,1,0),IF($X15&lt;30,1,0))</formula>
    </cfRule>
    <cfRule type="expression" dxfId="16660" priority="750">
      <formula>AND(IF($Q15=3,1,IF($Q15=4,1,0)),IF($F15&lt;=85,1,0))</formula>
    </cfRule>
  </conditionalFormatting>
  <conditionalFormatting sqref="AV16">
    <cfRule type="expression" dxfId="16659" priority="745">
      <formula>AV16="X"</formula>
    </cfRule>
    <cfRule type="expression" dxfId="16658" priority="746">
      <formula>AV16="후보"</formula>
    </cfRule>
  </conditionalFormatting>
  <conditionalFormatting sqref="AC16 N16">
    <cfRule type="cellIs" dxfId="16657" priority="743" operator="greaterThan">
      <formula>0.9</formula>
    </cfRule>
    <cfRule type="cellIs" dxfId="16656" priority="744" operator="greaterThan">
      <formula>0.85</formula>
    </cfRule>
  </conditionalFormatting>
  <conditionalFormatting sqref="AV17">
    <cfRule type="expression" dxfId="16655" priority="741">
      <formula>AV17="X"</formula>
    </cfRule>
    <cfRule type="expression" dxfId="16654" priority="742">
      <formula>AV17="후보"</formula>
    </cfRule>
  </conditionalFormatting>
  <conditionalFormatting sqref="AC17">
    <cfRule type="cellIs" dxfId="16653" priority="739" operator="greaterThan">
      <formula>0.9</formula>
    </cfRule>
    <cfRule type="cellIs" dxfId="16652" priority="740" operator="greaterThan">
      <formula>0.85</formula>
    </cfRule>
  </conditionalFormatting>
  <conditionalFormatting sqref="N17">
    <cfRule type="cellIs" dxfId="16651" priority="737" operator="greaterThan">
      <formula>0.9</formula>
    </cfRule>
    <cfRule type="cellIs" dxfId="16650" priority="738" operator="greaterThan">
      <formula>0.85</formula>
    </cfRule>
  </conditionalFormatting>
  <conditionalFormatting sqref="E17">
    <cfRule type="expression" dxfId="16649" priority="733">
      <formula>AND(IF(OR($Q17=1,$Q17=2),1,0),IF($X17&lt;=20,1,0))</formula>
    </cfRule>
    <cfRule type="expression" dxfId="16648" priority="734">
      <formula>AND(IF($Q17=2,1,0),IF($X17&lt;30,1,0))</formula>
    </cfRule>
    <cfRule type="expression" dxfId="16647" priority="735">
      <formula>AND(IF($Q17=3,1,0),IF($X17&lt;30,1,0))</formula>
    </cfRule>
    <cfRule type="expression" dxfId="16646" priority="736">
      <formula>AND(IF($Q17=3,1,IF($Q17=4,1,0)),IF($F17&lt;=85,1,0))</formula>
    </cfRule>
  </conditionalFormatting>
  <conditionalFormatting sqref="X17">
    <cfRule type="expression" dxfId="16645" priority="729">
      <formula>AND(IF(OR($Q17=1,$Q17=2),1,0),IF($X17&lt;=20,1,0))</formula>
    </cfRule>
    <cfRule type="expression" dxfId="16644" priority="730">
      <formula>AND(IF($Q17=2,1,0),IF($X17&lt;30,1,0))</formula>
    </cfRule>
    <cfRule type="expression" dxfId="16643" priority="731">
      <formula>AND(IF($Q17=3,1,0),IF($X17&lt;30,1,0))</formula>
    </cfRule>
    <cfRule type="expression" dxfId="16642" priority="732">
      <formula>AND(IF($Q17=3,1,IF($Q17=4,1,0)),IF($F17&lt;=85,1,0))</formula>
    </cfRule>
  </conditionalFormatting>
  <conditionalFormatting sqref="AI17">
    <cfRule type="expression" dxfId="16641" priority="725">
      <formula>AND(IF(OR($Q17=1,$Q17=2),1,0),IF($X17&lt;=20,1,0))</formula>
    </cfRule>
    <cfRule type="expression" dxfId="16640" priority="726">
      <formula>AND(IF($Q17=2,1,0),IF($X17&lt;30,1,0))</formula>
    </cfRule>
    <cfRule type="expression" dxfId="16639" priority="727">
      <formula>AND(IF($Q17=3,1,0),IF($X17&lt;30,1,0))</formula>
    </cfRule>
    <cfRule type="expression" dxfId="16638" priority="728">
      <formula>AND(IF($Q17=3,1,IF($Q17=4,1,0)),IF($F17&lt;=85,1,0))</formula>
    </cfRule>
  </conditionalFormatting>
  <conditionalFormatting sqref="AV18">
    <cfRule type="expression" dxfId="16637" priority="723">
      <formula>AV18="X"</formula>
    </cfRule>
    <cfRule type="expression" dxfId="16636" priority="724">
      <formula>AV18="후보"</formula>
    </cfRule>
  </conditionalFormatting>
  <conditionalFormatting sqref="AC18">
    <cfRule type="cellIs" dxfId="16635" priority="721" operator="greaterThan">
      <formula>0.9</formula>
    </cfRule>
    <cfRule type="cellIs" dxfId="16634" priority="722" operator="greaterThan">
      <formula>0.85</formula>
    </cfRule>
  </conditionalFormatting>
  <conditionalFormatting sqref="N18">
    <cfRule type="cellIs" dxfId="16633" priority="719" operator="greaterThan">
      <formula>0.9</formula>
    </cfRule>
    <cfRule type="cellIs" dxfId="16632" priority="720" operator="greaterThan">
      <formula>0.85</formula>
    </cfRule>
  </conditionalFormatting>
  <conditionalFormatting sqref="E18">
    <cfRule type="expression" dxfId="16631" priority="715">
      <formula>AND(IF(OR($Q18=1,$Q18=2),1,0),IF($X18&lt;=20,1,0))</formula>
    </cfRule>
    <cfRule type="expression" dxfId="16630" priority="716">
      <formula>AND(IF($Q18=2,1,0),IF($X18&lt;30,1,0))</formula>
    </cfRule>
    <cfRule type="expression" dxfId="16629" priority="717">
      <formula>AND(IF($Q18=3,1,0),IF($X18&lt;30,1,0))</formula>
    </cfRule>
    <cfRule type="expression" dxfId="16628" priority="718">
      <formula>AND(IF($Q18=3,1,IF($Q18=4,1,0)),IF($F18&lt;=85,1,0))</formula>
    </cfRule>
  </conditionalFormatting>
  <conditionalFormatting sqref="X18">
    <cfRule type="expression" dxfId="16627" priority="711">
      <formula>AND(IF(OR($Q18=1,$Q18=2),1,0),IF($X18&lt;=20,1,0))</formula>
    </cfRule>
    <cfRule type="expression" dxfId="16626" priority="712">
      <formula>AND(IF($Q18=2,1,0),IF($X18&lt;30,1,0))</formula>
    </cfRule>
    <cfRule type="expression" dxfId="16625" priority="713">
      <formula>AND(IF($Q18=3,1,0),IF($X18&lt;30,1,0))</formula>
    </cfRule>
    <cfRule type="expression" dxfId="16624" priority="714">
      <formula>AND(IF($Q18=3,1,IF($Q18=4,1,0)),IF($F18&lt;=85,1,0))</formula>
    </cfRule>
  </conditionalFormatting>
  <conditionalFormatting sqref="AI18">
    <cfRule type="expression" dxfId="16623" priority="707">
      <formula>AND(IF(OR($Q18=1,$Q18=2),1,0),IF($X18&lt;=20,1,0))</formula>
    </cfRule>
    <cfRule type="expression" dxfId="16622" priority="708">
      <formula>AND(IF($Q18=2,1,0),IF($X18&lt;30,1,0))</formula>
    </cfRule>
    <cfRule type="expression" dxfId="16621" priority="709">
      <formula>AND(IF($Q18=3,1,0),IF($X18&lt;30,1,0))</formula>
    </cfRule>
    <cfRule type="expression" dxfId="16620" priority="710">
      <formula>AND(IF($Q18=3,1,IF($Q18=4,1,0)),IF($F18&lt;=85,1,0))</formula>
    </cfRule>
  </conditionalFormatting>
  <conditionalFormatting sqref="AV19">
    <cfRule type="expression" dxfId="16619" priority="705">
      <formula>AV19="X"</formula>
    </cfRule>
    <cfRule type="expression" dxfId="16618" priority="706">
      <formula>AV19="후보"</formula>
    </cfRule>
  </conditionalFormatting>
  <conditionalFormatting sqref="AC19">
    <cfRule type="cellIs" dxfId="16617" priority="703" operator="greaterThan">
      <formula>0.9</formula>
    </cfRule>
    <cfRule type="cellIs" dxfId="16616" priority="704" operator="greaterThan">
      <formula>0.85</formula>
    </cfRule>
  </conditionalFormatting>
  <conditionalFormatting sqref="N19">
    <cfRule type="cellIs" dxfId="16615" priority="701" operator="greaterThan">
      <formula>0.9</formula>
    </cfRule>
    <cfRule type="cellIs" dxfId="16614" priority="702" operator="greaterThan">
      <formula>0.85</formula>
    </cfRule>
  </conditionalFormatting>
  <conditionalFormatting sqref="E19">
    <cfRule type="expression" dxfId="16613" priority="697">
      <formula>AND(IF(OR($Q19=1,$Q19=2),1,0),IF($X19&lt;=20,1,0))</formula>
    </cfRule>
    <cfRule type="expression" dxfId="16612" priority="698">
      <formula>AND(IF($Q19=2,1,0),IF($X19&lt;30,1,0))</formula>
    </cfRule>
    <cfRule type="expression" dxfId="16611" priority="699">
      <formula>AND(IF($Q19=3,1,0),IF($X19&lt;30,1,0))</formula>
    </cfRule>
    <cfRule type="expression" dxfId="16610" priority="700">
      <formula>AND(IF($Q19=3,1,IF($Q19=4,1,0)),IF($F19&lt;=85,1,0))</formula>
    </cfRule>
  </conditionalFormatting>
  <conditionalFormatting sqref="X19">
    <cfRule type="expression" dxfId="16609" priority="693">
      <formula>AND(IF(OR($Q19=1,$Q19=2),1,0),IF($X19&lt;=20,1,0))</formula>
    </cfRule>
    <cfRule type="expression" dxfId="16608" priority="694">
      <formula>AND(IF($Q19=2,1,0),IF($X19&lt;30,1,0))</formula>
    </cfRule>
    <cfRule type="expression" dxfId="16607" priority="695">
      <formula>AND(IF($Q19=3,1,0),IF($X19&lt;30,1,0))</formula>
    </cfRule>
    <cfRule type="expression" dxfId="16606" priority="696">
      <formula>AND(IF($Q19=3,1,IF($Q19=4,1,0)),IF($F19&lt;=85,1,0))</formula>
    </cfRule>
  </conditionalFormatting>
  <conditionalFormatting sqref="AI19">
    <cfRule type="expression" dxfId="16605" priority="689">
      <formula>AND(IF(OR($Q19=1,$Q19=2),1,0),IF($X19&lt;=20,1,0))</formula>
    </cfRule>
    <cfRule type="expression" dxfId="16604" priority="690">
      <formula>AND(IF($Q19=2,1,0),IF($X19&lt;30,1,0))</formula>
    </cfRule>
    <cfRule type="expression" dxfId="16603" priority="691">
      <formula>AND(IF($Q19=3,1,0),IF($X19&lt;30,1,0))</formula>
    </cfRule>
    <cfRule type="expression" dxfId="16602" priority="692">
      <formula>AND(IF($Q19=3,1,IF($Q19=4,1,0)),IF($F19&lt;=85,1,0))</formula>
    </cfRule>
  </conditionalFormatting>
  <conditionalFormatting sqref="AV20">
    <cfRule type="expression" dxfId="16601" priority="687">
      <formula>AV20="X"</formula>
    </cfRule>
    <cfRule type="expression" dxfId="16600" priority="688">
      <formula>AV20="후보"</formula>
    </cfRule>
  </conditionalFormatting>
  <conditionalFormatting sqref="AC20">
    <cfRule type="cellIs" dxfId="16599" priority="685" operator="greaterThan">
      <formula>0.9</formula>
    </cfRule>
    <cfRule type="cellIs" dxfId="16598" priority="686" operator="greaterThan">
      <formula>0.85</formula>
    </cfRule>
  </conditionalFormatting>
  <conditionalFormatting sqref="N20">
    <cfRule type="cellIs" dxfId="16597" priority="683" operator="greaterThan">
      <formula>0.9</formula>
    </cfRule>
    <cfRule type="cellIs" dxfId="16596" priority="684" operator="greaterThan">
      <formula>0.85</formula>
    </cfRule>
  </conditionalFormatting>
  <conditionalFormatting sqref="E20">
    <cfRule type="expression" dxfId="16595" priority="679">
      <formula>AND(IF(OR($Q20=1,$Q20=2),1,0),IF($X20&lt;=20,1,0))</formula>
    </cfRule>
    <cfRule type="expression" dxfId="16594" priority="680">
      <formula>AND(IF($Q20=2,1,0),IF($X20&lt;30,1,0))</formula>
    </cfRule>
    <cfRule type="expression" dxfId="16593" priority="681">
      <formula>AND(IF($Q20=3,1,0),IF($X20&lt;30,1,0))</formula>
    </cfRule>
    <cfRule type="expression" dxfId="16592" priority="682">
      <formula>AND(IF($Q20=3,1,IF($Q20=4,1,0)),IF($F20&lt;=85,1,0))</formula>
    </cfRule>
  </conditionalFormatting>
  <conditionalFormatting sqref="X20">
    <cfRule type="expression" dxfId="16591" priority="675">
      <formula>AND(IF(OR($Q20=1,$Q20=2),1,0),IF($X20&lt;=20,1,0))</formula>
    </cfRule>
    <cfRule type="expression" dxfId="16590" priority="676">
      <formula>AND(IF($Q20=2,1,0),IF($X20&lt;30,1,0))</formula>
    </cfRule>
    <cfRule type="expression" dxfId="16589" priority="677">
      <formula>AND(IF($Q20=3,1,0),IF($X20&lt;30,1,0))</formula>
    </cfRule>
    <cfRule type="expression" dxfId="16588" priority="678">
      <formula>AND(IF($Q20=3,1,IF($Q20=4,1,0)),IF($F20&lt;=85,1,0))</formula>
    </cfRule>
  </conditionalFormatting>
  <conditionalFormatting sqref="AI20">
    <cfRule type="expression" dxfId="16587" priority="671">
      <formula>AND(IF(OR($Q20=1,$Q20=2),1,0),IF($X20&lt;=20,1,0))</formula>
    </cfRule>
    <cfRule type="expression" dxfId="16586" priority="672">
      <formula>AND(IF($Q20=2,1,0),IF($X20&lt;30,1,0))</formula>
    </cfRule>
    <cfRule type="expression" dxfId="16585" priority="673">
      <formula>AND(IF($Q20=3,1,0),IF($X20&lt;30,1,0))</formula>
    </cfRule>
    <cfRule type="expression" dxfId="16584" priority="674">
      <formula>AND(IF($Q20=3,1,IF($Q20=4,1,0)),IF($F20&lt;=85,1,0))</formula>
    </cfRule>
  </conditionalFormatting>
  <conditionalFormatting sqref="AV21">
    <cfRule type="expression" dxfId="16583" priority="669">
      <formula>AV21="X"</formula>
    </cfRule>
    <cfRule type="expression" dxfId="16582" priority="670">
      <formula>AV21="후보"</formula>
    </cfRule>
  </conditionalFormatting>
  <conditionalFormatting sqref="AC21 N21">
    <cfRule type="cellIs" dxfId="16581" priority="667" operator="greaterThan">
      <formula>0.9</formula>
    </cfRule>
    <cfRule type="cellIs" dxfId="16580" priority="668" operator="greaterThan">
      <formula>0.85</formula>
    </cfRule>
  </conditionalFormatting>
  <conditionalFormatting sqref="AV22">
    <cfRule type="expression" dxfId="16579" priority="665">
      <formula>AV22="X"</formula>
    </cfRule>
    <cfRule type="expression" dxfId="16578" priority="666">
      <formula>AV22="후보"</formula>
    </cfRule>
  </conditionalFormatting>
  <conditionalFormatting sqref="AC22">
    <cfRule type="cellIs" dxfId="16577" priority="663" operator="greaterThan">
      <formula>0.9</formula>
    </cfRule>
    <cfRule type="cellIs" dxfId="16576" priority="664" operator="greaterThan">
      <formula>0.85</formula>
    </cfRule>
  </conditionalFormatting>
  <conditionalFormatting sqref="N22">
    <cfRule type="cellIs" dxfId="16575" priority="661" operator="greaterThan">
      <formula>0.9</formula>
    </cfRule>
    <cfRule type="cellIs" dxfId="16574" priority="662" operator="greaterThan">
      <formula>0.85</formula>
    </cfRule>
  </conditionalFormatting>
  <conditionalFormatting sqref="E22">
    <cfRule type="expression" dxfId="16573" priority="657">
      <formula>AND(IF(OR($Q22=1,$Q22=2),1,0),IF($X22&lt;=20,1,0))</formula>
    </cfRule>
    <cfRule type="expression" dxfId="16572" priority="658">
      <formula>AND(IF($Q22=2,1,0),IF($X22&lt;30,1,0))</formula>
    </cfRule>
    <cfRule type="expression" dxfId="16571" priority="659">
      <formula>AND(IF($Q22=3,1,0),IF($X22&lt;30,1,0))</formula>
    </cfRule>
    <cfRule type="expression" dxfId="16570" priority="660">
      <formula>AND(IF($Q22=3,1,IF($Q22=4,1,0)),IF($F22&lt;=85,1,0))</formula>
    </cfRule>
  </conditionalFormatting>
  <conditionalFormatting sqref="X22">
    <cfRule type="expression" dxfId="16569" priority="653">
      <formula>AND(IF(OR($Q22=1,$Q22=2),1,0),IF($X22&lt;=20,1,0))</formula>
    </cfRule>
    <cfRule type="expression" dxfId="16568" priority="654">
      <formula>AND(IF($Q22=2,1,0),IF($X22&lt;30,1,0))</formula>
    </cfRule>
    <cfRule type="expression" dxfId="16567" priority="655">
      <formula>AND(IF($Q22=3,1,0),IF($X22&lt;30,1,0))</formula>
    </cfRule>
    <cfRule type="expression" dxfId="16566" priority="656">
      <formula>AND(IF($Q22=3,1,IF($Q22=4,1,0)),IF($F22&lt;=85,1,0))</formula>
    </cfRule>
  </conditionalFormatting>
  <conditionalFormatting sqref="AI22">
    <cfRule type="expression" dxfId="16565" priority="649">
      <formula>AND(IF(OR($Q22=1,$Q22=2),1,0),IF($X22&lt;=20,1,0))</formula>
    </cfRule>
    <cfRule type="expression" dxfId="16564" priority="650">
      <formula>AND(IF($Q22=2,1,0),IF($X22&lt;30,1,0))</formula>
    </cfRule>
    <cfRule type="expression" dxfId="16563" priority="651">
      <formula>AND(IF($Q22=3,1,0),IF($X22&lt;30,1,0))</formula>
    </cfRule>
    <cfRule type="expression" dxfId="16562" priority="652">
      <formula>AND(IF($Q22=3,1,IF($Q22=4,1,0)),IF($F22&lt;=85,1,0))</formula>
    </cfRule>
  </conditionalFormatting>
  <conditionalFormatting sqref="AV23">
    <cfRule type="expression" dxfId="16561" priority="647">
      <formula>AV23="X"</formula>
    </cfRule>
    <cfRule type="expression" dxfId="16560" priority="648">
      <formula>AV23="후보"</formula>
    </cfRule>
  </conditionalFormatting>
  <conditionalFormatting sqref="AC23">
    <cfRule type="cellIs" dxfId="16559" priority="645" operator="greaterThan">
      <formula>0.9</formula>
    </cfRule>
    <cfRule type="cellIs" dxfId="16558" priority="646" operator="greaterThan">
      <formula>0.85</formula>
    </cfRule>
  </conditionalFormatting>
  <conditionalFormatting sqref="N23">
    <cfRule type="cellIs" dxfId="16557" priority="643" operator="greaterThan">
      <formula>0.9</formula>
    </cfRule>
    <cfRule type="cellIs" dxfId="16556" priority="644" operator="greaterThan">
      <formula>0.85</formula>
    </cfRule>
  </conditionalFormatting>
  <conditionalFormatting sqref="E23">
    <cfRule type="expression" dxfId="16555" priority="639">
      <formula>AND(IF(OR($Q23=1,$Q23=2),1,0),IF($X23&lt;=20,1,0))</formula>
    </cfRule>
    <cfRule type="expression" dxfId="16554" priority="640">
      <formula>AND(IF($Q23=2,1,0),IF($X23&lt;30,1,0))</formula>
    </cfRule>
    <cfRule type="expression" dxfId="16553" priority="641">
      <formula>AND(IF($Q23=3,1,0),IF($X23&lt;30,1,0))</formula>
    </cfRule>
    <cfRule type="expression" dxfId="16552" priority="642">
      <formula>AND(IF($Q23=3,1,IF($Q23=4,1,0)),IF($F23&lt;=85,1,0))</formula>
    </cfRule>
  </conditionalFormatting>
  <conditionalFormatting sqref="X23">
    <cfRule type="expression" dxfId="16551" priority="635">
      <formula>AND(IF(OR($Q23=1,$Q23=2),1,0),IF($X23&lt;=20,1,0))</formula>
    </cfRule>
    <cfRule type="expression" dxfId="16550" priority="636">
      <formula>AND(IF($Q23=2,1,0),IF($X23&lt;30,1,0))</formula>
    </cfRule>
    <cfRule type="expression" dxfId="16549" priority="637">
      <formula>AND(IF($Q23=3,1,0),IF($X23&lt;30,1,0))</formula>
    </cfRule>
    <cfRule type="expression" dxfId="16548" priority="638">
      <formula>AND(IF($Q23=3,1,IF($Q23=4,1,0)),IF($F23&lt;=85,1,0))</formula>
    </cfRule>
  </conditionalFormatting>
  <conditionalFormatting sqref="AI23">
    <cfRule type="expression" dxfId="16547" priority="631">
      <formula>AND(IF(OR($Q23=1,$Q23=2),1,0),IF($X23&lt;=20,1,0))</formula>
    </cfRule>
    <cfRule type="expression" dxfId="16546" priority="632">
      <formula>AND(IF($Q23=2,1,0),IF($X23&lt;30,1,0))</formula>
    </cfRule>
    <cfRule type="expression" dxfId="16545" priority="633">
      <formula>AND(IF($Q23=3,1,0),IF($X23&lt;30,1,0))</formula>
    </cfRule>
    <cfRule type="expression" dxfId="16544" priority="634">
      <formula>AND(IF($Q23=3,1,IF($Q23=4,1,0)),IF($F23&lt;=85,1,0))</formula>
    </cfRule>
  </conditionalFormatting>
  <conditionalFormatting sqref="AV24">
    <cfRule type="expression" dxfId="16543" priority="629">
      <formula>AV24="X"</formula>
    </cfRule>
    <cfRule type="expression" dxfId="16542" priority="630">
      <formula>AV24="후보"</formula>
    </cfRule>
  </conditionalFormatting>
  <conditionalFormatting sqref="AC24">
    <cfRule type="cellIs" dxfId="16541" priority="627" operator="greaterThan">
      <formula>0.9</formula>
    </cfRule>
    <cfRule type="cellIs" dxfId="16540" priority="628" operator="greaterThan">
      <formula>0.85</formula>
    </cfRule>
  </conditionalFormatting>
  <conditionalFormatting sqref="N24">
    <cfRule type="cellIs" dxfId="16539" priority="625" operator="greaterThan">
      <formula>0.9</formula>
    </cfRule>
    <cfRule type="cellIs" dxfId="16538" priority="626" operator="greaterThan">
      <formula>0.85</formula>
    </cfRule>
  </conditionalFormatting>
  <conditionalFormatting sqref="E24">
    <cfRule type="expression" dxfId="16537" priority="621">
      <formula>AND(IF(OR($Q24=1,$Q24=2),1,0),IF($X24&lt;=20,1,0))</formula>
    </cfRule>
    <cfRule type="expression" dxfId="16536" priority="622">
      <formula>AND(IF($Q24=2,1,0),IF($X24&lt;30,1,0))</formula>
    </cfRule>
    <cfRule type="expression" dxfId="16535" priority="623">
      <formula>AND(IF($Q24=3,1,0),IF($X24&lt;30,1,0))</formula>
    </cfRule>
    <cfRule type="expression" dxfId="16534" priority="624">
      <formula>AND(IF($Q24=3,1,IF($Q24=4,1,0)),IF($F24&lt;=85,1,0))</formula>
    </cfRule>
  </conditionalFormatting>
  <conditionalFormatting sqref="X24">
    <cfRule type="expression" dxfId="16533" priority="617">
      <formula>AND(IF(OR($Q24=1,$Q24=2),1,0),IF($X24&lt;=20,1,0))</formula>
    </cfRule>
    <cfRule type="expression" dxfId="16532" priority="618">
      <formula>AND(IF($Q24=2,1,0),IF($X24&lt;30,1,0))</formula>
    </cfRule>
    <cfRule type="expression" dxfId="16531" priority="619">
      <formula>AND(IF($Q24=3,1,0),IF($X24&lt;30,1,0))</formula>
    </cfRule>
    <cfRule type="expression" dxfId="16530" priority="620">
      <formula>AND(IF($Q24=3,1,IF($Q24=4,1,0)),IF($F24&lt;=85,1,0))</formula>
    </cfRule>
  </conditionalFormatting>
  <conditionalFormatting sqref="AI24">
    <cfRule type="expression" dxfId="16529" priority="613">
      <formula>AND(IF(OR($Q24=1,$Q24=2),1,0),IF($X24&lt;=20,1,0))</formula>
    </cfRule>
    <cfRule type="expression" dxfId="16528" priority="614">
      <formula>AND(IF($Q24=2,1,0),IF($X24&lt;30,1,0))</formula>
    </cfRule>
    <cfRule type="expression" dxfId="16527" priority="615">
      <formula>AND(IF($Q24=3,1,0),IF($X24&lt;30,1,0))</formula>
    </cfRule>
    <cfRule type="expression" dxfId="16526" priority="616">
      <formula>AND(IF($Q24=3,1,IF($Q24=4,1,0)),IF($F24&lt;=85,1,0))</formula>
    </cfRule>
  </conditionalFormatting>
  <conditionalFormatting sqref="AV25">
    <cfRule type="expression" dxfId="16525" priority="611">
      <formula>AV25="X"</formula>
    </cfRule>
    <cfRule type="expression" dxfId="16524" priority="612">
      <formula>AV25="후보"</formula>
    </cfRule>
  </conditionalFormatting>
  <conditionalFormatting sqref="AC25">
    <cfRule type="cellIs" dxfId="16523" priority="609" operator="greaterThan">
      <formula>0.9</formula>
    </cfRule>
    <cfRule type="cellIs" dxfId="16522" priority="610" operator="greaterThan">
      <formula>0.85</formula>
    </cfRule>
  </conditionalFormatting>
  <conditionalFormatting sqref="N25">
    <cfRule type="cellIs" dxfId="16521" priority="607" operator="greaterThan">
      <formula>0.9</formula>
    </cfRule>
    <cfRule type="cellIs" dxfId="16520" priority="608" operator="greaterThan">
      <formula>0.85</formula>
    </cfRule>
  </conditionalFormatting>
  <conditionalFormatting sqref="E25">
    <cfRule type="expression" dxfId="16519" priority="603">
      <formula>AND(IF(OR($Q25=1,$Q25=2),1,0),IF($X25&lt;=20,1,0))</formula>
    </cfRule>
    <cfRule type="expression" dxfId="16518" priority="604">
      <formula>AND(IF($Q25=2,1,0),IF($X25&lt;30,1,0))</formula>
    </cfRule>
    <cfRule type="expression" dxfId="16517" priority="605">
      <formula>AND(IF($Q25=3,1,0),IF($X25&lt;30,1,0))</formula>
    </cfRule>
    <cfRule type="expression" dxfId="16516" priority="606">
      <formula>AND(IF($Q25=3,1,IF($Q25=4,1,0)),IF($F25&lt;=85,1,0))</formula>
    </cfRule>
  </conditionalFormatting>
  <conditionalFormatting sqref="X25">
    <cfRule type="expression" dxfId="16515" priority="599">
      <formula>AND(IF(OR($Q25=1,$Q25=2),1,0),IF($X25&lt;=20,1,0))</formula>
    </cfRule>
    <cfRule type="expression" dxfId="16514" priority="600">
      <formula>AND(IF($Q25=2,1,0),IF($X25&lt;30,1,0))</formula>
    </cfRule>
    <cfRule type="expression" dxfId="16513" priority="601">
      <formula>AND(IF($Q25=3,1,0),IF($X25&lt;30,1,0))</formula>
    </cfRule>
    <cfRule type="expression" dxfId="16512" priority="602">
      <formula>AND(IF($Q25=3,1,IF($Q25=4,1,0)),IF($F25&lt;=85,1,0))</formula>
    </cfRule>
  </conditionalFormatting>
  <conditionalFormatting sqref="AI25">
    <cfRule type="expression" dxfId="16511" priority="595">
      <formula>AND(IF(OR($Q25=1,$Q25=2),1,0),IF($X25&lt;=20,1,0))</formula>
    </cfRule>
    <cfRule type="expression" dxfId="16510" priority="596">
      <formula>AND(IF($Q25=2,1,0),IF($X25&lt;30,1,0))</formula>
    </cfRule>
    <cfRule type="expression" dxfId="16509" priority="597">
      <formula>AND(IF($Q25=3,1,0),IF($X25&lt;30,1,0))</formula>
    </cfRule>
    <cfRule type="expression" dxfId="16508" priority="598">
      <formula>AND(IF($Q25=3,1,IF($Q25=4,1,0)),IF($F25&lt;=85,1,0))</formula>
    </cfRule>
  </conditionalFormatting>
  <conditionalFormatting sqref="AV26">
    <cfRule type="expression" dxfId="16507" priority="593">
      <formula>AV26="X"</formula>
    </cfRule>
    <cfRule type="expression" dxfId="16506" priority="594">
      <formula>AV26="후보"</formula>
    </cfRule>
  </conditionalFormatting>
  <conditionalFormatting sqref="AC26 N26">
    <cfRule type="cellIs" dxfId="16505" priority="591" operator="greaterThan">
      <formula>0.9</formula>
    </cfRule>
    <cfRule type="cellIs" dxfId="16504" priority="592" operator="greaterThan">
      <formula>0.85</formula>
    </cfRule>
  </conditionalFormatting>
  <conditionalFormatting sqref="AV27">
    <cfRule type="expression" dxfId="16503" priority="589">
      <formula>AV27="X"</formula>
    </cfRule>
    <cfRule type="expression" dxfId="16502" priority="590">
      <formula>AV27="후보"</formula>
    </cfRule>
  </conditionalFormatting>
  <conditionalFormatting sqref="AC27">
    <cfRule type="cellIs" dxfId="16501" priority="587" operator="greaterThan">
      <formula>0.9</formula>
    </cfRule>
    <cfRule type="cellIs" dxfId="16500" priority="588" operator="greaterThan">
      <formula>0.85</formula>
    </cfRule>
  </conditionalFormatting>
  <conditionalFormatting sqref="N27">
    <cfRule type="cellIs" dxfId="16499" priority="585" operator="greaterThan">
      <formula>0.9</formula>
    </cfRule>
    <cfRule type="cellIs" dxfId="16498" priority="586" operator="greaterThan">
      <formula>0.85</formula>
    </cfRule>
  </conditionalFormatting>
  <conditionalFormatting sqref="E27">
    <cfRule type="expression" dxfId="16497" priority="581">
      <formula>AND(IF(OR($Q27=1,$Q27=2),1,0),IF($X27&lt;=20,1,0))</formula>
    </cfRule>
    <cfRule type="expression" dxfId="16496" priority="582">
      <formula>AND(IF($Q27=2,1,0),IF($X27&lt;30,1,0))</formula>
    </cfRule>
    <cfRule type="expression" dxfId="16495" priority="583">
      <formula>AND(IF($Q27=3,1,0),IF($X27&lt;30,1,0))</formula>
    </cfRule>
    <cfRule type="expression" dxfId="16494" priority="584">
      <formula>AND(IF($Q27=3,1,IF($Q27=4,1,0)),IF($F27&lt;=85,1,0))</formula>
    </cfRule>
  </conditionalFormatting>
  <conditionalFormatting sqref="X27">
    <cfRule type="expression" dxfId="16493" priority="577">
      <formula>AND(IF(OR($Q27=1,$Q27=2),1,0),IF($X27&lt;=20,1,0))</formula>
    </cfRule>
    <cfRule type="expression" dxfId="16492" priority="578">
      <formula>AND(IF($Q27=2,1,0),IF($X27&lt;30,1,0))</formula>
    </cfRule>
    <cfRule type="expression" dxfId="16491" priority="579">
      <formula>AND(IF($Q27=3,1,0),IF($X27&lt;30,1,0))</formula>
    </cfRule>
    <cfRule type="expression" dxfId="16490" priority="580">
      <formula>AND(IF($Q27=3,1,IF($Q27=4,1,0)),IF($F27&lt;=85,1,0))</formula>
    </cfRule>
  </conditionalFormatting>
  <conditionalFormatting sqref="AI27">
    <cfRule type="expression" dxfId="16489" priority="573">
      <formula>AND(IF(OR($Q27=1,$Q27=2),1,0),IF($X27&lt;=20,1,0))</formula>
    </cfRule>
    <cfRule type="expression" dxfId="16488" priority="574">
      <formula>AND(IF($Q27=2,1,0),IF($X27&lt;30,1,0))</formula>
    </cfRule>
    <cfRule type="expression" dxfId="16487" priority="575">
      <formula>AND(IF($Q27=3,1,0),IF($X27&lt;30,1,0))</formula>
    </cfRule>
    <cfRule type="expression" dxfId="16486" priority="576">
      <formula>AND(IF($Q27=3,1,IF($Q27=4,1,0)),IF($F27&lt;=85,1,0))</formula>
    </cfRule>
  </conditionalFormatting>
  <conditionalFormatting sqref="AV28">
    <cfRule type="expression" dxfId="16485" priority="571">
      <formula>AV28="X"</formula>
    </cfRule>
    <cfRule type="expression" dxfId="16484" priority="572">
      <formula>AV28="후보"</formula>
    </cfRule>
  </conditionalFormatting>
  <conditionalFormatting sqref="AC28 N28">
    <cfRule type="cellIs" dxfId="16483" priority="569" operator="greaterThan">
      <formula>0.9</formula>
    </cfRule>
    <cfRule type="cellIs" dxfId="16482" priority="570" operator="greaterThan">
      <formula>0.85</formula>
    </cfRule>
  </conditionalFormatting>
  <conditionalFormatting sqref="AV29">
    <cfRule type="expression" dxfId="16481" priority="567">
      <formula>AV29="X"</formula>
    </cfRule>
    <cfRule type="expression" dxfId="16480" priority="568">
      <formula>AV29="후보"</formula>
    </cfRule>
  </conditionalFormatting>
  <conditionalFormatting sqref="AC29">
    <cfRule type="cellIs" dxfId="16479" priority="565" operator="greaterThan">
      <formula>0.9</formula>
    </cfRule>
    <cfRule type="cellIs" dxfId="16478" priority="566" operator="greaterThan">
      <formula>0.85</formula>
    </cfRule>
  </conditionalFormatting>
  <conditionalFormatting sqref="N29">
    <cfRule type="cellIs" dxfId="16477" priority="563" operator="greaterThan">
      <formula>0.9</formula>
    </cfRule>
    <cfRule type="cellIs" dxfId="16476" priority="564" operator="greaterThan">
      <formula>0.85</formula>
    </cfRule>
  </conditionalFormatting>
  <conditionalFormatting sqref="E29">
    <cfRule type="expression" dxfId="16475" priority="559">
      <formula>AND(IF(OR($Q29=1,$Q29=2),1,0),IF($X29&lt;=20,1,0))</formula>
    </cfRule>
    <cfRule type="expression" dxfId="16474" priority="560">
      <formula>AND(IF($Q29=2,1,0),IF($X29&lt;30,1,0))</formula>
    </cfRule>
    <cfRule type="expression" dxfId="16473" priority="561">
      <formula>AND(IF($Q29=3,1,0),IF($X29&lt;30,1,0))</formula>
    </cfRule>
    <cfRule type="expression" dxfId="16472" priority="562">
      <formula>AND(IF($Q29=3,1,IF($Q29=4,1,0)),IF($F29&lt;=85,1,0))</formula>
    </cfRule>
  </conditionalFormatting>
  <conditionalFormatting sqref="X29">
    <cfRule type="expression" dxfId="16471" priority="555">
      <formula>AND(IF(OR($Q29=1,$Q29=2),1,0),IF($X29&lt;=20,1,0))</formula>
    </cfRule>
    <cfRule type="expression" dxfId="16470" priority="556">
      <formula>AND(IF($Q29=2,1,0),IF($X29&lt;30,1,0))</formula>
    </cfRule>
    <cfRule type="expression" dxfId="16469" priority="557">
      <formula>AND(IF($Q29=3,1,0),IF($X29&lt;30,1,0))</formula>
    </cfRule>
    <cfRule type="expression" dxfId="16468" priority="558">
      <formula>AND(IF($Q29=3,1,IF($Q29=4,1,0)),IF($F29&lt;=85,1,0))</formula>
    </cfRule>
  </conditionalFormatting>
  <conditionalFormatting sqref="AI29">
    <cfRule type="expression" dxfId="16467" priority="551">
      <formula>AND(IF(OR($Q29=1,$Q29=2),1,0),IF($X29&lt;=20,1,0))</formula>
    </cfRule>
    <cfRule type="expression" dxfId="16466" priority="552">
      <formula>AND(IF($Q29=2,1,0),IF($X29&lt;30,1,0))</formula>
    </cfRule>
    <cfRule type="expression" dxfId="16465" priority="553">
      <formula>AND(IF($Q29=3,1,0),IF($X29&lt;30,1,0))</formula>
    </cfRule>
    <cfRule type="expression" dxfId="16464" priority="554">
      <formula>AND(IF($Q29=3,1,IF($Q29=4,1,0)),IF($F29&lt;=85,1,0))</formula>
    </cfRule>
  </conditionalFormatting>
  <conditionalFormatting sqref="AV30">
    <cfRule type="expression" dxfId="16463" priority="549">
      <formula>AV30="X"</formula>
    </cfRule>
    <cfRule type="expression" dxfId="16462" priority="550">
      <formula>AV30="후보"</formula>
    </cfRule>
  </conditionalFormatting>
  <conditionalFormatting sqref="AC30">
    <cfRule type="cellIs" dxfId="16461" priority="547" operator="greaterThan">
      <formula>0.9</formula>
    </cfRule>
    <cfRule type="cellIs" dxfId="16460" priority="548" operator="greaterThan">
      <formula>0.85</formula>
    </cfRule>
  </conditionalFormatting>
  <conditionalFormatting sqref="N30">
    <cfRule type="cellIs" dxfId="16459" priority="545" operator="greaterThan">
      <formula>0.9</formula>
    </cfRule>
    <cfRule type="cellIs" dxfId="16458" priority="546" operator="greaterThan">
      <formula>0.85</formula>
    </cfRule>
  </conditionalFormatting>
  <conditionalFormatting sqref="E30">
    <cfRule type="expression" dxfId="16457" priority="541">
      <formula>AND(IF(OR($Q30=1,$Q30=2),1,0),IF($X30&lt;=20,1,0))</formula>
    </cfRule>
    <cfRule type="expression" dxfId="16456" priority="542">
      <formula>AND(IF($Q30=2,1,0),IF($X30&lt;30,1,0))</formula>
    </cfRule>
    <cfRule type="expression" dxfId="16455" priority="543">
      <formula>AND(IF($Q30=3,1,0),IF($X30&lt;30,1,0))</formula>
    </cfRule>
    <cfRule type="expression" dxfId="16454" priority="544">
      <formula>AND(IF($Q30=3,1,IF($Q30=4,1,0)),IF($F30&lt;=85,1,0))</formula>
    </cfRule>
  </conditionalFormatting>
  <conditionalFormatting sqref="X30">
    <cfRule type="expression" dxfId="16453" priority="537">
      <formula>AND(IF(OR($Q30=1,$Q30=2),1,0),IF($X30&lt;=20,1,0))</formula>
    </cfRule>
    <cfRule type="expression" dxfId="16452" priority="538">
      <formula>AND(IF($Q30=2,1,0),IF($X30&lt;30,1,0))</formula>
    </cfRule>
    <cfRule type="expression" dxfId="16451" priority="539">
      <formula>AND(IF($Q30=3,1,0),IF($X30&lt;30,1,0))</formula>
    </cfRule>
    <cfRule type="expression" dxfId="16450" priority="540">
      <formula>AND(IF($Q30=3,1,IF($Q30=4,1,0)),IF($F30&lt;=85,1,0))</formula>
    </cfRule>
  </conditionalFormatting>
  <conditionalFormatting sqref="AI30">
    <cfRule type="expression" dxfId="16449" priority="533">
      <formula>AND(IF(OR($Q30=1,$Q30=2),1,0),IF($X30&lt;=20,1,0))</formula>
    </cfRule>
    <cfRule type="expression" dxfId="16448" priority="534">
      <formula>AND(IF($Q30=2,1,0),IF($X30&lt;30,1,0))</formula>
    </cfRule>
    <cfRule type="expression" dxfId="16447" priority="535">
      <formula>AND(IF($Q30=3,1,0),IF($X30&lt;30,1,0))</formula>
    </cfRule>
    <cfRule type="expression" dxfId="16446" priority="536">
      <formula>AND(IF($Q30=3,1,IF($Q30=4,1,0)),IF($F30&lt;=85,1,0))</formula>
    </cfRule>
  </conditionalFormatting>
  <conditionalFormatting sqref="AV31">
    <cfRule type="expression" dxfId="16445" priority="531">
      <formula>AV31="X"</formula>
    </cfRule>
    <cfRule type="expression" dxfId="16444" priority="532">
      <formula>AV31="후보"</formula>
    </cfRule>
  </conditionalFormatting>
  <conditionalFormatting sqref="AC31">
    <cfRule type="cellIs" dxfId="16443" priority="529" operator="greaterThan">
      <formula>0.9</formula>
    </cfRule>
    <cfRule type="cellIs" dxfId="16442" priority="530" operator="greaterThan">
      <formula>0.85</formula>
    </cfRule>
  </conditionalFormatting>
  <conditionalFormatting sqref="N31">
    <cfRule type="cellIs" dxfId="16441" priority="527" operator="greaterThan">
      <formula>0.9</formula>
    </cfRule>
    <cfRule type="cellIs" dxfId="16440" priority="528" operator="greaterThan">
      <formula>0.85</formula>
    </cfRule>
  </conditionalFormatting>
  <conditionalFormatting sqref="E31">
    <cfRule type="expression" dxfId="16439" priority="523">
      <formula>AND(IF(OR($Q31=1,$Q31=2),1,0),IF($X31&lt;=20,1,0))</formula>
    </cfRule>
    <cfRule type="expression" dxfId="16438" priority="524">
      <formula>AND(IF($Q31=2,1,0),IF($X31&lt;30,1,0))</formula>
    </cfRule>
    <cfRule type="expression" dxfId="16437" priority="525">
      <formula>AND(IF($Q31=3,1,0),IF($X31&lt;30,1,0))</formula>
    </cfRule>
    <cfRule type="expression" dxfId="16436" priority="526">
      <formula>AND(IF($Q31=3,1,IF($Q31=4,1,0)),IF($F31&lt;=85,1,0))</formula>
    </cfRule>
  </conditionalFormatting>
  <conditionalFormatting sqref="X31">
    <cfRule type="expression" dxfId="16435" priority="519">
      <formula>AND(IF(OR($Q31=1,$Q31=2),1,0),IF($X31&lt;=20,1,0))</formula>
    </cfRule>
    <cfRule type="expression" dxfId="16434" priority="520">
      <formula>AND(IF($Q31=2,1,0),IF($X31&lt;30,1,0))</formula>
    </cfRule>
    <cfRule type="expression" dxfId="16433" priority="521">
      <formula>AND(IF($Q31=3,1,0),IF($X31&lt;30,1,0))</formula>
    </cfRule>
    <cfRule type="expression" dxfId="16432" priority="522">
      <formula>AND(IF($Q31=3,1,IF($Q31=4,1,0)),IF($F31&lt;=85,1,0))</formula>
    </cfRule>
  </conditionalFormatting>
  <conditionalFormatting sqref="AI31">
    <cfRule type="expression" dxfId="16431" priority="515">
      <formula>AND(IF(OR($Q31=1,$Q31=2),1,0),IF($X31&lt;=20,1,0))</formula>
    </cfRule>
    <cfRule type="expression" dxfId="16430" priority="516">
      <formula>AND(IF($Q31=2,1,0),IF($X31&lt;30,1,0))</formula>
    </cfRule>
    <cfRule type="expression" dxfId="16429" priority="517">
      <formula>AND(IF($Q31=3,1,0),IF($X31&lt;30,1,0))</formula>
    </cfRule>
    <cfRule type="expression" dxfId="16428" priority="518">
      <formula>AND(IF($Q31=3,1,IF($Q31=4,1,0)),IF($F31&lt;=85,1,0))</formula>
    </cfRule>
  </conditionalFormatting>
  <conditionalFormatting sqref="AV32">
    <cfRule type="expression" dxfId="16427" priority="513">
      <formula>AV32="X"</formula>
    </cfRule>
    <cfRule type="expression" dxfId="16426" priority="514">
      <formula>AV32="후보"</formula>
    </cfRule>
  </conditionalFormatting>
  <conditionalFormatting sqref="AC32">
    <cfRule type="cellIs" dxfId="16425" priority="511" operator="greaterThan">
      <formula>0.9</formula>
    </cfRule>
    <cfRule type="cellIs" dxfId="16424" priority="512" operator="greaterThan">
      <formula>0.85</formula>
    </cfRule>
  </conditionalFormatting>
  <conditionalFormatting sqref="N32">
    <cfRule type="cellIs" dxfId="16423" priority="509" operator="greaterThan">
      <formula>0.9</formula>
    </cfRule>
    <cfRule type="cellIs" dxfId="16422" priority="510" operator="greaterThan">
      <formula>0.85</formula>
    </cfRule>
  </conditionalFormatting>
  <conditionalFormatting sqref="E32">
    <cfRule type="expression" dxfId="16421" priority="505">
      <formula>AND(IF(OR($Q32=1,$Q32=2),1,0),IF($X32&lt;=20,1,0))</formula>
    </cfRule>
    <cfRule type="expression" dxfId="16420" priority="506">
      <formula>AND(IF($Q32=2,1,0),IF($X32&lt;30,1,0))</formula>
    </cfRule>
    <cfRule type="expression" dxfId="16419" priority="507">
      <formula>AND(IF($Q32=3,1,0),IF($X32&lt;30,1,0))</formula>
    </cfRule>
    <cfRule type="expression" dxfId="16418" priority="508">
      <formula>AND(IF($Q32=3,1,IF($Q32=4,1,0)),IF($F32&lt;=85,1,0))</formula>
    </cfRule>
  </conditionalFormatting>
  <conditionalFormatting sqref="X32">
    <cfRule type="expression" dxfId="16417" priority="501">
      <formula>AND(IF(OR($Q32=1,$Q32=2),1,0),IF($X32&lt;=20,1,0))</formula>
    </cfRule>
    <cfRule type="expression" dxfId="16416" priority="502">
      <formula>AND(IF($Q32=2,1,0),IF($X32&lt;30,1,0))</formula>
    </cfRule>
    <cfRule type="expression" dxfId="16415" priority="503">
      <formula>AND(IF($Q32=3,1,0),IF($X32&lt;30,1,0))</formula>
    </cfRule>
    <cfRule type="expression" dxfId="16414" priority="504">
      <formula>AND(IF($Q32=3,1,IF($Q32=4,1,0)),IF($F32&lt;=85,1,0))</formula>
    </cfRule>
  </conditionalFormatting>
  <conditionalFormatting sqref="AI32">
    <cfRule type="expression" dxfId="16413" priority="497">
      <formula>AND(IF(OR($Q32=1,$Q32=2),1,0),IF($X32&lt;=20,1,0))</formula>
    </cfRule>
    <cfRule type="expression" dxfId="16412" priority="498">
      <formula>AND(IF($Q32=2,1,0),IF($X32&lt;30,1,0))</formula>
    </cfRule>
    <cfRule type="expression" dxfId="16411" priority="499">
      <formula>AND(IF($Q32=3,1,0),IF($X32&lt;30,1,0))</formula>
    </cfRule>
    <cfRule type="expression" dxfId="16410" priority="500">
      <formula>AND(IF($Q32=3,1,IF($Q32=4,1,0)),IF($F32&lt;=85,1,0))</formula>
    </cfRule>
  </conditionalFormatting>
  <conditionalFormatting sqref="AV33">
    <cfRule type="expression" dxfId="16409" priority="495">
      <formula>AV33="X"</formula>
    </cfRule>
    <cfRule type="expression" dxfId="16408" priority="496">
      <formula>AV33="후보"</formula>
    </cfRule>
  </conditionalFormatting>
  <conditionalFormatting sqref="AC33">
    <cfRule type="cellIs" dxfId="16407" priority="493" operator="greaterThan">
      <formula>0.9</formula>
    </cfRule>
    <cfRule type="cellIs" dxfId="16406" priority="494" operator="greaterThan">
      <formula>0.85</formula>
    </cfRule>
  </conditionalFormatting>
  <conditionalFormatting sqref="N33">
    <cfRule type="cellIs" dxfId="16405" priority="491" operator="greaterThan">
      <formula>0.9</formula>
    </cfRule>
    <cfRule type="cellIs" dxfId="16404" priority="492" operator="greaterThan">
      <formula>0.85</formula>
    </cfRule>
  </conditionalFormatting>
  <conditionalFormatting sqref="E33">
    <cfRule type="expression" dxfId="16403" priority="487">
      <formula>AND(IF(OR($Q33=1,$Q33=2),1,0),IF($X33&lt;=20,1,0))</formula>
    </cfRule>
    <cfRule type="expression" dxfId="16402" priority="488">
      <formula>AND(IF($Q33=2,1,0),IF($X33&lt;30,1,0))</formula>
    </cfRule>
    <cfRule type="expression" dxfId="16401" priority="489">
      <formula>AND(IF($Q33=3,1,0),IF($X33&lt;30,1,0))</formula>
    </cfRule>
    <cfRule type="expression" dxfId="16400" priority="490">
      <formula>AND(IF($Q33=3,1,IF($Q33=4,1,0)),IF($F33&lt;=85,1,0))</formula>
    </cfRule>
  </conditionalFormatting>
  <conditionalFormatting sqref="X33">
    <cfRule type="expression" dxfId="16399" priority="483">
      <formula>AND(IF(OR($Q33=1,$Q33=2),1,0),IF($X33&lt;=20,1,0))</formula>
    </cfRule>
    <cfRule type="expression" dxfId="16398" priority="484">
      <formula>AND(IF($Q33=2,1,0),IF($X33&lt;30,1,0))</formula>
    </cfRule>
    <cfRule type="expression" dxfId="16397" priority="485">
      <formula>AND(IF($Q33=3,1,0),IF($X33&lt;30,1,0))</formula>
    </cfRule>
    <cfRule type="expression" dxfId="16396" priority="486">
      <formula>AND(IF($Q33=3,1,IF($Q33=4,1,0)),IF($F33&lt;=85,1,0))</formula>
    </cfRule>
  </conditionalFormatting>
  <conditionalFormatting sqref="AI33">
    <cfRule type="expression" dxfId="16395" priority="479">
      <formula>AND(IF(OR($Q33=1,$Q33=2),1,0),IF($X33&lt;=20,1,0))</formula>
    </cfRule>
    <cfRule type="expression" dxfId="16394" priority="480">
      <formula>AND(IF($Q33=2,1,0),IF($X33&lt;30,1,0))</formula>
    </cfRule>
    <cfRule type="expression" dxfId="16393" priority="481">
      <formula>AND(IF($Q33=3,1,0),IF($X33&lt;30,1,0))</formula>
    </cfRule>
    <cfRule type="expression" dxfId="16392" priority="482">
      <formula>AND(IF($Q33=3,1,IF($Q33=4,1,0)),IF($F33&lt;=85,1,0))</formula>
    </cfRule>
  </conditionalFormatting>
  <conditionalFormatting sqref="AV34">
    <cfRule type="expression" dxfId="16391" priority="477">
      <formula>AV34="X"</formula>
    </cfRule>
    <cfRule type="expression" dxfId="16390" priority="478">
      <formula>AV34="후보"</formula>
    </cfRule>
  </conditionalFormatting>
  <conditionalFormatting sqref="AC34">
    <cfRule type="cellIs" dxfId="16389" priority="475" operator="greaterThan">
      <formula>0.9</formula>
    </cfRule>
    <cfRule type="cellIs" dxfId="16388" priority="476" operator="greaterThan">
      <formula>0.85</formula>
    </cfRule>
  </conditionalFormatting>
  <conditionalFormatting sqref="N34">
    <cfRule type="cellIs" dxfId="16387" priority="473" operator="greaterThan">
      <formula>0.9</formula>
    </cfRule>
    <cfRule type="cellIs" dxfId="16386" priority="474" operator="greaterThan">
      <formula>0.85</formula>
    </cfRule>
  </conditionalFormatting>
  <conditionalFormatting sqref="E34">
    <cfRule type="expression" dxfId="16385" priority="469">
      <formula>AND(IF(OR($Q34=1,$Q34=2),1,0),IF($X34&lt;=20,1,0))</formula>
    </cfRule>
    <cfRule type="expression" dxfId="16384" priority="470">
      <formula>AND(IF($Q34=2,1,0),IF($X34&lt;30,1,0))</formula>
    </cfRule>
    <cfRule type="expression" dxfId="16383" priority="471">
      <formula>AND(IF($Q34=3,1,0),IF($X34&lt;30,1,0))</formula>
    </cfRule>
    <cfRule type="expression" dxfId="16382" priority="472">
      <formula>AND(IF($Q34=3,1,IF($Q34=4,1,0)),IF($F34&lt;=85,1,0))</formula>
    </cfRule>
  </conditionalFormatting>
  <conditionalFormatting sqref="X34">
    <cfRule type="expression" dxfId="16381" priority="465">
      <formula>AND(IF(OR($Q34=1,$Q34=2),1,0),IF($X34&lt;=20,1,0))</formula>
    </cfRule>
    <cfRule type="expression" dxfId="16380" priority="466">
      <formula>AND(IF($Q34=2,1,0),IF($X34&lt;30,1,0))</formula>
    </cfRule>
    <cfRule type="expression" dxfId="16379" priority="467">
      <formula>AND(IF($Q34=3,1,0),IF($X34&lt;30,1,0))</formula>
    </cfRule>
    <cfRule type="expression" dxfId="16378" priority="468">
      <formula>AND(IF($Q34=3,1,IF($Q34=4,1,0)),IF($F34&lt;=85,1,0))</formula>
    </cfRule>
  </conditionalFormatting>
  <conditionalFormatting sqref="AI34">
    <cfRule type="expression" dxfId="16377" priority="461">
      <formula>AND(IF(OR($Q34=1,$Q34=2),1,0),IF($X34&lt;=20,1,0))</formula>
    </cfRule>
    <cfRule type="expression" dxfId="16376" priority="462">
      <formula>AND(IF($Q34=2,1,0),IF($X34&lt;30,1,0))</formula>
    </cfRule>
    <cfRule type="expression" dxfId="16375" priority="463">
      <formula>AND(IF($Q34=3,1,0),IF($X34&lt;30,1,0))</formula>
    </cfRule>
    <cfRule type="expression" dxfId="16374" priority="464">
      <formula>AND(IF($Q34=3,1,IF($Q34=4,1,0)),IF($F34&lt;=85,1,0))</formula>
    </cfRule>
  </conditionalFormatting>
  <conditionalFormatting sqref="AV35">
    <cfRule type="expression" dxfId="16373" priority="459">
      <formula>AV35="X"</formula>
    </cfRule>
    <cfRule type="expression" dxfId="16372" priority="460">
      <formula>AV35="후보"</formula>
    </cfRule>
  </conditionalFormatting>
  <conditionalFormatting sqref="AC35 N35">
    <cfRule type="cellIs" dxfId="16371" priority="457" operator="greaterThan">
      <formula>0.9</formula>
    </cfRule>
    <cfRule type="cellIs" dxfId="16370" priority="458" operator="greaterThan">
      <formula>0.85</formula>
    </cfRule>
  </conditionalFormatting>
  <conditionalFormatting sqref="AV36">
    <cfRule type="expression" dxfId="16369" priority="455">
      <formula>AV36="X"</formula>
    </cfRule>
    <cfRule type="expression" dxfId="16368" priority="456">
      <formula>AV36="후보"</formula>
    </cfRule>
  </conditionalFormatting>
  <conditionalFormatting sqref="AC36">
    <cfRule type="cellIs" dxfId="16367" priority="453" operator="greaterThan">
      <formula>0.9</formula>
    </cfRule>
    <cfRule type="cellIs" dxfId="16366" priority="454" operator="greaterThan">
      <formula>0.85</formula>
    </cfRule>
  </conditionalFormatting>
  <conditionalFormatting sqref="N36">
    <cfRule type="cellIs" dxfId="16365" priority="451" operator="greaterThan">
      <formula>0.9</formula>
    </cfRule>
    <cfRule type="cellIs" dxfId="16364" priority="452" operator="greaterThan">
      <formula>0.85</formula>
    </cfRule>
  </conditionalFormatting>
  <conditionalFormatting sqref="E36">
    <cfRule type="expression" dxfId="16363" priority="447">
      <formula>AND(IF(OR($Q36=1,$Q36=2),1,0),IF($X36&lt;=20,1,0))</formula>
    </cfRule>
    <cfRule type="expression" dxfId="16362" priority="448">
      <formula>AND(IF($Q36=2,1,0),IF($X36&lt;30,1,0))</formula>
    </cfRule>
    <cfRule type="expression" dxfId="16361" priority="449">
      <formula>AND(IF($Q36=3,1,0),IF($X36&lt;30,1,0))</formula>
    </cfRule>
    <cfRule type="expression" dxfId="16360" priority="450">
      <formula>AND(IF($Q36=3,1,IF($Q36=4,1,0)),IF($F36&lt;=85,1,0))</formula>
    </cfRule>
  </conditionalFormatting>
  <conditionalFormatting sqref="X36">
    <cfRule type="expression" dxfId="16359" priority="443">
      <formula>AND(IF(OR($Q36=1,$Q36=2),1,0),IF($X36&lt;=20,1,0))</formula>
    </cfRule>
    <cfRule type="expression" dxfId="16358" priority="444">
      <formula>AND(IF($Q36=2,1,0),IF($X36&lt;30,1,0))</formula>
    </cfRule>
    <cfRule type="expression" dxfId="16357" priority="445">
      <formula>AND(IF($Q36=3,1,0),IF($X36&lt;30,1,0))</formula>
    </cfRule>
    <cfRule type="expression" dxfId="16356" priority="446">
      <formula>AND(IF($Q36=3,1,IF($Q36=4,1,0)),IF($F36&lt;=85,1,0))</formula>
    </cfRule>
  </conditionalFormatting>
  <conditionalFormatting sqref="AI36">
    <cfRule type="expression" dxfId="16355" priority="439">
      <formula>AND(IF(OR($Q36=1,$Q36=2),1,0),IF($X36&lt;=20,1,0))</formula>
    </cfRule>
    <cfRule type="expression" dxfId="16354" priority="440">
      <formula>AND(IF($Q36=2,1,0),IF($X36&lt;30,1,0))</formula>
    </cfRule>
    <cfRule type="expression" dxfId="16353" priority="441">
      <formula>AND(IF($Q36=3,1,0),IF($X36&lt;30,1,0))</formula>
    </cfRule>
    <cfRule type="expression" dxfId="16352" priority="442">
      <formula>AND(IF($Q36=3,1,IF($Q36=4,1,0)),IF($F36&lt;=85,1,0))</formula>
    </cfRule>
  </conditionalFormatting>
  <conditionalFormatting sqref="AV37">
    <cfRule type="expression" dxfId="16351" priority="437">
      <formula>AV37="X"</formula>
    </cfRule>
    <cfRule type="expression" dxfId="16350" priority="438">
      <formula>AV37="후보"</formula>
    </cfRule>
  </conditionalFormatting>
  <conditionalFormatting sqref="AC37">
    <cfRule type="cellIs" dxfId="16349" priority="435" operator="greaterThan">
      <formula>0.9</formula>
    </cfRule>
    <cfRule type="cellIs" dxfId="16348" priority="436" operator="greaterThan">
      <formula>0.85</formula>
    </cfRule>
  </conditionalFormatting>
  <conditionalFormatting sqref="N37">
    <cfRule type="cellIs" dxfId="16347" priority="433" operator="greaterThan">
      <formula>0.9</formula>
    </cfRule>
    <cfRule type="cellIs" dxfId="16346" priority="434" operator="greaterThan">
      <formula>0.85</formula>
    </cfRule>
  </conditionalFormatting>
  <conditionalFormatting sqref="E37">
    <cfRule type="expression" dxfId="16345" priority="429">
      <formula>AND(IF(OR($Q37=1,$Q37=2),1,0),IF($X37&lt;=20,1,0))</formula>
    </cfRule>
    <cfRule type="expression" dxfId="16344" priority="430">
      <formula>AND(IF($Q37=2,1,0),IF($X37&lt;30,1,0))</formula>
    </cfRule>
    <cfRule type="expression" dxfId="16343" priority="431">
      <formula>AND(IF($Q37=3,1,0),IF($X37&lt;30,1,0))</formula>
    </cfRule>
    <cfRule type="expression" dxfId="16342" priority="432">
      <formula>AND(IF($Q37=3,1,IF($Q37=4,1,0)),IF($F37&lt;=85,1,0))</formula>
    </cfRule>
  </conditionalFormatting>
  <conditionalFormatting sqref="X37">
    <cfRule type="expression" dxfId="16341" priority="425">
      <formula>AND(IF(OR($Q37=1,$Q37=2),1,0),IF($X37&lt;=20,1,0))</formula>
    </cfRule>
    <cfRule type="expression" dxfId="16340" priority="426">
      <formula>AND(IF($Q37=2,1,0),IF($X37&lt;30,1,0))</formula>
    </cfRule>
    <cfRule type="expression" dxfId="16339" priority="427">
      <formula>AND(IF($Q37=3,1,0),IF($X37&lt;30,1,0))</formula>
    </cfRule>
    <cfRule type="expression" dxfId="16338" priority="428">
      <formula>AND(IF($Q37=3,1,IF($Q37=4,1,0)),IF($F37&lt;=85,1,0))</formula>
    </cfRule>
  </conditionalFormatting>
  <conditionalFormatting sqref="AI37">
    <cfRule type="expression" dxfId="16337" priority="421">
      <formula>AND(IF(OR($Q37=1,$Q37=2),1,0),IF($X37&lt;=20,1,0))</formula>
    </cfRule>
    <cfRule type="expression" dxfId="16336" priority="422">
      <formula>AND(IF($Q37=2,1,0),IF($X37&lt;30,1,0))</formula>
    </cfRule>
    <cfRule type="expression" dxfId="16335" priority="423">
      <formula>AND(IF($Q37=3,1,0),IF($X37&lt;30,1,0))</formula>
    </cfRule>
    <cfRule type="expression" dxfId="16334" priority="424">
      <formula>AND(IF($Q37=3,1,IF($Q37=4,1,0)),IF($F37&lt;=85,1,0))</formula>
    </cfRule>
  </conditionalFormatting>
  <conditionalFormatting sqref="AV38">
    <cfRule type="expression" dxfId="16333" priority="419">
      <formula>AV38="X"</formula>
    </cfRule>
    <cfRule type="expression" dxfId="16332" priority="420">
      <formula>AV38="후보"</formula>
    </cfRule>
  </conditionalFormatting>
  <conditionalFormatting sqref="AC38 N38">
    <cfRule type="cellIs" dxfId="16331" priority="417" operator="greaterThan">
      <formula>0.9</formula>
    </cfRule>
    <cfRule type="cellIs" dxfId="16330" priority="418" operator="greaterThan">
      <formula>0.85</formula>
    </cfRule>
  </conditionalFormatting>
  <conditionalFormatting sqref="AV39">
    <cfRule type="expression" dxfId="16329" priority="415">
      <formula>AV39="X"</formula>
    </cfRule>
    <cfRule type="expression" dxfId="16328" priority="416">
      <formula>AV39="후보"</formula>
    </cfRule>
  </conditionalFormatting>
  <conditionalFormatting sqref="AC39">
    <cfRule type="cellIs" dxfId="16327" priority="413" operator="greaterThan">
      <formula>0.9</formula>
    </cfRule>
    <cfRule type="cellIs" dxfId="16326" priority="414" operator="greaterThan">
      <formula>0.85</formula>
    </cfRule>
  </conditionalFormatting>
  <conditionalFormatting sqref="N39">
    <cfRule type="cellIs" dxfId="16325" priority="411" operator="greaterThan">
      <formula>0.9</formula>
    </cfRule>
    <cfRule type="cellIs" dxfId="16324" priority="412" operator="greaterThan">
      <formula>0.85</formula>
    </cfRule>
  </conditionalFormatting>
  <conditionalFormatting sqref="E39">
    <cfRule type="expression" dxfId="16323" priority="407">
      <formula>AND(IF(OR($Q39=1,$Q39=2),1,0),IF($X39&lt;=20,1,0))</formula>
    </cfRule>
    <cfRule type="expression" dxfId="16322" priority="408">
      <formula>AND(IF($Q39=2,1,0),IF($X39&lt;30,1,0))</formula>
    </cfRule>
    <cfRule type="expression" dxfId="16321" priority="409">
      <formula>AND(IF($Q39=3,1,0),IF($X39&lt;30,1,0))</formula>
    </cfRule>
    <cfRule type="expression" dxfId="16320" priority="410">
      <formula>AND(IF($Q39=3,1,IF($Q39=4,1,0)),IF($F39&lt;=85,1,0))</formula>
    </cfRule>
  </conditionalFormatting>
  <conditionalFormatting sqref="X39">
    <cfRule type="expression" dxfId="16319" priority="403">
      <formula>AND(IF(OR($Q39=1,$Q39=2),1,0),IF($X39&lt;=20,1,0))</formula>
    </cfRule>
    <cfRule type="expression" dxfId="16318" priority="404">
      <formula>AND(IF($Q39=2,1,0),IF($X39&lt;30,1,0))</formula>
    </cfRule>
    <cfRule type="expression" dxfId="16317" priority="405">
      <formula>AND(IF($Q39=3,1,0),IF($X39&lt;30,1,0))</formula>
    </cfRule>
    <cfRule type="expression" dxfId="16316" priority="406">
      <formula>AND(IF($Q39=3,1,IF($Q39=4,1,0)),IF($F39&lt;=85,1,0))</formula>
    </cfRule>
  </conditionalFormatting>
  <conditionalFormatting sqref="AI39">
    <cfRule type="expression" dxfId="16315" priority="399">
      <formula>AND(IF(OR($Q39=1,$Q39=2),1,0),IF($X39&lt;=20,1,0))</formula>
    </cfRule>
    <cfRule type="expression" dxfId="16314" priority="400">
      <formula>AND(IF($Q39=2,1,0),IF($X39&lt;30,1,0))</formula>
    </cfRule>
    <cfRule type="expression" dxfId="16313" priority="401">
      <formula>AND(IF($Q39=3,1,0),IF($X39&lt;30,1,0))</formula>
    </cfRule>
    <cfRule type="expression" dxfId="16312" priority="402">
      <formula>AND(IF($Q39=3,1,IF($Q39=4,1,0)),IF($F39&lt;=85,1,0))</formula>
    </cfRule>
  </conditionalFormatting>
  <conditionalFormatting sqref="AV40">
    <cfRule type="expression" dxfId="16311" priority="397">
      <formula>AV40="X"</formula>
    </cfRule>
    <cfRule type="expression" dxfId="16310" priority="398">
      <formula>AV40="후보"</formula>
    </cfRule>
  </conditionalFormatting>
  <conditionalFormatting sqref="AC40">
    <cfRule type="cellIs" dxfId="16309" priority="395" operator="greaterThan">
      <formula>0.9</formula>
    </cfRule>
    <cfRule type="cellIs" dxfId="16308" priority="396" operator="greaterThan">
      <formula>0.85</formula>
    </cfRule>
  </conditionalFormatting>
  <conditionalFormatting sqref="N40">
    <cfRule type="cellIs" dxfId="16307" priority="393" operator="greaterThan">
      <formula>0.9</formula>
    </cfRule>
    <cfRule type="cellIs" dxfId="16306" priority="394" operator="greaterThan">
      <formula>0.85</formula>
    </cfRule>
  </conditionalFormatting>
  <conditionalFormatting sqref="E40">
    <cfRule type="expression" dxfId="16305" priority="389">
      <formula>AND(IF(OR($Q40=1,$Q40=2),1,0),IF($X40&lt;=20,1,0))</formula>
    </cfRule>
    <cfRule type="expression" dxfId="16304" priority="390">
      <formula>AND(IF($Q40=2,1,0),IF($X40&lt;30,1,0))</formula>
    </cfRule>
    <cfRule type="expression" dxfId="16303" priority="391">
      <formula>AND(IF($Q40=3,1,0),IF($X40&lt;30,1,0))</formula>
    </cfRule>
    <cfRule type="expression" dxfId="16302" priority="392">
      <formula>AND(IF($Q40=3,1,IF($Q40=4,1,0)),IF($F40&lt;=85,1,0))</formula>
    </cfRule>
  </conditionalFormatting>
  <conditionalFormatting sqref="X40">
    <cfRule type="expression" dxfId="16301" priority="385">
      <formula>AND(IF(OR($Q40=1,$Q40=2),1,0),IF($X40&lt;=20,1,0))</formula>
    </cfRule>
    <cfRule type="expression" dxfId="16300" priority="386">
      <formula>AND(IF($Q40=2,1,0),IF($X40&lt;30,1,0))</formula>
    </cfRule>
    <cfRule type="expression" dxfId="16299" priority="387">
      <formula>AND(IF($Q40=3,1,0),IF($X40&lt;30,1,0))</formula>
    </cfRule>
    <cfRule type="expression" dxfId="16298" priority="388">
      <formula>AND(IF($Q40=3,1,IF($Q40=4,1,0)),IF($F40&lt;=85,1,0))</formula>
    </cfRule>
  </conditionalFormatting>
  <conditionalFormatting sqref="AI40">
    <cfRule type="expression" dxfId="16297" priority="381">
      <formula>AND(IF(OR($Q40=1,$Q40=2),1,0),IF($X40&lt;=20,1,0))</formula>
    </cfRule>
    <cfRule type="expression" dxfId="16296" priority="382">
      <formula>AND(IF($Q40=2,1,0),IF($X40&lt;30,1,0))</formula>
    </cfRule>
    <cfRule type="expression" dxfId="16295" priority="383">
      <formula>AND(IF($Q40=3,1,0),IF($X40&lt;30,1,0))</formula>
    </cfRule>
    <cfRule type="expression" dxfId="16294" priority="384">
      <formula>AND(IF($Q40=3,1,IF($Q40=4,1,0)),IF($F40&lt;=85,1,0))</formula>
    </cfRule>
  </conditionalFormatting>
  <conditionalFormatting sqref="AV41">
    <cfRule type="expression" dxfId="16293" priority="379">
      <formula>AV41="X"</formula>
    </cfRule>
    <cfRule type="expression" dxfId="16292" priority="380">
      <formula>AV41="후보"</formula>
    </cfRule>
  </conditionalFormatting>
  <conditionalFormatting sqref="AC41">
    <cfRule type="cellIs" dxfId="16291" priority="377" operator="greaterThan">
      <formula>0.9</formula>
    </cfRule>
    <cfRule type="cellIs" dxfId="16290" priority="378" operator="greaterThan">
      <formula>0.85</formula>
    </cfRule>
  </conditionalFormatting>
  <conditionalFormatting sqref="N41">
    <cfRule type="cellIs" dxfId="16289" priority="375" operator="greaterThan">
      <formula>0.9</formula>
    </cfRule>
    <cfRule type="cellIs" dxfId="16288" priority="376" operator="greaterThan">
      <formula>0.85</formula>
    </cfRule>
  </conditionalFormatting>
  <conditionalFormatting sqref="E41">
    <cfRule type="expression" dxfId="16287" priority="371">
      <formula>AND(IF(OR($Q41=1,$Q41=2),1,0),IF($X41&lt;=20,1,0))</formula>
    </cfRule>
    <cfRule type="expression" dxfId="16286" priority="372">
      <formula>AND(IF($Q41=2,1,0),IF($X41&lt;30,1,0))</formula>
    </cfRule>
    <cfRule type="expression" dxfId="16285" priority="373">
      <formula>AND(IF($Q41=3,1,0),IF($X41&lt;30,1,0))</formula>
    </cfRule>
    <cfRule type="expression" dxfId="16284" priority="374">
      <formula>AND(IF($Q41=3,1,IF($Q41=4,1,0)),IF($F41&lt;=85,1,0))</formula>
    </cfRule>
  </conditionalFormatting>
  <conditionalFormatting sqref="X41">
    <cfRule type="expression" dxfId="16283" priority="367">
      <formula>AND(IF(OR($Q41=1,$Q41=2),1,0),IF($X41&lt;=20,1,0))</formula>
    </cfRule>
    <cfRule type="expression" dxfId="16282" priority="368">
      <formula>AND(IF($Q41=2,1,0),IF($X41&lt;30,1,0))</formula>
    </cfRule>
    <cfRule type="expression" dxfId="16281" priority="369">
      <formula>AND(IF($Q41=3,1,0),IF($X41&lt;30,1,0))</formula>
    </cfRule>
    <cfRule type="expression" dxfId="16280" priority="370">
      <formula>AND(IF($Q41=3,1,IF($Q41=4,1,0)),IF($F41&lt;=85,1,0))</formula>
    </cfRule>
  </conditionalFormatting>
  <conditionalFormatting sqref="AI41">
    <cfRule type="expression" dxfId="16279" priority="363">
      <formula>AND(IF(OR($Q41=1,$Q41=2),1,0),IF($X41&lt;=20,1,0))</formula>
    </cfRule>
    <cfRule type="expression" dxfId="16278" priority="364">
      <formula>AND(IF($Q41=2,1,0),IF($X41&lt;30,1,0))</formula>
    </cfRule>
    <cfRule type="expression" dxfId="16277" priority="365">
      <formula>AND(IF($Q41=3,1,0),IF($X41&lt;30,1,0))</formula>
    </cfRule>
    <cfRule type="expression" dxfId="16276" priority="366">
      <formula>AND(IF($Q41=3,1,IF($Q41=4,1,0)),IF($F41&lt;=85,1,0))</formula>
    </cfRule>
  </conditionalFormatting>
  <conditionalFormatting sqref="AV42">
    <cfRule type="expression" dxfId="16275" priority="361">
      <formula>AV42="X"</formula>
    </cfRule>
    <cfRule type="expression" dxfId="16274" priority="362">
      <formula>AV42="후보"</formula>
    </cfRule>
  </conditionalFormatting>
  <conditionalFormatting sqref="AC42">
    <cfRule type="cellIs" dxfId="16273" priority="359" operator="greaterThan">
      <formula>0.9</formula>
    </cfRule>
    <cfRule type="cellIs" dxfId="16272" priority="360" operator="greaterThan">
      <formula>0.85</formula>
    </cfRule>
  </conditionalFormatting>
  <conditionalFormatting sqref="N42">
    <cfRule type="cellIs" dxfId="16271" priority="357" operator="greaterThan">
      <formula>0.9</formula>
    </cfRule>
    <cfRule type="cellIs" dxfId="16270" priority="358" operator="greaterThan">
      <formula>0.85</formula>
    </cfRule>
  </conditionalFormatting>
  <conditionalFormatting sqref="E42">
    <cfRule type="expression" dxfId="16269" priority="353">
      <formula>AND(IF(OR($Q42=1,$Q42=2),1,0),IF($X42&lt;=20,1,0))</formula>
    </cfRule>
    <cfRule type="expression" dxfId="16268" priority="354">
      <formula>AND(IF($Q42=2,1,0),IF($X42&lt;30,1,0))</formula>
    </cfRule>
    <cfRule type="expression" dxfId="16267" priority="355">
      <formula>AND(IF($Q42=3,1,0),IF($X42&lt;30,1,0))</formula>
    </cfRule>
    <cfRule type="expression" dxfId="16266" priority="356">
      <formula>AND(IF($Q42=3,1,IF($Q42=4,1,0)),IF($F42&lt;=85,1,0))</formula>
    </cfRule>
  </conditionalFormatting>
  <conditionalFormatting sqref="X42">
    <cfRule type="expression" dxfId="16265" priority="349">
      <formula>AND(IF(OR($Q42=1,$Q42=2),1,0),IF($X42&lt;=20,1,0))</formula>
    </cfRule>
    <cfRule type="expression" dxfId="16264" priority="350">
      <formula>AND(IF($Q42=2,1,0),IF($X42&lt;30,1,0))</formula>
    </cfRule>
    <cfRule type="expression" dxfId="16263" priority="351">
      <formula>AND(IF($Q42=3,1,0),IF($X42&lt;30,1,0))</formula>
    </cfRule>
    <cfRule type="expression" dxfId="16262" priority="352">
      <formula>AND(IF($Q42=3,1,IF($Q42=4,1,0)),IF($F42&lt;=85,1,0))</formula>
    </cfRule>
  </conditionalFormatting>
  <conditionalFormatting sqref="AI42">
    <cfRule type="expression" dxfId="16261" priority="345">
      <formula>AND(IF(OR($Q42=1,$Q42=2),1,0),IF($X42&lt;=20,1,0))</formula>
    </cfRule>
    <cfRule type="expression" dxfId="16260" priority="346">
      <formula>AND(IF($Q42=2,1,0),IF($X42&lt;30,1,0))</formula>
    </cfRule>
    <cfRule type="expression" dxfId="16259" priority="347">
      <formula>AND(IF($Q42=3,1,0),IF($X42&lt;30,1,0))</formula>
    </cfRule>
    <cfRule type="expression" dxfId="16258" priority="348">
      <formula>AND(IF($Q42=3,1,IF($Q42=4,1,0)),IF($F42&lt;=85,1,0))</formula>
    </cfRule>
  </conditionalFormatting>
  <conditionalFormatting sqref="AV43">
    <cfRule type="expression" dxfId="16257" priority="343">
      <formula>AV43="X"</formula>
    </cfRule>
    <cfRule type="expression" dxfId="16256" priority="344">
      <formula>AV43="후보"</formula>
    </cfRule>
  </conditionalFormatting>
  <conditionalFormatting sqref="AC43">
    <cfRule type="cellIs" dxfId="16255" priority="341" operator="greaterThan">
      <formula>0.9</formula>
    </cfRule>
    <cfRule type="cellIs" dxfId="16254" priority="342" operator="greaterThan">
      <formula>0.85</formula>
    </cfRule>
  </conditionalFormatting>
  <conditionalFormatting sqref="N43">
    <cfRule type="cellIs" dxfId="16253" priority="339" operator="greaterThan">
      <formula>0.9</formula>
    </cfRule>
    <cfRule type="cellIs" dxfId="16252" priority="340" operator="greaterThan">
      <formula>0.85</formula>
    </cfRule>
  </conditionalFormatting>
  <conditionalFormatting sqref="E43">
    <cfRule type="expression" dxfId="16251" priority="335">
      <formula>AND(IF(OR($Q43=1,$Q43=2),1,0),IF($X43&lt;=20,1,0))</formula>
    </cfRule>
    <cfRule type="expression" dxfId="16250" priority="336">
      <formula>AND(IF($Q43=2,1,0),IF($X43&lt;30,1,0))</formula>
    </cfRule>
    <cfRule type="expression" dxfId="16249" priority="337">
      <formula>AND(IF($Q43=3,1,0),IF($X43&lt;30,1,0))</formula>
    </cfRule>
    <cfRule type="expression" dxfId="16248" priority="338">
      <formula>AND(IF($Q43=3,1,IF($Q43=4,1,0)),IF($F43&lt;=85,1,0))</formula>
    </cfRule>
  </conditionalFormatting>
  <conditionalFormatting sqref="X43">
    <cfRule type="expression" dxfId="16247" priority="331">
      <formula>AND(IF(OR($Q43=1,$Q43=2),1,0),IF($X43&lt;=20,1,0))</formula>
    </cfRule>
    <cfRule type="expression" dxfId="16246" priority="332">
      <formula>AND(IF($Q43=2,1,0),IF($X43&lt;30,1,0))</formula>
    </cfRule>
    <cfRule type="expression" dxfId="16245" priority="333">
      <formula>AND(IF($Q43=3,1,0),IF($X43&lt;30,1,0))</formula>
    </cfRule>
    <cfRule type="expression" dxfId="16244" priority="334">
      <formula>AND(IF($Q43=3,1,IF($Q43=4,1,0)),IF($F43&lt;=85,1,0))</formula>
    </cfRule>
  </conditionalFormatting>
  <conditionalFormatting sqref="AI43">
    <cfRule type="expression" dxfId="16243" priority="327">
      <formula>AND(IF(OR($Q43=1,$Q43=2),1,0),IF($X43&lt;=20,1,0))</formula>
    </cfRule>
    <cfRule type="expression" dxfId="16242" priority="328">
      <formula>AND(IF($Q43=2,1,0),IF($X43&lt;30,1,0))</formula>
    </cfRule>
    <cfRule type="expression" dxfId="16241" priority="329">
      <formula>AND(IF($Q43=3,1,0),IF($X43&lt;30,1,0))</formula>
    </cfRule>
    <cfRule type="expression" dxfId="16240" priority="330">
      <formula>AND(IF($Q43=3,1,IF($Q43=4,1,0)),IF($F43&lt;=85,1,0))</formula>
    </cfRule>
  </conditionalFormatting>
  <conditionalFormatting sqref="AV44">
    <cfRule type="expression" dxfId="16239" priority="325">
      <formula>AV44="X"</formula>
    </cfRule>
    <cfRule type="expression" dxfId="16238" priority="326">
      <formula>AV44="후보"</formula>
    </cfRule>
  </conditionalFormatting>
  <conditionalFormatting sqref="AC44">
    <cfRule type="cellIs" dxfId="16237" priority="323" operator="greaterThan">
      <formula>0.9</formula>
    </cfRule>
    <cfRule type="cellIs" dxfId="16236" priority="324" operator="greaterThan">
      <formula>0.85</formula>
    </cfRule>
  </conditionalFormatting>
  <conditionalFormatting sqref="N44">
    <cfRule type="cellIs" dxfId="16235" priority="321" operator="greaterThan">
      <formula>0.9</formula>
    </cfRule>
    <cfRule type="cellIs" dxfId="16234" priority="322" operator="greaterThan">
      <formula>0.85</formula>
    </cfRule>
  </conditionalFormatting>
  <conditionalFormatting sqref="E44">
    <cfRule type="expression" dxfId="16233" priority="317">
      <formula>AND(IF(OR($Q44=1,$Q44=2),1,0),IF($X44&lt;=20,1,0))</formula>
    </cfRule>
    <cfRule type="expression" dxfId="16232" priority="318">
      <formula>AND(IF($Q44=2,1,0),IF($X44&lt;30,1,0))</formula>
    </cfRule>
    <cfRule type="expression" dxfId="16231" priority="319">
      <formula>AND(IF($Q44=3,1,0),IF($X44&lt;30,1,0))</formula>
    </cfRule>
    <cfRule type="expression" dxfId="16230" priority="320">
      <formula>AND(IF($Q44=3,1,IF($Q44=4,1,0)),IF($F44&lt;=85,1,0))</formula>
    </cfRule>
  </conditionalFormatting>
  <conditionalFormatting sqref="X44">
    <cfRule type="expression" dxfId="16229" priority="313">
      <formula>AND(IF(OR($Q44=1,$Q44=2),1,0),IF($X44&lt;=20,1,0))</formula>
    </cfRule>
    <cfRule type="expression" dxfId="16228" priority="314">
      <formula>AND(IF($Q44=2,1,0),IF($X44&lt;30,1,0))</formula>
    </cfRule>
    <cfRule type="expression" dxfId="16227" priority="315">
      <formula>AND(IF($Q44=3,1,0),IF($X44&lt;30,1,0))</formula>
    </cfRule>
    <cfRule type="expression" dxfId="16226" priority="316">
      <formula>AND(IF($Q44=3,1,IF($Q44=4,1,0)),IF($F44&lt;=85,1,0))</formula>
    </cfRule>
  </conditionalFormatting>
  <conditionalFormatting sqref="AI44">
    <cfRule type="expression" dxfId="16225" priority="309">
      <formula>AND(IF(OR($Q44=1,$Q44=2),1,0),IF($X44&lt;=20,1,0))</formula>
    </cfRule>
    <cfRule type="expression" dxfId="16224" priority="310">
      <formula>AND(IF($Q44=2,1,0),IF($X44&lt;30,1,0))</formula>
    </cfRule>
    <cfRule type="expression" dxfId="16223" priority="311">
      <formula>AND(IF($Q44=3,1,0),IF($X44&lt;30,1,0))</formula>
    </cfRule>
    <cfRule type="expression" dxfId="16222" priority="312">
      <formula>AND(IF($Q44=3,1,IF($Q44=4,1,0)),IF($F44&lt;=85,1,0))</formula>
    </cfRule>
  </conditionalFormatting>
  <conditionalFormatting sqref="AV45">
    <cfRule type="expression" dxfId="16221" priority="307">
      <formula>AV45="X"</formula>
    </cfRule>
    <cfRule type="expression" dxfId="16220" priority="308">
      <formula>AV45="후보"</formula>
    </cfRule>
  </conditionalFormatting>
  <conditionalFormatting sqref="AC45">
    <cfRule type="cellIs" dxfId="16219" priority="305" operator="greaterThan">
      <formula>0.9</formula>
    </cfRule>
    <cfRule type="cellIs" dxfId="16218" priority="306" operator="greaterThan">
      <formula>0.85</formula>
    </cfRule>
  </conditionalFormatting>
  <conditionalFormatting sqref="N45">
    <cfRule type="cellIs" dxfId="16217" priority="303" operator="greaterThan">
      <formula>0.9</formula>
    </cfRule>
    <cfRule type="cellIs" dxfId="16216" priority="304" operator="greaterThan">
      <formula>0.85</formula>
    </cfRule>
  </conditionalFormatting>
  <conditionalFormatting sqref="E45">
    <cfRule type="expression" dxfId="16215" priority="299">
      <formula>AND(IF(OR($Q45=1,$Q45=2),1,0),IF($X45&lt;=20,1,0))</formula>
    </cfRule>
    <cfRule type="expression" dxfId="16214" priority="300">
      <formula>AND(IF($Q45=2,1,0),IF($X45&lt;30,1,0))</formula>
    </cfRule>
    <cfRule type="expression" dxfId="16213" priority="301">
      <formula>AND(IF($Q45=3,1,0),IF($X45&lt;30,1,0))</formula>
    </cfRule>
    <cfRule type="expression" dxfId="16212" priority="302">
      <formula>AND(IF($Q45=3,1,IF($Q45=4,1,0)),IF($F45&lt;=85,1,0))</formula>
    </cfRule>
  </conditionalFormatting>
  <conditionalFormatting sqref="X45">
    <cfRule type="expression" dxfId="16211" priority="295">
      <formula>AND(IF(OR($Q45=1,$Q45=2),1,0),IF($X45&lt;=20,1,0))</formula>
    </cfRule>
    <cfRule type="expression" dxfId="16210" priority="296">
      <formula>AND(IF($Q45=2,1,0),IF($X45&lt;30,1,0))</formula>
    </cfRule>
    <cfRule type="expression" dxfId="16209" priority="297">
      <formula>AND(IF($Q45=3,1,0),IF($X45&lt;30,1,0))</formula>
    </cfRule>
    <cfRule type="expression" dxfId="16208" priority="298">
      <formula>AND(IF($Q45=3,1,IF($Q45=4,1,0)),IF($F45&lt;=85,1,0))</formula>
    </cfRule>
  </conditionalFormatting>
  <conditionalFormatting sqref="AI45">
    <cfRule type="expression" dxfId="16207" priority="291">
      <formula>AND(IF(OR($Q45=1,$Q45=2),1,0),IF($X45&lt;=20,1,0))</formula>
    </cfRule>
    <cfRule type="expression" dxfId="16206" priority="292">
      <formula>AND(IF($Q45=2,1,0),IF($X45&lt;30,1,0))</formula>
    </cfRule>
    <cfRule type="expression" dxfId="16205" priority="293">
      <formula>AND(IF($Q45=3,1,0),IF($X45&lt;30,1,0))</formula>
    </cfRule>
    <cfRule type="expression" dxfId="16204" priority="294">
      <formula>AND(IF($Q45=3,1,IF($Q45=4,1,0)),IF($F45&lt;=85,1,0))</formula>
    </cfRule>
  </conditionalFormatting>
  <conditionalFormatting sqref="AV46">
    <cfRule type="expression" dxfId="16203" priority="289">
      <formula>AV46="X"</formula>
    </cfRule>
    <cfRule type="expression" dxfId="16202" priority="290">
      <formula>AV46="후보"</formula>
    </cfRule>
  </conditionalFormatting>
  <conditionalFormatting sqref="AC46 N46">
    <cfRule type="cellIs" dxfId="16201" priority="287" operator="greaterThan">
      <formula>0.9</formula>
    </cfRule>
    <cfRule type="cellIs" dxfId="16200" priority="288" operator="greaterThan">
      <formula>0.85</formula>
    </cfRule>
  </conditionalFormatting>
  <conditionalFormatting sqref="AV47">
    <cfRule type="expression" dxfId="16199" priority="285">
      <formula>AV47="X"</formula>
    </cfRule>
    <cfRule type="expression" dxfId="16198" priority="286">
      <formula>AV47="후보"</formula>
    </cfRule>
  </conditionalFormatting>
  <conditionalFormatting sqref="AC47">
    <cfRule type="cellIs" dxfId="16197" priority="283" operator="greaterThan">
      <formula>0.9</formula>
    </cfRule>
    <cfRule type="cellIs" dxfId="16196" priority="284" operator="greaterThan">
      <formula>0.85</formula>
    </cfRule>
  </conditionalFormatting>
  <conditionalFormatting sqref="N47">
    <cfRule type="cellIs" dxfId="16195" priority="281" operator="greaterThan">
      <formula>0.9</formula>
    </cfRule>
    <cfRule type="cellIs" dxfId="16194" priority="282" operator="greaterThan">
      <formula>0.85</formula>
    </cfRule>
  </conditionalFormatting>
  <conditionalFormatting sqref="E47">
    <cfRule type="expression" dxfId="16193" priority="277">
      <formula>AND(IF(OR($Q47=1,$Q47=2),1,0),IF($X47&lt;=20,1,0))</formula>
    </cfRule>
    <cfRule type="expression" dxfId="16192" priority="278">
      <formula>AND(IF($Q47=2,1,0),IF($X47&lt;30,1,0))</formula>
    </cfRule>
    <cfRule type="expression" dxfId="16191" priority="279">
      <formula>AND(IF($Q47=3,1,0),IF($X47&lt;30,1,0))</formula>
    </cfRule>
    <cfRule type="expression" dxfId="16190" priority="280">
      <formula>AND(IF($Q47=3,1,IF($Q47=4,1,0)),IF($F47&lt;=85,1,0))</formula>
    </cfRule>
  </conditionalFormatting>
  <conditionalFormatting sqref="X47">
    <cfRule type="expression" dxfId="16189" priority="273">
      <formula>AND(IF(OR($Q47=1,$Q47=2),1,0),IF($X47&lt;=20,1,0))</formula>
    </cfRule>
    <cfRule type="expression" dxfId="16188" priority="274">
      <formula>AND(IF($Q47=2,1,0),IF($X47&lt;30,1,0))</formula>
    </cfRule>
    <cfRule type="expression" dxfId="16187" priority="275">
      <formula>AND(IF($Q47=3,1,0),IF($X47&lt;30,1,0))</formula>
    </cfRule>
    <cfRule type="expression" dxfId="16186" priority="276">
      <formula>AND(IF($Q47=3,1,IF($Q47=4,1,0)),IF($F47&lt;=85,1,0))</formula>
    </cfRule>
  </conditionalFormatting>
  <conditionalFormatting sqref="AI47">
    <cfRule type="expression" dxfId="16185" priority="269">
      <formula>AND(IF(OR($Q47=1,$Q47=2),1,0),IF($X47&lt;=20,1,0))</formula>
    </cfRule>
    <cfRule type="expression" dxfId="16184" priority="270">
      <formula>AND(IF($Q47=2,1,0),IF($X47&lt;30,1,0))</formula>
    </cfRule>
    <cfRule type="expression" dxfId="16183" priority="271">
      <formula>AND(IF($Q47=3,1,0),IF($X47&lt;30,1,0))</formula>
    </cfRule>
    <cfRule type="expression" dxfId="16182" priority="272">
      <formula>AND(IF($Q47=3,1,IF($Q47=4,1,0)),IF($F47&lt;=85,1,0))</formula>
    </cfRule>
  </conditionalFormatting>
  <conditionalFormatting sqref="AV48">
    <cfRule type="expression" dxfId="16181" priority="267">
      <formula>AV48="X"</formula>
    </cfRule>
    <cfRule type="expression" dxfId="16180" priority="268">
      <formula>AV48="후보"</formula>
    </cfRule>
  </conditionalFormatting>
  <conditionalFormatting sqref="AC48">
    <cfRule type="cellIs" dxfId="16179" priority="265" operator="greaterThan">
      <formula>0.9</formula>
    </cfRule>
    <cfRule type="cellIs" dxfId="16178" priority="266" operator="greaterThan">
      <formula>0.85</formula>
    </cfRule>
  </conditionalFormatting>
  <conditionalFormatting sqref="N48">
    <cfRule type="cellIs" dxfId="16177" priority="263" operator="greaterThan">
      <formula>0.9</formula>
    </cfRule>
    <cfRule type="cellIs" dxfId="16176" priority="264" operator="greaterThan">
      <formula>0.85</formula>
    </cfRule>
  </conditionalFormatting>
  <conditionalFormatting sqref="E48">
    <cfRule type="expression" dxfId="16175" priority="259">
      <formula>AND(IF(OR($Q48=1,$Q48=2),1,0),IF($X48&lt;=20,1,0))</formula>
    </cfRule>
    <cfRule type="expression" dxfId="16174" priority="260">
      <formula>AND(IF($Q48=2,1,0),IF($X48&lt;30,1,0))</formula>
    </cfRule>
    <cfRule type="expression" dxfId="16173" priority="261">
      <formula>AND(IF($Q48=3,1,0),IF($X48&lt;30,1,0))</formula>
    </cfRule>
    <cfRule type="expression" dxfId="16172" priority="262">
      <formula>AND(IF($Q48=3,1,IF($Q48=4,1,0)),IF($F48&lt;=85,1,0))</formula>
    </cfRule>
  </conditionalFormatting>
  <conditionalFormatting sqref="X48">
    <cfRule type="expression" dxfId="16171" priority="255">
      <formula>AND(IF(OR($Q48=1,$Q48=2),1,0),IF($X48&lt;=20,1,0))</formula>
    </cfRule>
    <cfRule type="expression" dxfId="16170" priority="256">
      <formula>AND(IF($Q48=2,1,0),IF($X48&lt;30,1,0))</formula>
    </cfRule>
    <cfRule type="expression" dxfId="16169" priority="257">
      <formula>AND(IF($Q48=3,1,0),IF($X48&lt;30,1,0))</formula>
    </cfRule>
    <cfRule type="expression" dxfId="16168" priority="258">
      <formula>AND(IF($Q48=3,1,IF($Q48=4,1,0)),IF($F48&lt;=85,1,0))</formula>
    </cfRule>
  </conditionalFormatting>
  <conditionalFormatting sqref="AI48">
    <cfRule type="expression" dxfId="16167" priority="251">
      <formula>AND(IF(OR($Q48=1,$Q48=2),1,0),IF($X48&lt;=20,1,0))</formula>
    </cfRule>
    <cfRule type="expression" dxfId="16166" priority="252">
      <formula>AND(IF($Q48=2,1,0),IF($X48&lt;30,1,0))</formula>
    </cfRule>
    <cfRule type="expression" dxfId="16165" priority="253">
      <formula>AND(IF($Q48=3,1,0),IF($X48&lt;30,1,0))</formula>
    </cfRule>
    <cfRule type="expression" dxfId="16164" priority="254">
      <formula>AND(IF($Q48=3,1,IF($Q48=4,1,0)),IF($F48&lt;=85,1,0))</formula>
    </cfRule>
  </conditionalFormatting>
  <conditionalFormatting sqref="AV49">
    <cfRule type="expression" dxfId="16163" priority="249">
      <formula>AV49="X"</formula>
    </cfRule>
    <cfRule type="expression" dxfId="16162" priority="250">
      <formula>AV49="후보"</formula>
    </cfRule>
  </conditionalFormatting>
  <conditionalFormatting sqref="AC49 N49">
    <cfRule type="cellIs" dxfId="16161" priority="247" operator="greaterThan">
      <formula>0.9</formula>
    </cfRule>
    <cfRule type="cellIs" dxfId="16160" priority="248" operator="greaterThan">
      <formula>0.85</formula>
    </cfRule>
  </conditionalFormatting>
  <conditionalFormatting sqref="AV50">
    <cfRule type="expression" dxfId="16159" priority="245">
      <formula>AV50="X"</formula>
    </cfRule>
    <cfRule type="expression" dxfId="16158" priority="246">
      <formula>AV50="후보"</formula>
    </cfRule>
  </conditionalFormatting>
  <conditionalFormatting sqref="AC50">
    <cfRule type="cellIs" dxfId="16157" priority="243" operator="greaterThan">
      <formula>0.9</formula>
    </cfRule>
    <cfRule type="cellIs" dxfId="16156" priority="244" operator="greaterThan">
      <formula>0.85</formula>
    </cfRule>
  </conditionalFormatting>
  <conditionalFormatting sqref="N50">
    <cfRule type="cellIs" dxfId="16155" priority="241" operator="greaterThan">
      <formula>0.9</formula>
    </cfRule>
    <cfRule type="cellIs" dxfId="16154" priority="242" operator="greaterThan">
      <formula>0.85</formula>
    </cfRule>
  </conditionalFormatting>
  <conditionalFormatting sqref="E50">
    <cfRule type="expression" dxfId="16153" priority="237">
      <formula>AND(IF(OR($Q50=1,$Q50=2),1,0),IF($X50&lt;=20,1,0))</formula>
    </cfRule>
    <cfRule type="expression" dxfId="16152" priority="238">
      <formula>AND(IF($Q50=2,1,0),IF($X50&lt;30,1,0))</formula>
    </cfRule>
    <cfRule type="expression" dxfId="16151" priority="239">
      <formula>AND(IF($Q50=3,1,0),IF($X50&lt;30,1,0))</formula>
    </cfRule>
    <cfRule type="expression" dxfId="16150" priority="240">
      <formula>AND(IF($Q50=3,1,IF($Q50=4,1,0)),IF($F50&lt;=85,1,0))</formula>
    </cfRule>
  </conditionalFormatting>
  <conditionalFormatting sqref="X50">
    <cfRule type="expression" dxfId="16149" priority="233">
      <formula>AND(IF(OR($Q50=1,$Q50=2),1,0),IF($X50&lt;=20,1,0))</formula>
    </cfRule>
    <cfRule type="expression" dxfId="16148" priority="234">
      <formula>AND(IF($Q50=2,1,0),IF($X50&lt;30,1,0))</formula>
    </cfRule>
    <cfRule type="expression" dxfId="16147" priority="235">
      <formula>AND(IF($Q50=3,1,0),IF($X50&lt;30,1,0))</formula>
    </cfRule>
    <cfRule type="expression" dxfId="16146" priority="236">
      <formula>AND(IF($Q50=3,1,IF($Q50=4,1,0)),IF($F50&lt;=85,1,0))</formula>
    </cfRule>
  </conditionalFormatting>
  <conditionalFormatting sqref="AI50">
    <cfRule type="expression" dxfId="16145" priority="229">
      <formula>AND(IF(OR($Q50=1,$Q50=2),1,0),IF($X50&lt;=20,1,0))</formula>
    </cfRule>
    <cfRule type="expression" dxfId="16144" priority="230">
      <formula>AND(IF($Q50=2,1,0),IF($X50&lt;30,1,0))</formula>
    </cfRule>
    <cfRule type="expression" dxfId="16143" priority="231">
      <formula>AND(IF($Q50=3,1,0),IF($X50&lt;30,1,0))</formula>
    </cfRule>
    <cfRule type="expression" dxfId="16142" priority="232">
      <formula>AND(IF($Q50=3,1,IF($Q50=4,1,0)),IF($F50&lt;=85,1,0))</formula>
    </cfRule>
  </conditionalFormatting>
  <conditionalFormatting sqref="AV51">
    <cfRule type="expression" dxfId="16141" priority="227">
      <formula>AV51="X"</formula>
    </cfRule>
    <cfRule type="expression" dxfId="16140" priority="228">
      <formula>AV51="후보"</formula>
    </cfRule>
  </conditionalFormatting>
  <conditionalFormatting sqref="AC51">
    <cfRule type="cellIs" dxfId="16139" priority="225" operator="greaterThan">
      <formula>0.9</formula>
    </cfRule>
    <cfRule type="cellIs" dxfId="16138" priority="226" operator="greaterThan">
      <formula>0.85</formula>
    </cfRule>
  </conditionalFormatting>
  <conditionalFormatting sqref="N51">
    <cfRule type="cellIs" dxfId="16137" priority="223" operator="greaterThan">
      <formula>0.9</formula>
    </cfRule>
    <cfRule type="cellIs" dxfId="16136" priority="224" operator="greaterThan">
      <formula>0.85</formula>
    </cfRule>
  </conditionalFormatting>
  <conditionalFormatting sqref="E51">
    <cfRule type="expression" dxfId="16135" priority="219">
      <formula>AND(IF(OR($Q51=1,$Q51=2),1,0),IF($X51&lt;=20,1,0))</formula>
    </cfRule>
    <cfRule type="expression" dxfId="16134" priority="220">
      <formula>AND(IF($Q51=2,1,0),IF($X51&lt;30,1,0))</formula>
    </cfRule>
    <cfRule type="expression" dxfId="16133" priority="221">
      <formula>AND(IF($Q51=3,1,0),IF($X51&lt;30,1,0))</formula>
    </cfRule>
    <cfRule type="expression" dxfId="16132" priority="222">
      <formula>AND(IF($Q51=3,1,IF($Q51=4,1,0)),IF($F51&lt;=85,1,0))</formula>
    </cfRule>
  </conditionalFormatting>
  <conditionalFormatting sqref="X51">
    <cfRule type="expression" dxfId="16131" priority="215">
      <formula>AND(IF(OR($Q51=1,$Q51=2),1,0),IF($X51&lt;=20,1,0))</formula>
    </cfRule>
    <cfRule type="expression" dxfId="16130" priority="216">
      <formula>AND(IF($Q51=2,1,0),IF($X51&lt;30,1,0))</formula>
    </cfRule>
    <cfRule type="expression" dxfId="16129" priority="217">
      <formula>AND(IF($Q51=3,1,0),IF($X51&lt;30,1,0))</formula>
    </cfRule>
    <cfRule type="expression" dxfId="16128" priority="218">
      <formula>AND(IF($Q51=3,1,IF($Q51=4,1,0)),IF($F51&lt;=85,1,0))</formula>
    </cfRule>
  </conditionalFormatting>
  <conditionalFormatting sqref="AI51">
    <cfRule type="expression" dxfId="16127" priority="211">
      <formula>AND(IF(OR($Q51=1,$Q51=2),1,0),IF($X51&lt;=20,1,0))</formula>
    </cfRule>
    <cfRule type="expression" dxfId="16126" priority="212">
      <formula>AND(IF($Q51=2,1,0),IF($X51&lt;30,1,0))</formula>
    </cfRule>
    <cfRule type="expression" dxfId="16125" priority="213">
      <formula>AND(IF($Q51=3,1,0),IF($X51&lt;30,1,0))</formula>
    </cfRule>
    <cfRule type="expression" dxfId="16124" priority="214">
      <formula>AND(IF($Q51=3,1,IF($Q51=4,1,0)),IF($F51&lt;=85,1,0))</formula>
    </cfRule>
  </conditionalFormatting>
  <conditionalFormatting sqref="AV52">
    <cfRule type="expression" dxfId="16123" priority="209">
      <formula>AV52="X"</formula>
    </cfRule>
    <cfRule type="expression" dxfId="16122" priority="210">
      <formula>AV52="후보"</formula>
    </cfRule>
  </conditionalFormatting>
  <conditionalFormatting sqref="AC52 N52">
    <cfRule type="cellIs" dxfId="16121" priority="207" operator="greaterThan">
      <formula>0.9</formula>
    </cfRule>
    <cfRule type="cellIs" dxfId="16120" priority="208" operator="greaterThan">
      <formula>0.85</formula>
    </cfRule>
  </conditionalFormatting>
  <conditionalFormatting sqref="AV53">
    <cfRule type="expression" dxfId="16119" priority="205">
      <formula>AV53="X"</formula>
    </cfRule>
    <cfRule type="expression" dxfId="16118" priority="206">
      <formula>AV53="후보"</formula>
    </cfRule>
  </conditionalFormatting>
  <conditionalFormatting sqref="AC53">
    <cfRule type="cellIs" dxfId="16117" priority="203" operator="greaterThan">
      <formula>0.9</formula>
    </cfRule>
    <cfRule type="cellIs" dxfId="16116" priority="204" operator="greaterThan">
      <formula>0.85</formula>
    </cfRule>
  </conditionalFormatting>
  <conditionalFormatting sqref="N53">
    <cfRule type="cellIs" dxfId="16115" priority="201" operator="greaterThan">
      <formula>0.9</formula>
    </cfRule>
    <cfRule type="cellIs" dxfId="16114" priority="202" operator="greaterThan">
      <formula>0.85</formula>
    </cfRule>
  </conditionalFormatting>
  <conditionalFormatting sqref="E53">
    <cfRule type="expression" dxfId="16113" priority="197">
      <formula>AND(IF(OR($Q53=1,$Q53=2),1,0),IF($X53&lt;=20,1,0))</formula>
    </cfRule>
    <cfRule type="expression" dxfId="16112" priority="198">
      <formula>AND(IF($Q53=2,1,0),IF($X53&lt;30,1,0))</formula>
    </cfRule>
    <cfRule type="expression" dxfId="16111" priority="199">
      <formula>AND(IF($Q53=3,1,0),IF($X53&lt;30,1,0))</formula>
    </cfRule>
    <cfRule type="expression" dxfId="16110" priority="200">
      <formula>AND(IF($Q53=3,1,IF($Q53=4,1,0)),IF($F53&lt;=85,1,0))</formula>
    </cfRule>
  </conditionalFormatting>
  <conditionalFormatting sqref="X53">
    <cfRule type="expression" dxfId="16109" priority="193">
      <formula>AND(IF(OR($Q53=1,$Q53=2),1,0),IF($X53&lt;=20,1,0))</formula>
    </cfRule>
    <cfRule type="expression" dxfId="16108" priority="194">
      <formula>AND(IF($Q53=2,1,0),IF($X53&lt;30,1,0))</formula>
    </cfRule>
    <cfRule type="expression" dxfId="16107" priority="195">
      <formula>AND(IF($Q53=3,1,0),IF($X53&lt;30,1,0))</formula>
    </cfRule>
    <cfRule type="expression" dxfId="16106" priority="196">
      <formula>AND(IF($Q53=3,1,IF($Q53=4,1,0)),IF($F53&lt;=85,1,0))</formula>
    </cfRule>
  </conditionalFormatting>
  <conditionalFormatting sqref="AI53">
    <cfRule type="expression" dxfId="16105" priority="189">
      <formula>AND(IF(OR($Q53=1,$Q53=2),1,0),IF($X53&lt;=20,1,0))</formula>
    </cfRule>
    <cfRule type="expression" dxfId="16104" priority="190">
      <formula>AND(IF($Q53=2,1,0),IF($X53&lt;30,1,0))</formula>
    </cfRule>
    <cfRule type="expression" dxfId="16103" priority="191">
      <formula>AND(IF($Q53=3,1,0),IF($X53&lt;30,1,0))</formula>
    </cfRule>
    <cfRule type="expression" dxfId="16102" priority="192">
      <formula>AND(IF($Q53=3,1,IF($Q53=4,1,0)),IF($F53&lt;=85,1,0))</formula>
    </cfRule>
  </conditionalFormatting>
  <conditionalFormatting sqref="AV54">
    <cfRule type="expression" dxfId="16101" priority="187">
      <formula>AV54="X"</formula>
    </cfRule>
    <cfRule type="expression" dxfId="16100" priority="188">
      <formula>AV54="후보"</formula>
    </cfRule>
  </conditionalFormatting>
  <conditionalFormatting sqref="AC54">
    <cfRule type="cellIs" dxfId="16099" priority="185" operator="greaterThan">
      <formula>0.9</formula>
    </cfRule>
    <cfRule type="cellIs" dxfId="16098" priority="186" operator="greaterThan">
      <formula>0.85</formula>
    </cfRule>
  </conditionalFormatting>
  <conditionalFormatting sqref="N54">
    <cfRule type="cellIs" dxfId="16097" priority="183" operator="greaterThan">
      <formula>0.9</formula>
    </cfRule>
    <cfRule type="cellIs" dxfId="16096" priority="184" operator="greaterThan">
      <formula>0.85</formula>
    </cfRule>
  </conditionalFormatting>
  <conditionalFormatting sqref="E54">
    <cfRule type="expression" dxfId="16095" priority="179">
      <formula>AND(IF(OR($Q54=1,$Q54=2),1,0),IF($X54&lt;=20,1,0))</formula>
    </cfRule>
    <cfRule type="expression" dxfId="16094" priority="180">
      <formula>AND(IF($Q54=2,1,0),IF($X54&lt;30,1,0))</formula>
    </cfRule>
    <cfRule type="expression" dxfId="16093" priority="181">
      <formula>AND(IF($Q54=3,1,0),IF($X54&lt;30,1,0))</formula>
    </cfRule>
    <cfRule type="expression" dxfId="16092" priority="182">
      <formula>AND(IF($Q54=3,1,IF($Q54=4,1,0)),IF($F54&lt;=85,1,0))</formula>
    </cfRule>
  </conditionalFormatting>
  <conditionalFormatting sqref="X54">
    <cfRule type="expression" dxfId="16091" priority="175">
      <formula>AND(IF(OR($Q54=1,$Q54=2),1,0),IF($X54&lt;=20,1,0))</formula>
    </cfRule>
    <cfRule type="expression" dxfId="16090" priority="176">
      <formula>AND(IF($Q54=2,1,0),IF($X54&lt;30,1,0))</formula>
    </cfRule>
    <cfRule type="expression" dxfId="16089" priority="177">
      <formula>AND(IF($Q54=3,1,0),IF($X54&lt;30,1,0))</formula>
    </cfRule>
    <cfRule type="expression" dxfId="16088" priority="178">
      <formula>AND(IF($Q54=3,1,IF($Q54=4,1,0)),IF($F54&lt;=85,1,0))</formula>
    </cfRule>
  </conditionalFormatting>
  <conditionalFormatting sqref="AI54">
    <cfRule type="expression" dxfId="16087" priority="171">
      <formula>AND(IF(OR($Q54=1,$Q54=2),1,0),IF($X54&lt;=20,1,0))</formula>
    </cfRule>
    <cfRule type="expression" dxfId="16086" priority="172">
      <formula>AND(IF($Q54=2,1,0),IF($X54&lt;30,1,0))</formula>
    </cfRule>
    <cfRule type="expression" dxfId="16085" priority="173">
      <formula>AND(IF($Q54=3,1,0),IF($X54&lt;30,1,0))</formula>
    </cfRule>
    <cfRule type="expression" dxfId="16084" priority="174">
      <formula>AND(IF($Q54=3,1,IF($Q54=4,1,0)),IF($F54&lt;=85,1,0))</formula>
    </cfRule>
  </conditionalFormatting>
  <conditionalFormatting sqref="AV55">
    <cfRule type="expression" dxfId="16083" priority="169">
      <formula>AV55="X"</formula>
    </cfRule>
    <cfRule type="expression" dxfId="16082" priority="170">
      <formula>AV55="후보"</formula>
    </cfRule>
  </conditionalFormatting>
  <conditionalFormatting sqref="AC55">
    <cfRule type="cellIs" dxfId="16081" priority="167" operator="greaterThan">
      <formula>0.9</formula>
    </cfRule>
    <cfRule type="cellIs" dxfId="16080" priority="168" operator="greaterThan">
      <formula>0.85</formula>
    </cfRule>
  </conditionalFormatting>
  <conditionalFormatting sqref="N55">
    <cfRule type="cellIs" dxfId="16079" priority="165" operator="greaterThan">
      <formula>0.9</formula>
    </cfRule>
    <cfRule type="cellIs" dxfId="16078" priority="166" operator="greaterThan">
      <formula>0.85</formula>
    </cfRule>
  </conditionalFormatting>
  <conditionalFormatting sqref="E55">
    <cfRule type="expression" dxfId="16077" priority="161">
      <formula>AND(IF(OR($Q55=1,$Q55=2),1,0),IF($X55&lt;=20,1,0))</formula>
    </cfRule>
    <cfRule type="expression" dxfId="16076" priority="162">
      <formula>AND(IF($Q55=2,1,0),IF($X55&lt;30,1,0))</formula>
    </cfRule>
    <cfRule type="expression" dxfId="16075" priority="163">
      <formula>AND(IF($Q55=3,1,0),IF($X55&lt;30,1,0))</formula>
    </cfRule>
    <cfRule type="expression" dxfId="16074" priority="164">
      <formula>AND(IF($Q55=3,1,IF($Q55=4,1,0)),IF($F55&lt;=85,1,0))</formula>
    </cfRule>
  </conditionalFormatting>
  <conditionalFormatting sqref="X55">
    <cfRule type="expression" dxfId="16073" priority="157">
      <formula>AND(IF(OR($Q55=1,$Q55=2),1,0),IF($X55&lt;=20,1,0))</formula>
    </cfRule>
    <cfRule type="expression" dxfId="16072" priority="158">
      <formula>AND(IF($Q55=2,1,0),IF($X55&lt;30,1,0))</formula>
    </cfRule>
    <cfRule type="expression" dxfId="16071" priority="159">
      <formula>AND(IF($Q55=3,1,0),IF($X55&lt;30,1,0))</formula>
    </cfRule>
    <cfRule type="expression" dxfId="16070" priority="160">
      <formula>AND(IF($Q55=3,1,IF($Q55=4,1,0)),IF($F55&lt;=85,1,0))</formula>
    </cfRule>
  </conditionalFormatting>
  <conditionalFormatting sqref="AI55">
    <cfRule type="expression" dxfId="16069" priority="153">
      <formula>AND(IF(OR($Q55=1,$Q55=2),1,0),IF($X55&lt;=20,1,0))</formula>
    </cfRule>
    <cfRule type="expression" dxfId="16068" priority="154">
      <formula>AND(IF($Q55=2,1,0),IF($X55&lt;30,1,0))</formula>
    </cfRule>
    <cfRule type="expression" dxfId="16067" priority="155">
      <formula>AND(IF($Q55=3,1,0),IF($X55&lt;30,1,0))</formula>
    </cfRule>
    <cfRule type="expression" dxfId="16066" priority="156">
      <formula>AND(IF($Q55=3,1,IF($Q55=4,1,0)),IF($F55&lt;=85,1,0))</formula>
    </cfRule>
  </conditionalFormatting>
  <conditionalFormatting sqref="AV56">
    <cfRule type="expression" dxfId="16065" priority="151">
      <formula>AV56="X"</formula>
    </cfRule>
    <cfRule type="expression" dxfId="16064" priority="152">
      <formula>AV56="후보"</formula>
    </cfRule>
  </conditionalFormatting>
  <conditionalFormatting sqref="AC56 N56">
    <cfRule type="cellIs" dxfId="16063" priority="149" operator="greaterThan">
      <formula>0.9</formula>
    </cfRule>
    <cfRule type="cellIs" dxfId="16062" priority="150" operator="greaterThan">
      <formula>0.85</formula>
    </cfRule>
  </conditionalFormatting>
  <conditionalFormatting sqref="AV57">
    <cfRule type="expression" dxfId="16061" priority="147">
      <formula>AV57="X"</formula>
    </cfRule>
    <cfRule type="expression" dxfId="16060" priority="148">
      <formula>AV57="후보"</formula>
    </cfRule>
  </conditionalFormatting>
  <conditionalFormatting sqref="AC57">
    <cfRule type="cellIs" dxfId="16059" priority="145" operator="greaterThan">
      <formula>0.9</formula>
    </cfRule>
    <cfRule type="cellIs" dxfId="16058" priority="146" operator="greaterThan">
      <formula>0.85</formula>
    </cfRule>
  </conditionalFormatting>
  <conditionalFormatting sqref="N57">
    <cfRule type="cellIs" dxfId="16057" priority="143" operator="greaterThan">
      <formula>0.9</formula>
    </cfRule>
    <cfRule type="cellIs" dxfId="16056" priority="144" operator="greaterThan">
      <formula>0.85</formula>
    </cfRule>
  </conditionalFormatting>
  <conditionalFormatting sqref="E57">
    <cfRule type="expression" dxfId="16055" priority="139">
      <formula>AND(IF(OR($Q57=1,$Q57=2),1,0),IF($X57&lt;=20,1,0))</formula>
    </cfRule>
    <cfRule type="expression" dxfId="16054" priority="140">
      <formula>AND(IF($Q57=2,1,0),IF($X57&lt;30,1,0))</formula>
    </cfRule>
    <cfRule type="expression" dxfId="16053" priority="141">
      <formula>AND(IF($Q57=3,1,0),IF($X57&lt;30,1,0))</formula>
    </cfRule>
    <cfRule type="expression" dxfId="16052" priority="142">
      <formula>AND(IF($Q57=3,1,IF($Q57=4,1,0)),IF($F57&lt;=85,1,0))</formula>
    </cfRule>
  </conditionalFormatting>
  <conditionalFormatting sqref="X57">
    <cfRule type="expression" dxfId="16051" priority="135">
      <formula>AND(IF(OR($Q57=1,$Q57=2),1,0),IF($X57&lt;=20,1,0))</formula>
    </cfRule>
    <cfRule type="expression" dxfId="16050" priority="136">
      <formula>AND(IF($Q57=2,1,0),IF($X57&lt;30,1,0))</formula>
    </cfRule>
    <cfRule type="expression" dxfId="16049" priority="137">
      <formula>AND(IF($Q57=3,1,0),IF($X57&lt;30,1,0))</formula>
    </cfRule>
    <cfRule type="expression" dxfId="16048" priority="138">
      <formula>AND(IF($Q57=3,1,IF($Q57=4,1,0)),IF($F57&lt;=85,1,0))</formula>
    </cfRule>
  </conditionalFormatting>
  <conditionalFormatting sqref="AI57">
    <cfRule type="expression" dxfId="16047" priority="131">
      <formula>AND(IF(OR($Q57=1,$Q57=2),1,0),IF($X57&lt;=20,1,0))</formula>
    </cfRule>
    <cfRule type="expression" dxfId="16046" priority="132">
      <formula>AND(IF($Q57=2,1,0),IF($X57&lt;30,1,0))</formula>
    </cfRule>
    <cfRule type="expression" dxfId="16045" priority="133">
      <formula>AND(IF($Q57=3,1,0),IF($X57&lt;30,1,0))</formula>
    </cfRule>
    <cfRule type="expression" dxfId="16044" priority="134">
      <formula>AND(IF($Q57=3,1,IF($Q57=4,1,0)),IF($F57&lt;=85,1,0))</formula>
    </cfRule>
  </conditionalFormatting>
  <conditionalFormatting sqref="AV58">
    <cfRule type="expression" dxfId="16043" priority="129">
      <formula>AV58="X"</formula>
    </cfRule>
    <cfRule type="expression" dxfId="16042" priority="130">
      <formula>AV58="후보"</formula>
    </cfRule>
  </conditionalFormatting>
  <conditionalFormatting sqref="AC58">
    <cfRule type="cellIs" dxfId="16041" priority="127" operator="greaterThan">
      <formula>0.9</formula>
    </cfRule>
    <cfRule type="cellIs" dxfId="16040" priority="128" operator="greaterThan">
      <formula>0.85</formula>
    </cfRule>
  </conditionalFormatting>
  <conditionalFormatting sqref="N58">
    <cfRule type="cellIs" dxfId="16039" priority="125" operator="greaterThan">
      <formula>0.9</formula>
    </cfRule>
    <cfRule type="cellIs" dxfId="16038" priority="126" operator="greaterThan">
      <formula>0.85</formula>
    </cfRule>
  </conditionalFormatting>
  <conditionalFormatting sqref="E58">
    <cfRule type="expression" dxfId="16037" priority="121">
      <formula>AND(IF(OR($Q58=1,$Q58=2),1,0),IF($X58&lt;=20,1,0))</formula>
    </cfRule>
    <cfRule type="expression" dxfId="16036" priority="122">
      <formula>AND(IF($Q58=2,1,0),IF($X58&lt;30,1,0))</formula>
    </cfRule>
    <cfRule type="expression" dxfId="16035" priority="123">
      <formula>AND(IF($Q58=3,1,0),IF($X58&lt;30,1,0))</formula>
    </cfRule>
    <cfRule type="expression" dxfId="16034" priority="124">
      <formula>AND(IF($Q58=3,1,IF($Q58=4,1,0)),IF($F58&lt;=85,1,0))</formula>
    </cfRule>
  </conditionalFormatting>
  <conditionalFormatting sqref="X58">
    <cfRule type="expression" dxfId="16033" priority="117">
      <formula>AND(IF(OR($Q58=1,$Q58=2),1,0),IF($X58&lt;=20,1,0))</formula>
    </cfRule>
    <cfRule type="expression" dxfId="16032" priority="118">
      <formula>AND(IF($Q58=2,1,0),IF($X58&lt;30,1,0))</formula>
    </cfRule>
    <cfRule type="expression" dxfId="16031" priority="119">
      <formula>AND(IF($Q58=3,1,0),IF($X58&lt;30,1,0))</formula>
    </cfRule>
    <cfRule type="expression" dxfId="16030" priority="120">
      <formula>AND(IF($Q58=3,1,IF($Q58=4,1,0)),IF($F58&lt;=85,1,0))</formula>
    </cfRule>
  </conditionalFormatting>
  <conditionalFormatting sqref="AI58">
    <cfRule type="expression" dxfId="16029" priority="113">
      <formula>AND(IF(OR($Q58=1,$Q58=2),1,0),IF($X58&lt;=20,1,0))</formula>
    </cfRule>
    <cfRule type="expression" dxfId="16028" priority="114">
      <formula>AND(IF($Q58=2,1,0),IF($X58&lt;30,1,0))</formula>
    </cfRule>
    <cfRule type="expression" dxfId="16027" priority="115">
      <formula>AND(IF($Q58=3,1,0),IF($X58&lt;30,1,0))</formula>
    </cfRule>
    <cfRule type="expression" dxfId="16026" priority="116">
      <formula>AND(IF($Q58=3,1,IF($Q58=4,1,0)),IF($F58&lt;=85,1,0))</formula>
    </cfRule>
  </conditionalFormatting>
  <conditionalFormatting sqref="AV59">
    <cfRule type="expression" dxfId="16025" priority="111">
      <formula>AV59="X"</formula>
    </cfRule>
    <cfRule type="expression" dxfId="16024" priority="112">
      <formula>AV59="후보"</formula>
    </cfRule>
  </conditionalFormatting>
  <conditionalFormatting sqref="AC59">
    <cfRule type="cellIs" dxfId="16023" priority="109" operator="greaterThan">
      <formula>0.9</formula>
    </cfRule>
    <cfRule type="cellIs" dxfId="16022" priority="110" operator="greaterThan">
      <formula>0.85</formula>
    </cfRule>
  </conditionalFormatting>
  <conditionalFormatting sqref="N59">
    <cfRule type="cellIs" dxfId="16021" priority="107" operator="greaterThan">
      <formula>0.9</formula>
    </cfRule>
    <cfRule type="cellIs" dxfId="16020" priority="108" operator="greaterThan">
      <formula>0.85</formula>
    </cfRule>
  </conditionalFormatting>
  <conditionalFormatting sqref="E59">
    <cfRule type="expression" dxfId="16019" priority="103">
      <formula>AND(IF(OR($Q59=1,$Q59=2),1,0),IF($X59&lt;=20,1,0))</formula>
    </cfRule>
    <cfRule type="expression" dxfId="16018" priority="104">
      <formula>AND(IF($Q59=2,1,0),IF($X59&lt;30,1,0))</formula>
    </cfRule>
    <cfRule type="expression" dxfId="16017" priority="105">
      <formula>AND(IF($Q59=3,1,0),IF($X59&lt;30,1,0))</formula>
    </cfRule>
    <cfRule type="expression" dxfId="16016" priority="106">
      <formula>AND(IF($Q59=3,1,IF($Q59=4,1,0)),IF($F59&lt;=85,1,0))</formula>
    </cfRule>
  </conditionalFormatting>
  <conditionalFormatting sqref="X59">
    <cfRule type="expression" dxfId="16015" priority="99">
      <formula>AND(IF(OR($Q59=1,$Q59=2),1,0),IF($X59&lt;=20,1,0))</formula>
    </cfRule>
    <cfRule type="expression" dxfId="16014" priority="100">
      <formula>AND(IF($Q59=2,1,0),IF($X59&lt;30,1,0))</formula>
    </cfRule>
    <cfRule type="expression" dxfId="16013" priority="101">
      <formula>AND(IF($Q59=3,1,0),IF($X59&lt;30,1,0))</formula>
    </cfRule>
    <cfRule type="expression" dxfId="16012" priority="102">
      <formula>AND(IF($Q59=3,1,IF($Q59=4,1,0)),IF($F59&lt;=85,1,0))</formula>
    </cfRule>
  </conditionalFormatting>
  <conditionalFormatting sqref="AI59">
    <cfRule type="expression" dxfId="16011" priority="95">
      <formula>AND(IF(OR($Q59=1,$Q59=2),1,0),IF($X59&lt;=20,1,0))</formula>
    </cfRule>
    <cfRule type="expression" dxfId="16010" priority="96">
      <formula>AND(IF($Q59=2,1,0),IF($X59&lt;30,1,0))</formula>
    </cfRule>
    <cfRule type="expression" dxfId="16009" priority="97">
      <formula>AND(IF($Q59=3,1,0),IF($X59&lt;30,1,0))</formula>
    </cfRule>
    <cfRule type="expression" dxfId="16008" priority="98">
      <formula>AND(IF($Q59=3,1,IF($Q59=4,1,0)),IF($F59&lt;=85,1,0))</formula>
    </cfRule>
  </conditionalFormatting>
  <conditionalFormatting sqref="AV60">
    <cfRule type="expression" dxfId="16007" priority="93">
      <formula>AV60="X"</formula>
    </cfRule>
    <cfRule type="expression" dxfId="16006" priority="94">
      <formula>AV60="후보"</formula>
    </cfRule>
  </conditionalFormatting>
  <conditionalFormatting sqref="AC60">
    <cfRule type="cellIs" dxfId="16005" priority="91" operator="greaterThan">
      <formula>0.9</formula>
    </cfRule>
    <cfRule type="cellIs" dxfId="16004" priority="92" operator="greaterThan">
      <formula>0.85</formula>
    </cfRule>
  </conditionalFormatting>
  <conditionalFormatting sqref="N60">
    <cfRule type="cellIs" dxfId="16003" priority="89" operator="greaterThan">
      <formula>0.9</formula>
    </cfRule>
    <cfRule type="cellIs" dxfId="16002" priority="90" operator="greaterThan">
      <formula>0.85</formula>
    </cfRule>
  </conditionalFormatting>
  <conditionalFormatting sqref="E60">
    <cfRule type="expression" dxfId="16001" priority="85">
      <formula>AND(IF(OR($Q60=1,$Q60=2),1,0),IF($X60&lt;=20,1,0))</formula>
    </cfRule>
    <cfRule type="expression" dxfId="16000" priority="86">
      <formula>AND(IF($Q60=2,1,0),IF($X60&lt;30,1,0))</formula>
    </cfRule>
    <cfRule type="expression" dxfId="15999" priority="87">
      <formula>AND(IF($Q60=3,1,0),IF($X60&lt;30,1,0))</formula>
    </cfRule>
    <cfRule type="expression" dxfId="15998" priority="88">
      <formula>AND(IF($Q60=3,1,IF($Q60=4,1,0)),IF($F60&lt;=85,1,0))</formula>
    </cfRule>
  </conditionalFormatting>
  <conditionalFormatting sqref="X60">
    <cfRule type="expression" dxfId="15997" priority="81">
      <formula>AND(IF(OR($Q60=1,$Q60=2),1,0),IF($X60&lt;=20,1,0))</formula>
    </cfRule>
    <cfRule type="expression" dxfId="15996" priority="82">
      <formula>AND(IF($Q60=2,1,0),IF($X60&lt;30,1,0))</formula>
    </cfRule>
    <cfRule type="expression" dxfId="15995" priority="83">
      <formula>AND(IF($Q60=3,1,0),IF($X60&lt;30,1,0))</formula>
    </cfRule>
    <cfRule type="expression" dxfId="15994" priority="84">
      <formula>AND(IF($Q60=3,1,IF($Q60=4,1,0)),IF($F60&lt;=85,1,0))</formula>
    </cfRule>
  </conditionalFormatting>
  <conditionalFormatting sqref="AI60">
    <cfRule type="expression" dxfId="15993" priority="77">
      <formula>AND(IF(OR($Q60=1,$Q60=2),1,0),IF($X60&lt;=20,1,0))</formula>
    </cfRule>
    <cfRule type="expression" dxfId="15992" priority="78">
      <formula>AND(IF($Q60=2,1,0),IF($X60&lt;30,1,0))</formula>
    </cfRule>
    <cfRule type="expression" dxfId="15991" priority="79">
      <formula>AND(IF($Q60=3,1,0),IF($X60&lt;30,1,0))</formula>
    </cfRule>
    <cfRule type="expression" dxfId="15990" priority="80">
      <formula>AND(IF($Q60=3,1,IF($Q60=4,1,0)),IF($F60&lt;=85,1,0))</formula>
    </cfRule>
  </conditionalFormatting>
  <conditionalFormatting sqref="AV61">
    <cfRule type="expression" dxfId="15989" priority="75">
      <formula>AV61="X"</formula>
    </cfRule>
    <cfRule type="expression" dxfId="15988" priority="76">
      <formula>AV61="후보"</formula>
    </cfRule>
  </conditionalFormatting>
  <conditionalFormatting sqref="AC61">
    <cfRule type="cellIs" dxfId="15987" priority="73" operator="greaterThan">
      <formula>0.9</formula>
    </cfRule>
    <cfRule type="cellIs" dxfId="15986" priority="74" operator="greaterThan">
      <formula>0.85</formula>
    </cfRule>
  </conditionalFormatting>
  <conditionalFormatting sqref="N61">
    <cfRule type="cellIs" dxfId="15985" priority="71" operator="greaterThan">
      <formula>0.9</formula>
    </cfRule>
    <cfRule type="cellIs" dxfId="15984" priority="72" operator="greaterThan">
      <formula>0.85</formula>
    </cfRule>
  </conditionalFormatting>
  <conditionalFormatting sqref="E61">
    <cfRule type="expression" dxfId="15983" priority="67">
      <formula>AND(IF(OR($Q61=1,$Q61=2),1,0),IF($X61&lt;=20,1,0))</formula>
    </cfRule>
    <cfRule type="expression" dxfId="15982" priority="68">
      <formula>AND(IF($Q61=2,1,0),IF($X61&lt;30,1,0))</formula>
    </cfRule>
    <cfRule type="expression" dxfId="15981" priority="69">
      <formula>AND(IF($Q61=3,1,0),IF($X61&lt;30,1,0))</formula>
    </cfRule>
    <cfRule type="expression" dxfId="15980" priority="70">
      <formula>AND(IF($Q61=3,1,IF($Q61=4,1,0)),IF($F61&lt;=85,1,0))</formula>
    </cfRule>
  </conditionalFormatting>
  <conditionalFormatting sqref="X61">
    <cfRule type="expression" dxfId="15979" priority="63">
      <formula>AND(IF(OR($Q61=1,$Q61=2),1,0),IF($X61&lt;=20,1,0))</formula>
    </cfRule>
    <cfRule type="expression" dxfId="15978" priority="64">
      <formula>AND(IF($Q61=2,1,0),IF($X61&lt;30,1,0))</formula>
    </cfRule>
    <cfRule type="expression" dxfId="15977" priority="65">
      <formula>AND(IF($Q61=3,1,0),IF($X61&lt;30,1,0))</formula>
    </cfRule>
    <cfRule type="expression" dxfId="15976" priority="66">
      <formula>AND(IF($Q61=3,1,IF($Q61=4,1,0)),IF($F61&lt;=85,1,0))</formula>
    </cfRule>
  </conditionalFormatting>
  <conditionalFormatting sqref="AI61">
    <cfRule type="expression" dxfId="15975" priority="59">
      <formula>AND(IF(OR($Q61=1,$Q61=2),1,0),IF($X61&lt;=20,1,0))</formula>
    </cfRule>
    <cfRule type="expression" dxfId="15974" priority="60">
      <formula>AND(IF($Q61=2,1,0),IF($X61&lt;30,1,0))</formula>
    </cfRule>
    <cfRule type="expression" dxfId="15973" priority="61">
      <formula>AND(IF($Q61=3,1,0),IF($X61&lt;30,1,0))</formula>
    </cfRule>
    <cfRule type="expression" dxfId="15972" priority="62">
      <formula>AND(IF($Q61=3,1,IF($Q61=4,1,0)),IF($F61&lt;=85,1,0))</formula>
    </cfRule>
  </conditionalFormatting>
  <conditionalFormatting sqref="AV62">
    <cfRule type="expression" dxfId="15971" priority="57">
      <formula>AV62="X"</formula>
    </cfRule>
    <cfRule type="expression" dxfId="15970" priority="58">
      <formula>AV62="후보"</formula>
    </cfRule>
  </conditionalFormatting>
  <conditionalFormatting sqref="AC62">
    <cfRule type="cellIs" dxfId="15969" priority="55" operator="greaterThan">
      <formula>0.9</formula>
    </cfRule>
    <cfRule type="cellIs" dxfId="15968" priority="56" operator="greaterThan">
      <formula>0.85</formula>
    </cfRule>
  </conditionalFormatting>
  <conditionalFormatting sqref="N62">
    <cfRule type="cellIs" dxfId="15967" priority="53" operator="greaterThan">
      <formula>0.9</formula>
    </cfRule>
    <cfRule type="cellIs" dxfId="15966" priority="54" operator="greaterThan">
      <formula>0.85</formula>
    </cfRule>
  </conditionalFormatting>
  <conditionalFormatting sqref="E62">
    <cfRule type="expression" dxfId="15965" priority="49">
      <formula>AND(IF(OR($Q62=1,$Q62=2),1,0),IF($X62&lt;=20,1,0))</formula>
    </cfRule>
    <cfRule type="expression" dxfId="15964" priority="50">
      <formula>AND(IF($Q62=2,1,0),IF($X62&lt;30,1,0))</formula>
    </cfRule>
    <cfRule type="expression" dxfId="15963" priority="51">
      <formula>AND(IF($Q62=3,1,0),IF($X62&lt;30,1,0))</formula>
    </cfRule>
    <cfRule type="expression" dxfId="15962" priority="52">
      <formula>AND(IF($Q62=3,1,IF($Q62=4,1,0)),IF($F62&lt;=85,1,0))</formula>
    </cfRule>
  </conditionalFormatting>
  <conditionalFormatting sqref="X62">
    <cfRule type="expression" dxfId="15961" priority="45">
      <formula>AND(IF(OR($Q62=1,$Q62=2),1,0),IF($X62&lt;=20,1,0))</formula>
    </cfRule>
    <cfRule type="expression" dxfId="15960" priority="46">
      <formula>AND(IF($Q62=2,1,0),IF($X62&lt;30,1,0))</formula>
    </cfRule>
    <cfRule type="expression" dxfId="15959" priority="47">
      <formula>AND(IF($Q62=3,1,0),IF($X62&lt;30,1,0))</formula>
    </cfRule>
    <cfRule type="expression" dxfId="15958" priority="48">
      <formula>AND(IF($Q62=3,1,IF($Q62=4,1,0)),IF($F62&lt;=85,1,0))</formula>
    </cfRule>
  </conditionalFormatting>
  <conditionalFormatting sqref="AI62">
    <cfRule type="expression" dxfId="15957" priority="41">
      <formula>AND(IF(OR($Q62=1,$Q62=2),1,0),IF($X62&lt;=20,1,0))</formula>
    </cfRule>
    <cfRule type="expression" dxfId="15956" priority="42">
      <formula>AND(IF($Q62=2,1,0),IF($X62&lt;30,1,0))</formula>
    </cfRule>
    <cfRule type="expression" dxfId="15955" priority="43">
      <formula>AND(IF($Q62=3,1,0),IF($X62&lt;30,1,0))</formula>
    </cfRule>
    <cfRule type="expression" dxfId="15954" priority="44">
      <formula>AND(IF($Q62=3,1,IF($Q62=4,1,0)),IF($F62&lt;=85,1,0))</formula>
    </cfRule>
  </conditionalFormatting>
  <conditionalFormatting sqref="AV63">
    <cfRule type="expression" dxfId="15953" priority="39">
      <formula>AV63="X"</formula>
    </cfRule>
    <cfRule type="expression" dxfId="15952" priority="40">
      <formula>AV63="후보"</formula>
    </cfRule>
  </conditionalFormatting>
  <conditionalFormatting sqref="AC63">
    <cfRule type="cellIs" dxfId="15951" priority="37" operator="greaterThan">
      <formula>0.9</formula>
    </cfRule>
    <cfRule type="cellIs" dxfId="15950" priority="38" operator="greaterThan">
      <formula>0.85</formula>
    </cfRule>
  </conditionalFormatting>
  <conditionalFormatting sqref="N63">
    <cfRule type="cellIs" dxfId="15949" priority="35" operator="greaterThan">
      <formula>0.9</formula>
    </cfRule>
    <cfRule type="cellIs" dxfId="15948" priority="36" operator="greaterThan">
      <formula>0.85</formula>
    </cfRule>
  </conditionalFormatting>
  <conditionalFormatting sqref="E63">
    <cfRule type="expression" dxfId="15947" priority="31">
      <formula>AND(IF(OR($Q63=1,$Q63=2),1,0),IF($X63&lt;=20,1,0))</formula>
    </cfRule>
    <cfRule type="expression" dxfId="15946" priority="32">
      <formula>AND(IF($Q63=2,1,0),IF($X63&lt;30,1,0))</formula>
    </cfRule>
    <cfRule type="expression" dxfId="15945" priority="33">
      <formula>AND(IF($Q63=3,1,0),IF($X63&lt;30,1,0))</formula>
    </cfRule>
    <cfRule type="expression" dxfId="15944" priority="34">
      <formula>AND(IF($Q63=3,1,IF($Q63=4,1,0)),IF($F63&lt;=85,1,0))</formula>
    </cfRule>
  </conditionalFormatting>
  <conditionalFormatting sqref="X63">
    <cfRule type="expression" dxfId="15943" priority="27">
      <formula>AND(IF(OR($Q63=1,$Q63=2),1,0),IF($X63&lt;=20,1,0))</formula>
    </cfRule>
    <cfRule type="expression" dxfId="15942" priority="28">
      <formula>AND(IF($Q63=2,1,0),IF($X63&lt;30,1,0))</formula>
    </cfRule>
    <cfRule type="expression" dxfId="15941" priority="29">
      <formula>AND(IF($Q63=3,1,0),IF($X63&lt;30,1,0))</formula>
    </cfRule>
    <cfRule type="expression" dxfId="15940" priority="30">
      <formula>AND(IF($Q63=3,1,IF($Q63=4,1,0)),IF($F63&lt;=85,1,0))</formula>
    </cfRule>
  </conditionalFormatting>
  <conditionalFormatting sqref="AI63">
    <cfRule type="expression" dxfId="15939" priority="23">
      <formula>AND(IF(OR($Q63=1,$Q63=2),1,0),IF($X63&lt;=20,1,0))</formula>
    </cfRule>
    <cfRule type="expression" dxfId="15938" priority="24">
      <formula>AND(IF($Q63=2,1,0),IF($X63&lt;30,1,0))</formula>
    </cfRule>
    <cfRule type="expression" dxfId="15937" priority="25">
      <formula>AND(IF($Q63=3,1,0),IF($X63&lt;30,1,0))</formula>
    </cfRule>
    <cfRule type="expression" dxfId="15936" priority="26">
      <formula>AND(IF($Q63=3,1,IF($Q63=4,1,0)),IF($F63&lt;=85,1,0))</formula>
    </cfRule>
  </conditionalFormatting>
  <conditionalFormatting sqref="AV64">
    <cfRule type="expression" dxfId="15935" priority="21">
      <formula>AV64="X"</formula>
    </cfRule>
    <cfRule type="expression" dxfId="15934" priority="22">
      <formula>AV64="후보"</formula>
    </cfRule>
  </conditionalFormatting>
  <conditionalFormatting sqref="AC64 N64">
    <cfRule type="cellIs" dxfId="15933" priority="19" operator="greaterThan">
      <formula>0.9</formula>
    </cfRule>
    <cfRule type="cellIs" dxfId="15932" priority="20" operator="greaterThan">
      <formula>0.85</formula>
    </cfRule>
  </conditionalFormatting>
  <conditionalFormatting sqref="AV65">
    <cfRule type="expression" dxfId="15931" priority="17">
      <formula>AV65="X"</formula>
    </cfRule>
    <cfRule type="expression" dxfId="15930" priority="18">
      <formula>AV65="후보"</formula>
    </cfRule>
  </conditionalFormatting>
  <conditionalFormatting sqref="AC65">
    <cfRule type="cellIs" dxfId="15929" priority="15" operator="greaterThan">
      <formula>0.9</formula>
    </cfRule>
    <cfRule type="cellIs" dxfId="15928" priority="16" operator="greaterThan">
      <formula>0.85</formula>
    </cfRule>
  </conditionalFormatting>
  <conditionalFormatting sqref="N65">
    <cfRule type="cellIs" dxfId="15927" priority="13" operator="greaterThan">
      <formula>0.9</formula>
    </cfRule>
    <cfRule type="cellIs" dxfId="15926" priority="14" operator="greaterThan">
      <formula>0.85</formula>
    </cfRule>
  </conditionalFormatting>
  <conditionalFormatting sqref="E65">
    <cfRule type="expression" dxfId="15925" priority="9">
      <formula>AND(IF(OR($Q65=1,$Q65=2),1,0),IF($X65&lt;=20,1,0))</formula>
    </cfRule>
    <cfRule type="expression" dxfId="15924" priority="10">
      <formula>AND(IF($Q65=2,1,0),IF($X65&lt;30,1,0))</formula>
    </cfRule>
    <cfRule type="expression" dxfId="15923" priority="11">
      <formula>AND(IF($Q65=3,1,0),IF($X65&lt;30,1,0))</formula>
    </cfRule>
    <cfRule type="expression" dxfId="15922" priority="12">
      <formula>AND(IF($Q65=3,1,IF($Q65=4,1,0)),IF($F65&lt;=85,1,0))</formula>
    </cfRule>
  </conditionalFormatting>
  <conditionalFormatting sqref="X65">
    <cfRule type="expression" dxfId="15921" priority="5">
      <formula>AND(IF(OR($Q65=1,$Q65=2),1,0),IF($X65&lt;=20,1,0))</formula>
    </cfRule>
    <cfRule type="expression" dxfId="15920" priority="6">
      <formula>AND(IF($Q65=2,1,0),IF($X65&lt;30,1,0))</formula>
    </cfRule>
    <cfRule type="expression" dxfId="15919" priority="7">
      <formula>AND(IF($Q65=3,1,0),IF($X65&lt;30,1,0))</formula>
    </cfRule>
    <cfRule type="expression" dxfId="15918" priority="8">
      <formula>AND(IF($Q65=3,1,IF($Q65=4,1,0)),IF($F65&lt;=85,1,0))</formula>
    </cfRule>
  </conditionalFormatting>
  <conditionalFormatting sqref="AI65">
    <cfRule type="expression" dxfId="15917" priority="1">
      <formula>AND(IF(OR($Q65=1,$Q65=2),1,0),IF($X65&lt;=20,1,0))</formula>
    </cfRule>
    <cfRule type="expression" dxfId="15916" priority="2">
      <formula>AND(IF($Q65=2,1,0),IF($X65&lt;30,1,0))</formula>
    </cfRule>
    <cfRule type="expression" dxfId="15915" priority="3">
      <formula>AND(IF($Q65=3,1,0),IF($X65&lt;30,1,0))</formula>
    </cfRule>
    <cfRule type="expression" dxfId="15914" priority="4">
      <formula>AND(IF($Q65=3,1,IF($Q65=4,1,0)),IF($F65&lt;=85,1,0))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A14" sqref="A13:XFD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9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1238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3" t="str">
        <f>A1&amp;" 전체 등급"</f>
        <v>전북 군산시 전체 등급</v>
      </c>
      <c r="AK1" s="124"/>
      <c r="AL1" s="124"/>
      <c r="AM1" s="124"/>
      <c r="AN1" s="125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44630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전북 군산시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0" t="s">
        <v>27</v>
      </c>
      <c r="Z3" s="12" t="s">
        <v>41</v>
      </c>
      <c r="AA3" s="12" t="s">
        <v>42</v>
      </c>
      <c r="AB3" s="12" t="s">
        <v>1239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1353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7"/>
      <c r="T4" s="5"/>
      <c r="U4" s="9"/>
      <c r="W4" s="9"/>
      <c r="X4" s="9"/>
      <c r="Y4" s="102"/>
      <c r="Z4" s="9"/>
      <c r="AA4" s="9"/>
      <c r="AB4" s="9"/>
      <c r="AC4" s="9"/>
      <c r="AD4" s="9"/>
      <c r="AE4" s="77"/>
      <c r="AF4" s="5"/>
      <c r="AH4" s="20"/>
      <c r="AI4" s="103" t="str">
        <f>IF(E4="","",E4)</f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3" t="str">
        <f>IF(E5="","",E5)</f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20</v>
      </c>
      <c r="B6" s="10" t="s">
        <v>1354</v>
      </c>
      <c r="C6" s="107">
        <v>905</v>
      </c>
      <c r="D6" s="104">
        <v>79.3</v>
      </c>
      <c r="E6" s="106">
        <v>24</v>
      </c>
      <c r="F6" s="104">
        <v>59.8</v>
      </c>
      <c r="G6" s="17">
        <v>18</v>
      </c>
      <c r="H6" s="107">
        <v>240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7">
        <v>3</v>
      </c>
      <c r="R6" s="77">
        <v>2</v>
      </c>
      <c r="S6" s="77" t="s">
        <v>1244</v>
      </c>
      <c r="T6" s="5">
        <v>79</v>
      </c>
      <c r="U6" s="9"/>
      <c r="W6" s="104">
        <f>D6</f>
        <v>79.3</v>
      </c>
      <c r="X6" s="106">
        <f>E6</f>
        <v>24</v>
      </c>
      <c r="Y6" s="102">
        <f>H6</f>
        <v>240</v>
      </c>
      <c r="Z6" s="109">
        <f>I6</f>
        <v>0</v>
      </c>
      <c r="AA6" s="109">
        <f>K6</f>
        <v>0</v>
      </c>
      <c r="AB6" s="109">
        <f>M6</f>
        <v>0</v>
      </c>
      <c r="AC6" s="4" t="str">
        <f>N6</f>
        <v/>
      </c>
      <c r="AD6" s="105">
        <f>O6</f>
        <v>0</v>
      </c>
      <c r="AE6" s="77" t="str">
        <f>S6</f>
        <v>계</v>
      </c>
      <c r="AF6" s="77" t="str">
        <f>Q6&amp;"/"&amp;R6</f>
        <v>3/2</v>
      </c>
      <c r="AH6" s="20" t="str">
        <f>IF(A6="","",A6)</f>
        <v>단지명</v>
      </c>
      <c r="AI6" s="106">
        <f>IF(E6="","",E6)</f>
        <v>24</v>
      </c>
      <c r="AJ6" s="77" t="str">
        <f>IF(AI6="","",$AJ$2)</f>
        <v>A-</v>
      </c>
      <c r="AK6" s="77" t="s">
        <v>13</v>
      </c>
      <c r="AL6" s="77" t="s">
        <v>1242</v>
      </c>
      <c r="AM6" s="77" t="s">
        <v>1243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5913" priority="5349">
      <formula>AV4="X"</formula>
    </cfRule>
    <cfRule type="expression" dxfId="15912" priority="5350">
      <formula>AV4="후보"</formula>
    </cfRule>
  </conditionalFormatting>
  <conditionalFormatting sqref="AC1:AC2 AC4:AC6 N4:N5">
    <cfRule type="cellIs" dxfId="15911" priority="5346" operator="greaterThan">
      <formula>0.9</formula>
    </cfRule>
    <cfRule type="cellIs" dxfId="15910" priority="5347" operator="greaterThan">
      <formula>0.85</formula>
    </cfRule>
  </conditionalFormatting>
  <conditionalFormatting sqref="N1:N2">
    <cfRule type="cellIs" dxfId="15909" priority="5344" operator="greaterThan">
      <formula>0.9</formula>
    </cfRule>
    <cfRule type="cellIs" dxfId="15908" priority="5345" operator="greaterThan">
      <formula>0.85</formula>
    </cfRule>
  </conditionalFormatting>
  <conditionalFormatting sqref="N6">
    <cfRule type="cellIs" dxfId="15907" priority="17" operator="greaterThan">
      <formula>0.9</formula>
    </cfRule>
    <cfRule type="cellIs" dxfId="15906" priority="18" operator="greaterThan">
      <formula>0.85</formula>
    </cfRule>
  </conditionalFormatting>
  <conditionalFormatting sqref="E6">
    <cfRule type="expression" dxfId="15905" priority="9">
      <formula>AND(IF(OR($Q6=1,$Q6=2),1,0),IF($X6&lt;=20,1,0))</formula>
    </cfRule>
    <cfRule type="expression" dxfId="15904" priority="10">
      <formula>AND(IF($Q6=2,1,0),IF($X6&lt;30,1,0))</formula>
    </cfRule>
    <cfRule type="expression" dxfId="15903" priority="11">
      <formula>AND(IF($Q6=3,1,0),IF($X6&lt;30,1,0))</formula>
    </cfRule>
    <cfRule type="expression" dxfId="15902" priority="12">
      <formula>AND(IF($Q6=3,1,IF($Q6=4,1,0)),IF($F6&lt;=85,1,0))</formula>
    </cfRule>
  </conditionalFormatting>
  <conditionalFormatting sqref="X6">
    <cfRule type="expression" dxfId="15901" priority="5">
      <formula>AND(IF(OR($Q6=1,$Q6=2),1,0),IF($X6&lt;=20,1,0))</formula>
    </cfRule>
    <cfRule type="expression" dxfId="15900" priority="6">
      <formula>AND(IF($Q6=2,1,0),IF($X6&lt;30,1,0))</formula>
    </cfRule>
    <cfRule type="expression" dxfId="15899" priority="7">
      <formula>AND(IF($Q6=3,1,0),IF($X6&lt;30,1,0))</formula>
    </cfRule>
    <cfRule type="expression" dxfId="15898" priority="8">
      <formula>AND(IF($Q6=3,1,IF($Q6=4,1,0)),IF($F6&lt;=85,1,0))</formula>
    </cfRule>
  </conditionalFormatting>
  <conditionalFormatting sqref="AI6">
    <cfRule type="expression" dxfId="15897" priority="1">
      <formula>AND(IF(OR($Q6=1,$Q6=2),1,0),IF($X6&lt;=20,1,0))</formula>
    </cfRule>
    <cfRule type="expression" dxfId="15896" priority="2">
      <formula>AND(IF($Q6=2,1,0),IF($X6&lt;30,1,0))</formula>
    </cfRule>
    <cfRule type="expression" dxfId="15895" priority="3">
      <formula>AND(IF($Q6=3,1,0),IF($X6&lt;30,1,0))</formula>
    </cfRule>
    <cfRule type="expression" dxfId="1589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이름이 지정된 범위</vt:lpstr>
      </vt:variant>
      <vt:variant>
        <vt:i4>48</vt:i4>
      </vt:variant>
    </vt:vector>
  </HeadingPairs>
  <TitlesOfParts>
    <vt:vector size="75" baseType="lpstr">
      <vt:lpstr>단지추출</vt:lpstr>
      <vt:lpstr>단지추출_가격표용</vt:lpstr>
      <vt:lpstr>동별가격표</vt:lpstr>
      <vt:lpstr>정보입력(KB)</vt:lpstr>
      <vt:lpstr>정보입력</vt:lpstr>
      <vt:lpstr>경암동</vt:lpstr>
      <vt:lpstr>구암동</vt:lpstr>
      <vt:lpstr>금광동</vt:lpstr>
      <vt:lpstr>나운동</vt:lpstr>
      <vt:lpstr>대명동</vt:lpstr>
      <vt:lpstr>동흥남동</vt:lpstr>
      <vt:lpstr>문화동</vt:lpstr>
      <vt:lpstr>미룡동</vt:lpstr>
      <vt:lpstr>미장동</vt:lpstr>
      <vt:lpstr>사정동</vt:lpstr>
      <vt:lpstr>산북동</vt:lpstr>
      <vt:lpstr>삼학동</vt:lpstr>
      <vt:lpstr>서흥남동</vt:lpstr>
      <vt:lpstr>소룡동</vt:lpstr>
      <vt:lpstr>수송동</vt:lpstr>
      <vt:lpstr>신풍동</vt:lpstr>
      <vt:lpstr>오식도동</vt:lpstr>
      <vt:lpstr>옥산면</vt:lpstr>
      <vt:lpstr>월명동</vt:lpstr>
      <vt:lpstr>장재동</vt:lpstr>
      <vt:lpstr>조촌동</vt:lpstr>
      <vt:lpstr>양식</vt:lpstr>
      <vt:lpstr>경암동!Print_Area</vt:lpstr>
      <vt:lpstr>구암동!Print_Area</vt:lpstr>
      <vt:lpstr>금광동!Print_Area</vt:lpstr>
      <vt:lpstr>나운동!Print_Area</vt:lpstr>
      <vt:lpstr>단지추출!Print_Area</vt:lpstr>
      <vt:lpstr>단지추출_가격표용!Print_Area</vt:lpstr>
      <vt:lpstr>대명동!Print_Area</vt:lpstr>
      <vt:lpstr>동흥남동!Print_Area</vt:lpstr>
      <vt:lpstr>문화동!Print_Area</vt:lpstr>
      <vt:lpstr>미룡동!Print_Area</vt:lpstr>
      <vt:lpstr>미장동!Print_Area</vt:lpstr>
      <vt:lpstr>사정동!Print_Area</vt:lpstr>
      <vt:lpstr>산북동!Print_Area</vt:lpstr>
      <vt:lpstr>삼학동!Print_Area</vt:lpstr>
      <vt:lpstr>서흥남동!Print_Area</vt:lpstr>
      <vt:lpstr>소룡동!Print_Area</vt:lpstr>
      <vt:lpstr>수송동!Print_Area</vt:lpstr>
      <vt:lpstr>신풍동!Print_Area</vt:lpstr>
      <vt:lpstr>양식!Print_Area</vt:lpstr>
      <vt:lpstr>오식도동!Print_Area</vt:lpstr>
      <vt:lpstr>옥산면!Print_Area</vt:lpstr>
      <vt:lpstr>월명동!Print_Area</vt:lpstr>
      <vt:lpstr>장재동!Print_Area</vt:lpstr>
      <vt:lpstr>조촌동!Print_Area</vt:lpstr>
      <vt:lpstr>경암동!Print_Titles</vt:lpstr>
      <vt:lpstr>구암동!Print_Titles</vt:lpstr>
      <vt:lpstr>금광동!Print_Titles</vt:lpstr>
      <vt:lpstr>나운동!Print_Titles</vt:lpstr>
      <vt:lpstr>단지추출!Print_Titles</vt:lpstr>
      <vt:lpstr>단지추출_가격표용!Print_Titles</vt:lpstr>
      <vt:lpstr>대명동!Print_Titles</vt:lpstr>
      <vt:lpstr>동흥남동!Print_Titles</vt:lpstr>
      <vt:lpstr>문화동!Print_Titles</vt:lpstr>
      <vt:lpstr>미룡동!Print_Titles</vt:lpstr>
      <vt:lpstr>미장동!Print_Titles</vt:lpstr>
      <vt:lpstr>사정동!Print_Titles</vt:lpstr>
      <vt:lpstr>산북동!Print_Titles</vt:lpstr>
      <vt:lpstr>삼학동!Print_Titles</vt:lpstr>
      <vt:lpstr>서흥남동!Print_Titles</vt:lpstr>
      <vt:lpstr>소룡동!Print_Titles</vt:lpstr>
      <vt:lpstr>수송동!Print_Titles</vt:lpstr>
      <vt:lpstr>신풍동!Print_Titles</vt:lpstr>
      <vt:lpstr>양식!Print_Titles</vt:lpstr>
      <vt:lpstr>오식도동!Print_Titles</vt:lpstr>
      <vt:lpstr>옥산면!Print_Titles</vt:lpstr>
      <vt:lpstr>월명동!Print_Titles</vt:lpstr>
      <vt:lpstr>장재동!Print_Titles</vt:lpstr>
      <vt:lpstr>조촌동!Print_Titles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2022-03-10T15:02:11Z</dcterms:modified>
</cp:coreProperties>
</file>