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5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경동" sheetId="6" state="visible" r:id="rId6"/>
    <sheet xmlns:r="http://schemas.openxmlformats.org/officeDocument/2006/relationships" name="강내면" sheetId="7" state="visible" r:id="rId7"/>
    <sheet xmlns:r="http://schemas.openxmlformats.org/officeDocument/2006/relationships" name="강서동" sheetId="8" state="visible" r:id="rId8"/>
    <sheet xmlns:r="http://schemas.openxmlformats.org/officeDocument/2006/relationships" name="문암동" sheetId="9" state="visible" r:id="rId9"/>
    <sheet xmlns:r="http://schemas.openxmlformats.org/officeDocument/2006/relationships" name="복대동" sheetId="10" state="visible" r:id="rId10"/>
    <sheet xmlns:r="http://schemas.openxmlformats.org/officeDocument/2006/relationships" name="봉명동" sheetId="11" state="visible" r:id="rId11"/>
    <sheet xmlns:r="http://schemas.openxmlformats.org/officeDocument/2006/relationships" name="비하동" sheetId="12" state="visible" r:id="rId12"/>
    <sheet xmlns:r="http://schemas.openxmlformats.org/officeDocument/2006/relationships" name="송절동" sheetId="13" state="visible" r:id="rId13"/>
    <sheet xmlns:r="http://schemas.openxmlformats.org/officeDocument/2006/relationships" name="신봉동" sheetId="14" state="visible" r:id="rId14"/>
    <sheet xmlns:r="http://schemas.openxmlformats.org/officeDocument/2006/relationships" name="오송읍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'가경동'!$1:$3</definedName>
    <definedName name="_xlnm.Print_Area" localSheetId="5">'가경동'!$A$1:$U$6</definedName>
    <definedName name="_xlnm.Print_Titles" localSheetId="6">'강내면'!$1:$3</definedName>
    <definedName name="_xlnm.Print_Area" localSheetId="6">'강내면'!$A$1:$U$6</definedName>
    <definedName name="_xlnm.Print_Titles" localSheetId="7">'강서동'!$1:$3</definedName>
    <definedName name="_xlnm.Print_Area" localSheetId="7">'강서동'!$A$1:$U$6</definedName>
    <definedName name="_xlnm.Print_Titles" localSheetId="8">'문암동'!$1:$3</definedName>
    <definedName name="_xlnm.Print_Area" localSheetId="8">'문암동'!$A$1:$U$6</definedName>
    <definedName name="_xlnm.Print_Titles" localSheetId="9">'복대동'!$1:$3</definedName>
    <definedName name="_xlnm.Print_Area" localSheetId="9">'복대동'!$A$1:$U$6</definedName>
    <definedName name="_xlnm.Print_Titles" localSheetId="10">'봉명동'!$1:$3</definedName>
    <definedName name="_xlnm.Print_Area" localSheetId="10">'봉명동'!$A$1:$U$6</definedName>
    <definedName name="_xlnm.Print_Titles" localSheetId="11">'비하동'!$1:$3</definedName>
    <definedName name="_xlnm.Print_Area" localSheetId="11">'비하동'!$A$1:$U$6</definedName>
    <definedName name="_xlnm.Print_Titles" localSheetId="12">'송절동'!$1:$3</definedName>
    <definedName name="_xlnm.Print_Area" localSheetId="12">'송절동'!$A$1:$U$6</definedName>
    <definedName name="_xlnm.Print_Titles" localSheetId="13">'신봉동'!$1:$3</definedName>
    <definedName name="_xlnm.Print_Area" localSheetId="13">'신봉동'!$A$1:$U$6</definedName>
    <definedName name="_xlnm.Print_Titles" localSheetId="14">'오송읍'!$1:$3</definedName>
    <definedName name="_xlnm.Print_Area" localSheetId="14">'오송읍'!$A$1:$U$6</definedName>
    <definedName name="_xlnm.Print_Titles" localSheetId="15">'양식'!$1:$3</definedName>
    <definedName name="_xlnm.Print_Area" localSheetId="15">'양식'!$A$1:$U$6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672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6720">
      <formula>18.1</formula>
    </cfRule>
    <cfRule type="cellIs" priority="69564" operator="lessThan" dxfId="6719">
      <formula>21.1</formula>
    </cfRule>
    <cfRule type="cellIs" priority="69565" operator="lessThan" dxfId="6718">
      <formula>24.1</formula>
    </cfRule>
    <cfRule type="cellIs" priority="69566" operator="lessThan" dxfId="1">
      <formula>30</formula>
    </cfRule>
    <cfRule type="cellIs" priority="69567" operator="lessThan" dxfId="6716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29" sqref="F29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97"/>
  <sheetViews>
    <sheetView zoomScaleNormal="100" workbookViewId="0">
      <selection activeCell="N12" sqref="N12"/>
    </sheetView>
  </sheetViews>
  <sheetFormatPr baseColWidth="8" defaultRowHeight="16.5"/>
  <sheetData>
    <row r="1">
      <c r="A1" s="0" t="inlineStr">
        <is>
          <t>[가경동]</t>
        </is>
      </c>
      <c r="B1" s="0" t="n">
        <v>26882</v>
      </c>
      <c r="C1" s="0" t="n">
        <v>1</v>
      </c>
      <c r="D1" s="0" t="inlineStr">
        <is>
          <t>가로수마을선광로즈웰</t>
        </is>
      </c>
      <c r="E1" s="0" t="inlineStr">
        <is>
          <t>2008.07.</t>
        </is>
      </c>
      <c r="F1" s="0" t="n">
        <v>256</v>
      </c>
      <c r="G1" s="0" t="n">
        <v>33.27</v>
      </c>
      <c r="H1" s="0" t="n">
        <v>110</v>
      </c>
      <c r="I1" s="0" t="n">
        <v>25.69</v>
      </c>
      <c r="J1" s="0" t="n">
        <v>84.94</v>
      </c>
      <c r="K1" s="0" t="n">
        <v>170</v>
      </c>
      <c r="T1" s="0" t="n">
        <v>3</v>
      </c>
      <c r="U1" s="0" t="n">
        <v>2</v>
      </c>
      <c r="V1" s="0" t="inlineStr">
        <is>
          <t>복도식</t>
        </is>
      </c>
      <c r="W1" s="0" t="n">
        <v>110</v>
      </c>
      <c r="X1" s="0" t="n">
        <v>15</v>
      </c>
      <c r="Y1" s="0" t="n">
        <v>13</v>
      </c>
      <c r="Z1" s="0" t="inlineStr">
        <is>
          <t>https://new.land.naver.com/complexes/26882?tab=detail&amp;rf=Y</t>
        </is>
      </c>
      <c r="AA1" s="0" t="inlineStr">
        <is>
          <t>충청북도 청주시 흥덕구 가경동 1758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흥덕구</t>
        </is>
      </c>
      <c r="AE1" s="0" t="inlineStr">
        <is>
          <t>가경동</t>
        </is>
      </c>
      <c r="AG1" s="0" t="inlineStr">
        <is>
          <t>충청북도 청주시 흥덕구 서현중로 48</t>
        </is>
      </c>
      <c r="AH1" s="0" t="n">
        <v>0</v>
      </c>
      <c r="AI1" s="0" t="n">
        <v>211</v>
      </c>
      <c r="AJ1" s="0" t="n">
        <v>22</v>
      </c>
      <c r="AK1" s="0" t="n">
        <v>394</v>
      </c>
      <c r="AL1" s="0" t="n">
        <v>1.54</v>
      </c>
    </row>
    <row r="2">
      <c r="A2" s="0" t="inlineStr">
        <is>
          <t>[가경동]</t>
        </is>
      </c>
      <c r="B2" s="0" t="n">
        <v>26882</v>
      </c>
      <c r="C2" s="0" t="n">
        <v>2</v>
      </c>
      <c r="D2" s="0" t="inlineStr">
        <is>
          <t>가로수마을선광로즈웰</t>
        </is>
      </c>
      <c r="E2" s="0" t="inlineStr">
        <is>
          <t>2008.07.</t>
        </is>
      </c>
      <c r="F2" s="0" t="n">
        <v>256</v>
      </c>
      <c r="G2" s="0" t="n">
        <v>34</v>
      </c>
      <c r="H2" s="0" t="n">
        <v>112.41</v>
      </c>
      <c r="I2" s="0" t="n">
        <v>25.7</v>
      </c>
      <c r="J2" s="0" t="n">
        <v>84.98999999999999</v>
      </c>
      <c r="K2" s="0" t="n">
        <v>86</v>
      </c>
      <c r="T2" s="0" t="n">
        <v>3</v>
      </c>
      <c r="U2" s="0" t="n">
        <v>2</v>
      </c>
      <c r="V2" s="0" t="inlineStr">
        <is>
          <t>계단식</t>
        </is>
      </c>
      <c r="W2" s="0" t="n">
        <v>112</v>
      </c>
      <c r="X2" s="0" t="n">
        <v>15</v>
      </c>
      <c r="Y2" s="0" t="n">
        <v>13</v>
      </c>
      <c r="Z2" s="0" t="inlineStr">
        <is>
          <t>https://new.land.naver.com/complexes/26882?tab=detail&amp;rf=Y</t>
        </is>
      </c>
      <c r="AA2" s="0" t="inlineStr">
        <is>
          <t>충청북도 청주시 흥덕구 가경동 1758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흥덕구</t>
        </is>
      </c>
      <c r="AE2" s="0" t="inlineStr">
        <is>
          <t>가경동</t>
        </is>
      </c>
      <c r="AG2" s="0" t="inlineStr">
        <is>
          <t>충청북도 청주시 흥덕구 서현중로 48</t>
        </is>
      </c>
      <c r="AH2" s="0" t="n">
        <v>0</v>
      </c>
      <c r="AI2" s="0" t="n">
        <v>211</v>
      </c>
      <c r="AJ2" s="0" t="n">
        <v>22</v>
      </c>
      <c r="AK2" s="0" t="n">
        <v>394</v>
      </c>
      <c r="AL2" s="0" t="n">
        <v>1.54</v>
      </c>
    </row>
    <row r="3">
      <c r="A3" s="0" t="inlineStr">
        <is>
          <t>[가경동]</t>
        </is>
      </c>
      <c r="B3" s="0" t="n">
        <v>26052</v>
      </c>
      <c r="C3" s="0" t="n">
        <v>1</v>
      </c>
      <c r="D3" s="0" t="inlineStr">
        <is>
          <t>가경주공2단지</t>
        </is>
      </c>
      <c r="E3" s="0" t="inlineStr">
        <is>
          <t>2002.12.</t>
        </is>
      </c>
      <c r="F3" s="0" t="n">
        <v>704</v>
      </c>
      <c r="G3" s="0" t="n">
        <v>20.53</v>
      </c>
      <c r="H3" s="0" t="n">
        <v>67.88</v>
      </c>
      <c r="I3" s="0" t="n">
        <v>15.06</v>
      </c>
      <c r="J3" s="0" t="n">
        <v>49.8</v>
      </c>
      <c r="K3" s="0" t="n">
        <v>82</v>
      </c>
      <c r="T3" s="0" t="n">
        <v>2</v>
      </c>
      <c r="U3" s="0" t="n">
        <v>1</v>
      </c>
      <c r="V3" s="0" t="inlineStr">
        <is>
          <t>계단식</t>
        </is>
      </c>
      <c r="W3" s="0" t="n">
        <v>67</v>
      </c>
      <c r="X3" s="0" t="n">
        <v>23</v>
      </c>
      <c r="Y3" s="0" t="n">
        <v>15</v>
      </c>
      <c r="Z3" s="0" t="inlineStr">
        <is>
          <t>https://new.land.naver.com/complexes/26052?tab=detail&amp;rf=Y</t>
        </is>
      </c>
      <c r="AA3" s="0" t="inlineStr">
        <is>
          <t>충청북도 청주시 흥덕구 가경동 1550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흥덕구</t>
        </is>
      </c>
      <c r="AE3" s="0" t="inlineStr">
        <is>
          <t>가경동</t>
        </is>
      </c>
      <c r="AG3" s="0" t="inlineStr">
        <is>
          <t>충청북도 청주시 흥덕구 가경로 26</t>
        </is>
      </c>
      <c r="AH3" s="0" t="n">
        <v>0</v>
      </c>
      <c r="AI3" s="0" t="n">
        <v>216</v>
      </c>
      <c r="AJ3" s="0" t="n">
        <v>17</v>
      </c>
      <c r="AK3" s="0" t="n">
        <v>569</v>
      </c>
      <c r="AL3" s="0" t="n">
        <v>0.8100000000000001</v>
      </c>
    </row>
    <row r="4">
      <c r="A4" s="0" t="inlineStr">
        <is>
          <t>[가경동]</t>
        </is>
      </c>
      <c r="B4" s="0" t="n">
        <v>26052</v>
      </c>
      <c r="C4" s="0" t="n">
        <v>2</v>
      </c>
      <c r="D4" s="0" t="inlineStr">
        <is>
          <t>가경주공2단지</t>
        </is>
      </c>
      <c r="E4" s="0" t="inlineStr">
        <is>
          <t>2002.12.</t>
        </is>
      </c>
      <c r="F4" s="0" t="n">
        <v>704</v>
      </c>
      <c r="G4" s="0" t="n">
        <v>24.7</v>
      </c>
      <c r="H4" s="0" t="n">
        <v>81.68000000000001</v>
      </c>
      <c r="I4" s="0" t="n">
        <v>18.12</v>
      </c>
      <c r="J4" s="0" t="n">
        <v>59.92</v>
      </c>
      <c r="K4" s="0" t="n">
        <v>622</v>
      </c>
      <c r="T4" s="0" t="n">
        <v>3</v>
      </c>
      <c r="U4" s="0" t="n">
        <v>2</v>
      </c>
      <c r="V4" s="0" t="inlineStr">
        <is>
          <t>계단식</t>
        </is>
      </c>
      <c r="W4" s="0" t="n">
        <v>81</v>
      </c>
      <c r="X4" s="0" t="n">
        <v>23</v>
      </c>
      <c r="Y4" s="0" t="n">
        <v>15</v>
      </c>
      <c r="Z4" s="0" t="inlineStr">
        <is>
          <t>https://new.land.naver.com/complexes/26052?tab=detail&amp;rf=Y</t>
        </is>
      </c>
      <c r="AA4" s="0" t="inlineStr">
        <is>
          <t>충청북도 청주시 흥덕구 가경동 1550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흥덕구</t>
        </is>
      </c>
      <c r="AE4" s="0" t="inlineStr">
        <is>
          <t>가경동</t>
        </is>
      </c>
      <c r="AG4" s="0" t="inlineStr">
        <is>
          <t>충청북도 청주시 흥덕구 가경로 26</t>
        </is>
      </c>
      <c r="AH4" s="0" t="n">
        <v>0</v>
      </c>
      <c r="AI4" s="0" t="n">
        <v>216</v>
      </c>
      <c r="AJ4" s="0" t="n">
        <v>17</v>
      </c>
      <c r="AK4" s="0" t="n">
        <v>569</v>
      </c>
      <c r="AL4" s="0" t="n">
        <v>0.8100000000000001</v>
      </c>
    </row>
    <row r="5">
      <c r="A5" s="0" t="inlineStr">
        <is>
          <t>[가경동]</t>
        </is>
      </c>
      <c r="B5" s="0" t="n">
        <v>128334</v>
      </c>
      <c r="C5" s="0" t="n">
        <v>1</v>
      </c>
      <c r="D5" s="0" t="inlineStr">
        <is>
          <t>청주가경아이파크4단지</t>
        </is>
      </c>
      <c r="E5" s="0" t="inlineStr">
        <is>
          <t>2022.03.</t>
        </is>
      </c>
      <c r="F5" s="0" t="n">
        <v>201</v>
      </c>
      <c r="G5" s="0" t="n">
        <v>33.16</v>
      </c>
      <c r="H5" s="0" t="n">
        <v>109.62</v>
      </c>
      <c r="I5" s="0" t="n">
        <v>25.67</v>
      </c>
      <c r="J5" s="0" t="n">
        <v>84.87</v>
      </c>
      <c r="K5" s="0" t="n">
        <v>175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109A</t>
        </is>
      </c>
      <c r="X5" s="0" t="n">
        <v>27</v>
      </c>
      <c r="Y5" s="0" t="n">
        <v>19</v>
      </c>
      <c r="Z5" s="0" t="inlineStr">
        <is>
          <t>https://new.land.naver.com/complexes/128334?tab=detail&amp;rf=Y</t>
        </is>
      </c>
      <c r="AA5" s="0" t="inlineStr">
        <is>
          <t>충청북도 청주시 흥덕구 가경동 320번지 일원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흥덕구</t>
        </is>
      </c>
      <c r="AE5" s="0" t="inlineStr">
        <is>
          <t>가경동</t>
        </is>
      </c>
      <c r="AG5" s="0" t="inlineStr">
        <is>
          <t>충청북도 청주시 흥덕구</t>
        </is>
      </c>
      <c r="AH5" s="0" t="n">
        <v>0</v>
      </c>
      <c r="AI5" s="0" t="n">
        <v>0</v>
      </c>
      <c r="AJ5" s="0" t="n">
        <v>0</v>
      </c>
      <c r="AK5" s="0" t="n">
        <v>283</v>
      </c>
      <c r="AL5" s="0" t="n">
        <v>1.41</v>
      </c>
    </row>
    <row r="6">
      <c r="A6" s="0" t="inlineStr">
        <is>
          <t>[가경동]</t>
        </is>
      </c>
      <c r="B6" s="0" t="n">
        <v>128334</v>
      </c>
      <c r="C6" s="0" t="n">
        <v>2</v>
      </c>
      <c r="D6" s="0" t="inlineStr">
        <is>
          <t>청주가경아이파크4단지</t>
        </is>
      </c>
      <c r="E6" s="0" t="inlineStr">
        <is>
          <t>2022.03.</t>
        </is>
      </c>
      <c r="F6" s="0" t="n">
        <v>201</v>
      </c>
      <c r="G6" s="0" t="n">
        <v>33.09</v>
      </c>
      <c r="H6" s="0" t="n">
        <v>109.42</v>
      </c>
      <c r="I6" s="0" t="n">
        <v>25.53</v>
      </c>
      <c r="J6" s="0" t="n">
        <v>84.40000000000001</v>
      </c>
      <c r="K6" s="0" t="n">
        <v>26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109B</t>
        </is>
      </c>
      <c r="X6" s="0" t="n">
        <v>27</v>
      </c>
      <c r="Y6" s="0" t="n">
        <v>19</v>
      </c>
      <c r="Z6" s="0" t="inlineStr">
        <is>
          <t>https://new.land.naver.com/complexes/128334?tab=detail&amp;rf=Y</t>
        </is>
      </c>
      <c r="AA6" s="0" t="inlineStr">
        <is>
          <t>충청북도 청주시 흥덕구 가경동 320번지 일원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흥덕구</t>
        </is>
      </c>
      <c r="AE6" s="0" t="inlineStr">
        <is>
          <t>가경동</t>
        </is>
      </c>
      <c r="AG6" s="0" t="inlineStr">
        <is>
          <t>충청북도 청주시 흥덕구</t>
        </is>
      </c>
      <c r="AH6" s="0" t="n">
        <v>0</v>
      </c>
      <c r="AI6" s="0" t="n">
        <v>0</v>
      </c>
      <c r="AJ6" s="0" t="n">
        <v>0</v>
      </c>
      <c r="AK6" s="0" t="n">
        <v>283</v>
      </c>
      <c r="AL6" s="0" t="n">
        <v>1.41</v>
      </c>
    </row>
    <row r="7">
      <c r="A7" s="0" t="inlineStr">
        <is>
          <t>[가경동]</t>
        </is>
      </c>
      <c r="B7" s="0" t="n">
        <v>122589</v>
      </c>
      <c r="C7" s="0" t="n">
        <v>1</v>
      </c>
      <c r="D7" s="0" t="inlineStr">
        <is>
          <t>가경자이</t>
        </is>
      </c>
      <c r="E7" s="0" t="inlineStr">
        <is>
          <t>2020.11.</t>
        </is>
      </c>
      <c r="F7" s="0" t="n">
        <v>992</v>
      </c>
      <c r="G7" s="0" t="n">
        <v>30.2</v>
      </c>
      <c r="H7" s="0" t="n">
        <v>99.86</v>
      </c>
      <c r="I7" s="0" t="n">
        <v>22.91</v>
      </c>
      <c r="J7" s="0" t="n">
        <v>75.76000000000001</v>
      </c>
      <c r="K7" s="0" t="n">
        <v>468</v>
      </c>
      <c r="T7" s="0" t="n">
        <v>4</v>
      </c>
      <c r="U7" s="0" t="n">
        <v>2</v>
      </c>
      <c r="V7" s="0" t="inlineStr">
        <is>
          <t>계단식</t>
        </is>
      </c>
      <c r="W7" s="0" t="n">
        <v>99</v>
      </c>
      <c r="X7" s="0" t="n">
        <v>29</v>
      </c>
      <c r="Y7" s="0" t="n">
        <v>15</v>
      </c>
      <c r="Z7" s="0" t="inlineStr">
        <is>
          <t>https://new.land.naver.com/complexes/122589?tab=detail&amp;rf=Y</t>
        </is>
      </c>
      <c r="AA7" s="0" t="inlineStr">
        <is>
          <t>충청북도 청주시 흥덕구 가경동 2258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흥덕구</t>
        </is>
      </c>
      <c r="AE7" s="0" t="inlineStr">
        <is>
          <t>가경동</t>
        </is>
      </c>
      <c r="AG7" s="0" t="inlineStr">
        <is>
          <t>충청북도 청주시 흥덕구 서현로 30</t>
        </is>
      </c>
      <c r="AH7" s="0" t="n">
        <v>0</v>
      </c>
      <c r="AI7" s="0" t="n">
        <v>220</v>
      </c>
      <c r="AJ7" s="0" t="n">
        <v>15</v>
      </c>
      <c r="AK7" s="0" t="n">
        <v>1290</v>
      </c>
      <c r="AL7" s="0" t="n">
        <v>1.3</v>
      </c>
    </row>
    <row r="8">
      <c r="A8" s="0" t="inlineStr">
        <is>
          <t>[가경동]</t>
        </is>
      </c>
      <c r="B8" s="0" t="n">
        <v>122589</v>
      </c>
      <c r="C8" s="0" t="n">
        <v>2</v>
      </c>
      <c r="D8" s="0" t="inlineStr">
        <is>
          <t>가경자이</t>
        </is>
      </c>
      <c r="E8" s="0" t="inlineStr">
        <is>
          <t>2020.11.</t>
        </is>
      </c>
      <c r="F8" s="0" t="n">
        <v>992</v>
      </c>
      <c r="G8" s="0" t="n">
        <v>33.52</v>
      </c>
      <c r="H8" s="0" t="n">
        <v>110.81</v>
      </c>
      <c r="I8" s="0" t="n">
        <v>25.66</v>
      </c>
      <c r="J8" s="0" t="n">
        <v>84.83</v>
      </c>
      <c r="K8" s="0" t="n">
        <v>91</v>
      </c>
      <c r="T8" s="0" t="n">
        <v>4</v>
      </c>
      <c r="U8" s="0" t="n">
        <v>2</v>
      </c>
      <c r="V8" s="0" t="inlineStr">
        <is>
          <t>계단식</t>
        </is>
      </c>
      <c r="W8" s="0" t="inlineStr">
        <is>
          <t>110B</t>
        </is>
      </c>
      <c r="X8" s="0" t="n">
        <v>29</v>
      </c>
      <c r="Y8" s="0" t="n">
        <v>15</v>
      </c>
      <c r="Z8" s="0" t="inlineStr">
        <is>
          <t>https://new.land.naver.com/complexes/122589?tab=detail&amp;rf=Y</t>
        </is>
      </c>
      <c r="AA8" s="0" t="inlineStr">
        <is>
          <t>충청북도 청주시 흥덕구 가경동 2258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흥덕구</t>
        </is>
      </c>
      <c r="AE8" s="0" t="inlineStr">
        <is>
          <t>가경동</t>
        </is>
      </c>
      <c r="AG8" s="0" t="inlineStr">
        <is>
          <t>충청북도 청주시 흥덕구 서현로 30</t>
        </is>
      </c>
      <c r="AH8" s="0" t="n">
        <v>0</v>
      </c>
      <c r="AI8" s="0" t="n">
        <v>220</v>
      </c>
      <c r="AJ8" s="0" t="n">
        <v>15</v>
      </c>
      <c r="AK8" s="0" t="n">
        <v>1290</v>
      </c>
      <c r="AL8" s="0" t="n">
        <v>1.3</v>
      </c>
    </row>
    <row r="9">
      <c r="A9" s="0" t="inlineStr">
        <is>
          <t>[가경동]</t>
        </is>
      </c>
      <c r="B9" s="0" t="n">
        <v>122589</v>
      </c>
      <c r="C9" s="0" t="n">
        <v>3</v>
      </c>
      <c r="D9" s="0" t="inlineStr">
        <is>
          <t>가경자이</t>
        </is>
      </c>
      <c r="E9" s="0" t="inlineStr">
        <is>
          <t>2020.11.</t>
        </is>
      </c>
      <c r="F9" s="0" t="n">
        <v>992</v>
      </c>
      <c r="G9" s="0" t="n">
        <v>33.63</v>
      </c>
      <c r="H9" s="0" t="n">
        <v>111.2</v>
      </c>
      <c r="I9" s="0" t="n">
        <v>25.66</v>
      </c>
      <c r="J9" s="0" t="n">
        <v>84.83</v>
      </c>
      <c r="K9" s="0" t="n">
        <v>433</v>
      </c>
      <c r="T9" s="0" t="n">
        <v>4</v>
      </c>
      <c r="U9" s="0" t="n">
        <v>2</v>
      </c>
      <c r="V9" s="0" t="inlineStr">
        <is>
          <t>계단식</t>
        </is>
      </c>
      <c r="W9" s="0" t="inlineStr">
        <is>
          <t>111A</t>
        </is>
      </c>
      <c r="X9" s="0" t="n">
        <v>29</v>
      </c>
      <c r="Y9" s="0" t="n">
        <v>15</v>
      </c>
      <c r="Z9" s="0" t="inlineStr">
        <is>
          <t>https://new.land.naver.com/complexes/122589?tab=detail&amp;rf=Y</t>
        </is>
      </c>
      <c r="AA9" s="0" t="inlineStr">
        <is>
          <t>충청북도 청주시 흥덕구 가경동 2258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흥덕구</t>
        </is>
      </c>
      <c r="AE9" s="0" t="inlineStr">
        <is>
          <t>가경동</t>
        </is>
      </c>
      <c r="AG9" s="0" t="inlineStr">
        <is>
          <t>충청북도 청주시 흥덕구 서현로 30</t>
        </is>
      </c>
      <c r="AH9" s="0" t="n">
        <v>0</v>
      </c>
      <c r="AI9" s="0" t="n">
        <v>220</v>
      </c>
      <c r="AJ9" s="0" t="n">
        <v>15</v>
      </c>
      <c r="AK9" s="0" t="n">
        <v>1290</v>
      </c>
      <c r="AL9" s="0" t="n">
        <v>1.3</v>
      </c>
    </row>
    <row r="10">
      <c r="A10" s="0" t="inlineStr">
        <is>
          <t>[가경동]</t>
        </is>
      </c>
      <c r="B10" s="0" t="n">
        <v>26158</v>
      </c>
      <c r="C10" s="0" t="n">
        <v>1</v>
      </c>
      <c r="D10" s="0" t="inlineStr">
        <is>
          <t>가경e-편한세상</t>
        </is>
      </c>
      <c r="E10" s="0" t="inlineStr">
        <is>
          <t>2008.09.</t>
        </is>
      </c>
      <c r="F10" s="0" t="n">
        <v>385</v>
      </c>
      <c r="G10" s="0" t="n">
        <v>48.21</v>
      </c>
      <c r="H10" s="0" t="n">
        <v>159.38</v>
      </c>
      <c r="I10" s="0" t="n">
        <v>40.41</v>
      </c>
      <c r="J10" s="0" t="n">
        <v>133.59</v>
      </c>
      <c r="K10" s="0" t="n">
        <v>83</v>
      </c>
      <c r="T10" s="0" t="n">
        <v>4</v>
      </c>
      <c r="U10" s="0" t="n">
        <v>2</v>
      </c>
      <c r="V10" s="0" t="inlineStr">
        <is>
          <t>계단식</t>
        </is>
      </c>
      <c r="W10" s="0" t="inlineStr">
        <is>
          <t>159B</t>
        </is>
      </c>
      <c r="X10" s="0" t="n">
        <v>15</v>
      </c>
      <c r="Y10" s="0" t="n">
        <v>12</v>
      </c>
      <c r="Z10" s="0" t="inlineStr">
        <is>
          <t>https://new.land.naver.com/complexes/26158?tab=detail&amp;rf=Y</t>
        </is>
      </c>
      <c r="AA10" s="0" t="inlineStr">
        <is>
          <t>충청북도 청주시 흥덕구 가경동 1764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흥덕구</t>
        </is>
      </c>
      <c r="AE10" s="0" t="inlineStr">
        <is>
          <t>가경동</t>
        </is>
      </c>
      <c r="AG10" s="0" t="inlineStr">
        <is>
          <t>충청북도 청주시 흥덕구 서현북로 15</t>
        </is>
      </c>
      <c r="AH10" s="0" t="n">
        <v>0</v>
      </c>
      <c r="AI10" s="0" t="n">
        <v>216</v>
      </c>
      <c r="AJ10" s="0" t="n">
        <v>21</v>
      </c>
      <c r="AK10" s="0" t="n">
        <v>780</v>
      </c>
      <c r="AL10" s="0" t="n">
        <v>2.03</v>
      </c>
    </row>
    <row r="11">
      <c r="A11" s="0" t="inlineStr">
        <is>
          <t>[가경동]</t>
        </is>
      </c>
      <c r="B11" s="0" t="n">
        <v>26158</v>
      </c>
      <c r="C11" s="0" t="n">
        <v>2</v>
      </c>
      <c r="D11" s="0" t="inlineStr">
        <is>
          <t>가경e-편한세상</t>
        </is>
      </c>
      <c r="E11" s="0" t="inlineStr">
        <is>
          <t>2008.09.</t>
        </is>
      </c>
      <c r="F11" s="0" t="n">
        <v>385</v>
      </c>
      <c r="G11" s="0" t="n">
        <v>48.62</v>
      </c>
      <c r="H11" s="0" t="n">
        <v>160.75</v>
      </c>
      <c r="I11" s="0" t="n">
        <v>40.47</v>
      </c>
      <c r="J11" s="0" t="n">
        <v>133.81</v>
      </c>
      <c r="K11" s="0" t="n">
        <v>90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160A</t>
        </is>
      </c>
      <c r="X11" s="0" t="n">
        <v>15</v>
      </c>
      <c r="Y11" s="0" t="n">
        <v>12</v>
      </c>
      <c r="Z11" s="0" t="inlineStr">
        <is>
          <t>https://new.land.naver.com/complexes/26158?tab=detail&amp;rf=Y</t>
        </is>
      </c>
      <c r="AA11" s="0" t="inlineStr">
        <is>
          <t>충청북도 청주시 흥덕구 가경동 1764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흥덕구</t>
        </is>
      </c>
      <c r="AE11" s="0" t="inlineStr">
        <is>
          <t>가경동</t>
        </is>
      </c>
      <c r="AG11" s="0" t="inlineStr">
        <is>
          <t>충청북도 청주시 흥덕구 서현북로 15</t>
        </is>
      </c>
      <c r="AH11" s="0" t="n">
        <v>0</v>
      </c>
      <c r="AI11" s="0" t="n">
        <v>216</v>
      </c>
      <c r="AJ11" s="0" t="n">
        <v>21</v>
      </c>
      <c r="AK11" s="0" t="n">
        <v>780</v>
      </c>
      <c r="AL11" s="0" t="n">
        <v>2.03</v>
      </c>
    </row>
    <row r="12">
      <c r="A12" s="0" t="inlineStr">
        <is>
          <t>[가경동]</t>
        </is>
      </c>
      <c r="B12" s="0" t="n">
        <v>26158</v>
      </c>
      <c r="C12" s="0" t="n">
        <v>3</v>
      </c>
      <c r="D12" s="0" t="inlineStr">
        <is>
          <t>가경e-편한세상</t>
        </is>
      </c>
      <c r="E12" s="0" t="inlineStr">
        <is>
          <t>2008.09.</t>
        </is>
      </c>
      <c r="F12" s="0" t="n">
        <v>385</v>
      </c>
      <c r="G12" s="0" t="n">
        <v>49.57</v>
      </c>
      <c r="H12" s="0" t="n">
        <v>163.89</v>
      </c>
      <c r="I12" s="0" t="n">
        <v>40.41</v>
      </c>
      <c r="J12" s="0" t="n">
        <v>133.59</v>
      </c>
      <c r="K12" s="0" t="n">
        <v>42</v>
      </c>
      <c r="T12" s="0" t="n">
        <v>4</v>
      </c>
      <c r="U12" s="0" t="n">
        <v>2</v>
      </c>
      <c r="V12" s="0" t="inlineStr">
        <is>
          <t>계단식</t>
        </is>
      </c>
      <c r="W12" s="0" t="inlineStr">
        <is>
          <t>163B</t>
        </is>
      </c>
      <c r="X12" s="0" t="n">
        <v>15</v>
      </c>
      <c r="Y12" s="0" t="n">
        <v>12</v>
      </c>
      <c r="Z12" s="0" t="inlineStr">
        <is>
          <t>https://new.land.naver.com/complexes/26158?tab=detail&amp;rf=Y</t>
        </is>
      </c>
      <c r="AA12" s="0" t="inlineStr">
        <is>
          <t>충청북도 청주시 흥덕구 가경동 1764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흥덕구</t>
        </is>
      </c>
      <c r="AE12" s="0" t="inlineStr">
        <is>
          <t>가경동</t>
        </is>
      </c>
      <c r="AG12" s="0" t="inlineStr">
        <is>
          <t>충청북도 청주시 흥덕구 서현북로 15</t>
        </is>
      </c>
      <c r="AH12" s="0" t="n">
        <v>0</v>
      </c>
      <c r="AI12" s="0" t="n">
        <v>216</v>
      </c>
      <c r="AJ12" s="0" t="n">
        <v>21</v>
      </c>
      <c r="AK12" s="0" t="n">
        <v>780</v>
      </c>
      <c r="AL12" s="0" t="n">
        <v>2.03</v>
      </c>
    </row>
    <row r="13">
      <c r="A13" s="0" t="inlineStr">
        <is>
          <t>[가경동]</t>
        </is>
      </c>
      <c r="B13" s="0" t="n">
        <v>26158</v>
      </c>
      <c r="C13" s="0" t="n">
        <v>4</v>
      </c>
      <c r="D13" s="0" t="inlineStr">
        <is>
          <t>가경e-편한세상</t>
        </is>
      </c>
      <c r="E13" s="0" t="inlineStr">
        <is>
          <t>2008.09.</t>
        </is>
      </c>
      <c r="F13" s="0" t="n">
        <v>385</v>
      </c>
      <c r="G13" s="0" t="n">
        <v>49.99</v>
      </c>
      <c r="H13" s="0" t="n">
        <v>165.27</v>
      </c>
      <c r="I13" s="0" t="n">
        <v>40.47</v>
      </c>
      <c r="J13" s="0" t="n">
        <v>133.81</v>
      </c>
      <c r="K13" s="0" t="n">
        <v>90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165A</t>
        </is>
      </c>
      <c r="X13" s="0" t="n">
        <v>15</v>
      </c>
      <c r="Y13" s="0" t="n">
        <v>12</v>
      </c>
      <c r="Z13" s="0" t="inlineStr">
        <is>
          <t>https://new.land.naver.com/complexes/26158?tab=detail&amp;rf=Y</t>
        </is>
      </c>
      <c r="AA13" s="0" t="inlineStr">
        <is>
          <t>충청북도 청주시 흥덕구 가경동 1764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흥덕구</t>
        </is>
      </c>
      <c r="AE13" s="0" t="inlineStr">
        <is>
          <t>가경동</t>
        </is>
      </c>
      <c r="AG13" s="0" t="inlineStr">
        <is>
          <t>충청북도 청주시 흥덕구 서현북로 15</t>
        </is>
      </c>
      <c r="AH13" s="0" t="n">
        <v>0</v>
      </c>
      <c r="AI13" s="0" t="n">
        <v>216</v>
      </c>
      <c r="AJ13" s="0" t="n">
        <v>21</v>
      </c>
      <c r="AK13" s="0" t="n">
        <v>780</v>
      </c>
      <c r="AL13" s="0" t="n">
        <v>2.03</v>
      </c>
    </row>
    <row r="14">
      <c r="A14" s="0" t="inlineStr">
        <is>
          <t>[가경동]</t>
        </is>
      </c>
      <c r="B14" s="0" t="n">
        <v>26158</v>
      </c>
      <c r="C14" s="0" t="n">
        <v>5</v>
      </c>
      <c r="D14" s="0" t="inlineStr">
        <is>
          <t>가경e-편한세상</t>
        </is>
      </c>
      <c r="E14" s="0" t="inlineStr">
        <is>
          <t>2008.09.</t>
        </is>
      </c>
      <c r="F14" s="0" t="n">
        <v>385</v>
      </c>
      <c r="G14" s="0" t="n">
        <v>58.76</v>
      </c>
      <c r="H14" s="0" t="n">
        <v>194.26</v>
      </c>
      <c r="I14" s="0" t="n">
        <v>48.33</v>
      </c>
      <c r="J14" s="0" t="n">
        <v>159.78</v>
      </c>
      <c r="K14" s="0" t="n">
        <v>80</v>
      </c>
      <c r="T14" s="0" t="n">
        <v>4</v>
      </c>
      <c r="U14" s="0" t="n">
        <v>3</v>
      </c>
      <c r="V14" s="0" t="inlineStr">
        <is>
          <t>계단식</t>
        </is>
      </c>
      <c r="W14" s="0" t="n">
        <v>194</v>
      </c>
      <c r="X14" s="0" t="n">
        <v>15</v>
      </c>
      <c r="Y14" s="0" t="n">
        <v>12</v>
      </c>
      <c r="Z14" s="0" t="inlineStr">
        <is>
          <t>https://new.land.naver.com/complexes/26158?tab=detail&amp;rf=Y</t>
        </is>
      </c>
      <c r="AA14" s="0" t="inlineStr">
        <is>
          <t>충청북도 청주시 흥덕구 가경동 1764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흥덕구</t>
        </is>
      </c>
      <c r="AE14" s="0" t="inlineStr">
        <is>
          <t>가경동</t>
        </is>
      </c>
      <c r="AG14" s="0" t="inlineStr">
        <is>
          <t>충청북도 청주시 흥덕구 서현북로 15</t>
        </is>
      </c>
      <c r="AH14" s="0" t="n">
        <v>0</v>
      </c>
      <c r="AI14" s="0" t="n">
        <v>216</v>
      </c>
      <c r="AJ14" s="0" t="n">
        <v>21</v>
      </c>
      <c r="AK14" s="0" t="n">
        <v>780</v>
      </c>
      <c r="AL14" s="0" t="n">
        <v>2.03</v>
      </c>
    </row>
    <row r="15">
      <c r="A15" s="0" t="inlineStr">
        <is>
          <t>[가경동]</t>
        </is>
      </c>
      <c r="B15" s="0" t="n">
        <v>7254</v>
      </c>
      <c r="C15" s="0" t="n">
        <v>1</v>
      </c>
      <c r="D15" s="0" t="inlineStr">
        <is>
          <t>가경대원</t>
        </is>
      </c>
      <c r="E15" s="0" t="inlineStr">
        <is>
          <t>1997.07.</t>
        </is>
      </c>
      <c r="F15" s="0" t="n">
        <v>940</v>
      </c>
      <c r="G15" s="0" t="n">
        <v>19.68</v>
      </c>
      <c r="H15" s="0" t="n">
        <v>65.08</v>
      </c>
      <c r="I15" s="0" t="n">
        <v>15.07</v>
      </c>
      <c r="J15" s="0" t="n">
        <v>49.83</v>
      </c>
      <c r="K15" s="0" t="n">
        <v>60</v>
      </c>
      <c r="T15" s="0" t="n">
        <v>2</v>
      </c>
      <c r="U15" s="0" t="n">
        <v>1</v>
      </c>
      <c r="V15" s="0" t="inlineStr">
        <is>
          <t>계단식</t>
        </is>
      </c>
      <c r="W15" s="0" t="n">
        <v>65</v>
      </c>
      <c r="X15" s="0" t="n">
        <v>15</v>
      </c>
      <c r="Y15" s="0" t="n">
        <v>14</v>
      </c>
      <c r="Z15" s="0" t="inlineStr">
        <is>
          <t>https://new.land.naver.com/complexes/7254?tab=detail&amp;rf=Y</t>
        </is>
      </c>
      <c r="AA15" s="0" t="inlineStr">
        <is>
          <t>충청북도 청주시 흥덕구 가경동 1511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흥덕구</t>
        </is>
      </c>
      <c r="AE15" s="0" t="inlineStr">
        <is>
          <t>가경동</t>
        </is>
      </c>
      <c r="AG15" s="0" t="inlineStr">
        <is>
          <t>충청북도 청주시 흥덕구 가경로 120</t>
        </is>
      </c>
      <c r="AH15" s="0" t="n">
        <v>0</v>
      </c>
      <c r="AI15" s="0" t="n">
        <v>219</v>
      </c>
      <c r="AJ15" s="0" t="n">
        <v>23</v>
      </c>
      <c r="AK15" s="0" t="n">
        <v>788</v>
      </c>
      <c r="AL15" s="0" t="n">
        <v>0.84</v>
      </c>
    </row>
    <row r="16">
      <c r="A16" s="0" t="inlineStr">
        <is>
          <t>[가경동]</t>
        </is>
      </c>
      <c r="B16" s="0" t="n">
        <v>7254</v>
      </c>
      <c r="C16" s="0" t="n">
        <v>2</v>
      </c>
      <c r="D16" s="0" t="inlineStr">
        <is>
          <t>가경대원</t>
        </is>
      </c>
      <c r="E16" s="0" t="inlineStr">
        <is>
          <t>1997.07.</t>
        </is>
      </c>
      <c r="F16" s="0" t="n">
        <v>940</v>
      </c>
      <c r="G16" s="0" t="n">
        <v>22.82</v>
      </c>
      <c r="H16" s="0" t="n">
        <v>75.45999999999999</v>
      </c>
      <c r="I16" s="0" t="n">
        <v>18.13</v>
      </c>
      <c r="J16" s="0" t="n">
        <v>59.94</v>
      </c>
      <c r="K16" s="0" t="n">
        <v>600</v>
      </c>
      <c r="T16" s="0" t="n">
        <v>3</v>
      </c>
      <c r="U16" s="0" t="n">
        <v>1</v>
      </c>
      <c r="V16" s="0" t="inlineStr">
        <is>
          <t>계단식</t>
        </is>
      </c>
      <c r="W16" s="0" t="inlineStr">
        <is>
          <t>75A</t>
        </is>
      </c>
      <c r="X16" s="0" t="n">
        <v>15</v>
      </c>
      <c r="Y16" s="0" t="n">
        <v>14</v>
      </c>
      <c r="Z16" s="0" t="inlineStr">
        <is>
          <t>https://new.land.naver.com/complexes/7254?tab=detail&amp;rf=Y</t>
        </is>
      </c>
      <c r="AA16" s="0" t="inlineStr">
        <is>
          <t>충청북도 청주시 흥덕구 가경동 1511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흥덕구</t>
        </is>
      </c>
      <c r="AE16" s="0" t="inlineStr">
        <is>
          <t>가경동</t>
        </is>
      </c>
      <c r="AG16" s="0" t="inlineStr">
        <is>
          <t>충청북도 청주시 흥덕구 가경로 120</t>
        </is>
      </c>
      <c r="AH16" s="0" t="n">
        <v>0</v>
      </c>
      <c r="AI16" s="0" t="n">
        <v>219</v>
      </c>
      <c r="AJ16" s="0" t="n">
        <v>23</v>
      </c>
      <c r="AK16" s="0" t="n">
        <v>788</v>
      </c>
      <c r="AL16" s="0" t="n">
        <v>0.84</v>
      </c>
    </row>
    <row r="17">
      <c r="A17" s="0" t="inlineStr">
        <is>
          <t>[가경동]</t>
        </is>
      </c>
      <c r="B17" s="0" t="n">
        <v>7254</v>
      </c>
      <c r="C17" s="0" t="n">
        <v>3</v>
      </c>
      <c r="D17" s="0" t="inlineStr">
        <is>
          <t>가경대원</t>
        </is>
      </c>
      <c r="E17" s="0" t="inlineStr">
        <is>
          <t>1997.07.</t>
        </is>
      </c>
      <c r="F17" s="0" t="n">
        <v>940</v>
      </c>
      <c r="G17" s="0" t="n">
        <v>22.74</v>
      </c>
      <c r="H17" s="0" t="n">
        <v>75.2</v>
      </c>
      <c r="I17" s="0" t="n">
        <v>18.14</v>
      </c>
      <c r="J17" s="0" t="n">
        <v>59.97</v>
      </c>
      <c r="K17" s="0" t="n">
        <v>280</v>
      </c>
      <c r="T17" s="0" t="n">
        <v>3</v>
      </c>
      <c r="U17" s="0" t="n">
        <v>1</v>
      </c>
      <c r="V17" s="0" t="inlineStr">
        <is>
          <t>계단식</t>
        </is>
      </c>
      <c r="W17" s="0" t="inlineStr">
        <is>
          <t>75B</t>
        </is>
      </c>
      <c r="X17" s="0" t="n">
        <v>15</v>
      </c>
      <c r="Y17" s="0" t="n">
        <v>14</v>
      </c>
      <c r="Z17" s="0" t="inlineStr">
        <is>
          <t>https://new.land.naver.com/complexes/7254?tab=detail&amp;rf=Y</t>
        </is>
      </c>
      <c r="AA17" s="0" t="inlineStr">
        <is>
          <t>충청북도 청주시 흥덕구 가경동 1511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흥덕구</t>
        </is>
      </c>
      <c r="AE17" s="0" t="inlineStr">
        <is>
          <t>가경동</t>
        </is>
      </c>
      <c r="AG17" s="0" t="inlineStr">
        <is>
          <t>충청북도 청주시 흥덕구 가경로 120</t>
        </is>
      </c>
      <c r="AH17" s="0" t="n">
        <v>0</v>
      </c>
      <c r="AI17" s="0" t="n">
        <v>219</v>
      </c>
      <c r="AJ17" s="0" t="n">
        <v>23</v>
      </c>
      <c r="AK17" s="0" t="n">
        <v>788</v>
      </c>
      <c r="AL17" s="0" t="n">
        <v>0.84</v>
      </c>
    </row>
    <row r="18">
      <c r="A18" s="0" t="inlineStr">
        <is>
          <t>[가경동]</t>
        </is>
      </c>
      <c r="B18" s="0" t="n">
        <v>7216</v>
      </c>
      <c r="C18" s="0" t="n">
        <v>1</v>
      </c>
      <c r="D18" s="0" t="inlineStr">
        <is>
          <t>가경세원2차</t>
        </is>
      </c>
      <c r="E18" s="0" t="inlineStr">
        <is>
          <t>1992.11.</t>
        </is>
      </c>
      <c r="F18" s="0" t="n">
        <v>620</v>
      </c>
      <c r="G18" s="0" t="n">
        <v>23.74</v>
      </c>
      <c r="H18" s="0" t="n">
        <v>78.48</v>
      </c>
      <c r="I18" s="0" t="n">
        <v>18.13</v>
      </c>
      <c r="J18" s="0" t="n">
        <v>59.94</v>
      </c>
      <c r="K18" s="0" t="n">
        <v>420</v>
      </c>
      <c r="T18" s="0" t="n">
        <v>2</v>
      </c>
      <c r="U18" s="0" t="n">
        <v>1</v>
      </c>
      <c r="V18" s="0" t="inlineStr">
        <is>
          <t>복도식</t>
        </is>
      </c>
      <c r="W18" s="0" t="n">
        <v>78</v>
      </c>
      <c r="X18" s="0" t="n">
        <v>15</v>
      </c>
      <c r="Y18" s="0" t="n">
        <v>5</v>
      </c>
      <c r="Z18" s="0" t="inlineStr">
        <is>
          <t>https://new.land.naver.com/complexes/7216?tab=detail&amp;rf=Y</t>
        </is>
      </c>
      <c r="AA18" s="0" t="inlineStr">
        <is>
          <t>충청북도 청주시 흥덕구 가경동 1190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흥덕구</t>
        </is>
      </c>
      <c r="AE18" s="0" t="inlineStr">
        <is>
          <t>가경동</t>
        </is>
      </c>
      <c r="AG18" s="0" t="inlineStr">
        <is>
          <t>충청북도 청주시 흥덕구 풍산로89번길 31</t>
        </is>
      </c>
      <c r="AH18" s="0" t="n">
        <v>0</v>
      </c>
      <c r="AI18" s="0" t="n">
        <v>0</v>
      </c>
      <c r="AJ18" s="0" t="n">
        <v>0</v>
      </c>
      <c r="AK18" s="0" t="n">
        <v>496</v>
      </c>
      <c r="AL18" s="0" t="n">
        <v>0.8</v>
      </c>
    </row>
    <row r="19">
      <c r="A19" s="0" t="inlineStr">
        <is>
          <t>[가경동]</t>
        </is>
      </c>
      <c r="B19" s="0" t="n">
        <v>7216</v>
      </c>
      <c r="C19" s="0" t="n">
        <v>2</v>
      </c>
      <c r="D19" s="0" t="inlineStr">
        <is>
          <t>가경세원2차</t>
        </is>
      </c>
      <c r="E19" s="0" t="inlineStr">
        <is>
          <t>1992.11.</t>
        </is>
      </c>
      <c r="F19" s="0" t="n">
        <v>620</v>
      </c>
      <c r="G19" s="0" t="n">
        <v>31.91</v>
      </c>
      <c r="H19" s="0" t="n">
        <v>105.52</v>
      </c>
      <c r="I19" s="0" t="n">
        <v>25.7</v>
      </c>
      <c r="J19" s="0" t="n">
        <v>84.98999999999999</v>
      </c>
      <c r="K19" s="0" t="n">
        <v>200</v>
      </c>
      <c r="T19" s="0" t="n">
        <v>3</v>
      </c>
      <c r="U19" s="0" t="n">
        <v>2</v>
      </c>
      <c r="V19" s="0" t="inlineStr">
        <is>
          <t>계단식</t>
        </is>
      </c>
      <c r="W19" s="0" t="n">
        <v>105</v>
      </c>
      <c r="X19" s="0" t="n">
        <v>15</v>
      </c>
      <c r="Y19" s="0" t="n">
        <v>5</v>
      </c>
      <c r="Z19" s="0" t="inlineStr">
        <is>
          <t>https://new.land.naver.com/complexes/7216?tab=detail&amp;rf=Y</t>
        </is>
      </c>
      <c r="AA19" s="0" t="inlineStr">
        <is>
          <t>충청북도 청주시 흥덕구 가경동 1190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흥덕구</t>
        </is>
      </c>
      <c r="AE19" s="0" t="inlineStr">
        <is>
          <t>가경동</t>
        </is>
      </c>
      <c r="AG19" s="0" t="inlineStr">
        <is>
          <t>충청북도 청주시 흥덕구 풍산로89번길 31</t>
        </is>
      </c>
      <c r="AH19" s="0" t="n">
        <v>0</v>
      </c>
      <c r="AI19" s="0" t="n">
        <v>0</v>
      </c>
      <c r="AJ19" s="0" t="n">
        <v>0</v>
      </c>
      <c r="AK19" s="0" t="n">
        <v>496</v>
      </c>
      <c r="AL19" s="0" t="n">
        <v>0.8</v>
      </c>
    </row>
    <row r="20">
      <c r="A20" s="0" t="inlineStr">
        <is>
          <t>[가경동]</t>
        </is>
      </c>
      <c r="B20" s="0" t="n">
        <v>17430</v>
      </c>
      <c r="C20" s="0" t="n">
        <v>1</v>
      </c>
      <c r="D20" s="0" t="inlineStr">
        <is>
          <t>가경푸르지오</t>
        </is>
      </c>
      <c r="E20" s="0" t="inlineStr">
        <is>
          <t>2006.01.</t>
        </is>
      </c>
      <c r="F20" s="0" t="n">
        <v>575</v>
      </c>
      <c r="G20" s="0" t="n">
        <v>39.56</v>
      </c>
      <c r="H20" s="0" t="n">
        <v>130.78</v>
      </c>
      <c r="I20" s="0" t="n">
        <v>31.45</v>
      </c>
      <c r="J20" s="0" t="n">
        <v>103.97</v>
      </c>
      <c r="K20" s="0" t="n">
        <v>80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130A</t>
        </is>
      </c>
      <c r="X20" s="0" t="n">
        <v>20</v>
      </c>
      <c r="Y20" s="0" t="n">
        <v>15</v>
      </c>
      <c r="Z20" s="0" t="inlineStr">
        <is>
          <t>https://new.land.naver.com/complexes/17430?tab=detail&amp;rf=Y</t>
        </is>
      </c>
      <c r="AA20" s="0" t="inlineStr">
        <is>
          <t>충청북도 청주시 흥덕구 가경동 1695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흥덕구</t>
        </is>
      </c>
      <c r="AE20" s="0" t="inlineStr">
        <is>
          <t>가경동</t>
        </is>
      </c>
      <c r="AG20" s="0" t="inlineStr">
        <is>
          <t>충청북도 청주시 흥덕구 2순환로1375번길 20</t>
        </is>
      </c>
      <c r="AH20" s="0" t="n">
        <v>0</v>
      </c>
      <c r="AI20" s="0" t="n">
        <v>232</v>
      </c>
      <c r="AJ20" s="0" t="n">
        <v>16</v>
      </c>
      <c r="AK20" s="0" t="n">
        <v>898</v>
      </c>
      <c r="AL20" s="0" t="n">
        <v>1.56</v>
      </c>
    </row>
    <row r="21">
      <c r="A21" s="0" t="inlineStr">
        <is>
          <t>[가경동]</t>
        </is>
      </c>
      <c r="B21" s="0" t="n">
        <v>17430</v>
      </c>
      <c r="C21" s="0" t="n">
        <v>2</v>
      </c>
      <c r="D21" s="0" t="inlineStr">
        <is>
          <t>가경푸르지오</t>
        </is>
      </c>
      <c r="E21" s="0" t="inlineStr">
        <is>
          <t>2006.01.</t>
        </is>
      </c>
      <c r="F21" s="0" t="n">
        <v>575</v>
      </c>
      <c r="G21" s="0" t="n">
        <v>39.65</v>
      </c>
      <c r="H21" s="0" t="n">
        <v>131.1</v>
      </c>
      <c r="I21" s="0" t="n">
        <v>31.45</v>
      </c>
      <c r="J21" s="0" t="n">
        <v>103.97</v>
      </c>
      <c r="K21" s="0" t="n">
        <v>232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131B</t>
        </is>
      </c>
      <c r="X21" s="0" t="n">
        <v>20</v>
      </c>
      <c r="Y21" s="0" t="n">
        <v>15</v>
      </c>
      <c r="Z21" s="0" t="inlineStr">
        <is>
          <t>https://new.land.naver.com/complexes/17430?tab=detail&amp;rf=Y</t>
        </is>
      </c>
      <c r="AA21" s="0" t="inlineStr">
        <is>
          <t>충청북도 청주시 흥덕구 가경동 1695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흥덕구</t>
        </is>
      </c>
      <c r="AE21" s="0" t="inlineStr">
        <is>
          <t>가경동</t>
        </is>
      </c>
      <c r="AG21" s="0" t="inlineStr">
        <is>
          <t>충청북도 청주시 흥덕구 2순환로1375번길 20</t>
        </is>
      </c>
      <c r="AH21" s="0" t="n">
        <v>0</v>
      </c>
      <c r="AI21" s="0" t="n">
        <v>232</v>
      </c>
      <c r="AJ21" s="0" t="n">
        <v>16</v>
      </c>
      <c r="AK21" s="0" t="n">
        <v>898</v>
      </c>
      <c r="AL21" s="0" t="n">
        <v>1.56</v>
      </c>
    </row>
    <row r="22">
      <c r="A22" s="0" t="inlineStr">
        <is>
          <t>[가경동]</t>
        </is>
      </c>
      <c r="B22" s="0" t="n">
        <v>17430</v>
      </c>
      <c r="C22" s="0" t="n">
        <v>3</v>
      </c>
      <c r="D22" s="0" t="inlineStr">
        <is>
          <t>가경푸르지오</t>
        </is>
      </c>
      <c r="E22" s="0" t="inlineStr">
        <is>
          <t>2006.01.</t>
        </is>
      </c>
      <c r="F22" s="0" t="n">
        <v>575</v>
      </c>
      <c r="G22" s="0" t="n">
        <v>47.37</v>
      </c>
      <c r="H22" s="0" t="n">
        <v>156.62</v>
      </c>
      <c r="I22" s="0" t="n">
        <v>37.85</v>
      </c>
      <c r="J22" s="0" t="n">
        <v>125.14</v>
      </c>
      <c r="K22" s="0" t="n">
        <v>150</v>
      </c>
      <c r="T22" s="0" t="n">
        <v>4</v>
      </c>
      <c r="U22" s="0" t="n">
        <v>2</v>
      </c>
      <c r="V22" s="0" t="inlineStr">
        <is>
          <t>계단식</t>
        </is>
      </c>
      <c r="W22" s="0" t="n">
        <v>156</v>
      </c>
      <c r="X22" s="0" t="n">
        <v>20</v>
      </c>
      <c r="Y22" s="0" t="n">
        <v>15</v>
      </c>
      <c r="Z22" s="0" t="inlineStr">
        <is>
          <t>https://new.land.naver.com/complexes/17430?tab=detail&amp;rf=Y</t>
        </is>
      </c>
      <c r="AA22" s="0" t="inlineStr">
        <is>
          <t>충청북도 청주시 흥덕구 가경동 1695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흥덕구</t>
        </is>
      </c>
      <c r="AE22" s="0" t="inlineStr">
        <is>
          <t>가경동</t>
        </is>
      </c>
      <c r="AG22" s="0" t="inlineStr">
        <is>
          <t>충청북도 청주시 흥덕구 2순환로1375번길 20</t>
        </is>
      </c>
      <c r="AH22" s="0" t="n">
        <v>0</v>
      </c>
      <c r="AI22" s="0" t="n">
        <v>232</v>
      </c>
      <c r="AJ22" s="0" t="n">
        <v>16</v>
      </c>
      <c r="AK22" s="0" t="n">
        <v>898</v>
      </c>
      <c r="AL22" s="0" t="n">
        <v>1.56</v>
      </c>
    </row>
    <row r="23">
      <c r="A23" s="0" t="inlineStr">
        <is>
          <t>[가경동]</t>
        </is>
      </c>
      <c r="B23" s="0" t="n">
        <v>17430</v>
      </c>
      <c r="C23" s="0" t="n">
        <v>4</v>
      </c>
      <c r="D23" s="0" t="inlineStr">
        <is>
          <t>가경푸르지오</t>
        </is>
      </c>
      <c r="E23" s="0" t="inlineStr">
        <is>
          <t>2006.01.</t>
        </is>
      </c>
      <c r="F23" s="0" t="n">
        <v>575</v>
      </c>
      <c r="G23" s="0" t="n">
        <v>48.38</v>
      </c>
      <c r="H23" s="0" t="n">
        <v>159.95</v>
      </c>
      <c r="I23" s="0" t="n">
        <v>38.84</v>
      </c>
      <c r="J23" s="0" t="n">
        <v>128.41</v>
      </c>
      <c r="K23" s="0" t="n">
        <v>36</v>
      </c>
      <c r="T23" s="0" t="n">
        <v>4</v>
      </c>
      <c r="U23" s="0" t="n">
        <v>2</v>
      </c>
      <c r="V23" s="0" t="inlineStr">
        <is>
          <t>계단식</t>
        </is>
      </c>
      <c r="W23" s="0" t="n">
        <v>159</v>
      </c>
      <c r="X23" s="0" t="n">
        <v>20</v>
      </c>
      <c r="Y23" s="0" t="n">
        <v>15</v>
      </c>
      <c r="Z23" s="0" t="inlineStr">
        <is>
          <t>https://new.land.naver.com/complexes/17430?tab=detail&amp;rf=Y</t>
        </is>
      </c>
      <c r="AA23" s="0" t="inlineStr">
        <is>
          <t>충청북도 청주시 흥덕구 가경동 1695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흥덕구</t>
        </is>
      </c>
      <c r="AE23" s="0" t="inlineStr">
        <is>
          <t>가경동</t>
        </is>
      </c>
      <c r="AG23" s="0" t="inlineStr">
        <is>
          <t>충청북도 청주시 흥덕구 2순환로1375번길 20</t>
        </is>
      </c>
      <c r="AH23" s="0" t="n">
        <v>0</v>
      </c>
      <c r="AI23" s="0" t="n">
        <v>232</v>
      </c>
      <c r="AJ23" s="0" t="n">
        <v>16</v>
      </c>
      <c r="AK23" s="0" t="n">
        <v>898</v>
      </c>
      <c r="AL23" s="0" t="n">
        <v>1.56</v>
      </c>
    </row>
    <row r="24">
      <c r="A24" s="0" t="inlineStr">
        <is>
          <t>[가경동]</t>
        </is>
      </c>
      <c r="B24" s="0" t="n">
        <v>17430</v>
      </c>
      <c r="C24" s="0" t="n">
        <v>5</v>
      </c>
      <c r="D24" s="0" t="inlineStr">
        <is>
          <t>가경푸르지오</t>
        </is>
      </c>
      <c r="E24" s="0" t="inlineStr">
        <is>
          <t>2006.01.</t>
        </is>
      </c>
      <c r="F24" s="0" t="n">
        <v>575</v>
      </c>
      <c r="G24" s="0" t="n">
        <v>52.95</v>
      </c>
      <c r="H24" s="0" t="n">
        <v>175.06</v>
      </c>
      <c r="I24" s="0" t="n">
        <v>42.6</v>
      </c>
      <c r="J24" s="0" t="n">
        <v>140.85</v>
      </c>
      <c r="K24" s="0" t="n">
        <v>77</v>
      </c>
      <c r="T24" s="0" t="n">
        <v>4</v>
      </c>
      <c r="U24" s="0" t="n">
        <v>2</v>
      </c>
      <c r="V24" s="0" t="inlineStr">
        <is>
          <t>계단식</t>
        </is>
      </c>
      <c r="W24" s="0" t="n">
        <v>175</v>
      </c>
      <c r="X24" s="0" t="n">
        <v>20</v>
      </c>
      <c r="Y24" s="0" t="n">
        <v>15</v>
      </c>
      <c r="Z24" s="0" t="inlineStr">
        <is>
          <t>https://new.land.naver.com/complexes/17430?tab=detail&amp;rf=Y</t>
        </is>
      </c>
      <c r="AA24" s="0" t="inlineStr">
        <is>
          <t>충청북도 청주시 흥덕구 가경동 1695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흥덕구</t>
        </is>
      </c>
      <c r="AE24" s="0" t="inlineStr">
        <is>
          <t>가경동</t>
        </is>
      </c>
      <c r="AG24" s="0" t="inlineStr">
        <is>
          <t>충청북도 청주시 흥덕구 2순환로1375번길 20</t>
        </is>
      </c>
      <c r="AH24" s="0" t="n">
        <v>0</v>
      </c>
      <c r="AI24" s="0" t="n">
        <v>232</v>
      </c>
      <c r="AJ24" s="0" t="n">
        <v>16</v>
      </c>
      <c r="AK24" s="0" t="n">
        <v>898</v>
      </c>
      <c r="AL24" s="0" t="n">
        <v>1.56</v>
      </c>
    </row>
    <row r="25">
      <c r="A25" s="0" t="inlineStr">
        <is>
          <t>[가경동]</t>
        </is>
      </c>
      <c r="B25" s="0" t="n">
        <v>7225</v>
      </c>
      <c r="C25" s="0" t="n">
        <v>1</v>
      </c>
      <c r="D25" s="0" t="inlineStr">
        <is>
          <t>가경태암수정</t>
        </is>
      </c>
      <c r="E25" s="0" t="inlineStr">
        <is>
          <t>1997.07.</t>
        </is>
      </c>
      <c r="F25" s="0" t="n">
        <v>450</v>
      </c>
      <c r="G25" s="0" t="n">
        <v>27.57</v>
      </c>
      <c r="H25" s="0" t="n">
        <v>91.17</v>
      </c>
      <c r="I25" s="0" t="n">
        <v>22.12</v>
      </c>
      <c r="J25" s="0" t="n">
        <v>73.13</v>
      </c>
      <c r="K25" s="0" t="n">
        <v>75</v>
      </c>
      <c r="T25" s="0" t="n">
        <v>3</v>
      </c>
      <c r="U25" s="0" t="n">
        <v>1</v>
      </c>
      <c r="V25" s="0" t="inlineStr">
        <is>
          <t>계단식</t>
        </is>
      </c>
      <c r="W25" s="0" t="n">
        <v>91</v>
      </c>
      <c r="X25" s="0" t="n">
        <v>15</v>
      </c>
      <c r="Y25" s="0" t="n">
        <v>15</v>
      </c>
      <c r="Z25" s="0" t="inlineStr">
        <is>
          <t>https://new.land.naver.com/complexes/7225?tab=detail&amp;rf=Y</t>
        </is>
      </c>
      <c r="AA25" s="0" t="inlineStr">
        <is>
          <t>충청북도 청주시 흥덕구 가경동 1516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흥덕구</t>
        </is>
      </c>
      <c r="AE25" s="0" t="inlineStr">
        <is>
          <t>가경동</t>
        </is>
      </c>
      <c r="AG25" s="0" t="inlineStr">
        <is>
          <t>충청북도 청주시 흥덕구 가경로 72</t>
        </is>
      </c>
      <c r="AH25" s="0" t="n">
        <v>0</v>
      </c>
      <c r="AI25" s="0" t="n">
        <v>260</v>
      </c>
      <c r="AJ25" s="0" t="n">
        <v>21</v>
      </c>
      <c r="AK25" s="0" t="n">
        <v>450</v>
      </c>
      <c r="AL25" s="0" t="n">
        <v>1</v>
      </c>
    </row>
    <row r="26">
      <c r="A26" s="0" t="inlineStr">
        <is>
          <t>[가경동]</t>
        </is>
      </c>
      <c r="B26" s="0" t="n">
        <v>7225</v>
      </c>
      <c r="C26" s="0" t="n">
        <v>2</v>
      </c>
      <c r="D26" s="0" t="inlineStr">
        <is>
          <t>가경태암수정</t>
        </is>
      </c>
      <c r="E26" s="0" t="inlineStr">
        <is>
          <t>1997.07.</t>
        </is>
      </c>
      <c r="F26" s="0" t="n">
        <v>450</v>
      </c>
      <c r="G26" s="0" t="n">
        <v>31.21</v>
      </c>
      <c r="H26" s="0" t="n">
        <v>103.2</v>
      </c>
      <c r="I26" s="0" t="n">
        <v>25.67</v>
      </c>
      <c r="J26" s="0" t="n">
        <v>84.89</v>
      </c>
      <c r="K26" s="0" t="n">
        <v>360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103A</t>
        </is>
      </c>
      <c r="X26" s="0" t="n">
        <v>15</v>
      </c>
      <c r="Y26" s="0" t="n">
        <v>15</v>
      </c>
      <c r="Z26" s="0" t="inlineStr">
        <is>
          <t>https://new.land.naver.com/complexes/7225?tab=detail&amp;rf=Y</t>
        </is>
      </c>
      <c r="AA26" s="0" t="inlineStr">
        <is>
          <t>충청북도 청주시 흥덕구 가경동 1516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흥덕구</t>
        </is>
      </c>
      <c r="AE26" s="0" t="inlineStr">
        <is>
          <t>가경동</t>
        </is>
      </c>
      <c r="AG26" s="0" t="inlineStr">
        <is>
          <t>충청북도 청주시 흥덕구 가경로 72</t>
        </is>
      </c>
      <c r="AH26" s="0" t="n">
        <v>0</v>
      </c>
      <c r="AI26" s="0" t="n">
        <v>260</v>
      </c>
      <c r="AJ26" s="0" t="n">
        <v>21</v>
      </c>
      <c r="AK26" s="0" t="n">
        <v>450</v>
      </c>
      <c r="AL26" s="0" t="n">
        <v>1</v>
      </c>
    </row>
    <row r="27">
      <c r="A27" s="0" t="inlineStr">
        <is>
          <t>[가경동]</t>
        </is>
      </c>
      <c r="B27" s="0" t="n">
        <v>7225</v>
      </c>
      <c r="C27" s="0" t="n">
        <v>3</v>
      </c>
      <c r="D27" s="0" t="inlineStr">
        <is>
          <t>가경태암수정</t>
        </is>
      </c>
      <c r="E27" s="0" t="inlineStr">
        <is>
          <t>1997.07.</t>
        </is>
      </c>
      <c r="F27" s="0" t="n">
        <v>450</v>
      </c>
      <c r="G27" s="0" t="n">
        <v>31.22</v>
      </c>
      <c r="H27" s="0" t="n">
        <v>103.22</v>
      </c>
      <c r="I27" s="0" t="n">
        <v>25.68</v>
      </c>
      <c r="J27" s="0" t="n">
        <v>84.91</v>
      </c>
      <c r="K27" s="0" t="n">
        <v>15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103B</t>
        </is>
      </c>
      <c r="X27" s="0" t="n">
        <v>15</v>
      </c>
      <c r="Y27" s="0" t="n">
        <v>15</v>
      </c>
      <c r="Z27" s="0" t="inlineStr">
        <is>
          <t>https://new.land.naver.com/complexes/7225?tab=detail&amp;rf=Y</t>
        </is>
      </c>
      <c r="AA27" s="0" t="inlineStr">
        <is>
          <t>충청북도 청주시 흥덕구 가경동 1516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흥덕구</t>
        </is>
      </c>
      <c r="AE27" s="0" t="inlineStr">
        <is>
          <t>가경동</t>
        </is>
      </c>
      <c r="AG27" s="0" t="inlineStr">
        <is>
          <t>충청북도 청주시 흥덕구 가경로 72</t>
        </is>
      </c>
      <c r="AH27" s="0" t="n">
        <v>0</v>
      </c>
      <c r="AI27" s="0" t="n">
        <v>260</v>
      </c>
      <c r="AJ27" s="0" t="n">
        <v>21</v>
      </c>
      <c r="AK27" s="0" t="n">
        <v>450</v>
      </c>
      <c r="AL27" s="0" t="n">
        <v>1</v>
      </c>
    </row>
    <row r="28">
      <c r="A28" s="0" t="inlineStr">
        <is>
          <t>[가경동]</t>
        </is>
      </c>
      <c r="B28" s="0" t="n">
        <v>7206</v>
      </c>
      <c r="C28" s="0" t="n">
        <v>1</v>
      </c>
      <c r="D28" s="0" t="inlineStr">
        <is>
          <t>동부</t>
        </is>
      </c>
      <c r="E28" s="0" t="inlineStr">
        <is>
          <t>1998.06.</t>
        </is>
      </c>
      <c r="F28" s="0" t="n">
        <v>455</v>
      </c>
      <c r="G28" s="0" t="n">
        <v>28.27</v>
      </c>
      <c r="H28" s="0" t="n">
        <v>93.47</v>
      </c>
      <c r="I28" s="0" t="n">
        <v>21.97</v>
      </c>
      <c r="J28" s="0" t="n">
        <v>72.64</v>
      </c>
      <c r="K28" s="0" t="n">
        <v>227</v>
      </c>
      <c r="T28" s="0" t="n">
        <v>3</v>
      </c>
      <c r="U28" s="0" t="n">
        <v>1</v>
      </c>
      <c r="V28" s="0" t="inlineStr">
        <is>
          <t>계단식</t>
        </is>
      </c>
      <c r="W28" s="0" t="n">
        <v>93</v>
      </c>
      <c r="X28" s="0" t="n">
        <v>15</v>
      </c>
      <c r="Y28" s="0" t="n">
        <v>13</v>
      </c>
      <c r="Z28" s="0" t="inlineStr">
        <is>
          <t>https://new.land.naver.com/complexes/7206?tab=detail&amp;rf=Y</t>
        </is>
      </c>
      <c r="AA28" s="0" t="inlineStr">
        <is>
          <t>충청북도 청주시 흥덕구 가경동 1517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흥덕구</t>
        </is>
      </c>
      <c r="AE28" s="0" t="inlineStr">
        <is>
          <t>가경동</t>
        </is>
      </c>
      <c r="AG28" s="0" t="inlineStr">
        <is>
          <t>충청북도 청주시 흥덕구 가경로 64</t>
        </is>
      </c>
      <c r="AH28" s="0" t="n">
        <v>0</v>
      </c>
      <c r="AI28" s="0" t="n">
        <v>216</v>
      </c>
      <c r="AJ28" s="0" t="n">
        <v>23</v>
      </c>
      <c r="AK28" s="0" t="n">
        <v>505</v>
      </c>
      <c r="AL28" s="0" t="n">
        <v>1.11</v>
      </c>
    </row>
    <row r="29">
      <c r="A29" s="0" t="inlineStr">
        <is>
          <t>[가경동]</t>
        </is>
      </c>
      <c r="B29" s="0" t="n">
        <v>7206</v>
      </c>
      <c r="C29" s="0" t="n">
        <v>2</v>
      </c>
      <c r="D29" s="0" t="inlineStr">
        <is>
          <t>동부</t>
        </is>
      </c>
      <c r="E29" s="0" t="inlineStr">
        <is>
          <t>1998.06.</t>
        </is>
      </c>
      <c r="F29" s="0" t="n">
        <v>455</v>
      </c>
      <c r="G29" s="0" t="n">
        <v>33.19</v>
      </c>
      <c r="H29" s="0" t="n">
        <v>109.74</v>
      </c>
      <c r="I29" s="0" t="n">
        <v>25.69</v>
      </c>
      <c r="J29" s="0" t="n">
        <v>84.94</v>
      </c>
      <c r="K29" s="0" t="n">
        <v>228</v>
      </c>
      <c r="T29" s="0" t="n">
        <v>3</v>
      </c>
      <c r="U29" s="0" t="n">
        <v>2</v>
      </c>
      <c r="V29" s="0" t="inlineStr">
        <is>
          <t>계단식</t>
        </is>
      </c>
      <c r="W29" s="0" t="n">
        <v>109</v>
      </c>
      <c r="X29" s="0" t="n">
        <v>15</v>
      </c>
      <c r="Y29" s="0" t="n">
        <v>13</v>
      </c>
      <c r="Z29" s="0" t="inlineStr">
        <is>
          <t>https://new.land.naver.com/complexes/7206?tab=detail&amp;rf=Y</t>
        </is>
      </c>
      <c r="AA29" s="0" t="inlineStr">
        <is>
          <t>충청북도 청주시 흥덕구 가경동 1517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흥덕구</t>
        </is>
      </c>
      <c r="AE29" s="0" t="inlineStr">
        <is>
          <t>가경동</t>
        </is>
      </c>
      <c r="AG29" s="0" t="inlineStr">
        <is>
          <t>충청북도 청주시 흥덕구 가경로 64</t>
        </is>
      </c>
      <c r="AH29" s="0" t="n">
        <v>0</v>
      </c>
      <c r="AI29" s="0" t="n">
        <v>216</v>
      </c>
      <c r="AJ29" s="0" t="n">
        <v>23</v>
      </c>
      <c r="AK29" s="0" t="n">
        <v>505</v>
      </c>
      <c r="AL29" s="0" t="n">
        <v>1.11</v>
      </c>
    </row>
    <row r="30">
      <c r="A30" s="0" t="inlineStr">
        <is>
          <t>[가경동]</t>
        </is>
      </c>
      <c r="B30" s="0" t="n">
        <v>18756</v>
      </c>
      <c r="C30" s="0" t="n">
        <v>1</v>
      </c>
      <c r="D30" s="0" t="inlineStr">
        <is>
          <t>청주가경뜨란채8단지</t>
        </is>
      </c>
      <c r="E30" s="0" t="inlineStr">
        <is>
          <t>2005.10.</t>
        </is>
      </c>
      <c r="F30" s="0" t="n">
        <v>321</v>
      </c>
      <c r="G30" s="0" t="n">
        <v>33.21</v>
      </c>
      <c r="H30" s="0" t="n">
        <v>109.8</v>
      </c>
      <c r="I30" s="0" t="n">
        <v>25.69</v>
      </c>
      <c r="J30" s="0" t="n">
        <v>84.94</v>
      </c>
      <c r="K30" s="0" t="n">
        <v>321</v>
      </c>
      <c r="T30" s="0" t="n">
        <v>3</v>
      </c>
      <c r="U30" s="0" t="n">
        <v>2</v>
      </c>
      <c r="V30" s="0" t="inlineStr">
        <is>
          <t>계단식</t>
        </is>
      </c>
      <c r="W30" s="0" t="n">
        <v>109</v>
      </c>
      <c r="X30" s="0" t="n">
        <v>15</v>
      </c>
      <c r="Y30" s="0" t="n">
        <v>13</v>
      </c>
      <c r="Z30" s="0" t="inlineStr">
        <is>
          <t>https://new.land.naver.com/complexes/18756?tab=detail&amp;rf=Y</t>
        </is>
      </c>
      <c r="AA30" s="0" t="inlineStr">
        <is>
          <t>충청북도 청주시 흥덕구 가경동 1579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흥덕구</t>
        </is>
      </c>
      <c r="AE30" s="0" t="inlineStr">
        <is>
          <t>가경동</t>
        </is>
      </c>
      <c r="AG30" s="0" t="inlineStr">
        <is>
          <t>충청북도 청주시 흥덕구 풍년로 56</t>
        </is>
      </c>
      <c r="AH30" s="0" t="n">
        <v>0</v>
      </c>
      <c r="AI30" s="0" t="n">
        <v>155</v>
      </c>
      <c r="AJ30" s="0" t="n">
        <v>14</v>
      </c>
      <c r="AK30" s="0" t="n">
        <v>424</v>
      </c>
      <c r="AL30" s="0" t="n">
        <v>1.32</v>
      </c>
    </row>
    <row r="31">
      <c r="A31" s="0" t="inlineStr">
        <is>
          <t>[가경동]</t>
        </is>
      </c>
      <c r="B31" s="0" t="n">
        <v>122444</v>
      </c>
      <c r="C31" s="0" t="n">
        <v>1</v>
      </c>
      <c r="D31" s="0" t="inlineStr">
        <is>
          <t>청주가경아이파크3단지</t>
        </is>
      </c>
      <c r="E31" s="0" t="inlineStr">
        <is>
          <t>2021.05.</t>
        </is>
      </c>
      <c r="F31" s="0" t="n">
        <v>983</v>
      </c>
      <c r="G31" s="0" t="n">
        <v>33.06</v>
      </c>
      <c r="H31" s="0" t="n">
        <v>109.32</v>
      </c>
      <c r="I31" s="0" t="n">
        <v>25.66</v>
      </c>
      <c r="J31" s="0" t="n">
        <v>84.84</v>
      </c>
      <c r="K31" s="0" t="n">
        <v>397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109A</t>
        </is>
      </c>
      <c r="X31" s="0" t="n">
        <v>29</v>
      </c>
      <c r="Y31" s="0" t="n">
        <v>17</v>
      </c>
      <c r="Z31" s="0" t="inlineStr">
        <is>
          <t>https://new.land.naver.com/complexes/122444?tab=detail&amp;rf=Y</t>
        </is>
      </c>
      <c r="AA31" s="0" t="inlineStr">
        <is>
          <t>충청북도 청주시 흥덕구 가경동 2276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흥덕구</t>
        </is>
      </c>
      <c r="AE31" s="0" t="inlineStr">
        <is>
          <t>가경동</t>
        </is>
      </c>
      <c r="AG31" s="0" t="inlineStr">
        <is>
          <t>충청북도 청주시 흥덕구 서현로 62</t>
        </is>
      </c>
      <c r="AH31" s="0" t="n">
        <v>0</v>
      </c>
      <c r="AI31" s="0" t="n">
        <v>229</v>
      </c>
      <c r="AJ31" s="0" t="n">
        <v>14</v>
      </c>
      <c r="AK31" s="0" t="n">
        <v>1381</v>
      </c>
      <c r="AL31" s="0" t="n">
        <v>1.4</v>
      </c>
    </row>
    <row r="32">
      <c r="A32" s="0" t="inlineStr">
        <is>
          <t>[가경동]</t>
        </is>
      </c>
      <c r="B32" s="0" t="n">
        <v>122444</v>
      </c>
      <c r="C32" s="0" t="n">
        <v>2</v>
      </c>
      <c r="D32" s="0" t="inlineStr">
        <is>
          <t>청주가경아이파크3단지</t>
        </is>
      </c>
      <c r="E32" s="0" t="inlineStr">
        <is>
          <t>2021.05.</t>
        </is>
      </c>
      <c r="F32" s="0" t="n">
        <v>983</v>
      </c>
      <c r="G32" s="0" t="n">
        <v>33.21</v>
      </c>
      <c r="H32" s="0" t="n">
        <v>109.79</v>
      </c>
      <c r="I32" s="0" t="n">
        <v>25.7</v>
      </c>
      <c r="J32" s="0" t="n">
        <v>84.98999999999999</v>
      </c>
      <c r="K32" s="0" t="n">
        <v>152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109B</t>
        </is>
      </c>
      <c r="X32" s="0" t="n">
        <v>29</v>
      </c>
      <c r="Y32" s="0" t="n">
        <v>17</v>
      </c>
      <c r="Z32" s="0" t="inlineStr">
        <is>
          <t>https://new.land.naver.com/complexes/122444?tab=detail&amp;rf=Y</t>
        </is>
      </c>
      <c r="AA32" s="0" t="inlineStr">
        <is>
          <t>충청북도 청주시 흥덕구 가경동 2276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흥덕구</t>
        </is>
      </c>
      <c r="AE32" s="0" t="inlineStr">
        <is>
          <t>가경동</t>
        </is>
      </c>
      <c r="AG32" s="0" t="inlineStr">
        <is>
          <t>충청북도 청주시 흥덕구 서현로 62</t>
        </is>
      </c>
      <c r="AH32" s="0" t="n">
        <v>0</v>
      </c>
      <c r="AI32" s="0" t="n">
        <v>229</v>
      </c>
      <c r="AJ32" s="0" t="n">
        <v>14</v>
      </c>
      <c r="AK32" s="0" t="n">
        <v>1381</v>
      </c>
      <c r="AL32" s="0" t="n">
        <v>1.4</v>
      </c>
    </row>
    <row r="33">
      <c r="A33" s="0" t="inlineStr">
        <is>
          <t>[가경동]</t>
        </is>
      </c>
      <c r="B33" s="0" t="n">
        <v>122444</v>
      </c>
      <c r="C33" s="0" t="n">
        <v>3</v>
      </c>
      <c r="D33" s="0" t="inlineStr">
        <is>
          <t>청주가경아이파크3단지</t>
        </is>
      </c>
      <c r="E33" s="0" t="inlineStr">
        <is>
          <t>2021.05.</t>
        </is>
      </c>
      <c r="F33" s="0" t="n">
        <v>983</v>
      </c>
      <c r="G33" s="0" t="n">
        <v>33.3</v>
      </c>
      <c r="H33" s="0" t="n">
        <v>110.11</v>
      </c>
      <c r="I33" s="0" t="n">
        <v>25.7</v>
      </c>
      <c r="J33" s="0" t="n">
        <v>84.97</v>
      </c>
      <c r="K33" s="0" t="n">
        <v>86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110C</t>
        </is>
      </c>
      <c r="X33" s="0" t="n">
        <v>29</v>
      </c>
      <c r="Y33" s="0" t="n">
        <v>17</v>
      </c>
      <c r="Z33" s="0" t="inlineStr">
        <is>
          <t>https://new.land.naver.com/complexes/122444?tab=detail&amp;rf=Y</t>
        </is>
      </c>
      <c r="AA33" s="0" t="inlineStr">
        <is>
          <t>충청북도 청주시 흥덕구 가경동 2276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흥덕구</t>
        </is>
      </c>
      <c r="AE33" s="0" t="inlineStr">
        <is>
          <t>가경동</t>
        </is>
      </c>
      <c r="AG33" s="0" t="inlineStr">
        <is>
          <t>충청북도 청주시 흥덕구 서현로 62</t>
        </is>
      </c>
      <c r="AH33" s="0" t="n">
        <v>0</v>
      </c>
      <c r="AI33" s="0" t="n">
        <v>229</v>
      </c>
      <c r="AJ33" s="0" t="n">
        <v>14</v>
      </c>
      <c r="AK33" s="0" t="n">
        <v>1381</v>
      </c>
      <c r="AL33" s="0" t="n">
        <v>1.4</v>
      </c>
    </row>
    <row r="34">
      <c r="A34" s="0" t="inlineStr">
        <is>
          <t>[가경동]</t>
        </is>
      </c>
      <c r="B34" s="0" t="n">
        <v>122444</v>
      </c>
      <c r="C34" s="0" t="n">
        <v>4</v>
      </c>
      <c r="D34" s="0" t="inlineStr">
        <is>
          <t>청주가경아이파크3단지</t>
        </is>
      </c>
      <c r="E34" s="0" t="inlineStr">
        <is>
          <t>2021.05.</t>
        </is>
      </c>
      <c r="F34" s="0" t="n">
        <v>983</v>
      </c>
      <c r="G34" s="0" t="n">
        <v>40.97</v>
      </c>
      <c r="H34" s="0" t="n">
        <v>135.44</v>
      </c>
      <c r="I34" s="0" t="n">
        <v>31.95</v>
      </c>
      <c r="J34" s="0" t="n">
        <v>105.64</v>
      </c>
      <c r="K34" s="0" t="n">
        <v>335</v>
      </c>
      <c r="T34" s="0" t="n">
        <v>3</v>
      </c>
      <c r="U34" s="0" t="n">
        <v>2</v>
      </c>
      <c r="V34" s="0" t="inlineStr">
        <is>
          <t>계단식</t>
        </is>
      </c>
      <c r="W34" s="0" t="n">
        <v>135</v>
      </c>
      <c r="X34" s="0" t="n">
        <v>29</v>
      </c>
      <c r="Y34" s="0" t="n">
        <v>17</v>
      </c>
      <c r="Z34" s="0" t="inlineStr">
        <is>
          <t>https://new.land.naver.com/complexes/122444?tab=detail&amp;rf=Y</t>
        </is>
      </c>
      <c r="AA34" s="0" t="inlineStr">
        <is>
          <t>충청북도 청주시 흥덕구 가경동 2276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흥덕구</t>
        </is>
      </c>
      <c r="AE34" s="0" t="inlineStr">
        <is>
          <t>가경동</t>
        </is>
      </c>
      <c r="AG34" s="0" t="inlineStr">
        <is>
          <t>충청북도 청주시 흥덕구 서현로 62</t>
        </is>
      </c>
      <c r="AH34" s="0" t="n">
        <v>0</v>
      </c>
      <c r="AI34" s="0" t="n">
        <v>229</v>
      </c>
      <c r="AJ34" s="0" t="n">
        <v>14</v>
      </c>
      <c r="AK34" s="0" t="n">
        <v>1381</v>
      </c>
      <c r="AL34" s="0" t="n">
        <v>1.4</v>
      </c>
    </row>
    <row r="35">
      <c r="A35" s="0" t="inlineStr">
        <is>
          <t>[가경동]</t>
        </is>
      </c>
      <c r="B35" s="0" t="n">
        <v>122444</v>
      </c>
      <c r="C35" s="0" t="n">
        <v>5</v>
      </c>
      <c r="D35" s="0" t="inlineStr">
        <is>
          <t>청주가경아이파크3단지</t>
        </is>
      </c>
      <c r="E35" s="0" t="inlineStr">
        <is>
          <t>2021.05.</t>
        </is>
      </c>
      <c r="F35" s="0" t="n">
        <v>983</v>
      </c>
      <c r="G35" s="0" t="n">
        <v>55.95</v>
      </c>
      <c r="H35" s="0" t="n">
        <v>184.96</v>
      </c>
      <c r="I35" s="0" t="n">
        <v>43.67</v>
      </c>
      <c r="J35" s="0" t="n">
        <v>144.37</v>
      </c>
      <c r="K35" s="0" t="n">
        <v>13</v>
      </c>
      <c r="T35" s="0" t="n">
        <v>4</v>
      </c>
      <c r="U35" s="0" t="n">
        <v>3</v>
      </c>
      <c r="V35" s="0" t="inlineStr">
        <is>
          <t>계단식</t>
        </is>
      </c>
      <c r="W35" s="0" t="n">
        <v>184</v>
      </c>
      <c r="X35" s="0" t="n">
        <v>29</v>
      </c>
      <c r="Y35" s="0" t="n">
        <v>17</v>
      </c>
      <c r="Z35" s="0" t="inlineStr">
        <is>
          <t>https://new.land.naver.com/complexes/122444?tab=detail&amp;rf=Y</t>
        </is>
      </c>
      <c r="AA35" s="0" t="inlineStr">
        <is>
          <t>충청북도 청주시 흥덕구 가경동 2276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흥덕구</t>
        </is>
      </c>
      <c r="AE35" s="0" t="inlineStr">
        <is>
          <t>가경동</t>
        </is>
      </c>
      <c r="AG35" s="0" t="inlineStr">
        <is>
          <t>충청북도 청주시 흥덕구 서현로 62</t>
        </is>
      </c>
      <c r="AH35" s="0" t="n">
        <v>0</v>
      </c>
      <c r="AI35" s="0" t="n">
        <v>229</v>
      </c>
      <c r="AJ35" s="0" t="n">
        <v>14</v>
      </c>
      <c r="AK35" s="0" t="n">
        <v>1381</v>
      </c>
      <c r="AL35" s="0" t="n">
        <v>1.4</v>
      </c>
    </row>
    <row r="36">
      <c r="A36" s="0" t="inlineStr">
        <is>
          <t>[가경동]</t>
        </is>
      </c>
      <c r="B36" s="0" t="n">
        <v>119848</v>
      </c>
      <c r="C36" s="0" t="n">
        <v>1</v>
      </c>
      <c r="D36" s="0" t="inlineStr">
        <is>
          <t>청주가경아이파크2단지</t>
        </is>
      </c>
      <c r="E36" s="0" t="inlineStr">
        <is>
          <t>2020.02.</t>
        </is>
      </c>
      <c r="F36" s="0" t="n">
        <v>664</v>
      </c>
      <c r="G36" s="0" t="n">
        <v>29.52</v>
      </c>
      <c r="H36" s="0" t="n">
        <v>97.61</v>
      </c>
      <c r="I36" s="0" t="n">
        <v>22.97</v>
      </c>
      <c r="J36" s="0" t="n">
        <v>75.95</v>
      </c>
      <c r="K36" s="0" t="n">
        <v>73</v>
      </c>
      <c r="T36" s="0" t="n">
        <v>3</v>
      </c>
      <c r="U36" s="0" t="n">
        <v>2</v>
      </c>
      <c r="V36" s="0" t="inlineStr">
        <is>
          <t>계단식</t>
        </is>
      </c>
      <c r="W36" s="0" t="n">
        <v>97</v>
      </c>
      <c r="X36" s="0" t="n">
        <v>29</v>
      </c>
      <c r="Y36" s="0" t="n">
        <v>19</v>
      </c>
      <c r="Z36" s="0" t="inlineStr">
        <is>
          <t>https://new.land.naver.com/complexes/119848?tab=detail&amp;rf=Y</t>
        </is>
      </c>
      <c r="AA36" s="0" t="inlineStr">
        <is>
          <t>충청북도 청주시 흥덕구 가경동 2236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흥덕구</t>
        </is>
      </c>
      <c r="AE36" s="0" t="inlineStr">
        <is>
          <t>가경동</t>
        </is>
      </c>
      <c r="AG36" s="0" t="inlineStr">
        <is>
          <t>충청북도 청주시 흥덕구 서현로 68</t>
        </is>
      </c>
      <c r="AH36" s="0" t="n">
        <v>0</v>
      </c>
      <c r="AI36" s="0" t="n">
        <v>0</v>
      </c>
      <c r="AJ36" s="0" t="n">
        <v>0</v>
      </c>
      <c r="AK36" s="0" t="n">
        <v>864</v>
      </c>
      <c r="AL36" s="0" t="n">
        <v>1.3</v>
      </c>
    </row>
    <row r="37">
      <c r="A37" s="0" t="inlineStr">
        <is>
          <t>[가경동]</t>
        </is>
      </c>
      <c r="B37" s="0" t="n">
        <v>119848</v>
      </c>
      <c r="C37" s="0" t="n">
        <v>2</v>
      </c>
      <c r="D37" s="0" t="inlineStr">
        <is>
          <t>청주가경아이파크2단지</t>
        </is>
      </c>
      <c r="E37" s="0" t="inlineStr">
        <is>
          <t>2020.02.</t>
        </is>
      </c>
      <c r="F37" s="0" t="n">
        <v>664</v>
      </c>
      <c r="G37" s="0" t="n">
        <v>32.66</v>
      </c>
      <c r="H37" s="0" t="n">
        <v>107.97</v>
      </c>
      <c r="I37" s="0" t="n">
        <v>25.69</v>
      </c>
      <c r="J37" s="0" t="n">
        <v>84.95</v>
      </c>
      <c r="K37" s="0" t="n">
        <v>346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107A</t>
        </is>
      </c>
      <c r="X37" s="0" t="n">
        <v>29</v>
      </c>
      <c r="Y37" s="0" t="n">
        <v>19</v>
      </c>
      <c r="Z37" s="0" t="inlineStr">
        <is>
          <t>https://new.land.naver.com/complexes/119848?tab=detail&amp;rf=Y</t>
        </is>
      </c>
      <c r="AA37" s="0" t="inlineStr">
        <is>
          <t>충청북도 청주시 흥덕구 가경동 2236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흥덕구</t>
        </is>
      </c>
      <c r="AE37" s="0" t="inlineStr">
        <is>
          <t>가경동</t>
        </is>
      </c>
      <c r="AG37" s="0" t="inlineStr">
        <is>
          <t>충청북도 청주시 흥덕구 서현로 68</t>
        </is>
      </c>
      <c r="AH37" s="0" t="n">
        <v>0</v>
      </c>
      <c r="AI37" s="0" t="n">
        <v>0</v>
      </c>
      <c r="AJ37" s="0" t="n">
        <v>0</v>
      </c>
      <c r="AK37" s="0" t="n">
        <v>864</v>
      </c>
      <c r="AL37" s="0" t="n">
        <v>1.3</v>
      </c>
    </row>
    <row r="38">
      <c r="A38" s="0" t="inlineStr">
        <is>
          <t>[가경동]</t>
        </is>
      </c>
      <c r="B38" s="0" t="n">
        <v>119848</v>
      </c>
      <c r="C38" s="0" t="n">
        <v>3</v>
      </c>
      <c r="D38" s="0" t="inlineStr">
        <is>
          <t>청주가경아이파크2단지</t>
        </is>
      </c>
      <c r="E38" s="0" t="inlineStr">
        <is>
          <t>2020.02.</t>
        </is>
      </c>
      <c r="F38" s="0" t="n">
        <v>664</v>
      </c>
      <c r="G38" s="0" t="n">
        <v>32.84</v>
      </c>
      <c r="H38" s="0" t="n">
        <v>108.59</v>
      </c>
      <c r="I38" s="0" t="n">
        <v>25.69</v>
      </c>
      <c r="J38" s="0" t="n">
        <v>84.95</v>
      </c>
      <c r="K38" s="0" t="n">
        <v>84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108B</t>
        </is>
      </c>
      <c r="X38" s="0" t="n">
        <v>29</v>
      </c>
      <c r="Y38" s="0" t="n">
        <v>19</v>
      </c>
      <c r="Z38" s="0" t="inlineStr">
        <is>
          <t>https://new.land.naver.com/complexes/119848?tab=detail&amp;rf=Y</t>
        </is>
      </c>
      <c r="AA38" s="0" t="inlineStr">
        <is>
          <t>충청북도 청주시 흥덕구 가경동 2236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흥덕구</t>
        </is>
      </c>
      <c r="AE38" s="0" t="inlineStr">
        <is>
          <t>가경동</t>
        </is>
      </c>
      <c r="AG38" s="0" t="inlineStr">
        <is>
          <t>충청북도 청주시 흥덕구 서현로 68</t>
        </is>
      </c>
      <c r="AH38" s="0" t="n">
        <v>0</v>
      </c>
      <c r="AI38" s="0" t="n">
        <v>0</v>
      </c>
      <c r="AJ38" s="0" t="n">
        <v>0</v>
      </c>
      <c r="AK38" s="0" t="n">
        <v>864</v>
      </c>
      <c r="AL38" s="0" t="n">
        <v>1.3</v>
      </c>
    </row>
    <row r="39">
      <c r="A39" s="0" t="inlineStr">
        <is>
          <t>[가경동]</t>
        </is>
      </c>
      <c r="B39" s="0" t="n">
        <v>119848</v>
      </c>
      <c r="C39" s="0" t="n">
        <v>4</v>
      </c>
      <c r="D39" s="0" t="inlineStr">
        <is>
          <t>청주가경아이파크2단지</t>
        </is>
      </c>
      <c r="E39" s="0" t="inlineStr">
        <is>
          <t>2020.02.</t>
        </is>
      </c>
      <c r="F39" s="0" t="n">
        <v>664</v>
      </c>
      <c r="G39" s="0" t="n">
        <v>40.51</v>
      </c>
      <c r="H39" s="0" t="n">
        <v>133.95</v>
      </c>
      <c r="I39" s="0" t="n">
        <v>31.87</v>
      </c>
      <c r="J39" s="0" t="n">
        <v>105.37</v>
      </c>
      <c r="K39" s="0" t="n">
        <v>99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133A</t>
        </is>
      </c>
      <c r="X39" s="0" t="n">
        <v>29</v>
      </c>
      <c r="Y39" s="0" t="n">
        <v>19</v>
      </c>
      <c r="Z39" s="0" t="inlineStr">
        <is>
          <t>https://new.land.naver.com/complexes/119848?tab=detail&amp;rf=Y</t>
        </is>
      </c>
      <c r="AA39" s="0" t="inlineStr">
        <is>
          <t>충청북도 청주시 흥덕구 가경동 2236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흥덕구</t>
        </is>
      </c>
      <c r="AE39" s="0" t="inlineStr">
        <is>
          <t>가경동</t>
        </is>
      </c>
      <c r="AG39" s="0" t="inlineStr">
        <is>
          <t>충청북도 청주시 흥덕구 서현로 68</t>
        </is>
      </c>
      <c r="AH39" s="0" t="n">
        <v>0</v>
      </c>
      <c r="AI39" s="0" t="n">
        <v>0</v>
      </c>
      <c r="AJ39" s="0" t="n">
        <v>0</v>
      </c>
      <c r="AK39" s="0" t="n">
        <v>864</v>
      </c>
      <c r="AL39" s="0" t="n">
        <v>1.3</v>
      </c>
    </row>
    <row r="40">
      <c r="A40" s="0" t="inlineStr">
        <is>
          <t>[가경동]</t>
        </is>
      </c>
      <c r="B40" s="0" t="n">
        <v>119848</v>
      </c>
      <c r="C40" s="0" t="n">
        <v>5</v>
      </c>
      <c r="D40" s="0" t="inlineStr">
        <is>
          <t>청주가경아이파크2단지</t>
        </is>
      </c>
      <c r="E40" s="0" t="inlineStr">
        <is>
          <t>2020.02.</t>
        </is>
      </c>
      <c r="F40" s="0" t="n">
        <v>664</v>
      </c>
      <c r="G40" s="0" t="n">
        <v>40.61</v>
      </c>
      <c r="H40" s="0" t="n">
        <v>134.27</v>
      </c>
      <c r="I40" s="0" t="n">
        <v>31.93</v>
      </c>
      <c r="J40" s="0" t="n">
        <v>105.58</v>
      </c>
      <c r="K40" s="0" t="n">
        <v>57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134B</t>
        </is>
      </c>
      <c r="X40" s="0" t="n">
        <v>29</v>
      </c>
      <c r="Y40" s="0" t="n">
        <v>19</v>
      </c>
      <c r="Z40" s="0" t="inlineStr">
        <is>
          <t>https://new.land.naver.com/complexes/119848?tab=detail&amp;rf=Y</t>
        </is>
      </c>
      <c r="AA40" s="0" t="inlineStr">
        <is>
          <t>충청북도 청주시 흥덕구 가경동 2236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흥덕구</t>
        </is>
      </c>
      <c r="AE40" s="0" t="inlineStr">
        <is>
          <t>가경동</t>
        </is>
      </c>
      <c r="AG40" s="0" t="inlineStr">
        <is>
          <t>충청북도 청주시 흥덕구 서현로 68</t>
        </is>
      </c>
      <c r="AH40" s="0" t="n">
        <v>0</v>
      </c>
      <c r="AI40" s="0" t="n">
        <v>0</v>
      </c>
      <c r="AJ40" s="0" t="n">
        <v>0</v>
      </c>
      <c r="AK40" s="0" t="n">
        <v>864</v>
      </c>
      <c r="AL40" s="0" t="n">
        <v>1.3</v>
      </c>
    </row>
    <row r="41">
      <c r="A41" s="0" t="inlineStr">
        <is>
          <t>[가경동]</t>
        </is>
      </c>
      <c r="B41" s="0" t="n">
        <v>119848</v>
      </c>
      <c r="C41" s="0" t="n">
        <v>6</v>
      </c>
      <c r="D41" s="0" t="inlineStr">
        <is>
          <t>청주가경아이파크2단지</t>
        </is>
      </c>
      <c r="E41" s="0" t="inlineStr">
        <is>
          <t>2020.02.</t>
        </is>
      </c>
      <c r="F41" s="0" t="n">
        <v>664</v>
      </c>
      <c r="G41" s="0" t="n">
        <v>46.6</v>
      </c>
      <c r="H41" s="0" t="n">
        <v>154.08</v>
      </c>
      <c r="I41" s="0" t="n">
        <v>36.24</v>
      </c>
      <c r="J41" s="0" t="n">
        <v>119.82</v>
      </c>
      <c r="K41" s="0" t="n">
        <v>5</v>
      </c>
      <c r="T41" s="0" t="n">
        <v>4</v>
      </c>
      <c r="U41" s="0" t="n">
        <v>3</v>
      </c>
      <c r="V41" s="0" t="inlineStr">
        <is>
          <t>계단식</t>
        </is>
      </c>
      <c r="W41" s="0" t="n">
        <v>154</v>
      </c>
      <c r="X41" s="0" t="n">
        <v>29</v>
      </c>
      <c r="Y41" s="0" t="n">
        <v>19</v>
      </c>
      <c r="Z41" s="0" t="inlineStr">
        <is>
          <t>https://new.land.naver.com/complexes/119848?tab=detail&amp;rf=Y</t>
        </is>
      </c>
      <c r="AA41" s="0" t="inlineStr">
        <is>
          <t>충청북도 청주시 흥덕구 가경동 2236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흥덕구</t>
        </is>
      </c>
      <c r="AE41" s="0" t="inlineStr">
        <is>
          <t>가경동</t>
        </is>
      </c>
      <c r="AG41" s="0" t="inlineStr">
        <is>
          <t>충청북도 청주시 흥덕구 서현로 68</t>
        </is>
      </c>
      <c r="AH41" s="0" t="n">
        <v>0</v>
      </c>
      <c r="AI41" s="0" t="n">
        <v>0</v>
      </c>
      <c r="AJ41" s="0" t="n">
        <v>0</v>
      </c>
      <c r="AK41" s="0" t="n">
        <v>864</v>
      </c>
      <c r="AL41" s="0" t="n">
        <v>1.3</v>
      </c>
    </row>
    <row r="42">
      <c r="A42" s="0" t="inlineStr">
        <is>
          <t>[가경동]</t>
        </is>
      </c>
      <c r="B42" s="0" t="n">
        <v>18757</v>
      </c>
      <c r="C42" s="0" t="n">
        <v>1</v>
      </c>
      <c r="D42" s="0" t="inlineStr">
        <is>
          <t>청주가경뜨란채7단지</t>
        </is>
      </c>
      <c r="E42" s="0" t="inlineStr">
        <is>
          <t>2005.09.</t>
        </is>
      </c>
      <c r="F42" s="0" t="n">
        <v>370</v>
      </c>
      <c r="G42" s="0" t="n">
        <v>29.63</v>
      </c>
      <c r="H42" s="0" t="n">
        <v>97.97</v>
      </c>
      <c r="I42" s="0" t="n">
        <v>22.75</v>
      </c>
      <c r="J42" s="0" t="n">
        <v>75.22</v>
      </c>
      <c r="K42" s="0" t="n">
        <v>30</v>
      </c>
      <c r="T42" s="0" t="n">
        <v>3</v>
      </c>
      <c r="U42" s="0" t="n">
        <v>2</v>
      </c>
      <c r="V42" s="0" t="inlineStr">
        <is>
          <t>계단식</t>
        </is>
      </c>
      <c r="W42" s="0" t="n">
        <v>97</v>
      </c>
      <c r="X42" s="0" t="n">
        <v>15</v>
      </c>
      <c r="Y42" s="0" t="n">
        <v>13</v>
      </c>
      <c r="Z42" s="0" t="inlineStr">
        <is>
          <t>https://new.land.naver.com/complexes/18757?tab=detail&amp;rf=Y</t>
        </is>
      </c>
      <c r="AA42" s="0" t="inlineStr">
        <is>
          <t>충청북도 청주시 흥덕구 가경동 1581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흥덕구</t>
        </is>
      </c>
      <c r="AE42" s="0" t="inlineStr">
        <is>
          <t>가경동</t>
        </is>
      </c>
      <c r="AG42" s="0" t="inlineStr">
        <is>
          <t>충청북도 청주시 흥덕구 풍년로 40</t>
        </is>
      </c>
      <c r="AH42" s="0" t="n">
        <v>0</v>
      </c>
      <c r="AI42" s="0" t="n">
        <v>164</v>
      </c>
      <c r="AJ42" s="0" t="n">
        <v>15</v>
      </c>
      <c r="AK42" s="0" t="n">
        <v>422</v>
      </c>
      <c r="AL42" s="0" t="n">
        <v>1.14</v>
      </c>
    </row>
    <row r="43">
      <c r="A43" s="0" t="inlineStr">
        <is>
          <t>[가경동]</t>
        </is>
      </c>
      <c r="B43" s="0" t="n">
        <v>18757</v>
      </c>
      <c r="C43" s="0" t="n">
        <v>2</v>
      </c>
      <c r="D43" s="0" t="inlineStr">
        <is>
          <t>청주가경뜨란채7단지</t>
        </is>
      </c>
      <c r="E43" s="0" t="inlineStr">
        <is>
          <t>2005.09.</t>
        </is>
      </c>
      <c r="F43" s="0" t="n">
        <v>370</v>
      </c>
      <c r="G43" s="0" t="n">
        <v>33.45</v>
      </c>
      <c r="H43" s="0" t="n">
        <v>110.59</v>
      </c>
      <c r="I43" s="0" t="n">
        <v>25.68</v>
      </c>
      <c r="J43" s="0" t="n">
        <v>84.91</v>
      </c>
      <c r="K43" s="0" t="n">
        <v>340</v>
      </c>
      <c r="T43" s="0" t="n">
        <v>3</v>
      </c>
      <c r="U43" s="0" t="n">
        <v>2</v>
      </c>
      <c r="V43" s="0" t="inlineStr">
        <is>
          <t>계단식</t>
        </is>
      </c>
      <c r="W43" s="0" t="n">
        <v>110</v>
      </c>
      <c r="X43" s="0" t="n">
        <v>15</v>
      </c>
      <c r="Y43" s="0" t="n">
        <v>13</v>
      </c>
      <c r="Z43" s="0" t="inlineStr">
        <is>
          <t>https://new.land.naver.com/complexes/18757?tab=detail&amp;rf=Y</t>
        </is>
      </c>
      <c r="AA43" s="0" t="inlineStr">
        <is>
          <t>충청북도 청주시 흥덕구 가경동 1581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흥덕구</t>
        </is>
      </c>
      <c r="AE43" s="0" t="inlineStr">
        <is>
          <t>가경동</t>
        </is>
      </c>
      <c r="AG43" s="0" t="inlineStr">
        <is>
          <t>충청북도 청주시 흥덕구 풍년로 40</t>
        </is>
      </c>
      <c r="AH43" s="0" t="n">
        <v>0</v>
      </c>
      <c r="AI43" s="0" t="n">
        <v>164</v>
      </c>
      <c r="AJ43" s="0" t="n">
        <v>15</v>
      </c>
      <c r="AK43" s="0" t="n">
        <v>422</v>
      </c>
      <c r="AL43" s="0" t="n">
        <v>1.14</v>
      </c>
    </row>
    <row r="44">
      <c r="A44" s="0" t="inlineStr">
        <is>
          <t>[가경동]</t>
        </is>
      </c>
      <c r="B44" s="0" t="n">
        <v>126068</v>
      </c>
      <c r="C44" s="0" t="n">
        <v>1</v>
      </c>
      <c r="D44" s="0" t="inlineStr">
        <is>
          <t>파워플러스(도시형)</t>
        </is>
      </c>
      <c r="E44" s="0" t="inlineStr">
        <is>
          <t>2007.03.</t>
        </is>
      </c>
      <c r="F44" s="0" t="n">
        <v>21</v>
      </c>
      <c r="G44" s="0" t="n">
        <v>7.73</v>
      </c>
      <c r="H44" s="0" t="n">
        <v>25.58</v>
      </c>
      <c r="I44" s="0" t="n">
        <v>6.13</v>
      </c>
      <c r="J44" s="0" t="n">
        <v>20.28</v>
      </c>
      <c r="K44" s="0" t="n">
        <v>1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25A</t>
        </is>
      </c>
      <c r="X44" s="0" t="n">
        <v>8</v>
      </c>
      <c r="Y44" s="0" t="n">
        <v>8</v>
      </c>
      <c r="Z44" s="0" t="inlineStr">
        <is>
          <t>https://new.land.naver.com/complexes/126068?tab=detail&amp;rf=Y</t>
        </is>
      </c>
      <c r="AA44" s="0" t="inlineStr">
        <is>
          <t>충청북도 청주시 흥덕구 가경동 1704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흥덕구</t>
        </is>
      </c>
      <c r="AE44" s="0" t="inlineStr">
        <is>
          <t>가경동</t>
        </is>
      </c>
      <c r="AG44" s="0" t="inlineStr">
        <is>
          <t>충청북도 청주시 흥덕구 서부로 1303</t>
        </is>
      </c>
      <c r="AH44" s="0" t="n">
        <v>21</v>
      </c>
      <c r="AI44" s="0" t="n">
        <v>560</v>
      </c>
      <c r="AJ44" s="0" t="n">
        <v>80</v>
      </c>
      <c r="AK44" s="0" t="n">
        <v>0</v>
      </c>
      <c r="AL44" s="0" t="n">
        <v>0</v>
      </c>
    </row>
    <row r="45">
      <c r="A45" s="0" t="inlineStr">
        <is>
          <t>[가경동]</t>
        </is>
      </c>
      <c r="B45" s="0" t="n">
        <v>126068</v>
      </c>
      <c r="C45" s="0" t="n">
        <v>2</v>
      </c>
      <c r="D45" s="0" t="inlineStr">
        <is>
          <t>파워플러스(도시형)</t>
        </is>
      </c>
      <c r="E45" s="0" t="inlineStr">
        <is>
          <t>2007.03.</t>
        </is>
      </c>
      <c r="F45" s="0" t="n">
        <v>21</v>
      </c>
      <c r="G45" s="0" t="n">
        <v>7.88</v>
      </c>
      <c r="H45" s="0" t="n">
        <v>26.07</v>
      </c>
      <c r="I45" s="0" t="n">
        <v>6.25</v>
      </c>
      <c r="J45" s="0" t="n">
        <v>20.67</v>
      </c>
      <c r="K45" s="0" t="n">
        <v>1</v>
      </c>
      <c r="T45" s="0" t="n">
        <v>1</v>
      </c>
      <c r="U45" s="0" t="n">
        <v>1</v>
      </c>
      <c r="V45" s="0" t="inlineStr">
        <is>
          <t>계단식</t>
        </is>
      </c>
      <c r="W45" s="0" t="inlineStr">
        <is>
          <t>26B</t>
        </is>
      </c>
      <c r="X45" s="0" t="n">
        <v>8</v>
      </c>
      <c r="Y45" s="0" t="n">
        <v>8</v>
      </c>
      <c r="Z45" s="0" t="inlineStr">
        <is>
          <t>https://new.land.naver.com/complexes/126068?tab=detail&amp;rf=Y</t>
        </is>
      </c>
      <c r="AA45" s="0" t="inlineStr">
        <is>
          <t>충청북도 청주시 흥덕구 가경동 1704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흥덕구</t>
        </is>
      </c>
      <c r="AE45" s="0" t="inlineStr">
        <is>
          <t>가경동</t>
        </is>
      </c>
      <c r="AG45" s="0" t="inlineStr">
        <is>
          <t>충청북도 청주시 흥덕구 서부로 1303</t>
        </is>
      </c>
      <c r="AH45" s="0" t="n">
        <v>21</v>
      </c>
      <c r="AI45" s="0" t="n">
        <v>560</v>
      </c>
      <c r="AJ45" s="0" t="n">
        <v>80</v>
      </c>
      <c r="AK45" s="0" t="n">
        <v>0</v>
      </c>
      <c r="AL45" s="0" t="n">
        <v>0</v>
      </c>
    </row>
    <row r="46">
      <c r="A46" s="0" t="inlineStr">
        <is>
          <t>[가경동]</t>
        </is>
      </c>
      <c r="B46" s="0" t="n">
        <v>126068</v>
      </c>
      <c r="C46" s="0" t="n">
        <v>3</v>
      </c>
      <c r="D46" s="0" t="inlineStr">
        <is>
          <t>파워플러스(도시형)</t>
        </is>
      </c>
      <c r="E46" s="0" t="inlineStr">
        <is>
          <t>2007.03.</t>
        </is>
      </c>
      <c r="F46" s="0" t="n">
        <v>21</v>
      </c>
      <c r="G46" s="0" t="n">
        <v>8.08</v>
      </c>
      <c r="H46" s="0" t="n">
        <v>26.74</v>
      </c>
      <c r="I46" s="0" t="n">
        <v>6.41</v>
      </c>
      <c r="J46" s="0" t="n">
        <v>21.2</v>
      </c>
      <c r="K46" s="0" t="n">
        <v>1</v>
      </c>
      <c r="T46" s="0" t="n">
        <v>1</v>
      </c>
      <c r="U46" s="0" t="n">
        <v>1</v>
      </c>
      <c r="V46" s="0" t="inlineStr">
        <is>
          <t>계단식</t>
        </is>
      </c>
      <c r="W46" s="0" t="inlineStr">
        <is>
          <t>26C</t>
        </is>
      </c>
      <c r="X46" s="0" t="n">
        <v>8</v>
      </c>
      <c r="Y46" s="0" t="n">
        <v>8</v>
      </c>
      <c r="Z46" s="0" t="inlineStr">
        <is>
          <t>https://new.land.naver.com/complexes/126068?tab=detail&amp;rf=Y</t>
        </is>
      </c>
      <c r="AA46" s="0" t="inlineStr">
        <is>
          <t>충청북도 청주시 흥덕구 가경동 1704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흥덕구</t>
        </is>
      </c>
      <c r="AE46" s="0" t="inlineStr">
        <is>
          <t>가경동</t>
        </is>
      </c>
      <c r="AG46" s="0" t="inlineStr">
        <is>
          <t>충청북도 청주시 흥덕구 서부로 1303</t>
        </is>
      </c>
      <c r="AH46" s="0" t="n">
        <v>21</v>
      </c>
      <c r="AI46" s="0" t="n">
        <v>560</v>
      </c>
      <c r="AJ46" s="0" t="n">
        <v>80</v>
      </c>
      <c r="AK46" s="0" t="n">
        <v>0</v>
      </c>
      <c r="AL46" s="0" t="n">
        <v>0</v>
      </c>
    </row>
    <row r="47">
      <c r="A47" s="0" t="inlineStr">
        <is>
          <t>[가경동]</t>
        </is>
      </c>
      <c r="B47" s="0" t="n">
        <v>126068</v>
      </c>
      <c r="C47" s="0" t="n">
        <v>4</v>
      </c>
      <c r="D47" s="0" t="inlineStr">
        <is>
          <t>파워플러스(도시형)</t>
        </is>
      </c>
      <c r="E47" s="0" t="inlineStr">
        <is>
          <t>2007.03.</t>
        </is>
      </c>
      <c r="F47" s="0" t="n">
        <v>21</v>
      </c>
      <c r="G47" s="0" t="n">
        <v>8.130000000000001</v>
      </c>
      <c r="H47" s="0" t="n">
        <v>26.9</v>
      </c>
      <c r="I47" s="0" t="n">
        <v>6.44</v>
      </c>
      <c r="J47" s="0" t="n">
        <v>21.32</v>
      </c>
      <c r="K47" s="0" t="n">
        <v>1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26D</t>
        </is>
      </c>
      <c r="X47" s="0" t="n">
        <v>8</v>
      </c>
      <c r="Y47" s="0" t="n">
        <v>8</v>
      </c>
      <c r="Z47" s="0" t="inlineStr">
        <is>
          <t>https://new.land.naver.com/complexes/126068?tab=detail&amp;rf=Y</t>
        </is>
      </c>
      <c r="AA47" s="0" t="inlineStr">
        <is>
          <t>충청북도 청주시 흥덕구 가경동 1704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흥덕구</t>
        </is>
      </c>
      <c r="AE47" s="0" t="inlineStr">
        <is>
          <t>가경동</t>
        </is>
      </c>
      <c r="AG47" s="0" t="inlineStr">
        <is>
          <t>충청북도 청주시 흥덕구 서부로 1303</t>
        </is>
      </c>
      <c r="AH47" s="0" t="n">
        <v>21</v>
      </c>
      <c r="AI47" s="0" t="n">
        <v>560</v>
      </c>
      <c r="AJ47" s="0" t="n">
        <v>80</v>
      </c>
      <c r="AK47" s="0" t="n">
        <v>0</v>
      </c>
      <c r="AL47" s="0" t="n">
        <v>0</v>
      </c>
    </row>
    <row r="48">
      <c r="A48" s="0" t="inlineStr">
        <is>
          <t>[가경동]</t>
        </is>
      </c>
      <c r="B48" s="0" t="n">
        <v>126068</v>
      </c>
      <c r="C48" s="0" t="n">
        <v>5</v>
      </c>
      <c r="D48" s="0" t="inlineStr">
        <is>
          <t>파워플러스(도시형)</t>
        </is>
      </c>
      <c r="E48" s="0" t="inlineStr">
        <is>
          <t>2007.03.</t>
        </is>
      </c>
      <c r="F48" s="0" t="n">
        <v>21</v>
      </c>
      <c r="G48" s="0" t="n">
        <v>10.83</v>
      </c>
      <c r="H48" s="0" t="n">
        <v>35.83</v>
      </c>
      <c r="I48" s="0" t="n">
        <v>8.59</v>
      </c>
      <c r="J48" s="0" t="n">
        <v>28.4</v>
      </c>
      <c r="K48" s="0" t="n">
        <v>3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35A</t>
        </is>
      </c>
      <c r="X48" s="0" t="n">
        <v>8</v>
      </c>
      <c r="Y48" s="0" t="n">
        <v>8</v>
      </c>
      <c r="Z48" s="0" t="inlineStr">
        <is>
          <t>https://new.land.naver.com/complexes/126068?tab=detail&amp;rf=Y</t>
        </is>
      </c>
      <c r="AA48" s="0" t="inlineStr">
        <is>
          <t>충청북도 청주시 흥덕구 가경동 1704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흥덕구</t>
        </is>
      </c>
      <c r="AE48" s="0" t="inlineStr">
        <is>
          <t>가경동</t>
        </is>
      </c>
      <c r="AG48" s="0" t="inlineStr">
        <is>
          <t>충청북도 청주시 흥덕구 서부로 1303</t>
        </is>
      </c>
      <c r="AH48" s="0" t="n">
        <v>21</v>
      </c>
      <c r="AI48" s="0" t="n">
        <v>560</v>
      </c>
      <c r="AJ48" s="0" t="n">
        <v>80</v>
      </c>
      <c r="AK48" s="0" t="n">
        <v>0</v>
      </c>
      <c r="AL48" s="0" t="n">
        <v>0</v>
      </c>
    </row>
    <row r="49">
      <c r="A49" s="0" t="inlineStr">
        <is>
          <t>[가경동]</t>
        </is>
      </c>
      <c r="B49" s="0" t="n">
        <v>126068</v>
      </c>
      <c r="C49" s="0" t="n">
        <v>6</v>
      </c>
      <c r="D49" s="0" t="inlineStr">
        <is>
          <t>파워플러스(도시형)</t>
        </is>
      </c>
      <c r="E49" s="0" t="inlineStr">
        <is>
          <t>2007.03.</t>
        </is>
      </c>
      <c r="F49" s="0" t="n">
        <v>21</v>
      </c>
      <c r="G49" s="0" t="n">
        <v>11.1</v>
      </c>
      <c r="H49" s="0" t="n">
        <v>36.72</v>
      </c>
      <c r="I49" s="0" t="n">
        <v>8.800000000000001</v>
      </c>
      <c r="J49" s="0" t="n">
        <v>29.11</v>
      </c>
      <c r="K49" s="0" t="n">
        <v>2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36B</t>
        </is>
      </c>
      <c r="X49" s="0" t="n">
        <v>8</v>
      </c>
      <c r="Y49" s="0" t="n">
        <v>8</v>
      </c>
      <c r="Z49" s="0" t="inlineStr">
        <is>
          <t>https://new.land.naver.com/complexes/126068?tab=detail&amp;rf=Y</t>
        </is>
      </c>
      <c r="AA49" s="0" t="inlineStr">
        <is>
          <t>충청북도 청주시 흥덕구 가경동 1704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흥덕구</t>
        </is>
      </c>
      <c r="AE49" s="0" t="inlineStr">
        <is>
          <t>가경동</t>
        </is>
      </c>
      <c r="AG49" s="0" t="inlineStr">
        <is>
          <t>충청북도 청주시 흥덕구 서부로 1303</t>
        </is>
      </c>
      <c r="AH49" s="0" t="n">
        <v>21</v>
      </c>
      <c r="AI49" s="0" t="n">
        <v>560</v>
      </c>
      <c r="AJ49" s="0" t="n">
        <v>80</v>
      </c>
      <c r="AK49" s="0" t="n">
        <v>0</v>
      </c>
      <c r="AL49" s="0" t="n">
        <v>0</v>
      </c>
    </row>
    <row r="50">
      <c r="A50" s="0" t="inlineStr">
        <is>
          <t>[가경동]</t>
        </is>
      </c>
      <c r="B50" s="0" t="n">
        <v>126068</v>
      </c>
      <c r="C50" s="0" t="n">
        <v>7</v>
      </c>
      <c r="D50" s="0" t="inlineStr">
        <is>
          <t>파워플러스(도시형)</t>
        </is>
      </c>
      <c r="E50" s="0" t="inlineStr">
        <is>
          <t>2007.03.</t>
        </is>
      </c>
      <c r="F50" s="0" t="n">
        <v>21</v>
      </c>
      <c r="G50" s="0" t="n">
        <v>11.49</v>
      </c>
      <c r="H50" s="0" t="n">
        <v>38</v>
      </c>
      <c r="I50" s="0" t="n">
        <v>9.109999999999999</v>
      </c>
      <c r="J50" s="0" t="n">
        <v>30.13</v>
      </c>
      <c r="K50" s="0" t="n">
        <v>1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38A</t>
        </is>
      </c>
      <c r="X50" s="0" t="n">
        <v>8</v>
      </c>
      <c r="Y50" s="0" t="n">
        <v>8</v>
      </c>
      <c r="Z50" s="0" t="inlineStr">
        <is>
          <t>https://new.land.naver.com/complexes/126068?tab=detail&amp;rf=Y</t>
        </is>
      </c>
      <c r="AA50" s="0" t="inlineStr">
        <is>
          <t>충청북도 청주시 흥덕구 가경동 1704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흥덕구</t>
        </is>
      </c>
      <c r="AE50" s="0" t="inlineStr">
        <is>
          <t>가경동</t>
        </is>
      </c>
      <c r="AG50" s="0" t="inlineStr">
        <is>
          <t>충청북도 청주시 흥덕구 서부로 1303</t>
        </is>
      </c>
      <c r="AH50" s="0" t="n">
        <v>21</v>
      </c>
      <c r="AI50" s="0" t="n">
        <v>560</v>
      </c>
      <c r="AJ50" s="0" t="n">
        <v>80</v>
      </c>
      <c r="AK50" s="0" t="n">
        <v>0</v>
      </c>
      <c r="AL50" s="0" t="n">
        <v>0</v>
      </c>
    </row>
    <row r="51">
      <c r="A51" s="0" t="inlineStr">
        <is>
          <t>[가경동]</t>
        </is>
      </c>
      <c r="B51" s="0" t="n">
        <v>126068</v>
      </c>
      <c r="C51" s="0" t="n">
        <v>8</v>
      </c>
      <c r="D51" s="0" t="inlineStr">
        <is>
          <t>파워플러스(도시형)</t>
        </is>
      </c>
      <c r="E51" s="0" t="inlineStr">
        <is>
          <t>2007.03.</t>
        </is>
      </c>
      <c r="F51" s="0" t="n">
        <v>21</v>
      </c>
      <c r="G51" s="0" t="n">
        <v>11.78</v>
      </c>
      <c r="H51" s="0" t="n">
        <v>38.97</v>
      </c>
      <c r="I51" s="0" t="n">
        <v>9.34</v>
      </c>
      <c r="J51" s="0" t="n">
        <v>30.89</v>
      </c>
      <c r="K51" s="0" t="n">
        <v>1</v>
      </c>
      <c r="T51" s="0" t="n">
        <v>1</v>
      </c>
      <c r="U51" s="0" t="n">
        <v>1</v>
      </c>
      <c r="V51" s="0" t="inlineStr">
        <is>
          <t>계단식</t>
        </is>
      </c>
      <c r="W51" s="0" t="inlineStr">
        <is>
          <t>38B</t>
        </is>
      </c>
      <c r="X51" s="0" t="n">
        <v>8</v>
      </c>
      <c r="Y51" s="0" t="n">
        <v>8</v>
      </c>
      <c r="Z51" s="0" t="inlineStr">
        <is>
          <t>https://new.land.naver.com/complexes/126068?tab=detail&amp;rf=Y</t>
        </is>
      </c>
      <c r="AA51" s="0" t="inlineStr">
        <is>
          <t>충청북도 청주시 흥덕구 가경동 1704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흥덕구</t>
        </is>
      </c>
      <c r="AE51" s="0" t="inlineStr">
        <is>
          <t>가경동</t>
        </is>
      </c>
      <c r="AG51" s="0" t="inlineStr">
        <is>
          <t>충청북도 청주시 흥덕구 서부로 1303</t>
        </is>
      </c>
      <c r="AH51" s="0" t="n">
        <v>21</v>
      </c>
      <c r="AI51" s="0" t="n">
        <v>560</v>
      </c>
      <c r="AJ51" s="0" t="n">
        <v>80</v>
      </c>
      <c r="AK51" s="0" t="n">
        <v>0</v>
      </c>
      <c r="AL51" s="0" t="n">
        <v>0</v>
      </c>
    </row>
    <row r="52">
      <c r="A52" s="0" t="inlineStr">
        <is>
          <t>[가경동]</t>
        </is>
      </c>
      <c r="B52" s="0" t="n">
        <v>126068</v>
      </c>
      <c r="C52" s="0" t="n">
        <v>9</v>
      </c>
      <c r="D52" s="0" t="inlineStr">
        <is>
          <t>파워플러스(도시형)</t>
        </is>
      </c>
      <c r="E52" s="0" t="inlineStr">
        <is>
          <t>2007.03.</t>
        </is>
      </c>
      <c r="F52" s="0" t="n">
        <v>21</v>
      </c>
      <c r="G52" s="0" t="n">
        <v>12.36</v>
      </c>
      <c r="H52" s="0" t="n">
        <v>40.87</v>
      </c>
      <c r="I52" s="0" t="n">
        <v>9.800000000000001</v>
      </c>
      <c r="J52" s="0" t="n">
        <v>32.4</v>
      </c>
      <c r="K52" s="0" t="n">
        <v>1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40C</t>
        </is>
      </c>
      <c r="X52" s="0" t="n">
        <v>8</v>
      </c>
      <c r="Y52" s="0" t="n">
        <v>8</v>
      </c>
      <c r="Z52" s="0" t="inlineStr">
        <is>
          <t>https://new.land.naver.com/complexes/126068?tab=detail&amp;rf=Y</t>
        </is>
      </c>
      <c r="AA52" s="0" t="inlineStr">
        <is>
          <t>충청북도 청주시 흥덕구 가경동 1704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흥덕구</t>
        </is>
      </c>
      <c r="AE52" s="0" t="inlineStr">
        <is>
          <t>가경동</t>
        </is>
      </c>
      <c r="AG52" s="0" t="inlineStr">
        <is>
          <t>충청북도 청주시 흥덕구 서부로 1303</t>
        </is>
      </c>
      <c r="AH52" s="0" t="n">
        <v>21</v>
      </c>
      <c r="AI52" s="0" t="n">
        <v>560</v>
      </c>
      <c r="AJ52" s="0" t="n">
        <v>80</v>
      </c>
      <c r="AK52" s="0" t="n">
        <v>0</v>
      </c>
      <c r="AL52" s="0" t="n">
        <v>0</v>
      </c>
    </row>
    <row r="53">
      <c r="A53" s="0" t="inlineStr">
        <is>
          <t>[가경동]</t>
        </is>
      </c>
      <c r="B53" s="0" t="n">
        <v>126068</v>
      </c>
      <c r="C53" s="0" t="n">
        <v>10</v>
      </c>
      <c r="D53" s="0" t="inlineStr">
        <is>
          <t>파워플러스(도시형)</t>
        </is>
      </c>
      <c r="E53" s="0" t="inlineStr">
        <is>
          <t>2007.03.</t>
        </is>
      </c>
      <c r="F53" s="0" t="n">
        <v>21</v>
      </c>
      <c r="G53" s="0" t="n">
        <v>13.96</v>
      </c>
      <c r="H53" s="0" t="n">
        <v>46.17</v>
      </c>
      <c r="I53" s="0" t="n">
        <v>11.07</v>
      </c>
      <c r="J53" s="0" t="n">
        <v>36.6</v>
      </c>
      <c r="K53" s="0" t="n">
        <v>1</v>
      </c>
      <c r="T53" s="0" t="n">
        <v>1</v>
      </c>
      <c r="U53" s="0" t="n">
        <v>1</v>
      </c>
      <c r="V53" s="0" t="inlineStr">
        <is>
          <t>계단식</t>
        </is>
      </c>
      <c r="W53" s="0" t="n">
        <v>46</v>
      </c>
      <c r="X53" s="0" t="n">
        <v>8</v>
      </c>
      <c r="Y53" s="0" t="n">
        <v>8</v>
      </c>
      <c r="Z53" s="0" t="inlineStr">
        <is>
          <t>https://new.land.naver.com/complexes/126068?tab=detail&amp;rf=Y</t>
        </is>
      </c>
      <c r="AA53" s="0" t="inlineStr">
        <is>
          <t>충청북도 청주시 흥덕구 가경동 1704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흥덕구</t>
        </is>
      </c>
      <c r="AE53" s="0" t="inlineStr">
        <is>
          <t>가경동</t>
        </is>
      </c>
      <c r="AG53" s="0" t="inlineStr">
        <is>
          <t>충청북도 청주시 흥덕구 서부로 1303</t>
        </is>
      </c>
      <c r="AH53" s="0" t="n">
        <v>21</v>
      </c>
      <c r="AI53" s="0" t="n">
        <v>560</v>
      </c>
      <c r="AJ53" s="0" t="n">
        <v>80</v>
      </c>
      <c r="AK53" s="0" t="n">
        <v>0</v>
      </c>
      <c r="AL53" s="0" t="n">
        <v>0</v>
      </c>
    </row>
    <row r="54">
      <c r="A54" s="0" t="inlineStr">
        <is>
          <t>[가경동]</t>
        </is>
      </c>
      <c r="B54" s="0" t="n">
        <v>126068</v>
      </c>
      <c r="C54" s="0" t="n">
        <v>11</v>
      </c>
      <c r="D54" s="0" t="inlineStr">
        <is>
          <t>파워플러스(도시형)</t>
        </is>
      </c>
      <c r="E54" s="0" t="inlineStr">
        <is>
          <t>2007.03.</t>
        </is>
      </c>
      <c r="F54" s="0" t="n">
        <v>21</v>
      </c>
      <c r="G54" s="0" t="n">
        <v>14.97</v>
      </c>
      <c r="H54" s="0" t="n">
        <v>49.5</v>
      </c>
      <c r="I54" s="0" t="n">
        <v>11.87</v>
      </c>
      <c r="J54" s="0" t="n">
        <v>39.24</v>
      </c>
      <c r="K54" s="0" t="n">
        <v>1</v>
      </c>
      <c r="T54" s="0" t="n">
        <v>2</v>
      </c>
      <c r="U54" s="0" t="n">
        <v>1</v>
      </c>
      <c r="V54" s="0" t="inlineStr">
        <is>
          <t>계단식</t>
        </is>
      </c>
      <c r="W54" s="0" t="n">
        <v>49</v>
      </c>
      <c r="X54" s="0" t="n">
        <v>8</v>
      </c>
      <c r="Y54" s="0" t="n">
        <v>8</v>
      </c>
      <c r="Z54" s="0" t="inlineStr">
        <is>
          <t>https://new.land.naver.com/complexes/126068?tab=detail&amp;rf=Y</t>
        </is>
      </c>
      <c r="AA54" s="0" t="inlineStr">
        <is>
          <t>충청북도 청주시 흥덕구 가경동 1704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흥덕구</t>
        </is>
      </c>
      <c r="AE54" s="0" t="inlineStr">
        <is>
          <t>가경동</t>
        </is>
      </c>
      <c r="AG54" s="0" t="inlineStr">
        <is>
          <t>충청북도 청주시 흥덕구 서부로 1303</t>
        </is>
      </c>
      <c r="AH54" s="0" t="n">
        <v>21</v>
      </c>
      <c r="AI54" s="0" t="n">
        <v>560</v>
      </c>
      <c r="AJ54" s="0" t="n">
        <v>80</v>
      </c>
      <c r="AK54" s="0" t="n">
        <v>0</v>
      </c>
      <c r="AL54" s="0" t="n">
        <v>0</v>
      </c>
    </row>
    <row r="55">
      <c r="A55" s="0" t="inlineStr">
        <is>
          <t>[가경동]</t>
        </is>
      </c>
      <c r="B55" s="0" t="n">
        <v>126068</v>
      </c>
      <c r="C55" s="0" t="n">
        <v>12</v>
      </c>
      <c r="D55" s="0" t="inlineStr">
        <is>
          <t>파워플러스(도시형)</t>
        </is>
      </c>
      <c r="E55" s="0" t="inlineStr">
        <is>
          <t>2007.03.</t>
        </is>
      </c>
      <c r="F55" s="0" t="n">
        <v>21</v>
      </c>
      <c r="G55" s="0" t="n">
        <v>15.72</v>
      </c>
      <c r="H55" s="0" t="n">
        <v>51.99</v>
      </c>
      <c r="I55" s="0" t="n">
        <v>12.46</v>
      </c>
      <c r="J55" s="0" t="n">
        <v>41.21</v>
      </c>
      <c r="K55" s="0" t="n">
        <v>1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51A</t>
        </is>
      </c>
      <c r="X55" s="0" t="n">
        <v>8</v>
      </c>
      <c r="Y55" s="0" t="n">
        <v>8</v>
      </c>
      <c r="Z55" s="0" t="inlineStr">
        <is>
          <t>https://new.land.naver.com/complexes/126068?tab=detail&amp;rf=Y</t>
        </is>
      </c>
      <c r="AA55" s="0" t="inlineStr">
        <is>
          <t>충청북도 청주시 흥덕구 가경동 1704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흥덕구</t>
        </is>
      </c>
      <c r="AE55" s="0" t="inlineStr">
        <is>
          <t>가경동</t>
        </is>
      </c>
      <c r="AG55" s="0" t="inlineStr">
        <is>
          <t>충청북도 청주시 흥덕구 서부로 1303</t>
        </is>
      </c>
      <c r="AH55" s="0" t="n">
        <v>21</v>
      </c>
      <c r="AI55" s="0" t="n">
        <v>560</v>
      </c>
      <c r="AJ55" s="0" t="n">
        <v>80</v>
      </c>
      <c r="AK55" s="0" t="n">
        <v>0</v>
      </c>
      <c r="AL55" s="0" t="n">
        <v>0</v>
      </c>
    </row>
    <row r="56">
      <c r="A56" s="0" t="inlineStr">
        <is>
          <t>[가경동]</t>
        </is>
      </c>
      <c r="B56" s="0" t="n">
        <v>126068</v>
      </c>
      <c r="C56" s="0" t="n">
        <v>13</v>
      </c>
      <c r="D56" s="0" t="inlineStr">
        <is>
          <t>파워플러스(도시형)</t>
        </is>
      </c>
      <c r="E56" s="0" t="inlineStr">
        <is>
          <t>2007.03.</t>
        </is>
      </c>
      <c r="F56" s="0" t="n">
        <v>21</v>
      </c>
      <c r="G56" s="0" t="n">
        <v>15.87</v>
      </c>
      <c r="H56" s="0" t="n">
        <v>52.48</v>
      </c>
      <c r="I56" s="0" t="n">
        <v>12.58</v>
      </c>
      <c r="J56" s="0" t="n">
        <v>41.6</v>
      </c>
      <c r="K56" s="0" t="n">
        <v>1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52B</t>
        </is>
      </c>
      <c r="X56" s="0" t="n">
        <v>8</v>
      </c>
      <c r="Y56" s="0" t="n">
        <v>8</v>
      </c>
      <c r="Z56" s="0" t="inlineStr">
        <is>
          <t>https://new.land.naver.com/complexes/126068?tab=detail&amp;rf=Y</t>
        </is>
      </c>
      <c r="AA56" s="0" t="inlineStr">
        <is>
          <t>충청북도 청주시 흥덕구 가경동 1704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흥덕구</t>
        </is>
      </c>
      <c r="AE56" s="0" t="inlineStr">
        <is>
          <t>가경동</t>
        </is>
      </c>
      <c r="AG56" s="0" t="inlineStr">
        <is>
          <t>충청북도 청주시 흥덕구 서부로 1303</t>
        </is>
      </c>
      <c r="AH56" s="0" t="n">
        <v>21</v>
      </c>
      <c r="AI56" s="0" t="n">
        <v>560</v>
      </c>
      <c r="AJ56" s="0" t="n">
        <v>80</v>
      </c>
      <c r="AK56" s="0" t="n">
        <v>0</v>
      </c>
      <c r="AL56" s="0" t="n">
        <v>0</v>
      </c>
    </row>
    <row r="57">
      <c r="A57" s="0" t="inlineStr">
        <is>
          <t>[가경동]</t>
        </is>
      </c>
      <c r="B57" s="0" t="n">
        <v>126068</v>
      </c>
      <c r="C57" s="0" t="n">
        <v>14</v>
      </c>
      <c r="D57" s="0" t="inlineStr">
        <is>
          <t>파워플러스(도시형)</t>
        </is>
      </c>
      <c r="E57" s="0" t="inlineStr">
        <is>
          <t>2007.03.</t>
        </is>
      </c>
      <c r="F57" s="0" t="n">
        <v>21</v>
      </c>
      <c r="G57" s="0" t="n">
        <v>16.89</v>
      </c>
      <c r="H57" s="0" t="n">
        <v>55.85</v>
      </c>
      <c r="I57" s="0" t="n">
        <v>13.39</v>
      </c>
      <c r="J57" s="0" t="n">
        <v>44.28</v>
      </c>
      <c r="K57" s="0" t="n">
        <v>2</v>
      </c>
      <c r="T57" s="0" t="n">
        <v>2</v>
      </c>
      <c r="U57" s="0" t="n">
        <v>1</v>
      </c>
      <c r="V57" s="0" t="inlineStr">
        <is>
          <t>계단식</t>
        </is>
      </c>
      <c r="W57" s="0" t="n">
        <v>55</v>
      </c>
      <c r="X57" s="0" t="n">
        <v>8</v>
      </c>
      <c r="Y57" s="0" t="n">
        <v>8</v>
      </c>
      <c r="Z57" s="0" t="inlineStr">
        <is>
          <t>https://new.land.naver.com/complexes/126068?tab=detail&amp;rf=Y</t>
        </is>
      </c>
      <c r="AA57" s="0" t="inlineStr">
        <is>
          <t>충청북도 청주시 흥덕구 가경동 1704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흥덕구</t>
        </is>
      </c>
      <c r="AE57" s="0" t="inlineStr">
        <is>
          <t>가경동</t>
        </is>
      </c>
      <c r="AG57" s="0" t="inlineStr">
        <is>
          <t>충청북도 청주시 흥덕구 서부로 1303</t>
        </is>
      </c>
      <c r="AH57" s="0" t="n">
        <v>21</v>
      </c>
      <c r="AI57" s="0" t="n">
        <v>560</v>
      </c>
      <c r="AJ57" s="0" t="n">
        <v>80</v>
      </c>
      <c r="AK57" s="0" t="n">
        <v>0</v>
      </c>
      <c r="AL57" s="0" t="n">
        <v>0</v>
      </c>
    </row>
    <row r="58">
      <c r="A58" s="0" t="inlineStr">
        <is>
          <t>[가경동]</t>
        </is>
      </c>
      <c r="B58" s="0" t="n">
        <v>126068</v>
      </c>
      <c r="C58" s="0" t="n">
        <v>15</v>
      </c>
      <c r="D58" s="0" t="inlineStr">
        <is>
          <t>파워플러스(도시형)</t>
        </is>
      </c>
      <c r="E58" s="0" t="inlineStr">
        <is>
          <t>2007.03.</t>
        </is>
      </c>
      <c r="F58" s="0" t="n">
        <v>21</v>
      </c>
      <c r="G58" s="0" t="n">
        <v>17.83</v>
      </c>
      <c r="H58" s="0" t="n">
        <v>58.97</v>
      </c>
      <c r="I58" s="0" t="n">
        <v>14.14</v>
      </c>
      <c r="J58" s="0" t="n">
        <v>46.75</v>
      </c>
      <c r="K58" s="0" t="n">
        <v>1</v>
      </c>
      <c r="T58" s="0" t="n">
        <v>2</v>
      </c>
      <c r="U58" s="0" t="n">
        <v>1</v>
      </c>
      <c r="V58" s="0" t="inlineStr">
        <is>
          <t>계단식</t>
        </is>
      </c>
      <c r="W58" s="0" t="inlineStr">
        <is>
          <t>58A</t>
        </is>
      </c>
      <c r="X58" s="0" t="n">
        <v>8</v>
      </c>
      <c r="Y58" s="0" t="n">
        <v>8</v>
      </c>
      <c r="Z58" s="0" t="inlineStr">
        <is>
          <t>https://new.land.naver.com/complexes/126068?tab=detail&amp;rf=Y</t>
        </is>
      </c>
      <c r="AA58" s="0" t="inlineStr">
        <is>
          <t>충청북도 청주시 흥덕구 가경동 1704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흥덕구</t>
        </is>
      </c>
      <c r="AE58" s="0" t="inlineStr">
        <is>
          <t>가경동</t>
        </is>
      </c>
      <c r="AG58" s="0" t="inlineStr">
        <is>
          <t>충청북도 청주시 흥덕구 서부로 1303</t>
        </is>
      </c>
      <c r="AH58" s="0" t="n">
        <v>21</v>
      </c>
      <c r="AI58" s="0" t="n">
        <v>560</v>
      </c>
      <c r="AJ58" s="0" t="n">
        <v>80</v>
      </c>
      <c r="AK58" s="0" t="n">
        <v>0</v>
      </c>
      <c r="AL58" s="0" t="n">
        <v>0</v>
      </c>
    </row>
    <row r="59">
      <c r="A59" s="0" t="inlineStr">
        <is>
          <t>[가경동]</t>
        </is>
      </c>
      <c r="B59" s="0" t="n">
        <v>126068</v>
      </c>
      <c r="C59" s="0" t="n">
        <v>16</v>
      </c>
      <c r="D59" s="0" t="inlineStr">
        <is>
          <t>파워플러스(도시형)</t>
        </is>
      </c>
      <c r="E59" s="0" t="inlineStr">
        <is>
          <t>2007.03.</t>
        </is>
      </c>
      <c r="F59" s="0" t="n">
        <v>21</v>
      </c>
      <c r="G59" s="0" t="n">
        <v>18.47</v>
      </c>
      <c r="H59" s="0" t="n">
        <v>61.06</v>
      </c>
      <c r="I59" s="0" t="n">
        <v>14.64</v>
      </c>
      <c r="J59" s="0" t="n">
        <v>48.4</v>
      </c>
      <c r="K59" s="0" t="n">
        <v>2</v>
      </c>
      <c r="T59" s="0" t="n">
        <v>2</v>
      </c>
      <c r="U59" s="0" t="n">
        <v>1</v>
      </c>
      <c r="V59" s="0" t="inlineStr">
        <is>
          <t>계단식</t>
        </is>
      </c>
      <c r="W59" s="0" t="inlineStr">
        <is>
          <t>61B</t>
        </is>
      </c>
      <c r="X59" s="0" t="n">
        <v>8</v>
      </c>
      <c r="Y59" s="0" t="n">
        <v>8</v>
      </c>
      <c r="Z59" s="0" t="inlineStr">
        <is>
          <t>https://new.land.naver.com/complexes/126068?tab=detail&amp;rf=Y</t>
        </is>
      </c>
      <c r="AA59" s="0" t="inlineStr">
        <is>
          <t>충청북도 청주시 흥덕구 가경동 1704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흥덕구</t>
        </is>
      </c>
      <c r="AE59" s="0" t="inlineStr">
        <is>
          <t>가경동</t>
        </is>
      </c>
      <c r="AG59" s="0" t="inlineStr">
        <is>
          <t>충청북도 청주시 흥덕구 서부로 1303</t>
        </is>
      </c>
      <c r="AH59" s="0" t="n">
        <v>21</v>
      </c>
      <c r="AI59" s="0" t="n">
        <v>560</v>
      </c>
      <c r="AJ59" s="0" t="n">
        <v>80</v>
      </c>
      <c r="AK59" s="0" t="n">
        <v>0</v>
      </c>
      <c r="AL59" s="0" t="n">
        <v>0</v>
      </c>
    </row>
    <row r="60">
      <c r="A60" s="0" t="inlineStr">
        <is>
          <t>[가경동]</t>
        </is>
      </c>
      <c r="B60" s="0" t="n">
        <v>138275</v>
      </c>
      <c r="C60" s="0" t="n">
        <v>1</v>
      </c>
      <c r="D60" s="0" t="inlineStr">
        <is>
          <t>가경아이파크5단지</t>
        </is>
      </c>
      <c r="E60" s="0" t="inlineStr">
        <is>
          <t>2023.02.</t>
        </is>
      </c>
      <c r="F60" s="0" t="n">
        <v>925</v>
      </c>
      <c r="G60" s="0" t="n">
        <v>33.09</v>
      </c>
      <c r="H60" s="0" t="n">
        <v>109.41</v>
      </c>
      <c r="I60" s="0" t="n">
        <v>25.67</v>
      </c>
      <c r="J60" s="0" t="n">
        <v>84.88</v>
      </c>
      <c r="K60" s="0" t="n">
        <v>206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109B</t>
        </is>
      </c>
      <c r="X60" s="0" t="n">
        <v>29</v>
      </c>
      <c r="Y60" s="0" t="n">
        <v>21</v>
      </c>
      <c r="Z60" s="0" t="inlineStr">
        <is>
          <t>https://new.land.naver.com/complexes/138275?tab=detail&amp;rf=Y</t>
        </is>
      </c>
      <c r="AA60" s="0" t="inlineStr">
        <is>
          <t>충청북도 청주시 흥덕구 가경동 633-5번지 일원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흥덕구</t>
        </is>
      </c>
      <c r="AE60" s="0" t="inlineStr">
        <is>
          <t>가경동</t>
        </is>
      </c>
      <c r="AG60" s="0" t="inlineStr">
        <is>
          <t>충청북도 청주시 흥덕구</t>
        </is>
      </c>
      <c r="AH60" s="0" t="n">
        <v>0</v>
      </c>
      <c r="AI60" s="0" t="n">
        <v>0</v>
      </c>
      <c r="AJ60" s="0" t="n">
        <v>0</v>
      </c>
      <c r="AK60" s="0" t="n">
        <v>1390</v>
      </c>
      <c r="AL60" s="0" t="n">
        <v>1.5</v>
      </c>
    </row>
    <row r="61">
      <c r="A61" s="0" t="inlineStr">
        <is>
          <t>[가경동]</t>
        </is>
      </c>
      <c r="B61" s="0" t="n">
        <v>138275</v>
      </c>
      <c r="C61" s="0" t="n">
        <v>2</v>
      </c>
      <c r="D61" s="0" t="inlineStr">
        <is>
          <t>가경아이파크5단지</t>
        </is>
      </c>
      <c r="E61" s="0" t="inlineStr">
        <is>
          <t>2023.02.</t>
        </is>
      </c>
      <c r="F61" s="0" t="n">
        <v>925</v>
      </c>
      <c r="G61" s="0" t="n">
        <v>33.07</v>
      </c>
      <c r="H61" s="0" t="n">
        <v>109.34</v>
      </c>
      <c r="I61" s="0" t="n">
        <v>25.64</v>
      </c>
      <c r="J61" s="0" t="n">
        <v>84.79000000000001</v>
      </c>
      <c r="K61" s="0" t="n">
        <v>199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109A1</t>
        </is>
      </c>
      <c r="X61" s="0" t="n">
        <v>29</v>
      </c>
      <c r="Y61" s="0" t="n">
        <v>21</v>
      </c>
      <c r="Z61" s="0" t="inlineStr">
        <is>
          <t>https://new.land.naver.com/complexes/138275?tab=detail&amp;rf=Y</t>
        </is>
      </c>
      <c r="AA61" s="0" t="inlineStr">
        <is>
          <t>충청북도 청주시 흥덕구 가경동 633-5번지 일원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흥덕구</t>
        </is>
      </c>
      <c r="AE61" s="0" t="inlineStr">
        <is>
          <t>가경동</t>
        </is>
      </c>
      <c r="AG61" s="0" t="inlineStr">
        <is>
          <t>충청북도 청주시 흥덕구</t>
        </is>
      </c>
      <c r="AH61" s="0" t="n">
        <v>0</v>
      </c>
      <c r="AI61" s="0" t="n">
        <v>0</v>
      </c>
      <c r="AJ61" s="0" t="n">
        <v>0</v>
      </c>
      <c r="AK61" s="0" t="n">
        <v>1390</v>
      </c>
      <c r="AL61" s="0" t="n">
        <v>1.5</v>
      </c>
    </row>
    <row r="62">
      <c r="A62" s="0" t="inlineStr">
        <is>
          <t>[가경동]</t>
        </is>
      </c>
      <c r="B62" s="0" t="n">
        <v>138275</v>
      </c>
      <c r="C62" s="0" t="n">
        <v>3</v>
      </c>
      <c r="D62" s="0" t="inlineStr">
        <is>
          <t>가경아이파크5단지</t>
        </is>
      </c>
      <c r="E62" s="0" t="inlineStr">
        <is>
          <t>2023.02.</t>
        </is>
      </c>
      <c r="F62" s="0" t="n">
        <v>925</v>
      </c>
      <c r="G62" s="0" t="n">
        <v>33</v>
      </c>
      <c r="H62" s="0" t="n">
        <v>109.1</v>
      </c>
      <c r="I62" s="0" t="n">
        <v>25.67</v>
      </c>
      <c r="J62" s="0" t="n">
        <v>84.87</v>
      </c>
      <c r="K62" s="0" t="n">
        <v>177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109A</t>
        </is>
      </c>
      <c r="X62" s="0" t="n">
        <v>29</v>
      </c>
      <c r="Y62" s="0" t="n">
        <v>21</v>
      </c>
      <c r="Z62" s="0" t="inlineStr">
        <is>
          <t>https://new.land.naver.com/complexes/138275?tab=detail&amp;rf=Y</t>
        </is>
      </c>
      <c r="AA62" s="0" t="inlineStr">
        <is>
          <t>충청북도 청주시 흥덕구 가경동 633-5번지 일원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흥덕구</t>
        </is>
      </c>
      <c r="AE62" s="0" t="inlineStr">
        <is>
          <t>가경동</t>
        </is>
      </c>
      <c r="AG62" s="0" t="inlineStr">
        <is>
          <t>충청북도 청주시 흥덕구</t>
        </is>
      </c>
      <c r="AH62" s="0" t="n">
        <v>0</v>
      </c>
      <c r="AI62" s="0" t="n">
        <v>0</v>
      </c>
      <c r="AJ62" s="0" t="n">
        <v>0</v>
      </c>
      <c r="AK62" s="0" t="n">
        <v>1390</v>
      </c>
      <c r="AL62" s="0" t="n">
        <v>1.5</v>
      </c>
    </row>
    <row r="63">
      <c r="A63" s="0" t="inlineStr">
        <is>
          <t>[가경동]</t>
        </is>
      </c>
      <c r="B63" s="0" t="n">
        <v>138275</v>
      </c>
      <c r="C63" s="0" t="n">
        <v>4</v>
      </c>
      <c r="D63" s="0" t="inlineStr">
        <is>
          <t>가경아이파크5단지</t>
        </is>
      </c>
      <c r="E63" s="0" t="inlineStr">
        <is>
          <t>2023.02.</t>
        </is>
      </c>
      <c r="F63" s="0" t="n">
        <v>925</v>
      </c>
      <c r="G63" s="0" t="n">
        <v>39.43</v>
      </c>
      <c r="H63" s="0" t="n">
        <v>130.38</v>
      </c>
      <c r="I63" s="0" t="n">
        <v>30.71</v>
      </c>
      <c r="J63" s="0" t="n">
        <v>101.55</v>
      </c>
      <c r="K63" s="0" t="n">
        <v>237</v>
      </c>
      <c r="T63" s="0" t="n">
        <v>3</v>
      </c>
      <c r="U63" s="0" t="n">
        <v>2</v>
      </c>
      <c r="V63" s="0" t="inlineStr">
        <is>
          <t>계단식</t>
        </is>
      </c>
      <c r="W63" s="0" t="n">
        <v>130</v>
      </c>
      <c r="X63" s="0" t="n">
        <v>29</v>
      </c>
      <c r="Y63" s="0" t="n">
        <v>21</v>
      </c>
      <c r="Z63" s="0" t="inlineStr">
        <is>
          <t>https://new.land.naver.com/complexes/138275?tab=detail&amp;rf=Y</t>
        </is>
      </c>
      <c r="AA63" s="0" t="inlineStr">
        <is>
          <t>충청북도 청주시 흥덕구 가경동 633-5번지 일원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흥덕구</t>
        </is>
      </c>
      <c r="AE63" s="0" t="inlineStr">
        <is>
          <t>가경동</t>
        </is>
      </c>
      <c r="AG63" s="0" t="inlineStr">
        <is>
          <t>충청북도 청주시 흥덕구</t>
        </is>
      </c>
      <c r="AH63" s="0" t="n">
        <v>0</v>
      </c>
      <c r="AI63" s="0" t="n">
        <v>0</v>
      </c>
      <c r="AJ63" s="0" t="n">
        <v>0</v>
      </c>
      <c r="AK63" s="0" t="n">
        <v>1390</v>
      </c>
      <c r="AL63" s="0" t="n">
        <v>1.5</v>
      </c>
    </row>
    <row r="64">
      <c r="A64" s="0" t="inlineStr">
        <is>
          <t>[가경동]</t>
        </is>
      </c>
      <c r="B64" s="0" t="n">
        <v>138275</v>
      </c>
      <c r="C64" s="0" t="n">
        <v>5</v>
      </c>
      <c r="D64" s="0" t="inlineStr">
        <is>
          <t>가경아이파크5단지</t>
        </is>
      </c>
      <c r="E64" s="0" t="inlineStr">
        <is>
          <t>2023.02.</t>
        </is>
      </c>
      <c r="F64" s="0" t="n">
        <v>925</v>
      </c>
      <c r="G64" s="0" t="n">
        <v>45.04</v>
      </c>
      <c r="H64" s="0" t="n">
        <v>148.92</v>
      </c>
      <c r="I64" s="0" t="n">
        <v>35.38</v>
      </c>
      <c r="J64" s="0" t="n">
        <v>116.98</v>
      </c>
      <c r="K64" s="0" t="n">
        <v>106</v>
      </c>
      <c r="T64" s="0" t="n">
        <v>3</v>
      </c>
      <c r="U64" s="0" t="n">
        <v>2</v>
      </c>
      <c r="V64" s="0" t="inlineStr">
        <is>
          <t>계단식</t>
        </is>
      </c>
      <c r="W64" s="0" t="n">
        <v>148</v>
      </c>
      <c r="X64" s="0" t="n">
        <v>29</v>
      </c>
      <c r="Y64" s="0" t="n">
        <v>21</v>
      </c>
      <c r="Z64" s="0" t="inlineStr">
        <is>
          <t>https://new.land.naver.com/complexes/138275?tab=detail&amp;rf=Y</t>
        </is>
      </c>
      <c r="AA64" s="0" t="inlineStr">
        <is>
          <t>충청북도 청주시 흥덕구 가경동 633-5번지 일원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흥덕구</t>
        </is>
      </c>
      <c r="AE64" s="0" t="inlineStr">
        <is>
          <t>가경동</t>
        </is>
      </c>
      <c r="AG64" s="0" t="inlineStr">
        <is>
          <t>충청북도 청주시 흥덕구</t>
        </is>
      </c>
      <c r="AH64" s="0" t="n">
        <v>0</v>
      </c>
      <c r="AI64" s="0" t="n">
        <v>0</v>
      </c>
      <c r="AJ64" s="0" t="n">
        <v>0</v>
      </c>
      <c r="AK64" s="0" t="n">
        <v>1390</v>
      </c>
      <c r="AL64" s="0" t="n">
        <v>1.5</v>
      </c>
    </row>
    <row r="65">
      <c r="A65" s="0" t="inlineStr">
        <is>
          <t>[가경동]</t>
        </is>
      </c>
      <c r="B65" s="0" t="n">
        <v>7200</v>
      </c>
      <c r="C65" s="0" t="n">
        <v>1</v>
      </c>
      <c r="D65" s="0" t="inlineStr">
        <is>
          <t>대림가경</t>
        </is>
      </c>
      <c r="E65" s="0" t="inlineStr">
        <is>
          <t>1993.01.</t>
        </is>
      </c>
      <c r="F65" s="0" t="n">
        <v>386</v>
      </c>
      <c r="G65" s="0" t="n">
        <v>24.36</v>
      </c>
      <c r="H65" s="0" t="n">
        <v>80.53</v>
      </c>
      <c r="I65" s="0" t="n">
        <v>19.58</v>
      </c>
      <c r="J65" s="0" t="n">
        <v>64.73999999999999</v>
      </c>
      <c r="K65" s="0" t="n">
        <v>60</v>
      </c>
      <c r="T65" s="0" t="n">
        <v>3</v>
      </c>
      <c r="U65" s="0" t="n">
        <v>1</v>
      </c>
      <c r="V65" s="0" t="inlineStr">
        <is>
          <t>계단식</t>
        </is>
      </c>
      <c r="W65" s="0" t="n">
        <v>80</v>
      </c>
      <c r="X65" s="0" t="n">
        <v>15</v>
      </c>
      <c r="Y65" s="0" t="n">
        <v>12</v>
      </c>
      <c r="Z65" s="0" t="inlineStr">
        <is>
          <t>https://new.land.naver.com/complexes/7200?tab=detail&amp;rf=Y</t>
        </is>
      </c>
      <c r="AA65" s="0" t="inlineStr">
        <is>
          <t>충청북도 청주시 흥덕구 가경동 764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흥덕구</t>
        </is>
      </c>
      <c r="AE65" s="0" t="inlineStr">
        <is>
          <t>가경동</t>
        </is>
      </c>
      <c r="AG65" s="0" t="inlineStr">
        <is>
          <t>충청북도 청주시 흥덕구 가경로 193</t>
        </is>
      </c>
      <c r="AH65" s="0" t="n">
        <v>0</v>
      </c>
      <c r="AI65" s="0" t="n">
        <v>217</v>
      </c>
      <c r="AJ65" s="0" t="n">
        <v>19</v>
      </c>
      <c r="AK65" s="0" t="n">
        <v>321</v>
      </c>
      <c r="AL65" s="0" t="n">
        <v>0.83</v>
      </c>
    </row>
    <row r="66">
      <c r="A66" s="0" t="inlineStr">
        <is>
          <t>[가경동]</t>
        </is>
      </c>
      <c r="B66" s="0" t="n">
        <v>7200</v>
      </c>
      <c r="C66" s="0" t="n">
        <v>2</v>
      </c>
      <c r="D66" s="0" t="inlineStr">
        <is>
          <t>대림가경</t>
        </is>
      </c>
      <c r="E66" s="0" t="inlineStr">
        <is>
          <t>1993.01.</t>
        </is>
      </c>
      <c r="F66" s="0" t="n">
        <v>386</v>
      </c>
      <c r="G66" s="0" t="n">
        <v>32.13</v>
      </c>
      <c r="H66" s="0" t="n">
        <v>106.23</v>
      </c>
      <c r="I66" s="0" t="n">
        <v>25.64</v>
      </c>
      <c r="J66" s="0" t="n">
        <v>84.79000000000001</v>
      </c>
      <c r="K66" s="0" t="n">
        <v>84</v>
      </c>
      <c r="T66" s="0" t="n">
        <v>3</v>
      </c>
      <c r="U66" s="0" t="n">
        <v>2</v>
      </c>
      <c r="V66" s="0" t="inlineStr">
        <is>
          <t>계단식</t>
        </is>
      </c>
      <c r="W66" s="0" t="n">
        <v>106</v>
      </c>
      <c r="X66" s="0" t="n">
        <v>15</v>
      </c>
      <c r="Y66" s="0" t="n">
        <v>12</v>
      </c>
      <c r="Z66" s="0" t="inlineStr">
        <is>
          <t>https://new.land.naver.com/complexes/7200?tab=detail&amp;rf=Y</t>
        </is>
      </c>
      <c r="AA66" s="0" t="inlineStr">
        <is>
          <t>충청북도 청주시 흥덕구 가경동 764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흥덕구</t>
        </is>
      </c>
      <c r="AE66" s="0" t="inlineStr">
        <is>
          <t>가경동</t>
        </is>
      </c>
      <c r="AG66" s="0" t="inlineStr">
        <is>
          <t>충청북도 청주시 흥덕구 가경로 193</t>
        </is>
      </c>
      <c r="AH66" s="0" t="n">
        <v>0</v>
      </c>
      <c r="AI66" s="0" t="n">
        <v>217</v>
      </c>
      <c r="AJ66" s="0" t="n">
        <v>19</v>
      </c>
      <c r="AK66" s="0" t="n">
        <v>321</v>
      </c>
      <c r="AL66" s="0" t="n">
        <v>0.83</v>
      </c>
    </row>
    <row r="67">
      <c r="A67" s="0" t="inlineStr">
        <is>
          <t>[가경동]</t>
        </is>
      </c>
      <c r="B67" s="0" t="n">
        <v>7200</v>
      </c>
      <c r="C67" s="0" t="n">
        <v>3</v>
      </c>
      <c r="D67" s="0" t="inlineStr">
        <is>
          <t>대림가경</t>
        </is>
      </c>
      <c r="E67" s="0" t="inlineStr">
        <is>
          <t>1993.01.</t>
        </is>
      </c>
      <c r="F67" s="0" t="n">
        <v>386</v>
      </c>
      <c r="G67" s="0" t="n">
        <v>36.9</v>
      </c>
      <c r="H67" s="0" t="n">
        <v>122</v>
      </c>
      <c r="I67" s="0" t="n">
        <v>30.78</v>
      </c>
      <c r="J67" s="0" t="n">
        <v>101.77</v>
      </c>
      <c r="K67" s="0" t="n">
        <v>242</v>
      </c>
      <c r="T67" s="0" t="n">
        <v>4</v>
      </c>
      <c r="U67" s="0" t="n">
        <v>2</v>
      </c>
      <c r="V67" s="0" t="inlineStr">
        <is>
          <t>계단식</t>
        </is>
      </c>
      <c r="W67" s="0" t="n">
        <v>122</v>
      </c>
      <c r="X67" s="0" t="n">
        <v>15</v>
      </c>
      <c r="Y67" s="0" t="n">
        <v>12</v>
      </c>
      <c r="Z67" s="0" t="inlineStr">
        <is>
          <t>https://new.land.naver.com/complexes/7200?tab=detail&amp;rf=Y</t>
        </is>
      </c>
      <c r="AA67" s="0" t="inlineStr">
        <is>
          <t>충청북도 청주시 흥덕구 가경동 764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흥덕구</t>
        </is>
      </c>
      <c r="AE67" s="0" t="inlineStr">
        <is>
          <t>가경동</t>
        </is>
      </c>
      <c r="AG67" s="0" t="inlineStr">
        <is>
          <t>충청북도 청주시 흥덕구 가경로 193</t>
        </is>
      </c>
      <c r="AH67" s="0" t="n">
        <v>0</v>
      </c>
      <c r="AI67" s="0" t="n">
        <v>217</v>
      </c>
      <c r="AJ67" s="0" t="n">
        <v>19</v>
      </c>
      <c r="AK67" s="0" t="n">
        <v>321</v>
      </c>
      <c r="AL67" s="0" t="n">
        <v>0.83</v>
      </c>
    </row>
    <row r="68">
      <c r="A68" s="0" t="inlineStr">
        <is>
          <t>[가경동]</t>
        </is>
      </c>
      <c r="B68" s="0" t="n">
        <v>114461</v>
      </c>
      <c r="C68" s="0" t="n">
        <v>1</v>
      </c>
      <c r="D68" s="0" t="inlineStr">
        <is>
          <t>청주가경아이파크</t>
        </is>
      </c>
      <c r="E68" s="0" t="inlineStr">
        <is>
          <t>2019.04.</t>
        </is>
      </c>
      <c r="F68" s="0" t="n">
        <v>905</v>
      </c>
      <c r="G68" s="0" t="n">
        <v>24</v>
      </c>
      <c r="H68" s="0" t="n">
        <v>79.34</v>
      </c>
      <c r="I68" s="0" t="n">
        <v>18.09</v>
      </c>
      <c r="J68" s="0" t="n">
        <v>59.81</v>
      </c>
      <c r="K68" s="0" t="n">
        <v>240</v>
      </c>
      <c r="T68" s="0" t="n">
        <v>3</v>
      </c>
      <c r="U68" s="0" t="n">
        <v>2</v>
      </c>
      <c r="V68" s="0" t="inlineStr">
        <is>
          <t>계단식</t>
        </is>
      </c>
      <c r="W68" s="0" t="n">
        <v>79</v>
      </c>
      <c r="X68" s="0" t="n">
        <v>29</v>
      </c>
      <c r="Y68" s="0" t="n">
        <v>19</v>
      </c>
      <c r="Z68" s="0" t="inlineStr">
        <is>
          <t>https://new.land.naver.com/complexes/114461?tab=detail&amp;rf=Y</t>
        </is>
      </c>
      <c r="AA68" s="0" t="inlineStr">
        <is>
          <t>충청북도 청주시 흥덕구 가경동 2220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흥덕구</t>
        </is>
      </c>
      <c r="AE68" s="0" t="inlineStr">
        <is>
          <t>가경동</t>
        </is>
      </c>
      <c r="AG68" s="0" t="inlineStr">
        <is>
          <t>충청북도 청주시 흥덕구 서현로 66</t>
        </is>
      </c>
      <c r="AH68" s="0" t="n">
        <v>0</v>
      </c>
      <c r="AI68" s="0" t="n">
        <v>229</v>
      </c>
      <c r="AJ68" s="0" t="n">
        <v>14</v>
      </c>
      <c r="AK68" s="0" t="n">
        <v>1188</v>
      </c>
      <c r="AL68" s="0" t="n">
        <v>1.31</v>
      </c>
    </row>
    <row r="69">
      <c r="A69" s="0" t="inlineStr">
        <is>
          <t>[가경동]</t>
        </is>
      </c>
      <c r="B69" s="0" t="n">
        <v>114461</v>
      </c>
      <c r="C69" s="0" t="n">
        <v>2</v>
      </c>
      <c r="D69" s="0" t="inlineStr">
        <is>
          <t>청주가경아이파크</t>
        </is>
      </c>
      <c r="E69" s="0" t="inlineStr">
        <is>
          <t>2019.04.</t>
        </is>
      </c>
      <c r="F69" s="0" t="n">
        <v>905</v>
      </c>
      <c r="G69" s="0" t="n">
        <v>28.94</v>
      </c>
      <c r="H69" s="0" t="n">
        <v>95.69</v>
      </c>
      <c r="I69" s="0" t="n">
        <v>21.94</v>
      </c>
      <c r="J69" s="0" t="n">
        <v>72.53</v>
      </c>
      <c r="K69" s="0" t="n">
        <v>152</v>
      </c>
      <c r="T69" s="0" t="n">
        <v>3</v>
      </c>
      <c r="U69" s="0" t="n">
        <v>2</v>
      </c>
      <c r="V69" s="0" t="inlineStr">
        <is>
          <t>계단식</t>
        </is>
      </c>
      <c r="W69" s="0" t="n">
        <v>95</v>
      </c>
      <c r="X69" s="0" t="n">
        <v>29</v>
      </c>
      <c r="Y69" s="0" t="n">
        <v>19</v>
      </c>
      <c r="Z69" s="0" t="inlineStr">
        <is>
          <t>https://new.land.naver.com/complexes/114461?tab=detail&amp;rf=Y</t>
        </is>
      </c>
      <c r="AA69" s="0" t="inlineStr">
        <is>
          <t>충청북도 청주시 흥덕구 가경동 2220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흥덕구</t>
        </is>
      </c>
      <c r="AE69" s="0" t="inlineStr">
        <is>
          <t>가경동</t>
        </is>
      </c>
      <c r="AG69" s="0" t="inlineStr">
        <is>
          <t>충청북도 청주시 흥덕구 서현로 66</t>
        </is>
      </c>
      <c r="AH69" s="0" t="n">
        <v>0</v>
      </c>
      <c r="AI69" s="0" t="n">
        <v>229</v>
      </c>
      <c r="AJ69" s="0" t="n">
        <v>14</v>
      </c>
      <c r="AK69" s="0" t="n">
        <v>1188</v>
      </c>
      <c r="AL69" s="0" t="n">
        <v>1.31</v>
      </c>
    </row>
    <row r="70">
      <c r="A70" s="0" t="inlineStr">
        <is>
          <t>[가경동]</t>
        </is>
      </c>
      <c r="B70" s="0" t="n">
        <v>114461</v>
      </c>
      <c r="C70" s="0" t="n">
        <v>3</v>
      </c>
      <c r="D70" s="0" t="inlineStr">
        <is>
          <t>청주가경아이파크</t>
        </is>
      </c>
      <c r="E70" s="0" t="inlineStr">
        <is>
          <t>2019.04.</t>
        </is>
      </c>
      <c r="F70" s="0" t="n">
        <v>905</v>
      </c>
      <c r="G70" s="0" t="n">
        <v>33.35</v>
      </c>
      <c r="H70" s="0" t="n">
        <v>110.25</v>
      </c>
      <c r="I70" s="0" t="n">
        <v>25.61</v>
      </c>
      <c r="J70" s="0" t="n">
        <v>84.69</v>
      </c>
      <c r="K70" s="0" t="n">
        <v>413</v>
      </c>
      <c r="T70" s="0" t="n">
        <v>4</v>
      </c>
      <c r="U70" s="0" t="n">
        <v>2</v>
      </c>
      <c r="V70" s="0" t="inlineStr">
        <is>
          <t>계단식</t>
        </is>
      </c>
      <c r="W70" s="0" t="n">
        <v>110</v>
      </c>
      <c r="X70" s="0" t="n">
        <v>29</v>
      </c>
      <c r="Y70" s="0" t="n">
        <v>19</v>
      </c>
      <c r="Z70" s="0" t="inlineStr">
        <is>
          <t>https://new.land.naver.com/complexes/114461?tab=detail&amp;rf=Y</t>
        </is>
      </c>
      <c r="AA70" s="0" t="inlineStr">
        <is>
          <t>충청북도 청주시 흥덕구 가경동 2220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흥덕구</t>
        </is>
      </c>
      <c r="AE70" s="0" t="inlineStr">
        <is>
          <t>가경동</t>
        </is>
      </c>
      <c r="AG70" s="0" t="inlineStr">
        <is>
          <t>충청북도 청주시 흥덕구 서현로 66</t>
        </is>
      </c>
      <c r="AH70" s="0" t="n">
        <v>0</v>
      </c>
      <c r="AI70" s="0" t="n">
        <v>229</v>
      </c>
      <c r="AJ70" s="0" t="n">
        <v>14</v>
      </c>
      <c r="AK70" s="0" t="n">
        <v>1188</v>
      </c>
      <c r="AL70" s="0" t="n">
        <v>1.31</v>
      </c>
    </row>
    <row r="71">
      <c r="A71" s="0" t="inlineStr">
        <is>
          <t>[가경동]</t>
        </is>
      </c>
      <c r="B71" s="0" t="n">
        <v>114461</v>
      </c>
      <c r="C71" s="0" t="n">
        <v>4</v>
      </c>
      <c r="D71" s="0" t="inlineStr">
        <is>
          <t>청주가경아이파크</t>
        </is>
      </c>
      <c r="E71" s="0" t="inlineStr">
        <is>
          <t>2019.04.</t>
        </is>
      </c>
      <c r="F71" s="0" t="n">
        <v>905</v>
      </c>
      <c r="G71" s="0" t="n">
        <v>38.8</v>
      </c>
      <c r="H71" s="0" t="n">
        <v>128.28</v>
      </c>
      <c r="I71" s="0" t="n">
        <v>29.89</v>
      </c>
      <c r="J71" s="0" t="n">
        <v>98.81</v>
      </c>
      <c r="K71" s="0" t="n">
        <v>47</v>
      </c>
      <c r="T71" s="0" t="n">
        <v>4</v>
      </c>
      <c r="U71" s="0" t="n">
        <v>2</v>
      </c>
      <c r="V71" s="0" t="inlineStr">
        <is>
          <t>계단식</t>
        </is>
      </c>
      <c r="W71" s="0" t="n">
        <v>128</v>
      </c>
      <c r="X71" s="0" t="n">
        <v>29</v>
      </c>
      <c r="Y71" s="0" t="n">
        <v>19</v>
      </c>
      <c r="Z71" s="0" t="inlineStr">
        <is>
          <t>https://new.land.naver.com/complexes/114461?tab=detail&amp;rf=Y</t>
        </is>
      </c>
      <c r="AA71" s="0" t="inlineStr">
        <is>
          <t>충청북도 청주시 흥덕구 가경동 2220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흥덕구</t>
        </is>
      </c>
      <c r="AE71" s="0" t="inlineStr">
        <is>
          <t>가경동</t>
        </is>
      </c>
      <c r="AG71" s="0" t="inlineStr">
        <is>
          <t>충청북도 청주시 흥덕구 서현로 66</t>
        </is>
      </c>
      <c r="AH71" s="0" t="n">
        <v>0</v>
      </c>
      <c r="AI71" s="0" t="n">
        <v>229</v>
      </c>
      <c r="AJ71" s="0" t="n">
        <v>14</v>
      </c>
      <c r="AK71" s="0" t="n">
        <v>1188</v>
      </c>
      <c r="AL71" s="0" t="n">
        <v>1.31</v>
      </c>
    </row>
    <row r="72">
      <c r="A72" s="0" t="inlineStr">
        <is>
          <t>[가경동]</t>
        </is>
      </c>
      <c r="B72" s="0" t="n">
        <v>114461</v>
      </c>
      <c r="C72" s="0" t="n">
        <v>5</v>
      </c>
      <c r="D72" s="0" t="inlineStr">
        <is>
          <t>청주가경아이파크</t>
        </is>
      </c>
      <c r="E72" s="0" t="inlineStr">
        <is>
          <t>2019.04.</t>
        </is>
      </c>
      <c r="F72" s="0" t="n">
        <v>905</v>
      </c>
      <c r="G72" s="0" t="n">
        <v>43.86</v>
      </c>
      <c r="H72" s="0" t="n">
        <v>145.02</v>
      </c>
      <c r="I72" s="0" t="n">
        <v>34.04</v>
      </c>
      <c r="J72" s="0" t="n">
        <v>112.54</v>
      </c>
      <c r="K72" s="0" t="n">
        <v>39</v>
      </c>
      <c r="T72" s="0" t="n">
        <v>4</v>
      </c>
      <c r="U72" s="0" t="n">
        <v>2</v>
      </c>
      <c r="V72" s="0" t="inlineStr">
        <is>
          <t>계단식</t>
        </is>
      </c>
      <c r="W72" s="0" t="inlineStr">
        <is>
          <t>145A</t>
        </is>
      </c>
      <c r="X72" s="0" t="n">
        <v>29</v>
      </c>
      <c r="Y72" s="0" t="n">
        <v>19</v>
      </c>
      <c r="Z72" s="0" t="inlineStr">
        <is>
          <t>https://new.land.naver.com/complexes/114461?tab=detail&amp;rf=Y</t>
        </is>
      </c>
      <c r="AA72" s="0" t="inlineStr">
        <is>
          <t>충청북도 청주시 흥덕구 가경동 2220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흥덕구</t>
        </is>
      </c>
      <c r="AE72" s="0" t="inlineStr">
        <is>
          <t>가경동</t>
        </is>
      </c>
      <c r="AG72" s="0" t="inlineStr">
        <is>
          <t>충청북도 청주시 흥덕구 서현로 66</t>
        </is>
      </c>
      <c r="AH72" s="0" t="n">
        <v>0</v>
      </c>
      <c r="AI72" s="0" t="n">
        <v>229</v>
      </c>
      <c r="AJ72" s="0" t="n">
        <v>14</v>
      </c>
      <c r="AK72" s="0" t="n">
        <v>1188</v>
      </c>
      <c r="AL72" s="0" t="n">
        <v>1.31</v>
      </c>
    </row>
    <row r="73">
      <c r="A73" s="0" t="inlineStr">
        <is>
          <t>[가경동]</t>
        </is>
      </c>
      <c r="B73" s="0" t="n">
        <v>114461</v>
      </c>
      <c r="C73" s="0" t="n">
        <v>6</v>
      </c>
      <c r="D73" s="0" t="inlineStr">
        <is>
          <t>청주가경아이파크</t>
        </is>
      </c>
      <c r="E73" s="0" t="inlineStr">
        <is>
          <t>2019.04.</t>
        </is>
      </c>
      <c r="F73" s="0" t="n">
        <v>905</v>
      </c>
      <c r="G73" s="0" t="n">
        <v>44.11</v>
      </c>
      <c r="H73" s="0" t="n">
        <v>145.83</v>
      </c>
      <c r="I73" s="0" t="n">
        <v>33.89</v>
      </c>
      <c r="J73" s="0" t="n">
        <v>112.04</v>
      </c>
      <c r="K73" s="0" t="n">
        <v>2</v>
      </c>
      <c r="T73" s="0" t="n">
        <v>5</v>
      </c>
      <c r="U73" s="0" t="n">
        <v>3</v>
      </c>
      <c r="V73" s="0" t="inlineStr">
        <is>
          <t>계단식</t>
        </is>
      </c>
      <c r="W73" s="0" t="inlineStr">
        <is>
          <t>145B</t>
        </is>
      </c>
      <c r="X73" s="0" t="n">
        <v>29</v>
      </c>
      <c r="Y73" s="0" t="n">
        <v>19</v>
      </c>
      <c r="Z73" s="0" t="inlineStr">
        <is>
          <t>https://new.land.naver.com/complexes/114461?tab=detail&amp;rf=Y</t>
        </is>
      </c>
      <c r="AA73" s="0" t="inlineStr">
        <is>
          <t>충청북도 청주시 흥덕구 가경동 2220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흥덕구</t>
        </is>
      </c>
      <c r="AE73" s="0" t="inlineStr">
        <is>
          <t>가경동</t>
        </is>
      </c>
      <c r="AG73" s="0" t="inlineStr">
        <is>
          <t>충청북도 청주시 흥덕구 서현로 66</t>
        </is>
      </c>
      <c r="AH73" s="0" t="n">
        <v>0</v>
      </c>
      <c r="AI73" s="0" t="n">
        <v>229</v>
      </c>
      <c r="AJ73" s="0" t="n">
        <v>14</v>
      </c>
      <c r="AK73" s="0" t="n">
        <v>1188</v>
      </c>
      <c r="AL73" s="0" t="n">
        <v>1.31</v>
      </c>
    </row>
    <row r="74">
      <c r="A74" s="0" t="inlineStr">
        <is>
          <t>[가경동]</t>
        </is>
      </c>
      <c r="B74" s="0" t="n">
        <v>114461</v>
      </c>
      <c r="C74" s="0" t="n">
        <v>7</v>
      </c>
      <c r="D74" s="0" t="inlineStr">
        <is>
          <t>청주가경아이파크</t>
        </is>
      </c>
      <c r="E74" s="0" t="inlineStr">
        <is>
          <t>2019.04.</t>
        </is>
      </c>
      <c r="F74" s="0" t="n">
        <v>905</v>
      </c>
      <c r="G74" s="0" t="n">
        <v>45.07</v>
      </c>
      <c r="H74" s="0" t="n">
        <v>149.01</v>
      </c>
      <c r="I74" s="0" t="n">
        <v>34.64</v>
      </c>
      <c r="J74" s="0" t="n">
        <v>114.52</v>
      </c>
      <c r="K74" s="0" t="n">
        <v>12</v>
      </c>
      <c r="T74" s="0" t="n">
        <v>5</v>
      </c>
      <c r="U74" s="0" t="n">
        <v>3</v>
      </c>
      <c r="V74" s="0" t="inlineStr">
        <is>
          <t>계단식</t>
        </is>
      </c>
      <c r="W74" s="0" t="n">
        <v>149</v>
      </c>
      <c r="X74" s="0" t="n">
        <v>29</v>
      </c>
      <c r="Y74" s="0" t="n">
        <v>19</v>
      </c>
      <c r="Z74" s="0" t="inlineStr">
        <is>
          <t>https://new.land.naver.com/complexes/114461?tab=detail&amp;rf=Y</t>
        </is>
      </c>
      <c r="AA74" s="0" t="inlineStr">
        <is>
          <t>충청북도 청주시 흥덕구 가경동 2220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흥덕구</t>
        </is>
      </c>
      <c r="AE74" s="0" t="inlineStr">
        <is>
          <t>가경동</t>
        </is>
      </c>
      <c r="AG74" s="0" t="inlineStr">
        <is>
          <t>충청북도 청주시 흥덕구 서현로 66</t>
        </is>
      </c>
      <c r="AH74" s="0" t="n">
        <v>0</v>
      </c>
      <c r="AI74" s="0" t="n">
        <v>229</v>
      </c>
      <c r="AJ74" s="0" t="n">
        <v>14</v>
      </c>
      <c r="AK74" s="0" t="n">
        <v>1188</v>
      </c>
      <c r="AL74" s="0" t="n">
        <v>1.31</v>
      </c>
    </row>
    <row r="75">
      <c r="A75" s="0" t="inlineStr">
        <is>
          <t>[가경동]</t>
        </is>
      </c>
      <c r="B75" s="0" t="n">
        <v>7234</v>
      </c>
      <c r="C75" s="0" t="n">
        <v>1</v>
      </c>
      <c r="D75" s="0" t="inlineStr">
        <is>
          <t>가경형석2차</t>
        </is>
      </c>
      <c r="E75" s="0" t="inlineStr">
        <is>
          <t>1993.11.</t>
        </is>
      </c>
      <c r="F75" s="0" t="n">
        <v>370</v>
      </c>
      <c r="G75" s="0" t="n">
        <v>23.43</v>
      </c>
      <c r="H75" s="0" t="n">
        <v>77.47</v>
      </c>
      <c r="I75" s="0" t="n">
        <v>18.77</v>
      </c>
      <c r="J75" s="0" t="n">
        <v>62.07</v>
      </c>
      <c r="K75" s="0" t="n">
        <v>78</v>
      </c>
      <c r="T75" s="0" t="n">
        <v>3</v>
      </c>
      <c r="U75" s="0" t="n">
        <v>1</v>
      </c>
      <c r="V75" s="0" t="inlineStr">
        <is>
          <t>계단식</t>
        </is>
      </c>
      <c r="W75" s="0" t="n">
        <v>77</v>
      </c>
      <c r="X75" s="0" t="n">
        <v>14</v>
      </c>
      <c r="Y75" s="0" t="n">
        <v>12</v>
      </c>
      <c r="Z75" s="0" t="inlineStr">
        <is>
          <t>https://new.land.naver.com/complexes/7234?tab=detail&amp;rf=Y</t>
        </is>
      </c>
      <c r="AA75" s="0" t="inlineStr">
        <is>
          <t>충청북도 청주시 흥덕구 가경동 766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흥덕구</t>
        </is>
      </c>
      <c r="AE75" s="0" t="inlineStr">
        <is>
          <t>가경동</t>
        </is>
      </c>
      <c r="AG75" s="0" t="inlineStr">
        <is>
          <t>충청북도 청주시 흥덕구 가경로 188</t>
        </is>
      </c>
      <c r="AH75" s="0" t="n">
        <v>0</v>
      </c>
      <c r="AI75" s="0" t="n">
        <v>211</v>
      </c>
      <c r="AJ75" s="0" t="n">
        <v>22</v>
      </c>
      <c r="AK75" s="0" t="n">
        <v>397</v>
      </c>
      <c r="AL75" s="0" t="n">
        <v>1.07</v>
      </c>
    </row>
    <row r="76">
      <c r="A76" s="0" t="inlineStr">
        <is>
          <t>[가경동]</t>
        </is>
      </c>
      <c r="B76" s="0" t="n">
        <v>7234</v>
      </c>
      <c r="C76" s="0" t="n">
        <v>2</v>
      </c>
      <c r="D76" s="0" t="inlineStr">
        <is>
          <t>가경형석2차</t>
        </is>
      </c>
      <c r="E76" s="0" t="inlineStr">
        <is>
          <t>1993.11.</t>
        </is>
      </c>
      <c r="F76" s="0" t="n">
        <v>370</v>
      </c>
      <c r="G76" s="0" t="n">
        <v>30.92</v>
      </c>
      <c r="H76" s="0" t="n">
        <v>102.24</v>
      </c>
      <c r="I76" s="0" t="n">
        <v>25.18</v>
      </c>
      <c r="J76" s="0" t="n">
        <v>83.25</v>
      </c>
      <c r="K76" s="0" t="n">
        <v>292</v>
      </c>
      <c r="T76" s="0" t="n">
        <v>3</v>
      </c>
      <c r="U76" s="0" t="n">
        <v>2</v>
      </c>
      <c r="V76" s="0" t="inlineStr">
        <is>
          <t>계단식</t>
        </is>
      </c>
      <c r="W76" s="0" t="n">
        <v>102</v>
      </c>
      <c r="X76" s="0" t="n">
        <v>14</v>
      </c>
      <c r="Y76" s="0" t="n">
        <v>12</v>
      </c>
      <c r="Z76" s="0" t="inlineStr">
        <is>
          <t>https://new.land.naver.com/complexes/7234?tab=detail&amp;rf=Y</t>
        </is>
      </c>
      <c r="AA76" s="0" t="inlineStr">
        <is>
          <t>충청북도 청주시 흥덕구 가경동 766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흥덕구</t>
        </is>
      </c>
      <c r="AE76" s="0" t="inlineStr">
        <is>
          <t>가경동</t>
        </is>
      </c>
      <c r="AG76" s="0" t="inlineStr">
        <is>
          <t>충청북도 청주시 흥덕구 가경로 188</t>
        </is>
      </c>
      <c r="AH76" s="0" t="n">
        <v>0</v>
      </c>
      <c r="AI76" s="0" t="n">
        <v>211</v>
      </c>
      <c r="AJ76" s="0" t="n">
        <v>22</v>
      </c>
      <c r="AK76" s="0" t="n">
        <v>397</v>
      </c>
      <c r="AL76" s="0" t="n">
        <v>1.07</v>
      </c>
    </row>
    <row r="77">
      <c r="A77" s="0" t="inlineStr">
        <is>
          <t>[가경동]</t>
        </is>
      </c>
      <c r="B77" s="0" t="n">
        <v>7220</v>
      </c>
      <c r="C77" s="0" t="n">
        <v>1</v>
      </c>
      <c r="D77" s="0" t="inlineStr">
        <is>
          <t>세원가경골</t>
        </is>
      </c>
      <c r="E77" s="0" t="inlineStr">
        <is>
          <t>1997.08.</t>
        </is>
      </c>
      <c r="F77" s="0" t="n">
        <v>952</v>
      </c>
      <c r="G77" s="0" t="n">
        <v>18.64</v>
      </c>
      <c r="H77" s="0" t="n">
        <v>61.62</v>
      </c>
      <c r="I77" s="0" t="n">
        <v>12.65</v>
      </c>
      <c r="J77" s="0" t="n">
        <v>41.85</v>
      </c>
      <c r="K77" s="0" t="n">
        <v>126</v>
      </c>
      <c r="T77" s="0" t="n">
        <v>2</v>
      </c>
      <c r="U77" s="0" t="n">
        <v>1</v>
      </c>
      <c r="V77" s="0" t="inlineStr">
        <is>
          <t>복도식</t>
        </is>
      </c>
      <c r="W77" s="0" t="n">
        <v>61</v>
      </c>
      <c r="X77" s="0" t="n">
        <v>15</v>
      </c>
      <c r="Y77" s="0" t="n">
        <v>14</v>
      </c>
      <c r="Z77" s="0" t="inlineStr">
        <is>
          <t>https://new.land.naver.com/complexes/7220?tab=detail&amp;rf=Y</t>
        </is>
      </c>
      <c r="AA77" s="0" t="inlineStr">
        <is>
          <t>충청북도 청주시 흥덕구 가경동 1510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흥덕구</t>
        </is>
      </c>
      <c r="AE77" s="0" t="inlineStr">
        <is>
          <t>가경동</t>
        </is>
      </c>
      <c r="AG77" s="0" t="inlineStr">
        <is>
          <t>충청북도 청주시 흥덕구 가경로 134</t>
        </is>
      </c>
      <c r="AH77" s="0" t="n">
        <v>0</v>
      </c>
      <c r="AI77" s="0" t="n">
        <v>209</v>
      </c>
      <c r="AJ77" s="0" t="n">
        <v>22</v>
      </c>
      <c r="AK77" s="0" t="n">
        <v>890</v>
      </c>
      <c r="AL77" s="0" t="n">
        <v>0.93</v>
      </c>
    </row>
    <row r="78">
      <c r="A78" s="0" t="inlineStr">
        <is>
          <t>[가경동]</t>
        </is>
      </c>
      <c r="B78" s="0" t="n">
        <v>7220</v>
      </c>
      <c r="C78" s="0" t="n">
        <v>2</v>
      </c>
      <c r="D78" s="0" t="inlineStr">
        <is>
          <t>세원가경골</t>
        </is>
      </c>
      <c r="E78" s="0" t="inlineStr">
        <is>
          <t>1997.08.</t>
        </is>
      </c>
      <c r="F78" s="0" t="n">
        <v>952</v>
      </c>
      <c r="G78" s="0" t="n">
        <v>22.86</v>
      </c>
      <c r="H78" s="0" t="n">
        <v>75.58</v>
      </c>
      <c r="I78" s="0" t="n">
        <v>18.07</v>
      </c>
      <c r="J78" s="0" t="n">
        <v>59.76</v>
      </c>
      <c r="K78" s="0" t="n">
        <v>826</v>
      </c>
      <c r="T78" s="0" t="n">
        <v>3</v>
      </c>
      <c r="U78" s="0" t="n">
        <v>1</v>
      </c>
      <c r="V78" s="0" t="inlineStr">
        <is>
          <t>계단식</t>
        </is>
      </c>
      <c r="W78" s="0" t="n">
        <v>75</v>
      </c>
      <c r="X78" s="0" t="n">
        <v>15</v>
      </c>
      <c r="Y78" s="0" t="n">
        <v>14</v>
      </c>
      <c r="Z78" s="0" t="inlineStr">
        <is>
          <t>https://new.land.naver.com/complexes/7220?tab=detail&amp;rf=Y</t>
        </is>
      </c>
      <c r="AA78" s="0" t="inlineStr">
        <is>
          <t>충청북도 청주시 흥덕구 가경동 1510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흥덕구</t>
        </is>
      </c>
      <c r="AE78" s="0" t="inlineStr">
        <is>
          <t>가경동</t>
        </is>
      </c>
      <c r="AG78" s="0" t="inlineStr">
        <is>
          <t>충청북도 청주시 흥덕구 가경로 134</t>
        </is>
      </c>
      <c r="AH78" s="0" t="n">
        <v>0</v>
      </c>
      <c r="AI78" s="0" t="n">
        <v>209</v>
      </c>
      <c r="AJ78" s="0" t="n">
        <v>22</v>
      </c>
      <c r="AK78" s="0" t="n">
        <v>890</v>
      </c>
      <c r="AL78" s="0" t="n">
        <v>0.93</v>
      </c>
    </row>
    <row r="79">
      <c r="A79" s="0" t="inlineStr">
        <is>
          <t>[가경동]</t>
        </is>
      </c>
      <c r="B79" s="0" t="n">
        <v>7230</v>
      </c>
      <c r="C79" s="0" t="n">
        <v>1</v>
      </c>
      <c r="D79" s="0" t="inlineStr">
        <is>
          <t>형석1차</t>
        </is>
      </c>
      <c r="E79" s="0" t="inlineStr">
        <is>
          <t>1992.12.</t>
        </is>
      </c>
      <c r="F79" s="0" t="n">
        <v>600</v>
      </c>
      <c r="G79" s="0" t="n">
        <v>24.38</v>
      </c>
      <c r="H79" s="0" t="n">
        <v>80.62</v>
      </c>
      <c r="I79" s="0" t="n">
        <v>17.95</v>
      </c>
      <c r="J79" s="0" t="n">
        <v>59.34</v>
      </c>
      <c r="K79" s="0" t="n">
        <v>300</v>
      </c>
      <c r="T79" s="0" t="n">
        <v>3</v>
      </c>
      <c r="U79" s="0" t="n">
        <v>1</v>
      </c>
      <c r="V79" s="0" t="inlineStr">
        <is>
          <t>계단식</t>
        </is>
      </c>
      <c r="W79" s="0" t="n">
        <v>80</v>
      </c>
      <c r="X79" s="0" t="n">
        <v>15</v>
      </c>
      <c r="Y79" s="0" t="n">
        <v>15</v>
      </c>
      <c r="Z79" s="0" t="inlineStr">
        <is>
          <t>https://new.land.naver.com/complexes/7230?tab=detail&amp;rf=Y</t>
        </is>
      </c>
      <c r="AA79" s="0" t="inlineStr">
        <is>
          <t>충청북도 청주시 흥덕구 가경동 1189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흥덕구</t>
        </is>
      </c>
      <c r="AE79" s="0" t="inlineStr">
        <is>
          <t>가경동</t>
        </is>
      </c>
      <c r="AG79" s="0" t="inlineStr">
        <is>
          <t>충청북도 청주시 흥덕구 가경로 158</t>
        </is>
      </c>
      <c r="AH79" s="0" t="n">
        <v>0</v>
      </c>
      <c r="AI79" s="0" t="n">
        <v>240</v>
      </c>
      <c r="AJ79" s="0" t="n">
        <v>23</v>
      </c>
      <c r="AK79" s="0" t="n">
        <v>377</v>
      </c>
      <c r="AL79" s="0" t="n">
        <v>0.63</v>
      </c>
    </row>
    <row r="80">
      <c r="A80" s="0" t="inlineStr">
        <is>
          <t>[가경동]</t>
        </is>
      </c>
      <c r="B80" s="0" t="n">
        <v>7230</v>
      </c>
      <c r="C80" s="0" t="n">
        <v>2</v>
      </c>
      <c r="D80" s="0" t="inlineStr">
        <is>
          <t>형석1차</t>
        </is>
      </c>
      <c r="E80" s="0" t="inlineStr">
        <is>
          <t>1992.12.</t>
        </is>
      </c>
      <c r="F80" s="0" t="n">
        <v>600</v>
      </c>
      <c r="G80" s="0" t="n">
        <v>26.55</v>
      </c>
      <c r="H80" s="0" t="n">
        <v>87.78</v>
      </c>
      <c r="I80" s="0" t="n">
        <v>21.96</v>
      </c>
      <c r="J80" s="0" t="n">
        <v>72.61</v>
      </c>
      <c r="K80" s="0" t="n">
        <v>300</v>
      </c>
      <c r="T80" s="0" t="n">
        <v>3</v>
      </c>
      <c r="U80" s="0" t="n">
        <v>1</v>
      </c>
      <c r="V80" s="0" t="inlineStr">
        <is>
          <t>계단식</t>
        </is>
      </c>
      <c r="W80" s="0" t="n">
        <v>87</v>
      </c>
      <c r="X80" s="0" t="n">
        <v>15</v>
      </c>
      <c r="Y80" s="0" t="n">
        <v>15</v>
      </c>
      <c r="Z80" s="0" t="inlineStr">
        <is>
          <t>https://new.land.naver.com/complexes/7230?tab=detail&amp;rf=Y</t>
        </is>
      </c>
      <c r="AA80" s="0" t="inlineStr">
        <is>
          <t>충청북도 청주시 흥덕구 가경동 1189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흥덕구</t>
        </is>
      </c>
      <c r="AE80" s="0" t="inlineStr">
        <is>
          <t>가경동</t>
        </is>
      </c>
      <c r="AG80" s="0" t="inlineStr">
        <is>
          <t>충청북도 청주시 흥덕구 가경로 158</t>
        </is>
      </c>
      <c r="AH80" s="0" t="n">
        <v>0</v>
      </c>
      <c r="AI80" s="0" t="n">
        <v>240</v>
      </c>
      <c r="AJ80" s="0" t="n">
        <v>23</v>
      </c>
      <c r="AK80" s="0" t="n">
        <v>377</v>
      </c>
      <c r="AL80" s="0" t="n">
        <v>0.63</v>
      </c>
    </row>
    <row r="81">
      <c r="A81" s="0" t="inlineStr">
        <is>
          <t>[가경동]</t>
        </is>
      </c>
      <c r="B81" s="0" t="n">
        <v>7208</v>
      </c>
      <c r="C81" s="0" t="n">
        <v>1</v>
      </c>
      <c r="D81" s="0" t="inlineStr">
        <is>
          <t>벽산</t>
        </is>
      </c>
      <c r="E81" s="0" t="inlineStr">
        <is>
          <t>1992.12.</t>
        </is>
      </c>
      <c r="F81" s="0" t="n">
        <v>380</v>
      </c>
      <c r="G81" s="0" t="n">
        <v>34.55</v>
      </c>
      <c r="H81" s="0" t="n">
        <v>114.24</v>
      </c>
      <c r="I81" s="0" t="n">
        <v>28.9</v>
      </c>
      <c r="J81" s="0" t="n">
        <v>95.55</v>
      </c>
      <c r="K81" s="0" t="n">
        <v>240</v>
      </c>
      <c r="T81" s="0" t="n">
        <v>3</v>
      </c>
      <c r="U81" s="0" t="n">
        <v>2</v>
      </c>
      <c r="V81" s="0" t="inlineStr">
        <is>
          <t>계단식</t>
        </is>
      </c>
      <c r="W81" s="0" t="n">
        <v>114</v>
      </c>
      <c r="X81" s="0" t="n">
        <v>14</v>
      </c>
      <c r="Y81" s="0" t="n">
        <v>13</v>
      </c>
      <c r="Z81" s="0" t="inlineStr">
        <is>
          <t>https://new.land.naver.com/complexes/7208?tab=detail&amp;rf=Y</t>
        </is>
      </c>
      <c r="AA81" s="0" t="inlineStr">
        <is>
          <t>충청북도 청주시 흥덕구 가경동 762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흥덕구</t>
        </is>
      </c>
      <c r="AE81" s="0" t="inlineStr">
        <is>
          <t>가경동</t>
        </is>
      </c>
      <c r="AG81" s="0" t="inlineStr">
        <is>
          <t>충청북도 청주시 흥덕구 가경로189번길 52</t>
        </is>
      </c>
      <c r="AH81" s="0" t="n">
        <v>0</v>
      </c>
      <c r="AI81" s="0" t="n">
        <v>219</v>
      </c>
      <c r="AJ81" s="0" t="n">
        <v>20</v>
      </c>
      <c r="AK81" s="0" t="n">
        <v>363</v>
      </c>
      <c r="AL81" s="0" t="n">
        <v>0.96</v>
      </c>
    </row>
    <row r="82">
      <c r="A82" s="0" t="inlineStr">
        <is>
          <t>[가경동]</t>
        </is>
      </c>
      <c r="B82" s="0" t="n">
        <v>7208</v>
      </c>
      <c r="C82" s="0" t="n">
        <v>2</v>
      </c>
      <c r="D82" s="0" t="inlineStr">
        <is>
          <t>벽산</t>
        </is>
      </c>
      <c r="E82" s="0" t="inlineStr">
        <is>
          <t>1992.12.</t>
        </is>
      </c>
      <c r="F82" s="0" t="n">
        <v>380</v>
      </c>
      <c r="G82" s="0" t="n">
        <v>44.01</v>
      </c>
      <c r="H82" s="0" t="n">
        <v>145.49</v>
      </c>
      <c r="I82" s="0" t="n">
        <v>37.7</v>
      </c>
      <c r="J82" s="0" t="n">
        <v>124.65</v>
      </c>
      <c r="K82" s="0" t="n">
        <v>140</v>
      </c>
      <c r="T82" s="0" t="n">
        <v>4</v>
      </c>
      <c r="U82" s="0" t="n">
        <v>2</v>
      </c>
      <c r="V82" s="0" t="inlineStr">
        <is>
          <t>계단식</t>
        </is>
      </c>
      <c r="W82" s="0" t="n">
        <v>145</v>
      </c>
      <c r="X82" s="0" t="n">
        <v>14</v>
      </c>
      <c r="Y82" s="0" t="n">
        <v>13</v>
      </c>
      <c r="Z82" s="0" t="inlineStr">
        <is>
          <t>https://new.land.naver.com/complexes/7208?tab=detail&amp;rf=Y</t>
        </is>
      </c>
      <c r="AA82" s="0" t="inlineStr">
        <is>
          <t>충청북도 청주시 흥덕구 가경동 762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흥덕구</t>
        </is>
      </c>
      <c r="AE82" s="0" t="inlineStr">
        <is>
          <t>가경동</t>
        </is>
      </c>
      <c r="AG82" s="0" t="inlineStr">
        <is>
          <t>충청북도 청주시 흥덕구 가경로189번길 52</t>
        </is>
      </c>
      <c r="AH82" s="0" t="n">
        <v>0</v>
      </c>
      <c r="AI82" s="0" t="n">
        <v>219</v>
      </c>
      <c r="AJ82" s="0" t="n">
        <v>20</v>
      </c>
      <c r="AK82" s="0" t="n">
        <v>363</v>
      </c>
      <c r="AL82" s="0" t="n">
        <v>0.96</v>
      </c>
    </row>
    <row r="83">
      <c r="A83" s="0" t="inlineStr">
        <is>
          <t>[가경동]</t>
        </is>
      </c>
      <c r="B83" s="0" t="n">
        <v>7212</v>
      </c>
      <c r="C83" s="0" t="n">
        <v>1</v>
      </c>
      <c r="D83" s="0" t="inlineStr">
        <is>
          <t>삼일원앙</t>
        </is>
      </c>
      <c r="E83" s="0" t="inlineStr">
        <is>
          <t>1997.06.</t>
        </is>
      </c>
      <c r="F83" s="0" t="n">
        <v>520</v>
      </c>
      <c r="G83" s="0" t="n">
        <v>22.62</v>
      </c>
      <c r="H83" s="0" t="n">
        <v>74.8</v>
      </c>
      <c r="I83" s="0" t="n">
        <v>18.13</v>
      </c>
      <c r="J83" s="0" t="n">
        <v>59.94</v>
      </c>
      <c r="K83" s="0" t="n">
        <v>400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74B</t>
        </is>
      </c>
      <c r="X83" s="0" t="n">
        <v>15</v>
      </c>
      <c r="Y83" s="0" t="n">
        <v>14</v>
      </c>
      <c r="Z83" s="0" t="inlineStr">
        <is>
          <t>https://new.land.naver.com/complexes/7212?tab=detail&amp;rf=Y</t>
        </is>
      </c>
      <c r="AA83" s="0" t="inlineStr">
        <is>
          <t>충청북도 청주시 흥덕구 가경동 1514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흥덕구</t>
        </is>
      </c>
      <c r="AE83" s="0" t="inlineStr">
        <is>
          <t>가경동</t>
        </is>
      </c>
      <c r="AG83" s="0" t="inlineStr">
        <is>
          <t>충청북도 청주시 흥덕구 가경로 100-20</t>
        </is>
      </c>
      <c r="AH83" s="0" t="n">
        <v>0</v>
      </c>
      <c r="AI83" s="0" t="n">
        <v>217</v>
      </c>
      <c r="AJ83" s="0" t="n">
        <v>25</v>
      </c>
      <c r="AK83" s="0" t="n">
        <v>416</v>
      </c>
      <c r="AL83" s="0" t="n">
        <v>0.8</v>
      </c>
    </row>
    <row r="84">
      <c r="A84" s="0" t="inlineStr">
        <is>
          <t>[가경동]</t>
        </is>
      </c>
      <c r="B84" s="0" t="n">
        <v>7212</v>
      </c>
      <c r="C84" s="0" t="n">
        <v>2</v>
      </c>
      <c r="D84" s="0" t="inlineStr">
        <is>
          <t>삼일원앙</t>
        </is>
      </c>
      <c r="E84" s="0" t="inlineStr">
        <is>
          <t>1997.06.</t>
        </is>
      </c>
      <c r="F84" s="0" t="n">
        <v>520</v>
      </c>
      <c r="G84" s="0" t="n">
        <v>22.66</v>
      </c>
      <c r="H84" s="0" t="n">
        <v>74.94</v>
      </c>
      <c r="I84" s="0" t="n">
        <v>18.1</v>
      </c>
      <c r="J84" s="0" t="n">
        <v>59.85</v>
      </c>
      <c r="K84" s="0" t="n">
        <v>120</v>
      </c>
      <c r="T84" s="0" t="n">
        <v>2</v>
      </c>
      <c r="U84" s="0" t="n">
        <v>2</v>
      </c>
      <c r="V84" s="0" t="inlineStr">
        <is>
          <t>계단식</t>
        </is>
      </c>
      <c r="W84" s="0" t="inlineStr">
        <is>
          <t>74A</t>
        </is>
      </c>
      <c r="X84" s="0" t="n">
        <v>15</v>
      </c>
      <c r="Y84" s="0" t="n">
        <v>14</v>
      </c>
      <c r="Z84" s="0" t="inlineStr">
        <is>
          <t>https://new.land.naver.com/complexes/7212?tab=detail&amp;rf=Y</t>
        </is>
      </c>
      <c r="AA84" s="0" t="inlineStr">
        <is>
          <t>충청북도 청주시 흥덕구 가경동 1514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흥덕구</t>
        </is>
      </c>
      <c r="AE84" s="0" t="inlineStr">
        <is>
          <t>가경동</t>
        </is>
      </c>
      <c r="AG84" s="0" t="inlineStr">
        <is>
          <t>충청북도 청주시 흥덕구 가경로 100-20</t>
        </is>
      </c>
      <c r="AH84" s="0" t="n">
        <v>0</v>
      </c>
      <c r="AI84" s="0" t="n">
        <v>217</v>
      </c>
      <c r="AJ84" s="0" t="n">
        <v>25</v>
      </c>
      <c r="AK84" s="0" t="n">
        <v>416</v>
      </c>
      <c r="AL84" s="0" t="n">
        <v>0.8</v>
      </c>
    </row>
    <row r="85">
      <c r="A85" s="0" t="inlineStr">
        <is>
          <t>[가경동]</t>
        </is>
      </c>
      <c r="B85" s="0" t="n">
        <v>7222</v>
      </c>
      <c r="C85" s="0" t="n">
        <v>1</v>
      </c>
      <c r="D85" s="0" t="inlineStr">
        <is>
          <t>가경신라</t>
        </is>
      </c>
      <c r="E85" s="0" t="inlineStr">
        <is>
          <t>1993.05.</t>
        </is>
      </c>
      <c r="F85" s="0" t="n">
        <v>324</v>
      </c>
      <c r="G85" s="0" t="n">
        <v>25.1</v>
      </c>
      <c r="H85" s="0" t="n">
        <v>82.98999999999999</v>
      </c>
      <c r="I85" s="0" t="n">
        <v>19.64</v>
      </c>
      <c r="J85" s="0" t="n">
        <v>64.94</v>
      </c>
      <c r="K85" s="0" t="n">
        <v>48</v>
      </c>
      <c r="T85" s="0" t="n">
        <v>2</v>
      </c>
      <c r="U85" s="0" t="n">
        <v>1</v>
      </c>
      <c r="V85" s="0" t="inlineStr">
        <is>
          <t>계단식</t>
        </is>
      </c>
      <c r="W85" s="0" t="n">
        <v>82</v>
      </c>
      <c r="X85" s="0" t="n">
        <v>15</v>
      </c>
      <c r="Y85" s="0" t="n">
        <v>12</v>
      </c>
      <c r="Z85" s="0" t="inlineStr">
        <is>
          <t>https://new.land.naver.com/complexes/7222?tab=detail&amp;rf=Y</t>
        </is>
      </c>
      <c r="AA85" s="0" t="inlineStr">
        <is>
          <t>충청북도 청주시 흥덕구 가경동 768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흥덕구</t>
        </is>
      </c>
      <c r="AE85" s="0" t="inlineStr">
        <is>
          <t>가경동</t>
        </is>
      </c>
      <c r="AG85" s="0" t="inlineStr">
        <is>
          <t>충청북도 청주시 흥덕구 가로수로1308번길 42</t>
        </is>
      </c>
      <c r="AH85" s="0" t="n">
        <v>0</v>
      </c>
      <c r="AI85" s="0" t="n">
        <v>203</v>
      </c>
      <c r="AJ85" s="0" t="n">
        <v>20</v>
      </c>
      <c r="AK85" s="0" t="n">
        <v>331</v>
      </c>
      <c r="AL85" s="0" t="n">
        <v>1.02</v>
      </c>
    </row>
    <row r="86">
      <c r="A86" s="0" t="inlineStr">
        <is>
          <t>[가경동]</t>
        </is>
      </c>
      <c r="B86" s="0" t="n">
        <v>7222</v>
      </c>
      <c r="C86" s="0" t="n">
        <v>2</v>
      </c>
      <c r="D86" s="0" t="inlineStr">
        <is>
          <t>가경신라</t>
        </is>
      </c>
      <c r="E86" s="0" t="inlineStr">
        <is>
          <t>1993.05.</t>
        </is>
      </c>
      <c r="F86" s="0" t="n">
        <v>324</v>
      </c>
      <c r="G86" s="0" t="n">
        <v>26.22</v>
      </c>
      <c r="H86" s="0" t="n">
        <v>86.69</v>
      </c>
      <c r="I86" s="0" t="n">
        <v>20.69</v>
      </c>
      <c r="J86" s="0" t="n">
        <v>68.42</v>
      </c>
      <c r="K86" s="0" t="n">
        <v>60</v>
      </c>
      <c r="T86" s="0" t="n">
        <v>2</v>
      </c>
      <c r="U86" s="0" t="n">
        <v>1</v>
      </c>
      <c r="V86" s="0" t="inlineStr">
        <is>
          <t>계단식</t>
        </is>
      </c>
      <c r="W86" s="0" t="inlineStr">
        <is>
          <t>86B</t>
        </is>
      </c>
      <c r="X86" s="0" t="n">
        <v>15</v>
      </c>
      <c r="Y86" s="0" t="n">
        <v>12</v>
      </c>
      <c r="Z86" s="0" t="inlineStr">
        <is>
          <t>https://new.land.naver.com/complexes/7222?tab=detail&amp;rf=Y</t>
        </is>
      </c>
      <c r="AA86" s="0" t="inlineStr">
        <is>
          <t>충청북도 청주시 흥덕구 가경동 768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흥덕구</t>
        </is>
      </c>
      <c r="AE86" s="0" t="inlineStr">
        <is>
          <t>가경동</t>
        </is>
      </c>
      <c r="AG86" s="0" t="inlineStr">
        <is>
          <t>충청북도 청주시 흥덕구 가로수로1308번길 42</t>
        </is>
      </c>
      <c r="AH86" s="0" t="n">
        <v>0</v>
      </c>
      <c r="AI86" s="0" t="n">
        <v>203</v>
      </c>
      <c r="AJ86" s="0" t="n">
        <v>20</v>
      </c>
      <c r="AK86" s="0" t="n">
        <v>331</v>
      </c>
      <c r="AL86" s="0" t="n">
        <v>1.02</v>
      </c>
    </row>
    <row r="87">
      <c r="A87" s="0" t="inlineStr">
        <is>
          <t>[가경동]</t>
        </is>
      </c>
      <c r="B87" s="0" t="n">
        <v>7222</v>
      </c>
      <c r="C87" s="0" t="n">
        <v>3</v>
      </c>
      <c r="D87" s="0" t="inlineStr">
        <is>
          <t>가경신라</t>
        </is>
      </c>
      <c r="E87" s="0" t="inlineStr">
        <is>
          <t>1993.05.</t>
        </is>
      </c>
      <c r="F87" s="0" t="n">
        <v>324</v>
      </c>
      <c r="G87" s="0" t="n">
        <v>31.32</v>
      </c>
      <c r="H87" s="0" t="n">
        <v>103.57</v>
      </c>
      <c r="I87" s="0" t="n">
        <v>25.7</v>
      </c>
      <c r="J87" s="0" t="n">
        <v>84.98999999999999</v>
      </c>
      <c r="K87" s="0" t="n">
        <v>120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103B</t>
        </is>
      </c>
      <c r="X87" s="0" t="n">
        <v>15</v>
      </c>
      <c r="Y87" s="0" t="n">
        <v>12</v>
      </c>
      <c r="Z87" s="0" t="inlineStr">
        <is>
          <t>https://new.land.naver.com/complexes/7222?tab=detail&amp;rf=Y</t>
        </is>
      </c>
      <c r="AA87" s="0" t="inlineStr">
        <is>
          <t>충청북도 청주시 흥덕구 가경동 768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흥덕구</t>
        </is>
      </c>
      <c r="AE87" s="0" t="inlineStr">
        <is>
          <t>가경동</t>
        </is>
      </c>
      <c r="AG87" s="0" t="inlineStr">
        <is>
          <t>충청북도 청주시 흥덕구 가로수로1308번길 42</t>
        </is>
      </c>
      <c r="AH87" s="0" t="n">
        <v>0</v>
      </c>
      <c r="AI87" s="0" t="n">
        <v>203</v>
      </c>
      <c r="AJ87" s="0" t="n">
        <v>20</v>
      </c>
      <c r="AK87" s="0" t="n">
        <v>331</v>
      </c>
      <c r="AL87" s="0" t="n">
        <v>1.02</v>
      </c>
    </row>
    <row r="88">
      <c r="A88" s="0" t="inlineStr">
        <is>
          <t>[가경동]</t>
        </is>
      </c>
      <c r="B88" s="0" t="n">
        <v>7222</v>
      </c>
      <c r="C88" s="0" t="n">
        <v>4</v>
      </c>
      <c r="D88" s="0" t="inlineStr">
        <is>
          <t>가경신라</t>
        </is>
      </c>
      <c r="E88" s="0" t="inlineStr">
        <is>
          <t>1993.05.</t>
        </is>
      </c>
      <c r="F88" s="0" t="n">
        <v>324</v>
      </c>
      <c r="G88" s="0" t="n">
        <v>31.23</v>
      </c>
      <c r="H88" s="0" t="n">
        <v>103.26</v>
      </c>
      <c r="I88" s="0" t="n">
        <v>25.67</v>
      </c>
      <c r="J88" s="0" t="n">
        <v>84.87</v>
      </c>
      <c r="K88" s="0" t="n">
        <v>96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103A</t>
        </is>
      </c>
      <c r="X88" s="0" t="n">
        <v>15</v>
      </c>
      <c r="Y88" s="0" t="n">
        <v>12</v>
      </c>
      <c r="Z88" s="0" t="inlineStr">
        <is>
          <t>https://new.land.naver.com/complexes/7222?tab=detail&amp;rf=Y</t>
        </is>
      </c>
      <c r="AA88" s="0" t="inlineStr">
        <is>
          <t>충청북도 청주시 흥덕구 가경동 768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흥덕구</t>
        </is>
      </c>
      <c r="AE88" s="0" t="inlineStr">
        <is>
          <t>가경동</t>
        </is>
      </c>
      <c r="AG88" s="0" t="inlineStr">
        <is>
          <t>충청북도 청주시 흥덕구 가로수로1308번길 42</t>
        </is>
      </c>
      <c r="AH88" s="0" t="n">
        <v>0</v>
      </c>
      <c r="AI88" s="0" t="n">
        <v>203</v>
      </c>
      <c r="AJ88" s="0" t="n">
        <v>20</v>
      </c>
      <c r="AK88" s="0" t="n">
        <v>331</v>
      </c>
      <c r="AL88" s="0" t="n">
        <v>1.02</v>
      </c>
    </row>
    <row r="89">
      <c r="A89" s="0" t="inlineStr">
        <is>
          <t>[가경동]</t>
        </is>
      </c>
      <c r="B89" s="0" t="n">
        <v>26163</v>
      </c>
      <c r="C89" s="0" t="n">
        <v>1</v>
      </c>
      <c r="D89" s="0" t="inlineStr">
        <is>
          <t>가로수마을호반베르디움</t>
        </is>
      </c>
      <c r="E89" s="0" t="inlineStr">
        <is>
          <t>2008.08.</t>
        </is>
      </c>
      <c r="F89" s="0" t="n">
        <v>459</v>
      </c>
      <c r="G89" s="0" t="n">
        <v>33.74</v>
      </c>
      <c r="H89" s="0" t="n">
        <v>111.55</v>
      </c>
      <c r="I89" s="0" t="n">
        <v>25.68</v>
      </c>
      <c r="J89" s="0" t="n">
        <v>84.92</v>
      </c>
      <c r="K89" s="0" t="n">
        <v>80</v>
      </c>
      <c r="T89" s="0" t="n">
        <v>3</v>
      </c>
      <c r="U89" s="0" t="n">
        <v>2</v>
      </c>
      <c r="V89" s="0" t="inlineStr">
        <is>
          <t>계단식</t>
        </is>
      </c>
      <c r="W89" s="0" t="n">
        <v>111</v>
      </c>
      <c r="X89" s="0" t="n">
        <v>15</v>
      </c>
      <c r="Y89" s="0" t="n">
        <v>11</v>
      </c>
      <c r="Z89" s="0" t="inlineStr">
        <is>
          <t>https://new.land.naver.com/complexes/26163?tab=detail&amp;rf=Y</t>
        </is>
      </c>
      <c r="AA89" s="0" t="inlineStr">
        <is>
          <t>충청북도 청주시 흥덕구 가경동 1759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흥덕구</t>
        </is>
      </c>
      <c r="AE89" s="0" t="inlineStr">
        <is>
          <t>가경동</t>
        </is>
      </c>
      <c r="AG89" s="0" t="inlineStr">
        <is>
          <t>충청북도 청주시 흥덕구 서현중로 47</t>
        </is>
      </c>
      <c r="AH89" s="0" t="n">
        <v>0</v>
      </c>
      <c r="AI89" s="0" t="n">
        <v>209</v>
      </c>
      <c r="AJ89" s="0" t="n">
        <v>21</v>
      </c>
      <c r="AK89" s="0" t="n">
        <v>703</v>
      </c>
      <c r="AL89" s="0" t="n">
        <v>1.53</v>
      </c>
    </row>
    <row r="90">
      <c r="A90" s="0" t="inlineStr">
        <is>
          <t>[가경동]</t>
        </is>
      </c>
      <c r="B90" s="0" t="n">
        <v>26163</v>
      </c>
      <c r="C90" s="0" t="n">
        <v>2</v>
      </c>
      <c r="D90" s="0" t="inlineStr">
        <is>
          <t>가로수마을호반베르디움</t>
        </is>
      </c>
      <c r="E90" s="0" t="inlineStr">
        <is>
          <t>2008.08.</t>
        </is>
      </c>
      <c r="F90" s="0" t="n">
        <v>459</v>
      </c>
      <c r="G90" s="0" t="n">
        <v>34.08</v>
      </c>
      <c r="H90" s="0" t="n">
        <v>112.69</v>
      </c>
      <c r="I90" s="0" t="n">
        <v>25.7</v>
      </c>
      <c r="J90" s="0" t="n">
        <v>84.95999999999999</v>
      </c>
      <c r="K90" s="0" t="n">
        <v>259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112A</t>
        </is>
      </c>
      <c r="X90" s="0" t="n">
        <v>15</v>
      </c>
      <c r="Y90" s="0" t="n">
        <v>11</v>
      </c>
      <c r="Z90" s="0" t="inlineStr">
        <is>
          <t>https://new.land.naver.com/complexes/26163?tab=detail&amp;rf=Y</t>
        </is>
      </c>
      <c r="AA90" s="0" t="inlineStr">
        <is>
          <t>충청북도 청주시 흥덕구 가경동 1759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흥덕구</t>
        </is>
      </c>
      <c r="AE90" s="0" t="inlineStr">
        <is>
          <t>가경동</t>
        </is>
      </c>
      <c r="AG90" s="0" t="inlineStr">
        <is>
          <t>충청북도 청주시 흥덕구 서현중로 47</t>
        </is>
      </c>
      <c r="AH90" s="0" t="n">
        <v>0</v>
      </c>
      <c r="AI90" s="0" t="n">
        <v>209</v>
      </c>
      <c r="AJ90" s="0" t="n">
        <v>21</v>
      </c>
      <c r="AK90" s="0" t="n">
        <v>703</v>
      </c>
      <c r="AL90" s="0" t="n">
        <v>1.53</v>
      </c>
    </row>
    <row r="91">
      <c r="A91" s="0" t="inlineStr">
        <is>
          <t>[가경동]</t>
        </is>
      </c>
      <c r="B91" s="0" t="n">
        <v>26163</v>
      </c>
      <c r="C91" s="0" t="n">
        <v>3</v>
      </c>
      <c r="D91" s="0" t="inlineStr">
        <is>
          <t>가로수마을호반베르디움</t>
        </is>
      </c>
      <c r="E91" s="0" t="inlineStr">
        <is>
          <t>2008.08.</t>
        </is>
      </c>
      <c r="F91" s="0" t="n">
        <v>459</v>
      </c>
      <c r="G91" s="0" t="n">
        <v>34.13</v>
      </c>
      <c r="H91" s="0" t="n">
        <v>112.84</v>
      </c>
      <c r="I91" s="0" t="n">
        <v>25.7</v>
      </c>
      <c r="J91" s="0" t="n">
        <v>84.98</v>
      </c>
      <c r="K91" s="0" t="n">
        <v>120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112B</t>
        </is>
      </c>
      <c r="X91" s="0" t="n">
        <v>15</v>
      </c>
      <c r="Y91" s="0" t="n">
        <v>11</v>
      </c>
      <c r="Z91" s="0" t="inlineStr">
        <is>
          <t>https://new.land.naver.com/complexes/26163?tab=detail&amp;rf=Y</t>
        </is>
      </c>
      <c r="AA91" s="0" t="inlineStr">
        <is>
          <t>충청북도 청주시 흥덕구 가경동 1759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흥덕구</t>
        </is>
      </c>
      <c r="AE91" s="0" t="inlineStr">
        <is>
          <t>가경동</t>
        </is>
      </c>
      <c r="AG91" s="0" t="inlineStr">
        <is>
          <t>충청북도 청주시 흥덕구 서현중로 47</t>
        </is>
      </c>
      <c r="AH91" s="0" t="n">
        <v>0</v>
      </c>
      <c r="AI91" s="0" t="n">
        <v>209</v>
      </c>
      <c r="AJ91" s="0" t="n">
        <v>21</v>
      </c>
      <c r="AK91" s="0" t="n">
        <v>703</v>
      </c>
      <c r="AL91" s="0" t="n">
        <v>1.53</v>
      </c>
    </row>
    <row r="92">
      <c r="A92" s="0" t="inlineStr">
        <is>
          <t>[가경동]</t>
        </is>
      </c>
      <c r="B92" s="0" t="n">
        <v>7259</v>
      </c>
      <c r="C92" s="0" t="n">
        <v>1</v>
      </c>
      <c r="D92" s="0" t="inlineStr">
        <is>
          <t>진로</t>
        </is>
      </c>
      <c r="E92" s="0" t="inlineStr">
        <is>
          <t>1999.01.</t>
        </is>
      </c>
      <c r="F92" s="0" t="n">
        <v>320</v>
      </c>
      <c r="G92" s="0" t="n">
        <v>36</v>
      </c>
      <c r="H92" s="0" t="n">
        <v>119.04</v>
      </c>
      <c r="I92" s="0" t="n">
        <v>30.19</v>
      </c>
      <c r="J92" s="0" t="n">
        <v>99.81</v>
      </c>
      <c r="K92" s="0" t="n">
        <v>148</v>
      </c>
      <c r="T92" s="0" t="n">
        <v>3</v>
      </c>
      <c r="U92" s="0" t="n">
        <v>2</v>
      </c>
      <c r="V92" s="0" t="inlineStr">
        <is>
          <t>계단식</t>
        </is>
      </c>
      <c r="W92" s="0" t="n">
        <v>119</v>
      </c>
      <c r="X92" s="0" t="n">
        <v>15</v>
      </c>
      <c r="Y92" s="0" t="n">
        <v>14</v>
      </c>
      <c r="Z92" s="0" t="inlineStr">
        <is>
          <t>https://new.land.naver.com/complexes/7259?tab=detail&amp;rf=Y</t>
        </is>
      </c>
      <c r="AA92" s="0" t="inlineStr">
        <is>
          <t>충청북도 청주시 흥덕구 가경동 1506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흥덕구</t>
        </is>
      </c>
      <c r="AE92" s="0" t="inlineStr">
        <is>
          <t>가경동</t>
        </is>
      </c>
      <c r="AG92" s="0" t="inlineStr">
        <is>
          <t>충청북도 청주시 흥덕구 가경로 71</t>
        </is>
      </c>
      <c r="AH92" s="0" t="n">
        <v>0</v>
      </c>
      <c r="AI92" s="0" t="n">
        <v>219</v>
      </c>
      <c r="AJ92" s="0" t="n">
        <v>21</v>
      </c>
      <c r="AK92" s="0" t="n">
        <v>524</v>
      </c>
      <c r="AL92" s="0" t="n">
        <v>1.64</v>
      </c>
    </row>
    <row r="93">
      <c r="A93" s="0" t="inlineStr">
        <is>
          <t>[가경동]</t>
        </is>
      </c>
      <c r="B93" s="0" t="n">
        <v>7259</v>
      </c>
      <c r="C93" s="0" t="n">
        <v>2</v>
      </c>
      <c r="D93" s="0" t="inlineStr">
        <is>
          <t>진로</t>
        </is>
      </c>
      <c r="E93" s="0" t="inlineStr">
        <is>
          <t>1999.01.</t>
        </is>
      </c>
      <c r="F93" s="0" t="n">
        <v>320</v>
      </c>
      <c r="G93" s="0" t="n">
        <v>47.32</v>
      </c>
      <c r="H93" s="0" t="n">
        <v>156.46</v>
      </c>
      <c r="I93" s="0" t="n">
        <v>40.8</v>
      </c>
      <c r="J93" s="0" t="n">
        <v>134.88</v>
      </c>
      <c r="K93" s="0" t="n">
        <v>172</v>
      </c>
      <c r="T93" s="0" t="n">
        <v>4</v>
      </c>
      <c r="U93" s="0" t="n">
        <v>2</v>
      </c>
      <c r="V93" s="0" t="inlineStr">
        <is>
          <t>계단식</t>
        </is>
      </c>
      <c r="W93" s="0" t="n">
        <v>156</v>
      </c>
      <c r="X93" s="0" t="n">
        <v>15</v>
      </c>
      <c r="Y93" s="0" t="n">
        <v>14</v>
      </c>
      <c r="Z93" s="0" t="inlineStr">
        <is>
          <t>https://new.land.naver.com/complexes/7259?tab=detail&amp;rf=Y</t>
        </is>
      </c>
      <c r="AA93" s="0" t="inlineStr">
        <is>
          <t>충청북도 청주시 흥덕구 가경동 1506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흥덕구</t>
        </is>
      </c>
      <c r="AE93" s="0" t="inlineStr">
        <is>
          <t>가경동</t>
        </is>
      </c>
      <c r="AG93" s="0" t="inlineStr">
        <is>
          <t>충청북도 청주시 흥덕구 가경로 71</t>
        </is>
      </c>
      <c r="AH93" s="0" t="n">
        <v>0</v>
      </c>
      <c r="AI93" s="0" t="n">
        <v>219</v>
      </c>
      <c r="AJ93" s="0" t="n">
        <v>21</v>
      </c>
      <c r="AK93" s="0" t="n">
        <v>524</v>
      </c>
      <c r="AL93" s="0" t="n">
        <v>1.64</v>
      </c>
    </row>
    <row r="94">
      <c r="A94" s="0" t="inlineStr">
        <is>
          <t>[가경동]</t>
        </is>
      </c>
      <c r="B94" s="0" t="n">
        <v>132285</v>
      </c>
      <c r="C94" s="0" t="n">
        <v>1</v>
      </c>
      <c r="D94" s="0" t="inlineStr">
        <is>
          <t>가람스토리</t>
        </is>
      </c>
      <c r="E94" s="0" t="inlineStr">
        <is>
          <t>2013.09.</t>
        </is>
      </c>
      <c r="F94" s="0" t="n">
        <v>48</v>
      </c>
      <c r="G94" s="0" t="n">
        <v>9.65</v>
      </c>
      <c r="H94" s="0" t="n">
        <v>31.91</v>
      </c>
      <c r="I94" s="0" t="n">
        <v>7.31</v>
      </c>
      <c r="J94" s="0" t="n">
        <v>24.18</v>
      </c>
      <c r="K94" s="0" t="n">
        <v>17</v>
      </c>
      <c r="T94" s="0" t="n">
        <v>1</v>
      </c>
      <c r="U94" s="0" t="n">
        <v>1</v>
      </c>
      <c r="V94" s="0" t="inlineStr">
        <is>
          <t>계단식</t>
        </is>
      </c>
      <c r="W94" s="0" t="inlineStr">
        <is>
          <t>31A</t>
        </is>
      </c>
      <c r="X94" s="0" t="n">
        <v>6</v>
      </c>
      <c r="Y94" s="0" t="n">
        <v>5</v>
      </c>
      <c r="Z94" s="0" t="inlineStr">
        <is>
          <t>https://new.land.naver.com/complexes/132285?tab=detail&amp;rf=Y</t>
        </is>
      </c>
      <c r="AA94" s="0" t="inlineStr">
        <is>
          <t>충청북도 청주시 흥덕구 가경동 1028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흥덕구</t>
        </is>
      </c>
      <c r="AE94" s="0" t="inlineStr">
        <is>
          <t>가경동</t>
        </is>
      </c>
      <c r="AG94" s="0" t="inlineStr">
        <is>
          <t>충청북도 청주시 흥덕구 풍년로193번길 26</t>
        </is>
      </c>
      <c r="AH94" s="0" t="n">
        <v>0</v>
      </c>
      <c r="AI94" s="0" t="n">
        <v>295</v>
      </c>
      <c r="AJ94" s="0" t="n">
        <v>63</v>
      </c>
      <c r="AK94" s="0" t="n">
        <v>16</v>
      </c>
      <c r="AL94" s="0" t="n">
        <v>0.33</v>
      </c>
    </row>
    <row r="95">
      <c r="A95" s="0" t="inlineStr">
        <is>
          <t>[가경동]</t>
        </is>
      </c>
      <c r="B95" s="0" t="n">
        <v>132285</v>
      </c>
      <c r="C95" s="0" t="n">
        <v>2</v>
      </c>
      <c r="D95" s="0" t="inlineStr">
        <is>
          <t>가람스토리</t>
        </is>
      </c>
      <c r="E95" s="0" t="inlineStr">
        <is>
          <t>2013.09.</t>
        </is>
      </c>
      <c r="F95" s="0" t="n">
        <v>48</v>
      </c>
      <c r="G95" s="0" t="n">
        <v>9.91</v>
      </c>
      <c r="H95" s="0" t="n">
        <v>32.77</v>
      </c>
      <c r="I95" s="0" t="n">
        <v>7.51</v>
      </c>
      <c r="J95" s="0" t="n">
        <v>24.83</v>
      </c>
      <c r="K95" s="0" t="n">
        <v>9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32B</t>
        </is>
      </c>
      <c r="X95" s="0" t="n">
        <v>6</v>
      </c>
      <c r="Y95" s="0" t="n">
        <v>5</v>
      </c>
      <c r="Z95" s="0" t="inlineStr">
        <is>
          <t>https://new.land.naver.com/complexes/132285?tab=detail&amp;rf=Y</t>
        </is>
      </c>
      <c r="AA95" s="0" t="inlineStr">
        <is>
          <t>충청북도 청주시 흥덕구 가경동 1028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흥덕구</t>
        </is>
      </c>
      <c r="AE95" s="0" t="inlineStr">
        <is>
          <t>가경동</t>
        </is>
      </c>
      <c r="AG95" s="0" t="inlineStr">
        <is>
          <t>충청북도 청주시 흥덕구 풍년로193번길 26</t>
        </is>
      </c>
      <c r="AH95" s="0" t="n">
        <v>0</v>
      </c>
      <c r="AI95" s="0" t="n">
        <v>295</v>
      </c>
      <c r="AJ95" s="0" t="n">
        <v>63</v>
      </c>
      <c r="AK95" s="0" t="n">
        <v>16</v>
      </c>
      <c r="AL95" s="0" t="n">
        <v>0.33</v>
      </c>
    </row>
    <row r="96">
      <c r="A96" s="0" t="inlineStr">
        <is>
          <t>[가경동]</t>
        </is>
      </c>
      <c r="B96" s="0" t="n">
        <v>132285</v>
      </c>
      <c r="C96" s="0" t="n">
        <v>3</v>
      </c>
      <c r="D96" s="0" t="inlineStr">
        <is>
          <t>가람스토리</t>
        </is>
      </c>
      <c r="E96" s="0" t="inlineStr">
        <is>
          <t>2013.09.</t>
        </is>
      </c>
      <c r="F96" s="0" t="n">
        <v>48</v>
      </c>
      <c r="G96" s="0" t="n">
        <v>10.31</v>
      </c>
      <c r="H96" s="0" t="n">
        <v>34.09</v>
      </c>
      <c r="I96" s="0" t="n">
        <v>7.81</v>
      </c>
      <c r="J96" s="0" t="n">
        <v>25.83</v>
      </c>
      <c r="K96" s="0" t="n">
        <v>20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34C</t>
        </is>
      </c>
      <c r="X96" s="0" t="n">
        <v>6</v>
      </c>
      <c r="Y96" s="0" t="n">
        <v>5</v>
      </c>
      <c r="Z96" s="0" t="inlineStr">
        <is>
          <t>https://new.land.naver.com/complexes/132285?tab=detail&amp;rf=Y</t>
        </is>
      </c>
      <c r="AA96" s="0" t="inlineStr">
        <is>
          <t>충청북도 청주시 흥덕구 가경동 1028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흥덕구</t>
        </is>
      </c>
      <c r="AE96" s="0" t="inlineStr">
        <is>
          <t>가경동</t>
        </is>
      </c>
      <c r="AG96" s="0" t="inlineStr">
        <is>
          <t>충청북도 청주시 흥덕구 풍년로193번길 26</t>
        </is>
      </c>
      <c r="AH96" s="0" t="n">
        <v>0</v>
      </c>
      <c r="AI96" s="0" t="n">
        <v>295</v>
      </c>
      <c r="AJ96" s="0" t="n">
        <v>63</v>
      </c>
      <c r="AK96" s="0" t="n">
        <v>16</v>
      </c>
      <c r="AL96" s="0" t="n">
        <v>0.33</v>
      </c>
    </row>
    <row r="97">
      <c r="A97" s="0" t="inlineStr">
        <is>
          <t>[가경동]</t>
        </is>
      </c>
      <c r="B97" s="0" t="n">
        <v>132285</v>
      </c>
      <c r="C97" s="0" t="n">
        <v>4</v>
      </c>
      <c r="D97" s="0" t="inlineStr">
        <is>
          <t>가람스토리</t>
        </is>
      </c>
      <c r="E97" s="0" t="inlineStr">
        <is>
          <t>2013.09.</t>
        </is>
      </c>
      <c r="F97" s="0" t="n">
        <v>48</v>
      </c>
      <c r="G97" s="0" t="n">
        <v>18.78</v>
      </c>
      <c r="H97" s="0" t="n">
        <v>62.11</v>
      </c>
      <c r="I97" s="0" t="n">
        <v>14.19</v>
      </c>
      <c r="J97" s="0" t="n">
        <v>46.93</v>
      </c>
      <c r="K97" s="0" t="n">
        <v>1</v>
      </c>
      <c r="T97" s="0" t="n">
        <v>2</v>
      </c>
      <c r="U97" s="0" t="n">
        <v>1</v>
      </c>
      <c r="V97" s="0" t="inlineStr">
        <is>
          <t>계단식</t>
        </is>
      </c>
      <c r="W97" s="0" t="inlineStr">
        <is>
          <t>62A</t>
        </is>
      </c>
      <c r="X97" s="0" t="n">
        <v>6</v>
      </c>
      <c r="Y97" s="0" t="n">
        <v>5</v>
      </c>
      <c r="Z97" s="0" t="inlineStr">
        <is>
          <t>https://new.land.naver.com/complexes/132285?tab=detail&amp;rf=Y</t>
        </is>
      </c>
      <c r="AA97" s="0" t="inlineStr">
        <is>
          <t>충청북도 청주시 흥덕구 가경동 1028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흥덕구</t>
        </is>
      </c>
      <c r="AE97" s="0" t="inlineStr">
        <is>
          <t>가경동</t>
        </is>
      </c>
      <c r="AG97" s="0" t="inlineStr">
        <is>
          <t>충청북도 청주시 흥덕구 풍년로193번길 26</t>
        </is>
      </c>
      <c r="AH97" s="0" t="n">
        <v>0</v>
      </c>
      <c r="AI97" s="0" t="n">
        <v>295</v>
      </c>
      <c r="AJ97" s="0" t="n">
        <v>63</v>
      </c>
      <c r="AK97" s="0" t="n">
        <v>16</v>
      </c>
      <c r="AL97" s="0" t="n">
        <v>0.33</v>
      </c>
    </row>
    <row r="98">
      <c r="A98" s="0" t="inlineStr">
        <is>
          <t>[가경동]</t>
        </is>
      </c>
      <c r="B98" s="0" t="n">
        <v>132285</v>
      </c>
      <c r="C98" s="0" t="n">
        <v>5</v>
      </c>
      <c r="D98" s="0" t="inlineStr">
        <is>
          <t>가람스토리</t>
        </is>
      </c>
      <c r="E98" s="0" t="inlineStr">
        <is>
          <t>2013.09.</t>
        </is>
      </c>
      <c r="F98" s="0" t="n">
        <v>48</v>
      </c>
      <c r="G98" s="0" t="n">
        <v>19.04</v>
      </c>
      <c r="H98" s="0" t="n">
        <v>62.97</v>
      </c>
      <c r="I98" s="0" t="n">
        <v>14.39</v>
      </c>
      <c r="J98" s="0" t="n">
        <v>47.58</v>
      </c>
      <c r="K98" s="0" t="n">
        <v>1</v>
      </c>
      <c r="T98" s="0" t="n">
        <v>2</v>
      </c>
      <c r="U98" s="0" t="n">
        <v>1</v>
      </c>
      <c r="V98" s="0" t="inlineStr">
        <is>
          <t>계단식</t>
        </is>
      </c>
      <c r="W98" s="0" t="inlineStr">
        <is>
          <t>62B</t>
        </is>
      </c>
      <c r="X98" s="0" t="n">
        <v>6</v>
      </c>
      <c r="Y98" s="0" t="n">
        <v>5</v>
      </c>
      <c r="Z98" s="0" t="inlineStr">
        <is>
          <t>https://new.land.naver.com/complexes/132285?tab=detail&amp;rf=Y</t>
        </is>
      </c>
      <c r="AA98" s="0" t="inlineStr">
        <is>
          <t>충청북도 청주시 흥덕구 가경동 1028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흥덕구</t>
        </is>
      </c>
      <c r="AE98" s="0" t="inlineStr">
        <is>
          <t>가경동</t>
        </is>
      </c>
      <c r="AG98" s="0" t="inlineStr">
        <is>
          <t>충청북도 청주시 흥덕구 풍년로193번길 26</t>
        </is>
      </c>
      <c r="AH98" s="0" t="n">
        <v>0</v>
      </c>
      <c r="AI98" s="0" t="n">
        <v>295</v>
      </c>
      <c r="AJ98" s="0" t="n">
        <v>63</v>
      </c>
      <c r="AK98" s="0" t="n">
        <v>16</v>
      </c>
      <c r="AL98" s="0" t="n">
        <v>0.33</v>
      </c>
    </row>
    <row r="99">
      <c r="A99" s="0" t="inlineStr">
        <is>
          <t>[가경동]</t>
        </is>
      </c>
      <c r="B99" s="0" t="n">
        <v>26051</v>
      </c>
      <c r="C99" s="0" t="n">
        <v>1</v>
      </c>
      <c r="D99" s="0" t="inlineStr">
        <is>
          <t>가로수마을대원칸타빌</t>
        </is>
      </c>
      <c r="E99" s="0" t="inlineStr">
        <is>
          <t>2008.09.</t>
        </is>
      </c>
      <c r="F99" s="0" t="n">
        <v>310</v>
      </c>
      <c r="G99" s="0" t="n">
        <v>42.43</v>
      </c>
      <c r="H99" s="0" t="n">
        <v>140.29</v>
      </c>
      <c r="I99" s="0" t="n">
        <v>34.94</v>
      </c>
      <c r="J99" s="0" t="n">
        <v>115.51</v>
      </c>
      <c r="K99" s="0" t="n">
        <v>48</v>
      </c>
      <c r="T99" s="0" t="n">
        <v>3</v>
      </c>
      <c r="U99" s="0" t="n">
        <v>2</v>
      </c>
      <c r="V99" s="0" t="inlineStr">
        <is>
          <t>계단식</t>
        </is>
      </c>
      <c r="W99" s="0" t="n">
        <v>140</v>
      </c>
      <c r="X99" s="0" t="n">
        <v>15</v>
      </c>
      <c r="Y99" s="0" t="n">
        <v>11</v>
      </c>
      <c r="Z99" s="0" t="inlineStr">
        <is>
          <t>https://new.land.naver.com/complexes/26051?tab=detail&amp;rf=Y</t>
        </is>
      </c>
      <c r="AA99" s="0" t="inlineStr">
        <is>
          <t>충청북도 청주시 흥덕구 가경동 1762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흥덕구</t>
        </is>
      </c>
      <c r="AE99" s="0" t="inlineStr">
        <is>
          <t>가경동</t>
        </is>
      </c>
      <c r="AG99" s="0" t="inlineStr">
        <is>
          <t>충청북도 청주시 흥덕구 서현서로 39</t>
        </is>
      </c>
      <c r="AH99" s="0" t="n">
        <v>0</v>
      </c>
      <c r="AI99" s="0" t="n">
        <v>219</v>
      </c>
      <c r="AJ99" s="0" t="n">
        <v>23</v>
      </c>
      <c r="AK99" s="0" t="n">
        <v>622</v>
      </c>
      <c r="AL99" s="0" t="n">
        <v>2.01</v>
      </c>
    </row>
    <row r="100">
      <c r="A100" s="0" t="inlineStr">
        <is>
          <t>[가경동]</t>
        </is>
      </c>
      <c r="B100" s="0" t="n">
        <v>26051</v>
      </c>
      <c r="C100" s="0" t="n">
        <v>2</v>
      </c>
      <c r="D100" s="0" t="inlineStr">
        <is>
          <t>가로수마을대원칸타빌</t>
        </is>
      </c>
      <c r="E100" s="0" t="inlineStr">
        <is>
          <t>2008.09.</t>
        </is>
      </c>
      <c r="F100" s="0" t="n">
        <v>310</v>
      </c>
      <c r="G100" s="0" t="n">
        <v>49.51</v>
      </c>
      <c r="H100" s="0" t="n">
        <v>163.69</v>
      </c>
      <c r="I100" s="0" t="n">
        <v>42.02</v>
      </c>
      <c r="J100" s="0" t="n">
        <v>138.93</v>
      </c>
      <c r="K100" s="0" t="n">
        <v>142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163</v>
      </c>
      <c r="X100" s="0" t="n">
        <v>15</v>
      </c>
      <c r="Y100" s="0" t="n">
        <v>11</v>
      </c>
      <c r="Z100" s="0" t="inlineStr">
        <is>
          <t>https://new.land.naver.com/complexes/26051?tab=detail&amp;rf=Y</t>
        </is>
      </c>
      <c r="AA100" s="0" t="inlineStr">
        <is>
          <t>충청북도 청주시 흥덕구 가경동 1762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흥덕구</t>
        </is>
      </c>
      <c r="AE100" s="0" t="inlineStr">
        <is>
          <t>가경동</t>
        </is>
      </c>
      <c r="AG100" s="0" t="inlineStr">
        <is>
          <t>충청북도 청주시 흥덕구 서현서로 39</t>
        </is>
      </c>
      <c r="AH100" s="0" t="n">
        <v>0</v>
      </c>
      <c r="AI100" s="0" t="n">
        <v>219</v>
      </c>
      <c r="AJ100" s="0" t="n">
        <v>23</v>
      </c>
      <c r="AK100" s="0" t="n">
        <v>622</v>
      </c>
      <c r="AL100" s="0" t="n">
        <v>2.01</v>
      </c>
    </row>
    <row r="101">
      <c r="A101" s="0" t="inlineStr">
        <is>
          <t>[가경동]</t>
        </is>
      </c>
      <c r="B101" s="0" t="n">
        <v>26051</v>
      </c>
      <c r="C101" s="0" t="n">
        <v>3</v>
      </c>
      <c r="D101" s="0" t="inlineStr">
        <is>
          <t>가로수마을대원칸타빌</t>
        </is>
      </c>
      <c r="E101" s="0" t="inlineStr">
        <is>
          <t>2008.09.</t>
        </is>
      </c>
      <c r="F101" s="0" t="n">
        <v>310</v>
      </c>
      <c r="G101" s="0" t="n">
        <v>52.86</v>
      </c>
      <c r="H101" s="0" t="n">
        <v>174.76</v>
      </c>
      <c r="I101" s="0" t="n">
        <v>44.73</v>
      </c>
      <c r="J101" s="0" t="n">
        <v>147.88</v>
      </c>
      <c r="K101" s="0" t="n">
        <v>60</v>
      </c>
      <c r="T101" s="0" t="n">
        <v>4</v>
      </c>
      <c r="U101" s="0" t="n">
        <v>2</v>
      </c>
      <c r="V101" s="0" t="inlineStr">
        <is>
          <t>계단식</t>
        </is>
      </c>
      <c r="W101" s="0" t="inlineStr">
        <is>
          <t>174A</t>
        </is>
      </c>
      <c r="X101" s="0" t="n">
        <v>15</v>
      </c>
      <c r="Y101" s="0" t="n">
        <v>11</v>
      </c>
      <c r="Z101" s="0" t="inlineStr">
        <is>
          <t>https://new.land.naver.com/complexes/26051?tab=detail&amp;rf=Y</t>
        </is>
      </c>
      <c r="AA101" s="0" t="inlineStr">
        <is>
          <t>충청북도 청주시 흥덕구 가경동 1762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흥덕구</t>
        </is>
      </c>
      <c r="AE101" s="0" t="inlineStr">
        <is>
          <t>가경동</t>
        </is>
      </c>
      <c r="AG101" s="0" t="inlineStr">
        <is>
          <t>충청북도 청주시 흥덕구 서현서로 39</t>
        </is>
      </c>
      <c r="AH101" s="0" t="n">
        <v>0</v>
      </c>
      <c r="AI101" s="0" t="n">
        <v>219</v>
      </c>
      <c r="AJ101" s="0" t="n">
        <v>23</v>
      </c>
      <c r="AK101" s="0" t="n">
        <v>622</v>
      </c>
      <c r="AL101" s="0" t="n">
        <v>2.01</v>
      </c>
    </row>
    <row r="102">
      <c r="A102" s="0" t="inlineStr">
        <is>
          <t>[가경동]</t>
        </is>
      </c>
      <c r="B102" s="0" t="n">
        <v>26051</v>
      </c>
      <c r="C102" s="0" t="n">
        <v>4</v>
      </c>
      <c r="D102" s="0" t="inlineStr">
        <is>
          <t>가로수마을대원칸타빌</t>
        </is>
      </c>
      <c r="E102" s="0" t="inlineStr">
        <is>
          <t>2008.09.</t>
        </is>
      </c>
      <c r="F102" s="0" t="n">
        <v>310</v>
      </c>
      <c r="G102" s="0" t="n">
        <v>53.23</v>
      </c>
      <c r="H102" s="0" t="n">
        <v>175.97</v>
      </c>
      <c r="I102" s="0" t="n">
        <v>45.45</v>
      </c>
      <c r="J102" s="0" t="n">
        <v>150.28</v>
      </c>
      <c r="K102" s="0" t="n">
        <v>60</v>
      </c>
      <c r="T102" s="0" t="n">
        <v>4</v>
      </c>
      <c r="U102" s="0" t="n">
        <v>2</v>
      </c>
      <c r="V102" s="0" t="inlineStr">
        <is>
          <t>계단식</t>
        </is>
      </c>
      <c r="W102" s="0" t="inlineStr">
        <is>
          <t>175B</t>
        </is>
      </c>
      <c r="X102" s="0" t="n">
        <v>15</v>
      </c>
      <c r="Y102" s="0" t="n">
        <v>11</v>
      </c>
      <c r="Z102" s="0" t="inlineStr">
        <is>
          <t>https://new.land.naver.com/complexes/26051?tab=detail&amp;rf=Y</t>
        </is>
      </c>
      <c r="AA102" s="0" t="inlineStr">
        <is>
          <t>충청북도 청주시 흥덕구 가경동 1762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흥덕구</t>
        </is>
      </c>
      <c r="AE102" s="0" t="inlineStr">
        <is>
          <t>가경동</t>
        </is>
      </c>
      <c r="AG102" s="0" t="inlineStr">
        <is>
          <t>충청북도 청주시 흥덕구 서현서로 39</t>
        </is>
      </c>
      <c r="AH102" s="0" t="n">
        <v>0</v>
      </c>
      <c r="AI102" s="0" t="n">
        <v>219</v>
      </c>
      <c r="AJ102" s="0" t="n">
        <v>23</v>
      </c>
      <c r="AK102" s="0" t="n">
        <v>622</v>
      </c>
      <c r="AL102" s="0" t="n">
        <v>2.01</v>
      </c>
    </row>
    <row r="103">
      <c r="A103" s="0" t="inlineStr">
        <is>
          <t>[가경동]</t>
        </is>
      </c>
      <c r="B103" s="0" t="n">
        <v>7203</v>
      </c>
      <c r="C103" s="0" t="n">
        <v>1</v>
      </c>
      <c r="D103" s="0" t="inlineStr">
        <is>
          <t>덕일한마음</t>
        </is>
      </c>
      <c r="E103" s="0" t="inlineStr">
        <is>
          <t>1997.06.</t>
        </is>
      </c>
      <c r="F103" s="0" t="n">
        <v>448</v>
      </c>
      <c r="G103" s="0" t="n">
        <v>23.2</v>
      </c>
      <c r="H103" s="0" t="n">
        <v>76.7</v>
      </c>
      <c r="I103" s="0" t="n">
        <v>18.14</v>
      </c>
      <c r="J103" s="0" t="n">
        <v>59.98</v>
      </c>
      <c r="K103" s="0" t="n">
        <v>423</v>
      </c>
      <c r="T103" s="0" t="n">
        <v>3</v>
      </c>
      <c r="U103" s="0" t="n">
        <v>1</v>
      </c>
      <c r="V103" s="0" t="inlineStr">
        <is>
          <t>계단식</t>
        </is>
      </c>
      <c r="W103" s="0" t="inlineStr">
        <is>
          <t>76B</t>
        </is>
      </c>
      <c r="X103" s="0" t="n">
        <v>15</v>
      </c>
      <c r="Y103" s="0" t="n">
        <v>13</v>
      </c>
      <c r="Z103" s="0" t="inlineStr">
        <is>
          <t>https://new.land.naver.com/complexes/7203?tab=detail&amp;rf=Y</t>
        </is>
      </c>
      <c r="AA103" s="0" t="inlineStr">
        <is>
          <t>충청북도 청주시 흥덕구 가경동 1515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흥덕구</t>
        </is>
      </c>
      <c r="AE103" s="0" t="inlineStr">
        <is>
          <t>가경동</t>
        </is>
      </c>
      <c r="AG103" s="0" t="inlineStr">
        <is>
          <t>충청북도 청주시 흥덕구 장구봉로 71</t>
        </is>
      </c>
      <c r="AH103" s="0" t="n">
        <v>0</v>
      </c>
      <c r="AI103" s="0" t="n">
        <v>213</v>
      </c>
      <c r="AJ103" s="0" t="n">
        <v>25</v>
      </c>
      <c r="AK103" s="0" t="n">
        <v>411</v>
      </c>
      <c r="AL103" s="0" t="n">
        <v>0.92</v>
      </c>
    </row>
    <row r="104">
      <c r="A104" s="0" t="inlineStr">
        <is>
          <t>[가경동]</t>
        </is>
      </c>
      <c r="B104" s="0" t="n">
        <v>7203</v>
      </c>
      <c r="C104" s="0" t="n">
        <v>2</v>
      </c>
      <c r="D104" s="0" t="inlineStr">
        <is>
          <t>덕일한마음</t>
        </is>
      </c>
      <c r="E104" s="0" t="inlineStr">
        <is>
          <t>1997.06.</t>
        </is>
      </c>
      <c r="F104" s="0" t="n">
        <v>448</v>
      </c>
      <c r="G104" s="0" t="n">
        <v>23.19</v>
      </c>
      <c r="H104" s="0" t="n">
        <v>76.68000000000001</v>
      </c>
      <c r="I104" s="0" t="n">
        <v>18.13</v>
      </c>
      <c r="J104" s="0" t="n">
        <v>59.96</v>
      </c>
      <c r="K104" s="0" t="n">
        <v>25</v>
      </c>
      <c r="T104" s="0" t="n">
        <v>3</v>
      </c>
      <c r="U104" s="0" t="n">
        <v>1</v>
      </c>
      <c r="V104" s="0" t="inlineStr">
        <is>
          <t>계단식</t>
        </is>
      </c>
      <c r="W104" s="0" t="inlineStr">
        <is>
          <t>76A</t>
        </is>
      </c>
      <c r="X104" s="0" t="n">
        <v>15</v>
      </c>
      <c r="Y104" s="0" t="n">
        <v>13</v>
      </c>
      <c r="Z104" s="0" t="inlineStr">
        <is>
          <t>https://new.land.naver.com/complexes/7203?tab=detail&amp;rf=Y</t>
        </is>
      </c>
      <c r="AA104" s="0" t="inlineStr">
        <is>
          <t>충청북도 청주시 흥덕구 가경동 1515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흥덕구</t>
        </is>
      </c>
      <c r="AE104" s="0" t="inlineStr">
        <is>
          <t>가경동</t>
        </is>
      </c>
      <c r="AG104" s="0" t="inlineStr">
        <is>
          <t>충청북도 청주시 흥덕구 장구봉로 71</t>
        </is>
      </c>
      <c r="AH104" s="0" t="n">
        <v>0</v>
      </c>
      <c r="AI104" s="0" t="n">
        <v>213</v>
      </c>
      <c r="AJ104" s="0" t="n">
        <v>25</v>
      </c>
      <c r="AK104" s="0" t="n">
        <v>411</v>
      </c>
      <c r="AL104" s="0" t="n">
        <v>0.92</v>
      </c>
    </row>
    <row r="105">
      <c r="A105" s="0" t="inlineStr">
        <is>
          <t>[가경동]</t>
        </is>
      </c>
      <c r="B105" s="0" t="n">
        <v>7249</v>
      </c>
      <c r="C105" s="0" t="n">
        <v>1</v>
      </c>
      <c r="D105" s="0" t="inlineStr">
        <is>
          <t>효성</t>
        </is>
      </c>
      <c r="E105" s="0" t="inlineStr">
        <is>
          <t>1997.12.</t>
        </is>
      </c>
      <c r="F105" s="0" t="n">
        <v>320</v>
      </c>
      <c r="G105" s="0" t="n">
        <v>37.94</v>
      </c>
      <c r="H105" s="0" t="n">
        <v>125.44</v>
      </c>
      <c r="I105" s="0" t="n">
        <v>30.24</v>
      </c>
      <c r="J105" s="0" t="n">
        <v>99.98</v>
      </c>
      <c r="K105" s="0" t="n">
        <v>170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125</v>
      </c>
      <c r="X105" s="0" t="n">
        <v>15</v>
      </c>
      <c r="Y105" s="0" t="n">
        <v>12</v>
      </c>
      <c r="Z105" s="0" t="inlineStr">
        <is>
          <t>https://new.land.naver.com/complexes/7249?tab=detail&amp;rf=Y</t>
        </is>
      </c>
      <c r="AA105" s="0" t="inlineStr">
        <is>
          <t>충청북도 청주시 흥덕구 가경동 1507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흥덕구</t>
        </is>
      </c>
      <c r="AE105" s="0" t="inlineStr">
        <is>
          <t>가경동</t>
        </is>
      </c>
      <c r="AG105" s="0" t="inlineStr">
        <is>
          <t>충청북도 청주시 흥덕구 가경로 61</t>
        </is>
      </c>
      <c r="AH105" s="0" t="n">
        <v>0</v>
      </c>
      <c r="AI105" s="0" t="n">
        <v>218</v>
      </c>
      <c r="AJ105" s="0" t="n">
        <v>20</v>
      </c>
      <c r="AK105" s="0" t="n">
        <v>475</v>
      </c>
      <c r="AL105" s="0" t="n">
        <v>1.48</v>
      </c>
    </row>
    <row r="106">
      <c r="A106" s="0" t="inlineStr">
        <is>
          <t>[가경동]</t>
        </is>
      </c>
      <c r="B106" s="0" t="n">
        <v>7249</v>
      </c>
      <c r="C106" s="0" t="n">
        <v>2</v>
      </c>
      <c r="D106" s="0" t="inlineStr">
        <is>
          <t>효성</t>
        </is>
      </c>
      <c r="E106" s="0" t="inlineStr">
        <is>
          <t>1997.12.</t>
        </is>
      </c>
      <c r="F106" s="0" t="n">
        <v>320</v>
      </c>
      <c r="G106" s="0" t="n">
        <v>43.86</v>
      </c>
      <c r="H106" s="0" t="n">
        <v>145.01</v>
      </c>
      <c r="I106" s="0" t="n">
        <v>35.51</v>
      </c>
      <c r="J106" s="0" t="n">
        <v>117.42</v>
      </c>
      <c r="K106" s="0" t="n">
        <v>120</v>
      </c>
      <c r="T106" s="0" t="n">
        <v>4</v>
      </c>
      <c r="U106" s="0" t="n">
        <v>3</v>
      </c>
      <c r="V106" s="0" t="inlineStr">
        <is>
          <t>계단식</t>
        </is>
      </c>
      <c r="W106" s="0" t="n">
        <v>145</v>
      </c>
      <c r="X106" s="0" t="n">
        <v>15</v>
      </c>
      <c r="Y106" s="0" t="n">
        <v>12</v>
      </c>
      <c r="Z106" s="0" t="inlineStr">
        <is>
          <t>https://new.land.naver.com/complexes/7249?tab=detail&amp;rf=Y</t>
        </is>
      </c>
      <c r="AA106" s="0" t="inlineStr">
        <is>
          <t>충청북도 청주시 흥덕구 가경동 1507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흥덕구</t>
        </is>
      </c>
      <c r="AE106" s="0" t="inlineStr">
        <is>
          <t>가경동</t>
        </is>
      </c>
      <c r="AG106" s="0" t="inlineStr">
        <is>
          <t>충청북도 청주시 흥덕구 가경로 61</t>
        </is>
      </c>
      <c r="AH106" s="0" t="n">
        <v>0</v>
      </c>
      <c r="AI106" s="0" t="n">
        <v>218</v>
      </c>
      <c r="AJ106" s="0" t="n">
        <v>20</v>
      </c>
      <c r="AK106" s="0" t="n">
        <v>475</v>
      </c>
      <c r="AL106" s="0" t="n">
        <v>1.48</v>
      </c>
    </row>
    <row r="107">
      <c r="A107" s="0" t="inlineStr">
        <is>
          <t>[가경동]</t>
        </is>
      </c>
      <c r="B107" s="0" t="n">
        <v>7249</v>
      </c>
      <c r="C107" s="0" t="n">
        <v>3</v>
      </c>
      <c r="D107" s="0" t="inlineStr">
        <is>
          <t>효성</t>
        </is>
      </c>
      <c r="E107" s="0" t="inlineStr">
        <is>
          <t>1997.12.</t>
        </is>
      </c>
      <c r="F107" s="0" t="n">
        <v>320</v>
      </c>
      <c r="G107" s="0" t="n">
        <v>52.81</v>
      </c>
      <c r="H107" s="0" t="n">
        <v>174.58</v>
      </c>
      <c r="I107" s="0" t="n">
        <v>43.73</v>
      </c>
      <c r="J107" s="0" t="n">
        <v>144.59</v>
      </c>
      <c r="K107" s="0" t="n">
        <v>30</v>
      </c>
      <c r="T107" s="0" t="n">
        <v>4</v>
      </c>
      <c r="U107" s="0" t="n">
        <v>3</v>
      </c>
      <c r="V107" s="0" t="inlineStr">
        <is>
          <t>계단식</t>
        </is>
      </c>
      <c r="W107" s="0" t="n">
        <v>174</v>
      </c>
      <c r="X107" s="0" t="n">
        <v>15</v>
      </c>
      <c r="Y107" s="0" t="n">
        <v>12</v>
      </c>
      <c r="Z107" s="0" t="inlineStr">
        <is>
          <t>https://new.land.naver.com/complexes/7249?tab=detail&amp;rf=Y</t>
        </is>
      </c>
      <c r="AA107" s="0" t="inlineStr">
        <is>
          <t>충청북도 청주시 흥덕구 가경동 1507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흥덕구</t>
        </is>
      </c>
      <c r="AE107" s="0" t="inlineStr">
        <is>
          <t>가경동</t>
        </is>
      </c>
      <c r="AG107" s="0" t="inlineStr">
        <is>
          <t>충청북도 청주시 흥덕구 가경로 61</t>
        </is>
      </c>
      <c r="AH107" s="0" t="n">
        <v>0</v>
      </c>
      <c r="AI107" s="0" t="n">
        <v>218</v>
      </c>
      <c r="AJ107" s="0" t="n">
        <v>20</v>
      </c>
      <c r="AK107" s="0" t="n">
        <v>475</v>
      </c>
      <c r="AL107" s="0" t="n">
        <v>1.48</v>
      </c>
    </row>
    <row r="108">
      <c r="A108" s="0" t="inlineStr">
        <is>
          <t>[가경동]</t>
        </is>
      </c>
      <c r="B108" s="0" t="n">
        <v>26151</v>
      </c>
      <c r="C108" s="0" t="n">
        <v>1</v>
      </c>
      <c r="D108" s="0" t="inlineStr">
        <is>
          <t>가로수마을한라비발디</t>
        </is>
      </c>
      <c r="E108" s="0" t="inlineStr">
        <is>
          <t>2008.08.</t>
        </is>
      </c>
      <c r="F108" s="0" t="n">
        <v>416</v>
      </c>
      <c r="G108" s="0" t="n">
        <v>34.05</v>
      </c>
      <c r="H108" s="0" t="n">
        <v>112.58</v>
      </c>
      <c r="I108" s="0" t="n">
        <v>25.7</v>
      </c>
      <c r="J108" s="0" t="n">
        <v>84.95999999999999</v>
      </c>
      <c r="K108" s="0" t="n">
        <v>193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112A</t>
        </is>
      </c>
      <c r="X108" s="0" t="n">
        <v>15</v>
      </c>
      <c r="Y108" s="0" t="n">
        <v>11</v>
      </c>
      <c r="Z108" s="0" t="inlineStr">
        <is>
          <t>https://new.land.naver.com/complexes/26151?tab=detail&amp;rf=Y</t>
        </is>
      </c>
      <c r="AA108" s="0" t="inlineStr">
        <is>
          <t>충청북도 청주시 흥덕구 가경동 1761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흥덕구</t>
        </is>
      </c>
      <c r="AE108" s="0" t="inlineStr">
        <is>
          <t>가경동</t>
        </is>
      </c>
      <c r="AG108" s="0" t="inlineStr">
        <is>
          <t>충청북도 청주시 흥덕구 서현서로 40</t>
        </is>
      </c>
      <c r="AH108" s="0" t="n">
        <v>0</v>
      </c>
      <c r="AI108" s="0" t="n">
        <v>210</v>
      </c>
      <c r="AJ108" s="0" t="n">
        <v>21</v>
      </c>
      <c r="AK108" s="0" t="n">
        <v>633</v>
      </c>
      <c r="AL108" s="0" t="n">
        <v>1.52</v>
      </c>
    </row>
    <row r="109">
      <c r="A109" s="0" t="inlineStr">
        <is>
          <t>[가경동]</t>
        </is>
      </c>
      <c r="B109" s="0" t="n">
        <v>26151</v>
      </c>
      <c r="C109" s="0" t="n">
        <v>2</v>
      </c>
      <c r="D109" s="0" t="inlineStr">
        <is>
          <t>가로수마을한라비발디</t>
        </is>
      </c>
      <c r="E109" s="0" t="inlineStr">
        <is>
          <t>2008.08.</t>
        </is>
      </c>
      <c r="F109" s="0" t="n">
        <v>416</v>
      </c>
      <c r="G109" s="0" t="n">
        <v>34.13</v>
      </c>
      <c r="H109" s="0" t="n">
        <v>112.85</v>
      </c>
      <c r="I109" s="0" t="n">
        <v>25.7</v>
      </c>
      <c r="J109" s="0" t="n">
        <v>84.95999999999999</v>
      </c>
      <c r="K109" s="0" t="n">
        <v>60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112B1</t>
        </is>
      </c>
      <c r="X109" s="0" t="n">
        <v>15</v>
      </c>
      <c r="Y109" s="0" t="n">
        <v>11</v>
      </c>
      <c r="Z109" s="0" t="inlineStr">
        <is>
          <t>https://new.land.naver.com/complexes/26151?tab=detail&amp;rf=Y</t>
        </is>
      </c>
      <c r="AA109" s="0" t="inlineStr">
        <is>
          <t>충청북도 청주시 흥덕구 가경동 1761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흥덕구</t>
        </is>
      </c>
      <c r="AE109" s="0" t="inlineStr">
        <is>
          <t>가경동</t>
        </is>
      </c>
      <c r="AG109" s="0" t="inlineStr">
        <is>
          <t>충청북도 청주시 흥덕구 서현서로 40</t>
        </is>
      </c>
      <c r="AH109" s="0" t="n">
        <v>0</v>
      </c>
      <c r="AI109" s="0" t="n">
        <v>210</v>
      </c>
      <c r="AJ109" s="0" t="n">
        <v>21</v>
      </c>
      <c r="AK109" s="0" t="n">
        <v>633</v>
      </c>
      <c r="AL109" s="0" t="n">
        <v>1.52</v>
      </c>
    </row>
    <row r="110">
      <c r="A110" s="0" t="inlineStr">
        <is>
          <t>[가경동]</t>
        </is>
      </c>
      <c r="B110" s="0" t="n">
        <v>26151</v>
      </c>
      <c r="C110" s="0" t="n">
        <v>3</v>
      </c>
      <c r="D110" s="0" t="inlineStr">
        <is>
          <t>가로수마을한라비발디</t>
        </is>
      </c>
      <c r="E110" s="0" t="inlineStr">
        <is>
          <t>2008.08.</t>
        </is>
      </c>
      <c r="F110" s="0" t="n">
        <v>416</v>
      </c>
      <c r="G110" s="0" t="n">
        <v>34.14</v>
      </c>
      <c r="H110" s="0" t="n">
        <v>112.89</v>
      </c>
      <c r="I110" s="0" t="n">
        <v>25.7</v>
      </c>
      <c r="J110" s="0" t="n">
        <v>84.97</v>
      </c>
      <c r="K110" s="0" t="n">
        <v>59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112C</t>
        </is>
      </c>
      <c r="X110" s="0" t="n">
        <v>15</v>
      </c>
      <c r="Y110" s="0" t="n">
        <v>11</v>
      </c>
      <c r="Z110" s="0" t="inlineStr">
        <is>
          <t>https://new.land.naver.com/complexes/26151?tab=detail&amp;rf=Y</t>
        </is>
      </c>
      <c r="AA110" s="0" t="inlineStr">
        <is>
          <t>충청북도 청주시 흥덕구 가경동 1761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흥덕구</t>
        </is>
      </c>
      <c r="AE110" s="0" t="inlineStr">
        <is>
          <t>가경동</t>
        </is>
      </c>
      <c r="AG110" s="0" t="inlineStr">
        <is>
          <t>충청북도 청주시 흥덕구 서현서로 40</t>
        </is>
      </c>
      <c r="AH110" s="0" t="n">
        <v>0</v>
      </c>
      <c r="AI110" s="0" t="n">
        <v>210</v>
      </c>
      <c r="AJ110" s="0" t="n">
        <v>21</v>
      </c>
      <c r="AK110" s="0" t="n">
        <v>633</v>
      </c>
      <c r="AL110" s="0" t="n">
        <v>1.52</v>
      </c>
    </row>
    <row r="111">
      <c r="A111" s="0" t="inlineStr">
        <is>
          <t>[가경동]</t>
        </is>
      </c>
      <c r="B111" s="0" t="n">
        <v>26151</v>
      </c>
      <c r="C111" s="0" t="n">
        <v>4</v>
      </c>
      <c r="D111" s="0" t="inlineStr">
        <is>
          <t>가로수마을한라비발디</t>
        </is>
      </c>
      <c r="E111" s="0" t="inlineStr">
        <is>
          <t>2008.08.</t>
        </is>
      </c>
      <c r="F111" s="0" t="n">
        <v>416</v>
      </c>
      <c r="G111" s="0" t="n">
        <v>34.53</v>
      </c>
      <c r="H111" s="0" t="n">
        <v>114.15</v>
      </c>
      <c r="I111" s="0" t="n">
        <v>25.7</v>
      </c>
      <c r="J111" s="0" t="n">
        <v>84.95999999999999</v>
      </c>
      <c r="K111" s="0" t="n">
        <v>59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114B1</t>
        </is>
      </c>
      <c r="X111" s="0" t="n">
        <v>15</v>
      </c>
      <c r="Y111" s="0" t="n">
        <v>11</v>
      </c>
      <c r="Z111" s="0" t="inlineStr">
        <is>
          <t>https://new.land.naver.com/complexes/26151?tab=detail&amp;rf=Y</t>
        </is>
      </c>
      <c r="AA111" s="0" t="inlineStr">
        <is>
          <t>충청북도 청주시 흥덕구 가경동 1761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흥덕구</t>
        </is>
      </c>
      <c r="AE111" s="0" t="inlineStr">
        <is>
          <t>가경동</t>
        </is>
      </c>
      <c r="AG111" s="0" t="inlineStr">
        <is>
          <t>충청북도 청주시 흥덕구 서현서로 40</t>
        </is>
      </c>
      <c r="AH111" s="0" t="n">
        <v>0</v>
      </c>
      <c r="AI111" s="0" t="n">
        <v>210</v>
      </c>
      <c r="AJ111" s="0" t="n">
        <v>21</v>
      </c>
      <c r="AK111" s="0" t="n">
        <v>633</v>
      </c>
      <c r="AL111" s="0" t="n">
        <v>1.52</v>
      </c>
    </row>
    <row r="112">
      <c r="A112" s="0" t="inlineStr">
        <is>
          <t>[가경동]</t>
        </is>
      </c>
      <c r="B112" s="0" t="n">
        <v>26151</v>
      </c>
      <c r="C112" s="0" t="n">
        <v>5</v>
      </c>
      <c r="D112" s="0" t="inlineStr">
        <is>
          <t>가로수마을한라비발디</t>
        </is>
      </c>
      <c r="E112" s="0" t="inlineStr">
        <is>
          <t>2008.08.</t>
        </is>
      </c>
      <c r="F112" s="0" t="n">
        <v>416</v>
      </c>
      <c r="G112" s="0" t="n">
        <v>35.17</v>
      </c>
      <c r="H112" s="0" t="n">
        <v>116.27</v>
      </c>
      <c r="I112" s="0" t="n">
        <v>25.7</v>
      </c>
      <c r="J112" s="0" t="n">
        <v>84.97</v>
      </c>
      <c r="K112" s="0" t="n">
        <v>15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116B2</t>
        </is>
      </c>
      <c r="X112" s="0" t="n">
        <v>15</v>
      </c>
      <c r="Y112" s="0" t="n">
        <v>11</v>
      </c>
      <c r="Z112" s="0" t="inlineStr">
        <is>
          <t>https://new.land.naver.com/complexes/26151?tab=detail&amp;rf=Y</t>
        </is>
      </c>
      <c r="AA112" s="0" t="inlineStr">
        <is>
          <t>충청북도 청주시 흥덕구 가경동 1761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흥덕구</t>
        </is>
      </c>
      <c r="AE112" s="0" t="inlineStr">
        <is>
          <t>가경동</t>
        </is>
      </c>
      <c r="AG112" s="0" t="inlineStr">
        <is>
          <t>충청북도 청주시 흥덕구 서현서로 40</t>
        </is>
      </c>
      <c r="AH112" s="0" t="n">
        <v>0</v>
      </c>
      <c r="AI112" s="0" t="n">
        <v>210</v>
      </c>
      <c r="AJ112" s="0" t="n">
        <v>21</v>
      </c>
      <c r="AK112" s="0" t="n">
        <v>633</v>
      </c>
      <c r="AL112" s="0" t="n">
        <v>1.52</v>
      </c>
    </row>
    <row r="113">
      <c r="A113" s="0" t="inlineStr">
        <is>
          <t>[가경동]</t>
        </is>
      </c>
      <c r="B113" s="0" t="n">
        <v>26151</v>
      </c>
      <c r="C113" s="0" t="n">
        <v>6</v>
      </c>
      <c r="D113" s="0" t="inlineStr">
        <is>
          <t>가로수마을한라비발디</t>
        </is>
      </c>
      <c r="E113" s="0" t="inlineStr">
        <is>
          <t>2008.08.</t>
        </is>
      </c>
      <c r="F113" s="0" t="n">
        <v>416</v>
      </c>
      <c r="G113" s="0" t="n">
        <v>35.54</v>
      </c>
      <c r="H113" s="0" t="n">
        <v>117.52</v>
      </c>
      <c r="I113" s="0" t="n">
        <v>25.7</v>
      </c>
      <c r="J113" s="0" t="n">
        <v>84.95999999999999</v>
      </c>
      <c r="K113" s="0" t="n">
        <v>30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117C</t>
        </is>
      </c>
      <c r="X113" s="0" t="n">
        <v>15</v>
      </c>
      <c r="Y113" s="0" t="n">
        <v>11</v>
      </c>
      <c r="Z113" s="0" t="inlineStr">
        <is>
          <t>https://new.land.naver.com/complexes/26151?tab=detail&amp;rf=Y</t>
        </is>
      </c>
      <c r="AA113" s="0" t="inlineStr">
        <is>
          <t>충청북도 청주시 흥덕구 가경동 1761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흥덕구</t>
        </is>
      </c>
      <c r="AE113" s="0" t="inlineStr">
        <is>
          <t>가경동</t>
        </is>
      </c>
      <c r="AG113" s="0" t="inlineStr">
        <is>
          <t>충청북도 청주시 흥덕구 서현서로 40</t>
        </is>
      </c>
      <c r="AH113" s="0" t="n">
        <v>0</v>
      </c>
      <c r="AI113" s="0" t="n">
        <v>210</v>
      </c>
      <c r="AJ113" s="0" t="n">
        <v>21</v>
      </c>
      <c r="AK113" s="0" t="n">
        <v>633</v>
      </c>
      <c r="AL113" s="0" t="n">
        <v>1.52</v>
      </c>
    </row>
    <row r="114">
      <c r="A114" s="0" t="inlineStr">
        <is>
          <t>[강내면]</t>
        </is>
      </c>
      <c r="B114" s="0" t="n">
        <v>17222</v>
      </c>
      <c r="C114" s="0" t="n">
        <v>1</v>
      </c>
      <c r="D114" s="0" t="inlineStr">
        <is>
          <t>진흥2차</t>
        </is>
      </c>
      <c r="E114" s="0" t="inlineStr">
        <is>
          <t>1989.11.</t>
        </is>
      </c>
      <c r="F114" s="0" t="n">
        <v>150</v>
      </c>
      <c r="G114" s="0" t="n">
        <v>17.33</v>
      </c>
      <c r="H114" s="0" t="n">
        <v>57.32</v>
      </c>
      <c r="I114" s="0" t="n">
        <v>15.11</v>
      </c>
      <c r="J114" s="0" t="n">
        <v>49.97</v>
      </c>
      <c r="K114" s="0" t="n">
        <v>40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57</v>
      </c>
      <c r="X114" s="0" t="n">
        <v>5</v>
      </c>
      <c r="Y114" s="0" t="n">
        <v>5</v>
      </c>
      <c r="Z114" s="0" t="inlineStr">
        <is>
          <t>https://new.land.naver.com/complexes/17222?tab=detail&amp;rf=Y</t>
        </is>
      </c>
      <c r="AA114" s="0" t="inlineStr">
        <is>
          <t>충청북도 청주시 흥덕구 강내면 월곡리 150-7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흥덕구</t>
        </is>
      </c>
      <c r="AE114" s="0" t="inlineStr">
        <is>
          <t>강내면</t>
        </is>
      </c>
      <c r="AG114" s="0" t="inlineStr">
        <is>
          <t>충청북도 청주시 흥덕구 가로수로 654-10</t>
        </is>
      </c>
      <c r="AH114" s="0" t="n">
        <v>0</v>
      </c>
      <c r="AI114" s="0" t="n">
        <v>137</v>
      </c>
      <c r="AJ114" s="0" t="n">
        <v>28</v>
      </c>
      <c r="AK114" s="0" t="n">
        <v>0</v>
      </c>
      <c r="AL114" s="0" t="n">
        <v>0</v>
      </c>
    </row>
    <row r="115">
      <c r="A115" s="0" t="inlineStr">
        <is>
          <t>[강내면]</t>
        </is>
      </c>
      <c r="B115" s="0" t="n">
        <v>17222</v>
      </c>
      <c r="C115" s="0" t="n">
        <v>2</v>
      </c>
      <c r="D115" s="0" t="inlineStr">
        <is>
          <t>진흥2차</t>
        </is>
      </c>
      <c r="E115" s="0" t="inlineStr">
        <is>
          <t>1989.11.</t>
        </is>
      </c>
      <c r="F115" s="0" t="n">
        <v>150</v>
      </c>
      <c r="G115" s="0" t="n">
        <v>20.18</v>
      </c>
      <c r="H115" s="0" t="n">
        <v>66.72</v>
      </c>
      <c r="I115" s="0" t="n">
        <v>18.11</v>
      </c>
      <c r="J115" s="0" t="n">
        <v>59.88</v>
      </c>
      <c r="K115" s="0" t="n">
        <v>40</v>
      </c>
      <c r="T115" s="0" t="n">
        <v>3</v>
      </c>
      <c r="U115" s="0" t="n">
        <v>1</v>
      </c>
      <c r="V115" s="0" t="inlineStr">
        <is>
          <t>계단식</t>
        </is>
      </c>
      <c r="W115" s="0" t="inlineStr">
        <is>
          <t>66A</t>
        </is>
      </c>
      <c r="X115" s="0" t="n">
        <v>5</v>
      </c>
      <c r="Y115" s="0" t="n">
        <v>5</v>
      </c>
      <c r="Z115" s="0" t="inlineStr">
        <is>
          <t>https://new.land.naver.com/complexes/17222?tab=detail&amp;rf=Y</t>
        </is>
      </c>
      <c r="AA115" s="0" t="inlineStr">
        <is>
          <t>충청북도 청주시 흥덕구 강내면 월곡리 150-7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흥덕구</t>
        </is>
      </c>
      <c r="AE115" s="0" t="inlineStr">
        <is>
          <t>강내면</t>
        </is>
      </c>
      <c r="AG115" s="0" t="inlineStr">
        <is>
          <t>충청북도 청주시 흥덕구 가로수로 654-10</t>
        </is>
      </c>
      <c r="AH115" s="0" t="n">
        <v>0</v>
      </c>
      <c r="AI115" s="0" t="n">
        <v>137</v>
      </c>
      <c r="AJ115" s="0" t="n">
        <v>28</v>
      </c>
      <c r="AK115" s="0" t="n">
        <v>0</v>
      </c>
      <c r="AL115" s="0" t="n">
        <v>0</v>
      </c>
    </row>
    <row r="116">
      <c r="A116" s="0" t="inlineStr">
        <is>
          <t>[강내면]</t>
        </is>
      </c>
      <c r="B116" s="0" t="n">
        <v>17222</v>
      </c>
      <c r="C116" s="0" t="n">
        <v>3</v>
      </c>
      <c r="D116" s="0" t="inlineStr">
        <is>
          <t>진흥2차</t>
        </is>
      </c>
      <c r="E116" s="0" t="inlineStr">
        <is>
          <t>1989.11.</t>
        </is>
      </c>
      <c r="F116" s="0" t="n">
        <v>150</v>
      </c>
      <c r="G116" s="0" t="n">
        <v>20.2</v>
      </c>
      <c r="H116" s="0" t="n">
        <v>66.79000000000001</v>
      </c>
      <c r="I116" s="0" t="n">
        <v>18.13</v>
      </c>
      <c r="J116" s="0" t="n">
        <v>59.94</v>
      </c>
      <c r="K116" s="0" t="n">
        <v>40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66B</t>
        </is>
      </c>
      <c r="X116" s="0" t="n">
        <v>5</v>
      </c>
      <c r="Y116" s="0" t="n">
        <v>5</v>
      </c>
      <c r="Z116" s="0" t="inlineStr">
        <is>
          <t>https://new.land.naver.com/complexes/17222?tab=detail&amp;rf=Y</t>
        </is>
      </c>
      <c r="AA116" s="0" t="inlineStr">
        <is>
          <t>충청북도 청주시 흥덕구 강내면 월곡리 150-7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흥덕구</t>
        </is>
      </c>
      <c r="AE116" s="0" t="inlineStr">
        <is>
          <t>강내면</t>
        </is>
      </c>
      <c r="AG116" s="0" t="inlineStr">
        <is>
          <t>충청북도 청주시 흥덕구 가로수로 654-10</t>
        </is>
      </c>
      <c r="AH116" s="0" t="n">
        <v>0</v>
      </c>
      <c r="AI116" s="0" t="n">
        <v>137</v>
      </c>
      <c r="AJ116" s="0" t="n">
        <v>28</v>
      </c>
      <c r="AK116" s="0" t="n">
        <v>0</v>
      </c>
      <c r="AL116" s="0" t="n">
        <v>0</v>
      </c>
    </row>
    <row r="117">
      <c r="A117" s="0" t="inlineStr">
        <is>
          <t>[강내면]</t>
        </is>
      </c>
      <c r="B117" s="0" t="n">
        <v>17222</v>
      </c>
      <c r="C117" s="0" t="n">
        <v>4</v>
      </c>
      <c r="D117" s="0" t="inlineStr">
        <is>
          <t>진흥2차</t>
        </is>
      </c>
      <c r="E117" s="0" t="inlineStr">
        <is>
          <t>1989.11.</t>
        </is>
      </c>
      <c r="F117" s="0" t="n">
        <v>150</v>
      </c>
      <c r="G117" s="0" t="n">
        <v>20.18</v>
      </c>
      <c r="H117" s="0" t="n">
        <v>66.72</v>
      </c>
      <c r="I117" s="0" t="n">
        <v>18.11</v>
      </c>
      <c r="J117" s="0" t="n">
        <v>59.9</v>
      </c>
      <c r="K117" s="0" t="n">
        <v>30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66C</t>
        </is>
      </c>
      <c r="X117" s="0" t="n">
        <v>5</v>
      </c>
      <c r="Y117" s="0" t="n">
        <v>5</v>
      </c>
      <c r="Z117" s="0" t="inlineStr">
        <is>
          <t>https://new.land.naver.com/complexes/17222?tab=detail&amp;rf=Y</t>
        </is>
      </c>
      <c r="AA117" s="0" t="inlineStr">
        <is>
          <t>충청북도 청주시 흥덕구 강내면 월곡리 150-7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흥덕구</t>
        </is>
      </c>
      <c r="AE117" s="0" t="inlineStr">
        <is>
          <t>강내면</t>
        </is>
      </c>
      <c r="AG117" s="0" t="inlineStr">
        <is>
          <t>충청북도 청주시 흥덕구 가로수로 654-10</t>
        </is>
      </c>
      <c r="AH117" s="0" t="n">
        <v>0</v>
      </c>
      <c r="AI117" s="0" t="n">
        <v>137</v>
      </c>
      <c r="AJ117" s="0" t="n">
        <v>28</v>
      </c>
      <c r="AK117" s="0" t="n">
        <v>0</v>
      </c>
      <c r="AL117" s="0" t="n">
        <v>0</v>
      </c>
    </row>
    <row r="118">
      <c r="A118" s="0" t="inlineStr">
        <is>
          <t>[강내면]</t>
        </is>
      </c>
      <c r="B118" s="0" t="n">
        <v>105782</v>
      </c>
      <c r="C118" s="0" t="n">
        <v>1</v>
      </c>
      <c r="D118" s="0" t="inlineStr">
        <is>
          <t>두진</t>
        </is>
      </c>
      <c r="E118" s="0" t="inlineStr">
        <is>
          <t>1991.12.</t>
        </is>
      </c>
      <c r="F118" s="0" t="n">
        <v>118</v>
      </c>
      <c r="G118" s="0" t="n">
        <v>25.69</v>
      </c>
      <c r="H118" s="0" t="n">
        <v>84.93000000000001</v>
      </c>
      <c r="I118" s="0" t="n">
        <v>17.77</v>
      </c>
      <c r="J118" s="0" t="n">
        <v>58.77</v>
      </c>
      <c r="K118" s="0" t="n">
        <v>78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84</v>
      </c>
      <c r="X118" s="0" t="n">
        <v>6</v>
      </c>
      <c r="Y118" s="0" t="n">
        <v>5</v>
      </c>
      <c r="Z118" s="0" t="inlineStr">
        <is>
          <t>https://new.land.naver.com/complexes/105782?tab=detail&amp;rf=Y</t>
        </is>
      </c>
      <c r="AA118" s="0" t="inlineStr">
        <is>
          <t>충청북도 청주시 흥덕구 강내면 263-2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흥덕구</t>
        </is>
      </c>
      <c r="AE118" s="0" t="inlineStr">
        <is>
          <t>강내면</t>
        </is>
      </c>
      <c r="AG118" s="0" t="inlineStr">
        <is>
          <t>충청북도 청주시 흥덕구 탑연월곡길 86-5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[강내면]</t>
        </is>
      </c>
      <c r="B119" s="0" t="n">
        <v>105782</v>
      </c>
      <c r="C119" s="0" t="n">
        <v>2</v>
      </c>
      <c r="D119" s="0" t="inlineStr">
        <is>
          <t>두진</t>
        </is>
      </c>
      <c r="E119" s="0" t="inlineStr">
        <is>
          <t>1991.12.</t>
        </is>
      </c>
      <c r="F119" s="0" t="n">
        <v>118</v>
      </c>
      <c r="G119" s="0" t="n">
        <v>29.98</v>
      </c>
      <c r="H119" s="0" t="n">
        <v>99.11</v>
      </c>
      <c r="I119" s="0" t="n">
        <v>20.74</v>
      </c>
      <c r="J119" s="0" t="n">
        <v>68.58</v>
      </c>
      <c r="K119" s="0" t="n">
        <v>11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99</v>
      </c>
      <c r="X119" s="0" t="n">
        <v>6</v>
      </c>
      <c r="Y119" s="0" t="n">
        <v>5</v>
      </c>
      <c r="Z119" s="0" t="inlineStr">
        <is>
          <t>https://new.land.naver.com/complexes/105782?tab=detail&amp;rf=Y</t>
        </is>
      </c>
      <c r="AA119" s="0" t="inlineStr">
        <is>
          <t>충청북도 청주시 흥덕구 강내면 263-2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흥덕구</t>
        </is>
      </c>
      <c r="AE119" s="0" t="inlineStr">
        <is>
          <t>강내면</t>
        </is>
      </c>
      <c r="AG119" s="0" t="inlineStr">
        <is>
          <t>충청북도 청주시 흥덕구 탑연월곡길 86-5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[강내면]</t>
        </is>
      </c>
      <c r="B120" s="0" t="n">
        <v>105782</v>
      </c>
      <c r="C120" s="0" t="n">
        <v>3</v>
      </c>
      <c r="D120" s="0" t="inlineStr">
        <is>
          <t>두진</t>
        </is>
      </c>
      <c r="E120" s="0" t="inlineStr">
        <is>
          <t>1991.12.</t>
        </is>
      </c>
      <c r="F120" s="0" t="n">
        <v>118</v>
      </c>
      <c r="G120" s="0" t="n">
        <v>33.44</v>
      </c>
      <c r="H120" s="0" t="n">
        <v>110.56</v>
      </c>
      <c r="I120" s="0" t="n">
        <v>25.67</v>
      </c>
      <c r="J120" s="0" t="n">
        <v>84.89</v>
      </c>
      <c r="K120" s="0" t="n">
        <v>24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110</v>
      </c>
      <c r="X120" s="0" t="n">
        <v>6</v>
      </c>
      <c r="Y120" s="0" t="n">
        <v>5</v>
      </c>
      <c r="Z120" s="0" t="inlineStr">
        <is>
          <t>https://new.land.naver.com/complexes/105782?tab=detail&amp;rf=Y</t>
        </is>
      </c>
      <c r="AA120" s="0" t="inlineStr">
        <is>
          <t>충청북도 청주시 흥덕구 강내면 263-2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흥덕구</t>
        </is>
      </c>
      <c r="AE120" s="0" t="inlineStr">
        <is>
          <t>강내면</t>
        </is>
      </c>
      <c r="AG120" s="0" t="inlineStr">
        <is>
          <t>충청북도 청주시 흥덕구 탑연월곡길 86-5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[강내면]</t>
        </is>
      </c>
      <c r="B121" s="0" t="n">
        <v>105782</v>
      </c>
      <c r="C121" s="0" t="n">
        <v>4</v>
      </c>
      <c r="D121" s="0" t="inlineStr">
        <is>
          <t>두진</t>
        </is>
      </c>
      <c r="E121" s="0" t="inlineStr">
        <is>
          <t>1991.12.</t>
        </is>
      </c>
      <c r="F121" s="0" t="n">
        <v>118</v>
      </c>
      <c r="G121" s="0" t="n">
        <v>35.28</v>
      </c>
      <c r="H121" s="0" t="n">
        <v>116.65</v>
      </c>
      <c r="I121" s="0" t="n">
        <v>25.61</v>
      </c>
      <c r="J121" s="0" t="n">
        <v>84.67</v>
      </c>
      <c r="K121" s="0" t="n">
        <v>5</v>
      </c>
      <c r="T121" s="0" t="n">
        <v>3</v>
      </c>
      <c r="U121" s="0" t="n">
        <v>2</v>
      </c>
      <c r="V121" s="0" t="inlineStr">
        <is>
          <t>복도식</t>
        </is>
      </c>
      <c r="W121" s="0" t="n">
        <v>116</v>
      </c>
      <c r="X121" s="0" t="n">
        <v>6</v>
      </c>
      <c r="Y121" s="0" t="n">
        <v>5</v>
      </c>
      <c r="Z121" s="0" t="inlineStr">
        <is>
          <t>https://new.land.naver.com/complexes/105782?tab=detail&amp;rf=Y</t>
        </is>
      </c>
      <c r="AA121" s="0" t="inlineStr">
        <is>
          <t>충청북도 청주시 흥덕구 강내면 263-2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흥덕구</t>
        </is>
      </c>
      <c r="AE121" s="0" t="inlineStr">
        <is>
          <t>강내면</t>
        </is>
      </c>
      <c r="AG121" s="0" t="inlineStr">
        <is>
          <t>충청북도 청주시 흥덕구 탑연월곡길 86-5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[강내면]</t>
        </is>
      </c>
      <c r="B122" s="0" t="n">
        <v>107131</v>
      </c>
      <c r="C122" s="0" t="n">
        <v>1</v>
      </c>
      <c r="D122" s="0" t="inlineStr">
        <is>
          <t>일송그린</t>
        </is>
      </c>
      <c r="E122" s="0" t="inlineStr">
        <is>
          <t>1998.05.</t>
        </is>
      </c>
      <c r="F122" s="0" t="n">
        <v>76</v>
      </c>
      <c r="G122" s="0" t="n">
        <v>28.4</v>
      </c>
      <c r="H122" s="0" t="n">
        <v>93.89</v>
      </c>
      <c r="I122" s="0" t="n">
        <v>18.09</v>
      </c>
      <c r="J122" s="0" t="n">
        <v>59.83</v>
      </c>
      <c r="K122" s="0" t="n">
        <v>59</v>
      </c>
      <c r="T122" s="0" t="n">
        <v>3</v>
      </c>
      <c r="U122" s="0" t="n">
        <v>2</v>
      </c>
      <c r="V122" s="0" t="inlineStr">
        <is>
          <t>복도식</t>
        </is>
      </c>
      <c r="W122" s="0" t="n">
        <v>93</v>
      </c>
      <c r="X122" s="0" t="n">
        <v>10</v>
      </c>
      <c r="Y122" s="0" t="n">
        <v>7</v>
      </c>
      <c r="Z122" s="0" t="inlineStr">
        <is>
          <t>https://new.land.naver.com/complexes/107131?tab=detail&amp;rf=Y</t>
        </is>
      </c>
      <c r="AA122" s="0" t="inlineStr">
        <is>
          <t>충청북도 청주시 흥덕구 강내면 월곡리 227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흥덕구</t>
        </is>
      </c>
      <c r="AE122" s="0" t="inlineStr">
        <is>
          <t>강내면</t>
        </is>
      </c>
      <c r="AG122" s="0" t="inlineStr">
        <is>
          <t>충청북도 청주시 흥덕구 탑연월곡길 79-7</t>
        </is>
      </c>
      <c r="AH122" s="0" t="n">
        <v>0</v>
      </c>
      <c r="AI122" s="0" t="n">
        <v>243</v>
      </c>
      <c r="AJ122" s="0" t="n">
        <v>32</v>
      </c>
      <c r="AK122" s="0" t="n">
        <v>43</v>
      </c>
      <c r="AL122" s="0" t="n">
        <v>0.57</v>
      </c>
    </row>
    <row r="123">
      <c r="A123" s="0" t="inlineStr">
        <is>
          <t>[강내면]</t>
        </is>
      </c>
      <c r="B123" s="0" t="n">
        <v>107131</v>
      </c>
      <c r="C123" s="0" t="n">
        <v>2</v>
      </c>
      <c r="D123" s="0" t="inlineStr">
        <is>
          <t>일송그린</t>
        </is>
      </c>
      <c r="E123" s="0" t="inlineStr">
        <is>
          <t>1998.05.</t>
        </is>
      </c>
      <c r="F123" s="0" t="n">
        <v>76</v>
      </c>
      <c r="G123" s="0" t="n">
        <v>38.26</v>
      </c>
      <c r="H123" s="0" t="n">
        <v>126.49</v>
      </c>
      <c r="I123" s="0" t="n">
        <v>24.38</v>
      </c>
      <c r="J123" s="0" t="n">
        <v>80.59999999999999</v>
      </c>
      <c r="K123" s="0" t="n">
        <v>17</v>
      </c>
      <c r="T123" s="0" t="n">
        <v>3</v>
      </c>
      <c r="U123" s="0" t="n">
        <v>2</v>
      </c>
      <c r="V123" s="0" t="inlineStr">
        <is>
          <t>복도식</t>
        </is>
      </c>
      <c r="W123" s="0" t="n">
        <v>126</v>
      </c>
      <c r="X123" s="0" t="n">
        <v>10</v>
      </c>
      <c r="Y123" s="0" t="n">
        <v>7</v>
      </c>
      <c r="Z123" s="0" t="inlineStr">
        <is>
          <t>https://new.land.naver.com/complexes/107131?tab=detail&amp;rf=Y</t>
        </is>
      </c>
      <c r="AA123" s="0" t="inlineStr">
        <is>
          <t>충청북도 청주시 흥덕구 강내면 월곡리 227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흥덕구</t>
        </is>
      </c>
      <c r="AE123" s="0" t="inlineStr">
        <is>
          <t>강내면</t>
        </is>
      </c>
      <c r="AG123" s="0" t="inlineStr">
        <is>
          <t>충청북도 청주시 흥덕구 탑연월곡길 79-7</t>
        </is>
      </c>
      <c r="AH123" s="0" t="n">
        <v>0</v>
      </c>
      <c r="AI123" s="0" t="n">
        <v>243</v>
      </c>
      <c r="AJ123" s="0" t="n">
        <v>32</v>
      </c>
      <c r="AK123" s="0" t="n">
        <v>43</v>
      </c>
      <c r="AL123" s="0" t="n">
        <v>0.57</v>
      </c>
    </row>
    <row r="124">
      <c r="A124" s="0" t="inlineStr">
        <is>
          <t>[강내면]</t>
        </is>
      </c>
      <c r="B124" s="0" t="n">
        <v>23596</v>
      </c>
      <c r="C124" s="0" t="n">
        <v>1</v>
      </c>
      <c r="D124" s="0" t="inlineStr">
        <is>
          <t>청원쌍용예가1단지</t>
        </is>
      </c>
      <c r="E124" s="0" t="inlineStr">
        <is>
          <t>2007.08.</t>
        </is>
      </c>
      <c r="F124" s="0" t="n">
        <v>196</v>
      </c>
      <c r="G124" s="0" t="n">
        <v>33.25</v>
      </c>
      <c r="H124" s="0" t="n">
        <v>109.92</v>
      </c>
      <c r="I124" s="0" t="n">
        <v>25.69</v>
      </c>
      <c r="J124" s="0" t="n">
        <v>84.95</v>
      </c>
      <c r="K124" s="0" t="n">
        <v>14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109C</t>
        </is>
      </c>
      <c r="X124" s="0" t="n">
        <v>15</v>
      </c>
      <c r="Y124" s="0" t="n">
        <v>8</v>
      </c>
      <c r="Z124" s="0" t="inlineStr">
        <is>
          <t>https://new.land.naver.com/complexes/23596?tab=detail&amp;rf=Y</t>
        </is>
      </c>
      <c r="AA124" s="0" t="inlineStr">
        <is>
          <t>충청북도 청주시 흥덕구 강내면 월곡리 428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흥덕구</t>
        </is>
      </c>
      <c r="AE124" s="0" t="inlineStr">
        <is>
          <t>강내면</t>
        </is>
      </c>
      <c r="AG124" s="0" t="inlineStr">
        <is>
          <t>충청북도 청주시 흥덕구 탑연월곡길 62-13</t>
        </is>
      </c>
      <c r="AH124" s="0" t="n">
        <v>0</v>
      </c>
      <c r="AI124" s="0" t="n">
        <v>223</v>
      </c>
      <c r="AJ124" s="0" t="n">
        <v>21</v>
      </c>
      <c r="AK124" s="0" t="n">
        <v>294</v>
      </c>
      <c r="AL124" s="0" t="n">
        <v>1.5</v>
      </c>
    </row>
    <row r="125">
      <c r="A125" s="0" t="inlineStr">
        <is>
          <t>[강내면]</t>
        </is>
      </c>
      <c r="B125" s="0" t="n">
        <v>23596</v>
      </c>
      <c r="C125" s="0" t="n">
        <v>2</v>
      </c>
      <c r="D125" s="0" t="inlineStr">
        <is>
          <t>청원쌍용예가1단지</t>
        </is>
      </c>
      <c r="E125" s="0" t="inlineStr">
        <is>
          <t>2007.08.</t>
        </is>
      </c>
      <c r="F125" s="0" t="n">
        <v>196</v>
      </c>
      <c r="G125" s="0" t="n">
        <v>33.32</v>
      </c>
      <c r="H125" s="0" t="n">
        <v>110.15</v>
      </c>
      <c r="I125" s="0" t="n">
        <v>25.7</v>
      </c>
      <c r="J125" s="0" t="n">
        <v>84.97</v>
      </c>
      <c r="K125" s="0" t="n">
        <v>27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110D</t>
        </is>
      </c>
      <c r="X125" s="0" t="n">
        <v>15</v>
      </c>
      <c r="Y125" s="0" t="n">
        <v>8</v>
      </c>
      <c r="Z125" s="0" t="inlineStr">
        <is>
          <t>https://new.land.naver.com/complexes/23596?tab=detail&amp;rf=Y</t>
        </is>
      </c>
      <c r="AA125" s="0" t="inlineStr">
        <is>
          <t>충청북도 청주시 흥덕구 강내면 월곡리 428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흥덕구</t>
        </is>
      </c>
      <c r="AE125" s="0" t="inlineStr">
        <is>
          <t>강내면</t>
        </is>
      </c>
      <c r="AG125" s="0" t="inlineStr">
        <is>
          <t>충청북도 청주시 흥덕구 탑연월곡길 62-13</t>
        </is>
      </c>
      <c r="AH125" s="0" t="n">
        <v>0</v>
      </c>
      <c r="AI125" s="0" t="n">
        <v>223</v>
      </c>
      <c r="AJ125" s="0" t="n">
        <v>21</v>
      </c>
      <c r="AK125" s="0" t="n">
        <v>294</v>
      </c>
      <c r="AL125" s="0" t="n">
        <v>1.5</v>
      </c>
    </row>
    <row r="126">
      <c r="A126" s="0" t="inlineStr">
        <is>
          <t>[강내면]</t>
        </is>
      </c>
      <c r="B126" s="0" t="n">
        <v>23596</v>
      </c>
      <c r="C126" s="0" t="n">
        <v>3</v>
      </c>
      <c r="D126" s="0" t="inlineStr">
        <is>
          <t>청원쌍용예가1단지</t>
        </is>
      </c>
      <c r="E126" s="0" t="inlineStr">
        <is>
          <t>2007.08.</t>
        </is>
      </c>
      <c r="F126" s="0" t="n">
        <v>196</v>
      </c>
      <c r="G126" s="0" t="n">
        <v>33.87</v>
      </c>
      <c r="H126" s="0" t="n">
        <v>111.99</v>
      </c>
      <c r="I126" s="0" t="n">
        <v>25.7</v>
      </c>
      <c r="J126" s="0" t="n">
        <v>84.97</v>
      </c>
      <c r="K126" s="0" t="n">
        <v>70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111A</t>
        </is>
      </c>
      <c r="X126" s="0" t="n">
        <v>15</v>
      </c>
      <c r="Y126" s="0" t="n">
        <v>8</v>
      </c>
      <c r="Z126" s="0" t="inlineStr">
        <is>
          <t>https://new.land.naver.com/complexes/23596?tab=detail&amp;rf=Y</t>
        </is>
      </c>
      <c r="AA126" s="0" t="inlineStr">
        <is>
          <t>충청북도 청주시 흥덕구 강내면 월곡리 428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흥덕구</t>
        </is>
      </c>
      <c r="AE126" s="0" t="inlineStr">
        <is>
          <t>강내면</t>
        </is>
      </c>
      <c r="AG126" s="0" t="inlineStr">
        <is>
          <t>충청북도 청주시 흥덕구 탑연월곡길 62-13</t>
        </is>
      </c>
      <c r="AH126" s="0" t="n">
        <v>0</v>
      </c>
      <c r="AI126" s="0" t="n">
        <v>223</v>
      </c>
      <c r="AJ126" s="0" t="n">
        <v>21</v>
      </c>
      <c r="AK126" s="0" t="n">
        <v>294</v>
      </c>
      <c r="AL126" s="0" t="n">
        <v>1.5</v>
      </c>
    </row>
    <row r="127">
      <c r="A127" s="0" t="inlineStr">
        <is>
          <t>[강내면]</t>
        </is>
      </c>
      <c r="B127" s="0" t="n">
        <v>23596</v>
      </c>
      <c r="C127" s="0" t="n">
        <v>4</v>
      </c>
      <c r="D127" s="0" t="inlineStr">
        <is>
          <t>청원쌍용예가1단지</t>
        </is>
      </c>
      <c r="E127" s="0" t="inlineStr">
        <is>
          <t>2007.08.</t>
        </is>
      </c>
      <c r="F127" s="0" t="n">
        <v>196</v>
      </c>
      <c r="G127" s="0" t="n">
        <v>33.62</v>
      </c>
      <c r="H127" s="0" t="n">
        <v>111.17</v>
      </c>
      <c r="I127" s="0" t="n">
        <v>25.7</v>
      </c>
      <c r="J127" s="0" t="n">
        <v>84.97</v>
      </c>
      <c r="K127" s="0" t="n">
        <v>29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111B</t>
        </is>
      </c>
      <c r="X127" s="0" t="n">
        <v>15</v>
      </c>
      <c r="Y127" s="0" t="n">
        <v>8</v>
      </c>
      <c r="Z127" s="0" t="inlineStr">
        <is>
          <t>https://new.land.naver.com/complexes/23596?tab=detail&amp;rf=Y</t>
        </is>
      </c>
      <c r="AA127" s="0" t="inlineStr">
        <is>
          <t>충청북도 청주시 흥덕구 강내면 월곡리 428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흥덕구</t>
        </is>
      </c>
      <c r="AE127" s="0" t="inlineStr">
        <is>
          <t>강내면</t>
        </is>
      </c>
      <c r="AG127" s="0" t="inlineStr">
        <is>
          <t>충청북도 청주시 흥덕구 탑연월곡길 62-13</t>
        </is>
      </c>
      <c r="AH127" s="0" t="n">
        <v>0</v>
      </c>
      <c r="AI127" s="0" t="n">
        <v>223</v>
      </c>
      <c r="AJ127" s="0" t="n">
        <v>21</v>
      </c>
      <c r="AK127" s="0" t="n">
        <v>294</v>
      </c>
      <c r="AL127" s="0" t="n">
        <v>1.5</v>
      </c>
    </row>
    <row r="128">
      <c r="A128" s="0" t="inlineStr">
        <is>
          <t>[강내면]</t>
        </is>
      </c>
      <c r="B128" s="0" t="n">
        <v>23596</v>
      </c>
      <c r="C128" s="0" t="n">
        <v>5</v>
      </c>
      <c r="D128" s="0" t="inlineStr">
        <is>
          <t>청원쌍용예가1단지</t>
        </is>
      </c>
      <c r="E128" s="0" t="inlineStr">
        <is>
          <t>2007.08.</t>
        </is>
      </c>
      <c r="F128" s="0" t="n">
        <v>196</v>
      </c>
      <c r="G128" s="0" t="n">
        <v>44.36</v>
      </c>
      <c r="H128" s="0" t="n">
        <v>146.67</v>
      </c>
      <c r="I128" s="0" t="n">
        <v>35.48</v>
      </c>
      <c r="J128" s="0" t="n">
        <v>117.32</v>
      </c>
      <c r="K128" s="0" t="n">
        <v>56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146</v>
      </c>
      <c r="X128" s="0" t="n">
        <v>15</v>
      </c>
      <c r="Y128" s="0" t="n">
        <v>8</v>
      </c>
      <c r="Z128" s="0" t="inlineStr">
        <is>
          <t>https://new.land.naver.com/complexes/23596?tab=detail&amp;rf=Y</t>
        </is>
      </c>
      <c r="AA128" s="0" t="inlineStr">
        <is>
          <t>충청북도 청주시 흥덕구 강내면 월곡리 428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흥덕구</t>
        </is>
      </c>
      <c r="AE128" s="0" t="inlineStr">
        <is>
          <t>강내면</t>
        </is>
      </c>
      <c r="AG128" s="0" t="inlineStr">
        <is>
          <t>충청북도 청주시 흥덕구 탑연월곡길 62-13</t>
        </is>
      </c>
      <c r="AH128" s="0" t="n">
        <v>0</v>
      </c>
      <c r="AI128" s="0" t="n">
        <v>223</v>
      </c>
      <c r="AJ128" s="0" t="n">
        <v>21</v>
      </c>
      <c r="AK128" s="0" t="n">
        <v>294</v>
      </c>
      <c r="AL128" s="0" t="n">
        <v>1.5</v>
      </c>
    </row>
    <row r="129">
      <c r="A129" s="0" t="inlineStr">
        <is>
          <t>[강내면]</t>
        </is>
      </c>
      <c r="B129" s="0" t="n">
        <v>15368</v>
      </c>
      <c r="C129" s="0" t="n">
        <v>1</v>
      </c>
      <c r="D129" s="0" t="inlineStr">
        <is>
          <t>선광한빛</t>
        </is>
      </c>
      <c r="E129" s="0" t="inlineStr">
        <is>
          <t>1996.12.</t>
        </is>
      </c>
      <c r="F129" s="0" t="n">
        <v>350</v>
      </c>
      <c r="G129" s="0" t="n">
        <v>12.33</v>
      </c>
      <c r="H129" s="0" t="n">
        <v>40.77</v>
      </c>
      <c r="I129" s="0" t="n">
        <v>9.57</v>
      </c>
      <c r="J129" s="0" t="n">
        <v>31.64</v>
      </c>
      <c r="K129" s="0" t="n">
        <v>148</v>
      </c>
      <c r="T129" s="0" t="n">
        <v>2</v>
      </c>
      <c r="U129" s="0" t="n">
        <v>1</v>
      </c>
      <c r="V129" s="0" t="inlineStr">
        <is>
          <t>복도식</t>
        </is>
      </c>
      <c r="W129" s="0" t="n">
        <v>40</v>
      </c>
      <c r="X129" s="0" t="n">
        <v>14</v>
      </c>
      <c r="Y129" s="0" t="n">
        <v>7</v>
      </c>
      <c r="Z129" s="0" t="inlineStr">
        <is>
          <t>https://new.land.naver.com/complexes/15368?tab=detail&amp;rf=Y</t>
        </is>
      </c>
      <c r="AA129" s="0" t="inlineStr">
        <is>
          <t>충청북도 청주시 흥덕구 강내면 탑연리 322-1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흥덕구</t>
        </is>
      </c>
      <c r="AE129" s="0" t="inlineStr">
        <is>
          <t>강내면</t>
        </is>
      </c>
      <c r="AG129" s="0" t="inlineStr">
        <is>
          <t>충청북도 청주시 흥덕구 태성탑연로 391-34</t>
        </is>
      </c>
      <c r="AH129" s="0" t="n">
        <v>0</v>
      </c>
      <c r="AI129" s="0" t="n">
        <v>187</v>
      </c>
      <c r="AJ129" s="0" t="n">
        <v>17</v>
      </c>
      <c r="AK129" s="0" t="n">
        <v>227</v>
      </c>
      <c r="AL129" s="0" t="n">
        <v>0.65</v>
      </c>
    </row>
    <row r="130">
      <c r="A130" s="0" t="inlineStr">
        <is>
          <t>[강내면]</t>
        </is>
      </c>
      <c r="B130" s="0" t="n">
        <v>15368</v>
      </c>
      <c r="C130" s="0" t="n">
        <v>2</v>
      </c>
      <c r="D130" s="0" t="inlineStr">
        <is>
          <t>선광한빛</t>
        </is>
      </c>
      <c r="E130" s="0" t="inlineStr">
        <is>
          <t>1996.12.</t>
        </is>
      </c>
      <c r="F130" s="0" t="n">
        <v>350</v>
      </c>
      <c r="G130" s="0" t="n">
        <v>21.65</v>
      </c>
      <c r="H130" s="0" t="n">
        <v>71.58</v>
      </c>
      <c r="I130" s="0" t="n">
        <v>18.08</v>
      </c>
      <c r="J130" s="0" t="n">
        <v>59.78</v>
      </c>
      <c r="K130" s="0" t="n">
        <v>96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71</v>
      </c>
      <c r="X130" s="0" t="n">
        <v>14</v>
      </c>
      <c r="Y130" s="0" t="n">
        <v>7</v>
      </c>
      <c r="Z130" s="0" t="inlineStr">
        <is>
          <t>https://new.land.naver.com/complexes/15368?tab=detail&amp;rf=Y</t>
        </is>
      </c>
      <c r="AA130" s="0" t="inlineStr">
        <is>
          <t>충청북도 청주시 흥덕구 강내면 탑연리 322-1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흥덕구</t>
        </is>
      </c>
      <c r="AE130" s="0" t="inlineStr">
        <is>
          <t>강내면</t>
        </is>
      </c>
      <c r="AG130" s="0" t="inlineStr">
        <is>
          <t>충청북도 청주시 흥덕구 태성탑연로 391-34</t>
        </is>
      </c>
      <c r="AH130" s="0" t="n">
        <v>0</v>
      </c>
      <c r="AI130" s="0" t="n">
        <v>187</v>
      </c>
      <c r="AJ130" s="0" t="n">
        <v>17</v>
      </c>
      <c r="AK130" s="0" t="n">
        <v>227</v>
      </c>
      <c r="AL130" s="0" t="n">
        <v>0.65</v>
      </c>
    </row>
    <row r="131">
      <c r="A131" s="0" t="inlineStr">
        <is>
          <t>[강내면]</t>
        </is>
      </c>
      <c r="B131" s="0" t="n">
        <v>15368</v>
      </c>
      <c r="C131" s="0" t="n">
        <v>3</v>
      </c>
      <c r="D131" s="0" t="inlineStr">
        <is>
          <t>선광한빛</t>
        </is>
      </c>
      <c r="E131" s="0" t="inlineStr">
        <is>
          <t>1996.12.</t>
        </is>
      </c>
      <c r="F131" s="0" t="n">
        <v>350</v>
      </c>
      <c r="G131" s="0" t="n">
        <v>29.59</v>
      </c>
      <c r="H131" s="0" t="n">
        <v>97.81999999999999</v>
      </c>
      <c r="I131" s="0" t="n">
        <v>25.7</v>
      </c>
      <c r="J131" s="0" t="n">
        <v>84.98</v>
      </c>
      <c r="K131" s="0" t="n">
        <v>91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97</v>
      </c>
      <c r="X131" s="0" t="n">
        <v>14</v>
      </c>
      <c r="Y131" s="0" t="n">
        <v>7</v>
      </c>
      <c r="Z131" s="0" t="inlineStr">
        <is>
          <t>https://new.land.naver.com/complexes/15368?tab=detail&amp;rf=Y</t>
        </is>
      </c>
      <c r="AA131" s="0" t="inlineStr">
        <is>
          <t>충청북도 청주시 흥덕구 강내면 탑연리 322-1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흥덕구</t>
        </is>
      </c>
      <c r="AE131" s="0" t="inlineStr">
        <is>
          <t>강내면</t>
        </is>
      </c>
      <c r="AG131" s="0" t="inlineStr">
        <is>
          <t>충청북도 청주시 흥덕구 태성탑연로 391-34</t>
        </is>
      </c>
      <c r="AH131" s="0" t="n">
        <v>0</v>
      </c>
      <c r="AI131" s="0" t="n">
        <v>187</v>
      </c>
      <c r="AJ131" s="0" t="n">
        <v>17</v>
      </c>
      <c r="AK131" s="0" t="n">
        <v>227</v>
      </c>
      <c r="AL131" s="0" t="n">
        <v>0.65</v>
      </c>
    </row>
    <row r="132">
      <c r="A132" s="0" t="inlineStr">
        <is>
          <t>[강내면]</t>
        </is>
      </c>
      <c r="B132" s="0" t="n">
        <v>15368</v>
      </c>
      <c r="C132" s="0" t="n">
        <v>4</v>
      </c>
      <c r="D132" s="0" t="inlineStr">
        <is>
          <t>선광한빛</t>
        </is>
      </c>
      <c r="E132" s="0" t="inlineStr">
        <is>
          <t>1996.12.</t>
        </is>
      </c>
      <c r="F132" s="0" t="n">
        <v>350</v>
      </c>
      <c r="G132" s="0" t="n">
        <v>29.56</v>
      </c>
      <c r="H132" s="0" t="n">
        <v>97.73</v>
      </c>
      <c r="I132" s="0" t="n">
        <v>25.67</v>
      </c>
      <c r="J132" s="0" t="n">
        <v>84.89</v>
      </c>
      <c r="K132" s="0" t="n">
        <v>7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97</v>
      </c>
      <c r="X132" s="0" t="n">
        <v>14</v>
      </c>
      <c r="Y132" s="0" t="n">
        <v>7</v>
      </c>
      <c r="Z132" s="0" t="inlineStr">
        <is>
          <t>https://new.land.naver.com/complexes/15368?tab=detail&amp;rf=Y</t>
        </is>
      </c>
      <c r="AA132" s="0" t="inlineStr">
        <is>
          <t>충청북도 청주시 흥덕구 강내면 탑연리 322-1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흥덕구</t>
        </is>
      </c>
      <c r="AE132" s="0" t="inlineStr">
        <is>
          <t>강내면</t>
        </is>
      </c>
      <c r="AG132" s="0" t="inlineStr">
        <is>
          <t>충청북도 청주시 흥덕구 태성탑연로 391-34</t>
        </is>
      </c>
      <c r="AH132" s="0" t="n">
        <v>0</v>
      </c>
      <c r="AI132" s="0" t="n">
        <v>187</v>
      </c>
      <c r="AJ132" s="0" t="n">
        <v>17</v>
      </c>
      <c r="AK132" s="0" t="n">
        <v>227</v>
      </c>
      <c r="AL132" s="0" t="n">
        <v>0.65</v>
      </c>
    </row>
    <row r="133">
      <c r="A133" s="0" t="inlineStr">
        <is>
          <t>[강내면]</t>
        </is>
      </c>
      <c r="B133" s="0" t="n">
        <v>15368</v>
      </c>
      <c r="C133" s="0" t="n">
        <v>5</v>
      </c>
      <c r="D133" s="0" t="inlineStr">
        <is>
          <t>선광한빛</t>
        </is>
      </c>
      <c r="E133" s="0" t="inlineStr">
        <is>
          <t>1996.12.</t>
        </is>
      </c>
      <c r="F133" s="0" t="n">
        <v>350</v>
      </c>
      <c r="G133" s="0" t="n">
        <v>46.82</v>
      </c>
      <c r="H133" s="0" t="n">
        <v>154.79</v>
      </c>
      <c r="I133" s="0" t="n">
        <v>40.67</v>
      </c>
      <c r="J133" s="0" t="n">
        <v>134.47</v>
      </c>
      <c r="K133" s="0" t="n">
        <v>8</v>
      </c>
      <c r="T133" s="0" t="n">
        <v>4</v>
      </c>
      <c r="U133" s="0" t="n">
        <v>2</v>
      </c>
      <c r="V133" s="0" t="inlineStr">
        <is>
          <t>계단식</t>
        </is>
      </c>
      <c r="W133" s="0" t="n">
        <v>154</v>
      </c>
      <c r="X133" s="0" t="n">
        <v>14</v>
      </c>
      <c r="Y133" s="0" t="n">
        <v>7</v>
      </c>
      <c r="Z133" s="0" t="inlineStr">
        <is>
          <t>https://new.land.naver.com/complexes/15368?tab=detail&amp;rf=Y</t>
        </is>
      </c>
      <c r="AA133" s="0" t="inlineStr">
        <is>
          <t>충청북도 청주시 흥덕구 강내면 탑연리 322-1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흥덕구</t>
        </is>
      </c>
      <c r="AE133" s="0" t="inlineStr">
        <is>
          <t>강내면</t>
        </is>
      </c>
      <c r="AG133" s="0" t="inlineStr">
        <is>
          <t>충청북도 청주시 흥덕구 태성탑연로 391-34</t>
        </is>
      </c>
      <c r="AH133" s="0" t="n">
        <v>0</v>
      </c>
      <c r="AI133" s="0" t="n">
        <v>187</v>
      </c>
      <c r="AJ133" s="0" t="n">
        <v>17</v>
      </c>
      <c r="AK133" s="0" t="n">
        <v>227</v>
      </c>
      <c r="AL133" s="0" t="n">
        <v>0.65</v>
      </c>
    </row>
    <row r="134">
      <c r="A134" s="0" t="inlineStr">
        <is>
          <t>[강내면]</t>
        </is>
      </c>
      <c r="B134" s="0" t="n">
        <v>23212</v>
      </c>
      <c r="C134" s="0" t="n">
        <v>1</v>
      </c>
      <c r="D134" s="0" t="inlineStr">
        <is>
          <t>주은반석</t>
        </is>
      </c>
      <c r="E134" s="0" t="inlineStr">
        <is>
          <t>2000.11.</t>
        </is>
      </c>
      <c r="F134" s="0" t="n">
        <v>146</v>
      </c>
      <c r="G134" s="0" t="n">
        <v>35.02</v>
      </c>
      <c r="H134" s="0" t="n">
        <v>115.77</v>
      </c>
      <c r="I134" s="0" t="n">
        <v>25.7</v>
      </c>
      <c r="J134" s="0" t="n">
        <v>84.98</v>
      </c>
      <c r="K134" s="0" t="n">
        <v>146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115</v>
      </c>
      <c r="X134" s="0" t="n">
        <v>11</v>
      </c>
      <c r="Y134" s="0" t="n">
        <v>10</v>
      </c>
      <c r="Z134" s="0" t="inlineStr">
        <is>
          <t>https://new.land.naver.com/complexes/23212?tab=detail&amp;rf=Y</t>
        </is>
      </c>
      <c r="AA134" s="0" t="inlineStr">
        <is>
          <t>충청북도 청주시 흥덕구 강내면 탑연리 301-1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흥덕구</t>
        </is>
      </c>
      <c r="AE134" s="0" t="inlineStr">
        <is>
          <t>강내면</t>
        </is>
      </c>
      <c r="AG134" s="0" t="inlineStr">
        <is>
          <t>충청북도 청주시 흥덕구 태성탑연로 391-28</t>
        </is>
      </c>
      <c r="AH134" s="0" t="n">
        <v>0</v>
      </c>
      <c r="AI134" s="0" t="n">
        <v>99</v>
      </c>
      <c r="AJ134" s="0" t="n">
        <v>13</v>
      </c>
      <c r="AK134" s="0" t="n">
        <v>150</v>
      </c>
      <c r="AL134" s="0" t="n">
        <v>1.03</v>
      </c>
    </row>
    <row r="135">
      <c r="A135" s="0" t="inlineStr">
        <is>
          <t>[강내면]</t>
        </is>
      </c>
      <c r="B135" s="0" t="n">
        <v>27058</v>
      </c>
      <c r="C135" s="0" t="n">
        <v>1</v>
      </c>
      <c r="D135" s="0" t="inlineStr">
        <is>
          <t>청원신성미소지움</t>
        </is>
      </c>
      <c r="E135" s="0" t="inlineStr">
        <is>
          <t>2008.09.</t>
        </is>
      </c>
      <c r="F135" s="0" t="n">
        <v>372</v>
      </c>
      <c r="G135" s="0" t="n">
        <v>33.56</v>
      </c>
      <c r="H135" s="0" t="n">
        <v>110.97</v>
      </c>
      <c r="I135" s="0" t="n">
        <v>25.55</v>
      </c>
      <c r="J135" s="0" t="n">
        <v>84.47</v>
      </c>
      <c r="K135" s="0" t="n">
        <v>146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110S</t>
        </is>
      </c>
      <c r="X135" s="0" t="n">
        <v>15</v>
      </c>
      <c r="Y135" s="0" t="n">
        <v>12</v>
      </c>
      <c r="Z135" s="0" t="inlineStr">
        <is>
          <t>https://new.land.naver.com/complexes/27058?tab=detail&amp;rf=Y</t>
        </is>
      </c>
      <c r="AA135" s="0" t="inlineStr">
        <is>
          <t>충청북도 청주시 흥덕구 강내면 탑연리 388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흥덕구</t>
        </is>
      </c>
      <c r="AE135" s="0" t="inlineStr">
        <is>
          <t>강내면</t>
        </is>
      </c>
      <c r="AG135" s="0" t="inlineStr">
        <is>
          <t>충청북도 청주시 흥덕구 탑연1길 8</t>
        </is>
      </c>
      <c r="AH135" s="0" t="n">
        <v>0</v>
      </c>
      <c r="AI135" s="0" t="n">
        <v>224</v>
      </c>
      <c r="AJ135" s="0" t="n">
        <v>22</v>
      </c>
      <c r="AK135" s="0" t="n">
        <v>562</v>
      </c>
      <c r="AL135" s="0" t="n">
        <v>1.51</v>
      </c>
    </row>
    <row r="136">
      <c r="A136" s="0" t="inlineStr">
        <is>
          <t>[강내면]</t>
        </is>
      </c>
      <c r="B136" s="0" t="n">
        <v>27058</v>
      </c>
      <c r="C136" s="0" t="n">
        <v>2</v>
      </c>
      <c r="D136" s="0" t="inlineStr">
        <is>
          <t>청원신성미소지움</t>
        </is>
      </c>
      <c r="E136" s="0" t="inlineStr">
        <is>
          <t>2008.09.</t>
        </is>
      </c>
      <c r="F136" s="0" t="n">
        <v>372</v>
      </c>
      <c r="G136" s="0" t="n">
        <v>33.56</v>
      </c>
      <c r="H136" s="0" t="n">
        <v>110.97</v>
      </c>
      <c r="I136" s="0" t="n">
        <v>25.55</v>
      </c>
      <c r="J136" s="0" t="n">
        <v>84.47</v>
      </c>
      <c r="K136" s="0" t="n">
        <v>58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110E</t>
        </is>
      </c>
      <c r="X136" s="0" t="n">
        <v>15</v>
      </c>
      <c r="Y136" s="0" t="n">
        <v>12</v>
      </c>
      <c r="Z136" s="0" t="inlineStr">
        <is>
          <t>https://new.land.naver.com/complexes/27058?tab=detail&amp;rf=Y</t>
        </is>
      </c>
      <c r="AA136" s="0" t="inlineStr">
        <is>
          <t>충청북도 청주시 흥덕구 강내면 탑연리 388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흥덕구</t>
        </is>
      </c>
      <c r="AE136" s="0" t="inlineStr">
        <is>
          <t>강내면</t>
        </is>
      </c>
      <c r="AG136" s="0" t="inlineStr">
        <is>
          <t>충청북도 청주시 흥덕구 탑연1길 8</t>
        </is>
      </c>
      <c r="AH136" s="0" t="n">
        <v>0</v>
      </c>
      <c r="AI136" s="0" t="n">
        <v>224</v>
      </c>
      <c r="AJ136" s="0" t="n">
        <v>22</v>
      </c>
      <c r="AK136" s="0" t="n">
        <v>562</v>
      </c>
      <c r="AL136" s="0" t="n">
        <v>1.51</v>
      </c>
    </row>
    <row r="137">
      <c r="A137" s="0" t="inlineStr">
        <is>
          <t>[강내면]</t>
        </is>
      </c>
      <c r="B137" s="0" t="n">
        <v>27058</v>
      </c>
      <c r="C137" s="0" t="n">
        <v>3</v>
      </c>
      <c r="D137" s="0" t="inlineStr">
        <is>
          <t>청원신성미소지움</t>
        </is>
      </c>
      <c r="E137" s="0" t="inlineStr">
        <is>
          <t>2008.09.</t>
        </is>
      </c>
      <c r="F137" s="0" t="n">
        <v>372</v>
      </c>
      <c r="G137" s="0" t="n">
        <v>39.68</v>
      </c>
      <c r="H137" s="0" t="n">
        <v>131.18</v>
      </c>
      <c r="I137" s="0" t="n">
        <v>32.8</v>
      </c>
      <c r="J137" s="0" t="n">
        <v>108.43</v>
      </c>
      <c r="K137" s="0" t="n">
        <v>112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131</v>
      </c>
      <c r="X137" s="0" t="n">
        <v>15</v>
      </c>
      <c r="Y137" s="0" t="n">
        <v>12</v>
      </c>
      <c r="Z137" s="0" t="inlineStr">
        <is>
          <t>https://new.land.naver.com/complexes/27058?tab=detail&amp;rf=Y</t>
        </is>
      </c>
      <c r="AA137" s="0" t="inlineStr">
        <is>
          <t>충청북도 청주시 흥덕구 강내면 탑연리 388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흥덕구</t>
        </is>
      </c>
      <c r="AE137" s="0" t="inlineStr">
        <is>
          <t>강내면</t>
        </is>
      </c>
      <c r="AG137" s="0" t="inlineStr">
        <is>
          <t>충청북도 청주시 흥덕구 탑연1길 8</t>
        </is>
      </c>
      <c r="AH137" s="0" t="n">
        <v>0</v>
      </c>
      <c r="AI137" s="0" t="n">
        <v>224</v>
      </c>
      <c r="AJ137" s="0" t="n">
        <v>22</v>
      </c>
      <c r="AK137" s="0" t="n">
        <v>562</v>
      </c>
      <c r="AL137" s="0" t="n">
        <v>1.51</v>
      </c>
    </row>
    <row r="138">
      <c r="A138" s="0" t="inlineStr">
        <is>
          <t>[강내면]</t>
        </is>
      </c>
      <c r="B138" s="0" t="n">
        <v>27058</v>
      </c>
      <c r="C138" s="0" t="n">
        <v>4</v>
      </c>
      <c r="D138" s="0" t="inlineStr">
        <is>
          <t>청원신성미소지움</t>
        </is>
      </c>
      <c r="E138" s="0" t="inlineStr">
        <is>
          <t>2008.09.</t>
        </is>
      </c>
      <c r="F138" s="0" t="n">
        <v>372</v>
      </c>
      <c r="G138" s="0" t="n">
        <v>45.35</v>
      </c>
      <c r="H138" s="0" t="n">
        <v>149.92</v>
      </c>
      <c r="I138" s="0" t="n">
        <v>35.71</v>
      </c>
      <c r="J138" s="0" t="n">
        <v>118.05</v>
      </c>
      <c r="K138" s="0" t="n">
        <v>56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149</v>
      </c>
      <c r="X138" s="0" t="n">
        <v>15</v>
      </c>
      <c r="Y138" s="0" t="n">
        <v>12</v>
      </c>
      <c r="Z138" s="0" t="inlineStr">
        <is>
          <t>https://new.land.naver.com/complexes/27058?tab=detail&amp;rf=Y</t>
        </is>
      </c>
      <c r="AA138" s="0" t="inlineStr">
        <is>
          <t>충청북도 청주시 흥덕구 강내면 탑연리 388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흥덕구</t>
        </is>
      </c>
      <c r="AE138" s="0" t="inlineStr">
        <is>
          <t>강내면</t>
        </is>
      </c>
      <c r="AG138" s="0" t="inlineStr">
        <is>
          <t>충청북도 청주시 흥덕구 탑연1길 8</t>
        </is>
      </c>
      <c r="AH138" s="0" t="n">
        <v>0</v>
      </c>
      <c r="AI138" s="0" t="n">
        <v>224</v>
      </c>
      <c r="AJ138" s="0" t="n">
        <v>22</v>
      </c>
      <c r="AK138" s="0" t="n">
        <v>562</v>
      </c>
      <c r="AL138" s="0" t="n">
        <v>1.51</v>
      </c>
    </row>
    <row r="139">
      <c r="A139" s="0" t="inlineStr">
        <is>
          <t>[강내면]</t>
        </is>
      </c>
      <c r="B139" s="0" t="n">
        <v>23597</v>
      </c>
      <c r="C139" s="0" t="n">
        <v>1</v>
      </c>
      <c r="D139" s="0" t="inlineStr">
        <is>
          <t>청원쌍용예가2단지</t>
        </is>
      </c>
      <c r="E139" s="0" t="inlineStr">
        <is>
          <t>2007.08.</t>
        </is>
      </c>
      <c r="F139" s="0" t="n">
        <v>231</v>
      </c>
      <c r="G139" s="0" t="n">
        <v>33.49</v>
      </c>
      <c r="H139" s="0" t="n">
        <v>110.74</v>
      </c>
      <c r="I139" s="0" t="n">
        <v>25.7</v>
      </c>
      <c r="J139" s="0" t="n">
        <v>84.97</v>
      </c>
      <c r="K139" s="0" t="n">
        <v>56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110</v>
      </c>
      <c r="X139" s="0" t="n">
        <v>15</v>
      </c>
      <c r="Y139" s="0" t="n">
        <v>13</v>
      </c>
      <c r="Z139" s="0" t="inlineStr">
        <is>
          <t>https://new.land.naver.com/complexes/23597?tab=detail&amp;rf=Y</t>
        </is>
      </c>
      <c r="AA139" s="0" t="inlineStr">
        <is>
          <t>충청북도 청주시 흥덕구 강내면 월곡리 429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흥덕구</t>
        </is>
      </c>
      <c r="AE139" s="0" t="inlineStr">
        <is>
          <t>강내면</t>
        </is>
      </c>
      <c r="AG139" s="0" t="inlineStr">
        <is>
          <t>충청북도 청주시 흥덕구 탑연월곡길 62-20</t>
        </is>
      </c>
      <c r="AH139" s="0" t="n">
        <v>0</v>
      </c>
      <c r="AI139" s="0" t="n">
        <v>221</v>
      </c>
      <c r="AJ139" s="0" t="n">
        <v>20</v>
      </c>
      <c r="AK139" s="0" t="n">
        <v>350</v>
      </c>
      <c r="AL139" s="0" t="n">
        <v>1.52</v>
      </c>
    </row>
    <row r="140">
      <c r="A140" s="0" t="inlineStr">
        <is>
          <t>[강내면]</t>
        </is>
      </c>
      <c r="B140" s="0" t="n">
        <v>23597</v>
      </c>
      <c r="C140" s="0" t="n">
        <v>2</v>
      </c>
      <c r="D140" s="0" t="inlineStr">
        <is>
          <t>청원쌍용예가2단지</t>
        </is>
      </c>
      <c r="E140" s="0" t="inlineStr">
        <is>
          <t>2007.08.</t>
        </is>
      </c>
      <c r="F140" s="0" t="n">
        <v>231</v>
      </c>
      <c r="G140" s="0" t="n">
        <v>44.05</v>
      </c>
      <c r="H140" s="0" t="n">
        <v>145.64</v>
      </c>
      <c r="I140" s="0" t="n">
        <v>35.48</v>
      </c>
      <c r="J140" s="0" t="n">
        <v>117.32</v>
      </c>
      <c r="K140" s="0" t="n">
        <v>175</v>
      </c>
      <c r="T140" s="0" t="n">
        <v>4</v>
      </c>
      <c r="U140" s="0" t="n">
        <v>2</v>
      </c>
      <c r="V140" s="0" t="inlineStr">
        <is>
          <t>계단식</t>
        </is>
      </c>
      <c r="W140" s="0" t="n">
        <v>145</v>
      </c>
      <c r="X140" s="0" t="n">
        <v>15</v>
      </c>
      <c r="Y140" s="0" t="n">
        <v>13</v>
      </c>
      <c r="Z140" s="0" t="inlineStr">
        <is>
          <t>https://new.land.naver.com/complexes/23597?tab=detail&amp;rf=Y</t>
        </is>
      </c>
      <c r="AA140" s="0" t="inlineStr">
        <is>
          <t>충청북도 청주시 흥덕구 강내면 월곡리 429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흥덕구</t>
        </is>
      </c>
      <c r="AE140" s="0" t="inlineStr">
        <is>
          <t>강내면</t>
        </is>
      </c>
      <c r="AG140" s="0" t="inlineStr">
        <is>
          <t>충청북도 청주시 흥덕구 탑연월곡길 62-20</t>
        </is>
      </c>
      <c r="AH140" s="0" t="n">
        <v>0</v>
      </c>
      <c r="AI140" s="0" t="n">
        <v>221</v>
      </c>
      <c r="AJ140" s="0" t="n">
        <v>20</v>
      </c>
      <c r="AK140" s="0" t="n">
        <v>350</v>
      </c>
      <c r="AL140" s="0" t="n">
        <v>1.52</v>
      </c>
    </row>
    <row r="141">
      <c r="A141" s="0" t="inlineStr">
        <is>
          <t>[강내면]</t>
        </is>
      </c>
      <c r="B141" s="0" t="n">
        <v>15366</v>
      </c>
      <c r="C141" s="0" t="n">
        <v>1</v>
      </c>
      <c r="D141" s="0" t="inlineStr">
        <is>
          <t>서호e타운</t>
        </is>
      </c>
      <c r="E141" s="0" t="inlineStr">
        <is>
          <t>2001.06.</t>
        </is>
      </c>
      <c r="F141" s="0" t="n">
        <v>277</v>
      </c>
      <c r="G141" s="0" t="n">
        <v>13.17</v>
      </c>
      <c r="H141" s="0" t="n">
        <v>43.54</v>
      </c>
      <c r="I141" s="0" t="n">
        <v>9.5</v>
      </c>
      <c r="J141" s="0" t="n">
        <v>31.41</v>
      </c>
      <c r="K141" s="0" t="n">
        <v>220</v>
      </c>
      <c r="T141" s="0" t="n">
        <v>1</v>
      </c>
      <c r="U141" s="0" t="n">
        <v>1</v>
      </c>
      <c r="V141" s="0" t="inlineStr">
        <is>
          <t>복도식</t>
        </is>
      </c>
      <c r="W141" s="0" t="n">
        <v>43</v>
      </c>
      <c r="X141" s="0" t="n">
        <v>10</v>
      </c>
      <c r="Y141" s="0" t="n">
        <v>9</v>
      </c>
      <c r="Z141" s="0" t="inlineStr">
        <is>
          <t>https://new.land.naver.com/complexes/15366?tab=detail&amp;rf=Y</t>
        </is>
      </c>
      <c r="AA141" s="0" t="inlineStr">
        <is>
          <t>충청북도 청주시 흥덕구 강내면 황탄리 3-1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흥덕구</t>
        </is>
      </c>
      <c r="AE141" s="0" t="inlineStr">
        <is>
          <t>강내면</t>
        </is>
      </c>
      <c r="AG141" s="0" t="inlineStr">
        <is>
          <t>충청북도 청주시 흥덕구 황탄리길 226</t>
        </is>
      </c>
      <c r="AH141" s="0" t="n">
        <v>0</v>
      </c>
      <c r="AI141" s="0" t="n">
        <v>191</v>
      </c>
      <c r="AJ141" s="0" t="n">
        <v>25</v>
      </c>
      <c r="AK141" s="0" t="n">
        <v>136</v>
      </c>
      <c r="AL141" s="0" t="n">
        <v>0.49</v>
      </c>
    </row>
    <row r="142">
      <c r="A142" s="0" t="inlineStr">
        <is>
          <t>[강내면]</t>
        </is>
      </c>
      <c r="B142" s="0" t="n">
        <v>15366</v>
      </c>
      <c r="C142" s="0" t="n">
        <v>2</v>
      </c>
      <c r="D142" s="0" t="inlineStr">
        <is>
          <t>서호e타운</t>
        </is>
      </c>
      <c r="E142" s="0" t="inlineStr">
        <is>
          <t>2001.06.</t>
        </is>
      </c>
      <c r="F142" s="0" t="n">
        <v>277</v>
      </c>
      <c r="G142" s="0" t="n">
        <v>15.7</v>
      </c>
      <c r="H142" s="0" t="n">
        <v>51.93</v>
      </c>
      <c r="I142" s="0" t="n">
        <v>11.84</v>
      </c>
      <c r="J142" s="0" t="n">
        <v>39.15</v>
      </c>
      <c r="K142" s="0" t="n">
        <v>57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51</v>
      </c>
      <c r="X142" s="0" t="n">
        <v>10</v>
      </c>
      <c r="Y142" s="0" t="n">
        <v>9</v>
      </c>
      <c r="Z142" s="0" t="inlineStr">
        <is>
          <t>https://new.land.naver.com/complexes/15366?tab=detail&amp;rf=Y</t>
        </is>
      </c>
      <c r="AA142" s="0" t="inlineStr">
        <is>
          <t>충청북도 청주시 흥덕구 강내면 황탄리 3-1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흥덕구</t>
        </is>
      </c>
      <c r="AE142" s="0" t="inlineStr">
        <is>
          <t>강내면</t>
        </is>
      </c>
      <c r="AG142" s="0" t="inlineStr">
        <is>
          <t>충청북도 청주시 흥덕구 황탄리길 226</t>
        </is>
      </c>
      <c r="AH142" s="0" t="n">
        <v>0</v>
      </c>
      <c r="AI142" s="0" t="n">
        <v>191</v>
      </c>
      <c r="AJ142" s="0" t="n">
        <v>25</v>
      </c>
      <c r="AK142" s="0" t="n">
        <v>136</v>
      </c>
      <c r="AL142" s="0" t="n">
        <v>0.49</v>
      </c>
    </row>
    <row r="143">
      <c r="A143" s="0" t="inlineStr">
        <is>
          <t>[강내면]</t>
        </is>
      </c>
      <c r="B143" s="0" t="n">
        <v>118823</v>
      </c>
      <c r="C143" s="0" t="n">
        <v>1</v>
      </c>
      <c r="D143" s="0" t="inlineStr">
        <is>
          <t>강내두진하트리움</t>
        </is>
      </c>
      <c r="E143" s="0" t="inlineStr">
        <is>
          <t>2018.08.</t>
        </is>
      </c>
      <c r="F143" s="0" t="n">
        <v>359</v>
      </c>
      <c r="G143" s="0" t="n">
        <v>27.24</v>
      </c>
      <c r="H143" s="0" t="n">
        <v>90.05</v>
      </c>
      <c r="I143" s="0" t="n">
        <v>19.88</v>
      </c>
      <c r="J143" s="0" t="n">
        <v>65.72</v>
      </c>
      <c r="K143" s="0" t="n">
        <v>359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90</v>
      </c>
      <c r="X143" s="0" t="n">
        <v>25</v>
      </c>
      <c r="Y143" s="0" t="n">
        <v>25</v>
      </c>
      <c r="Z143" s="0" t="inlineStr">
        <is>
          <t>https://new.land.naver.com/complexes/118823?tab=detail&amp;rf=Y</t>
        </is>
      </c>
      <c r="AA143" s="0" t="inlineStr">
        <is>
          <t>충청북도 청주시 흥덕구 강내면 월곡리 432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흥덕구</t>
        </is>
      </c>
      <c r="AE143" s="0" t="inlineStr">
        <is>
          <t>강내면</t>
        </is>
      </c>
      <c r="AG143" s="0" t="inlineStr">
        <is>
          <t>충청북도 청주시 흥덕구 월곡길 23-13</t>
        </is>
      </c>
      <c r="AH143" s="0" t="n">
        <v>0</v>
      </c>
      <c r="AI143" s="0" t="n">
        <v>216</v>
      </c>
      <c r="AJ143" s="0" t="n">
        <v>48</v>
      </c>
      <c r="AK143" s="0" t="n">
        <v>466</v>
      </c>
      <c r="AL143" s="0" t="n">
        <v>1.3</v>
      </c>
    </row>
    <row r="144">
      <c r="A144" s="0" t="inlineStr">
        <is>
          <t>[강내면]</t>
        </is>
      </c>
      <c r="B144" s="0" t="n">
        <v>7747</v>
      </c>
      <c r="C144" s="0" t="n">
        <v>1</v>
      </c>
      <c r="D144" s="0" t="inlineStr">
        <is>
          <t>월곡진흥</t>
        </is>
      </c>
      <c r="E144" s="0" t="inlineStr">
        <is>
          <t>1988.11.</t>
        </is>
      </c>
      <c r="F144" s="0" t="n">
        <v>125</v>
      </c>
      <c r="G144" s="0" t="n">
        <v>14.69</v>
      </c>
      <c r="H144" s="0" t="n">
        <v>48.58</v>
      </c>
      <c r="I144" s="0" t="n">
        <v>12.67</v>
      </c>
      <c r="J144" s="0" t="n">
        <v>41.89</v>
      </c>
      <c r="K144" s="0" t="n">
        <v>5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48</v>
      </c>
      <c r="X144" s="0" t="n">
        <v>5</v>
      </c>
      <c r="Y144" s="0" t="n">
        <v>5</v>
      </c>
      <c r="Z144" s="0" t="inlineStr">
        <is>
          <t>https://new.land.naver.com/complexes/7747?tab=detail&amp;rf=Y</t>
        </is>
      </c>
      <c r="AA144" s="0" t="inlineStr">
        <is>
          <t>충청북도 청주시 흥덕구 강내면 월곡리 150-35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흥덕구</t>
        </is>
      </c>
      <c r="AE144" s="0" t="inlineStr">
        <is>
          <t>강내면</t>
        </is>
      </c>
      <c r="AG144" s="0" t="inlineStr">
        <is>
          <t>충청북도 청주시 흥덕구 가로수로 640-19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[강내면]</t>
        </is>
      </c>
      <c r="B145" s="0" t="n">
        <v>7747</v>
      </c>
      <c r="C145" s="0" t="n">
        <v>2</v>
      </c>
      <c r="D145" s="0" t="inlineStr">
        <is>
          <t>월곡진흥</t>
        </is>
      </c>
      <c r="E145" s="0" t="inlineStr">
        <is>
          <t>1988.11.</t>
        </is>
      </c>
      <c r="F145" s="0" t="n">
        <v>125</v>
      </c>
      <c r="G145" s="0" t="n">
        <v>17.18</v>
      </c>
      <c r="H145" s="0" t="n">
        <v>56.81</v>
      </c>
      <c r="I145" s="0" t="n">
        <v>15.08</v>
      </c>
      <c r="J145" s="0" t="n">
        <v>49.88</v>
      </c>
      <c r="K145" s="0" t="n">
        <v>60</v>
      </c>
      <c r="T145" s="0" t="n">
        <v>2</v>
      </c>
      <c r="U145" s="0" t="n">
        <v>1</v>
      </c>
      <c r="V145" s="0" t="inlineStr">
        <is>
          <t>계단식</t>
        </is>
      </c>
      <c r="W145" s="0" t="inlineStr">
        <is>
          <t>56B</t>
        </is>
      </c>
      <c r="X145" s="0" t="n">
        <v>5</v>
      </c>
      <c r="Y145" s="0" t="n">
        <v>5</v>
      </c>
      <c r="Z145" s="0" t="inlineStr">
        <is>
          <t>https://new.land.naver.com/complexes/7747?tab=detail&amp;rf=Y</t>
        </is>
      </c>
      <c r="AA145" s="0" t="inlineStr">
        <is>
          <t>충청북도 청주시 흥덕구 강내면 월곡리 150-35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흥덕구</t>
        </is>
      </c>
      <c r="AE145" s="0" t="inlineStr">
        <is>
          <t>강내면</t>
        </is>
      </c>
      <c r="AG145" s="0" t="inlineStr">
        <is>
          <t>충청북도 청주시 흥덕구 가로수로 640-19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[강내면]</t>
        </is>
      </c>
      <c r="B146" s="0" t="n">
        <v>7747</v>
      </c>
      <c r="C146" s="0" t="n">
        <v>3</v>
      </c>
      <c r="D146" s="0" t="inlineStr">
        <is>
          <t>월곡진흥</t>
        </is>
      </c>
      <c r="E146" s="0" t="inlineStr">
        <is>
          <t>1988.11.</t>
        </is>
      </c>
      <c r="F146" s="0" t="n">
        <v>125</v>
      </c>
      <c r="G146" s="0" t="n">
        <v>17.18</v>
      </c>
      <c r="H146" s="0" t="n">
        <v>56.82</v>
      </c>
      <c r="I146" s="0" t="n">
        <v>15.11</v>
      </c>
      <c r="J146" s="0" t="n">
        <v>49.96</v>
      </c>
      <c r="K146" s="0" t="n">
        <v>55</v>
      </c>
      <c r="T146" s="0" t="n">
        <v>2</v>
      </c>
      <c r="U146" s="0" t="n">
        <v>1</v>
      </c>
      <c r="V146" s="0" t="inlineStr">
        <is>
          <t>계단식</t>
        </is>
      </c>
      <c r="W146" s="0" t="inlineStr">
        <is>
          <t>56C</t>
        </is>
      </c>
      <c r="X146" s="0" t="n">
        <v>5</v>
      </c>
      <c r="Y146" s="0" t="n">
        <v>5</v>
      </c>
      <c r="Z146" s="0" t="inlineStr">
        <is>
          <t>https://new.land.naver.com/complexes/7747?tab=detail&amp;rf=Y</t>
        </is>
      </c>
      <c r="AA146" s="0" t="inlineStr">
        <is>
          <t>충청북도 청주시 흥덕구 강내면 월곡리 150-35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흥덕구</t>
        </is>
      </c>
      <c r="AE146" s="0" t="inlineStr">
        <is>
          <t>강내면</t>
        </is>
      </c>
      <c r="AG146" s="0" t="inlineStr">
        <is>
          <t>충청북도 청주시 흥덕구 가로수로 640-19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[강내면]</t>
        </is>
      </c>
      <c r="B147" s="0" t="n">
        <v>7747</v>
      </c>
      <c r="C147" s="0" t="n">
        <v>4</v>
      </c>
      <c r="D147" s="0" t="inlineStr">
        <is>
          <t>월곡진흥</t>
        </is>
      </c>
      <c r="E147" s="0" t="inlineStr">
        <is>
          <t>1988.11.</t>
        </is>
      </c>
      <c r="F147" s="0" t="n">
        <v>125</v>
      </c>
      <c r="G147" s="0" t="n">
        <v>16.95</v>
      </c>
      <c r="H147" s="0" t="n">
        <v>56.05</v>
      </c>
      <c r="I147" s="0" t="n">
        <v>15.01</v>
      </c>
      <c r="J147" s="0" t="n">
        <v>49.63</v>
      </c>
      <c r="K147" s="0" t="n">
        <v>5</v>
      </c>
      <c r="T147" s="0" t="n">
        <v>2</v>
      </c>
      <c r="U147" s="0" t="n">
        <v>1</v>
      </c>
      <c r="V147" s="0" t="inlineStr">
        <is>
          <t>계단식</t>
        </is>
      </c>
      <c r="W147" s="0" t="inlineStr">
        <is>
          <t>56A</t>
        </is>
      </c>
      <c r="X147" s="0" t="n">
        <v>5</v>
      </c>
      <c r="Y147" s="0" t="n">
        <v>5</v>
      </c>
      <c r="Z147" s="0" t="inlineStr">
        <is>
          <t>https://new.land.naver.com/complexes/7747?tab=detail&amp;rf=Y</t>
        </is>
      </c>
      <c r="AA147" s="0" t="inlineStr">
        <is>
          <t>충청북도 청주시 흥덕구 강내면 월곡리 150-35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흥덕구</t>
        </is>
      </c>
      <c r="AE147" s="0" t="inlineStr">
        <is>
          <t>강내면</t>
        </is>
      </c>
      <c r="AG147" s="0" t="inlineStr">
        <is>
          <t>충청북도 청주시 흥덕구 가로수로 640-19</t>
        </is>
      </c>
      <c r="AH147" s="0" t="n">
        <v>0</v>
      </c>
      <c r="AI147" s="0" t="n">
        <v>0</v>
      </c>
      <c r="AJ147" s="0" t="n">
        <v>0</v>
      </c>
      <c r="AK147" s="0" t="n">
        <v>0</v>
      </c>
      <c r="AL147" s="0" t="n">
        <v>0</v>
      </c>
    </row>
    <row r="148">
      <c r="A148" s="0" t="inlineStr">
        <is>
          <t>[강내면]</t>
        </is>
      </c>
      <c r="B148" s="0" t="n">
        <v>15370</v>
      </c>
      <c r="C148" s="0" t="n">
        <v>1</v>
      </c>
      <c r="D148" s="0" t="inlineStr">
        <is>
          <t>강내태암수정</t>
        </is>
      </c>
      <c r="E148" s="0" t="inlineStr">
        <is>
          <t>1997.12.</t>
        </is>
      </c>
      <c r="F148" s="0" t="n">
        <v>410</v>
      </c>
      <c r="G148" s="0" t="n">
        <v>12.69</v>
      </c>
      <c r="H148" s="0" t="n">
        <v>41.98</v>
      </c>
      <c r="I148" s="0" t="n">
        <v>10.49</v>
      </c>
      <c r="J148" s="0" t="n">
        <v>34.71</v>
      </c>
      <c r="K148" s="0" t="n">
        <v>130</v>
      </c>
      <c r="T148" s="0" t="n">
        <v>1</v>
      </c>
      <c r="U148" s="0" t="n">
        <v>1</v>
      </c>
      <c r="V148" s="0" t="inlineStr">
        <is>
          <t>계단식</t>
        </is>
      </c>
      <c r="W148" s="0" t="n">
        <v>41</v>
      </c>
      <c r="X148" s="0" t="n">
        <v>10</v>
      </c>
      <c r="Y148" s="0" t="n">
        <v>4</v>
      </c>
      <c r="Z148" s="0" t="inlineStr">
        <is>
          <t>https://new.land.naver.com/complexes/15370?tab=detail&amp;rf=Y</t>
        </is>
      </c>
      <c r="AA148" s="0" t="inlineStr">
        <is>
          <t>충청북도 청주시 흥덕구 강내면 월탄리 90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흥덕구</t>
        </is>
      </c>
      <c r="AE148" s="0" t="inlineStr">
        <is>
          <t>강내면</t>
        </is>
      </c>
      <c r="AG148" s="0" t="inlineStr">
        <is>
          <t>충청북도 청주시 흥덕구 태성탑연로 264</t>
        </is>
      </c>
      <c r="AH148" s="0" t="n">
        <v>0</v>
      </c>
      <c r="AI148" s="0" t="n">
        <v>187</v>
      </c>
      <c r="AJ148" s="0" t="n">
        <v>25</v>
      </c>
      <c r="AK148" s="0" t="n">
        <v>247</v>
      </c>
      <c r="AL148" s="0" t="n">
        <v>0.6</v>
      </c>
    </row>
    <row r="149">
      <c r="A149" s="0" t="inlineStr">
        <is>
          <t>[강내면]</t>
        </is>
      </c>
      <c r="B149" s="0" t="n">
        <v>15370</v>
      </c>
      <c r="C149" s="0" t="n">
        <v>2</v>
      </c>
      <c r="D149" s="0" t="inlineStr">
        <is>
          <t>강내태암수정</t>
        </is>
      </c>
      <c r="E149" s="0" t="inlineStr">
        <is>
          <t>1997.12.</t>
        </is>
      </c>
      <c r="F149" s="0" t="n">
        <v>410</v>
      </c>
      <c r="G149" s="0" t="n">
        <v>15.62</v>
      </c>
      <c r="H149" s="0" t="n">
        <v>51.66</v>
      </c>
      <c r="I149" s="0" t="n">
        <v>12.92</v>
      </c>
      <c r="J149" s="0" t="n">
        <v>42.72</v>
      </c>
      <c r="K149" s="0" t="n">
        <v>134</v>
      </c>
      <c r="T149" s="0" t="n">
        <v>2</v>
      </c>
      <c r="U149" s="0" t="n">
        <v>1</v>
      </c>
      <c r="V149" s="0" t="inlineStr">
        <is>
          <t>계단식</t>
        </is>
      </c>
      <c r="W149" s="0" t="n">
        <v>51</v>
      </c>
      <c r="X149" s="0" t="n">
        <v>10</v>
      </c>
      <c r="Y149" s="0" t="n">
        <v>4</v>
      </c>
      <c r="Z149" s="0" t="inlineStr">
        <is>
          <t>https://new.land.naver.com/complexes/15370?tab=detail&amp;rf=Y</t>
        </is>
      </c>
      <c r="AA149" s="0" t="inlineStr">
        <is>
          <t>충청북도 청주시 흥덕구 강내면 월탄리 90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흥덕구</t>
        </is>
      </c>
      <c r="AE149" s="0" t="inlineStr">
        <is>
          <t>강내면</t>
        </is>
      </c>
      <c r="AG149" s="0" t="inlineStr">
        <is>
          <t>충청북도 청주시 흥덕구 태성탑연로 264</t>
        </is>
      </c>
      <c r="AH149" s="0" t="n">
        <v>0</v>
      </c>
      <c r="AI149" s="0" t="n">
        <v>187</v>
      </c>
      <c r="AJ149" s="0" t="n">
        <v>25</v>
      </c>
      <c r="AK149" s="0" t="n">
        <v>247</v>
      </c>
      <c r="AL149" s="0" t="n">
        <v>0.6</v>
      </c>
    </row>
    <row r="150">
      <c r="A150" s="0" t="inlineStr">
        <is>
          <t>[강내면]</t>
        </is>
      </c>
      <c r="B150" s="0" t="n">
        <v>15370</v>
      </c>
      <c r="C150" s="0" t="n">
        <v>3</v>
      </c>
      <c r="D150" s="0" t="inlineStr">
        <is>
          <t>강내태암수정</t>
        </is>
      </c>
      <c r="E150" s="0" t="inlineStr">
        <is>
          <t>1997.12.</t>
        </is>
      </c>
      <c r="F150" s="0" t="n">
        <v>410</v>
      </c>
      <c r="G150" s="0" t="n">
        <v>17.06</v>
      </c>
      <c r="H150" s="0" t="n">
        <v>56.41</v>
      </c>
      <c r="I150" s="0" t="n">
        <v>12.92</v>
      </c>
      <c r="J150" s="0" t="n">
        <v>42.72</v>
      </c>
      <c r="K150" s="0" t="n">
        <v>29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56</v>
      </c>
      <c r="X150" s="0" t="n">
        <v>10</v>
      </c>
      <c r="Y150" s="0" t="n">
        <v>4</v>
      </c>
      <c r="Z150" s="0" t="inlineStr">
        <is>
          <t>https://new.land.naver.com/complexes/15370?tab=detail&amp;rf=Y</t>
        </is>
      </c>
      <c r="AA150" s="0" t="inlineStr">
        <is>
          <t>충청북도 청주시 흥덕구 강내면 월탄리 90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흥덕구</t>
        </is>
      </c>
      <c r="AE150" s="0" t="inlineStr">
        <is>
          <t>강내면</t>
        </is>
      </c>
      <c r="AG150" s="0" t="inlineStr">
        <is>
          <t>충청북도 청주시 흥덕구 태성탑연로 264</t>
        </is>
      </c>
      <c r="AH150" s="0" t="n">
        <v>0</v>
      </c>
      <c r="AI150" s="0" t="n">
        <v>187</v>
      </c>
      <c r="AJ150" s="0" t="n">
        <v>25</v>
      </c>
      <c r="AK150" s="0" t="n">
        <v>247</v>
      </c>
      <c r="AL150" s="0" t="n">
        <v>0.6</v>
      </c>
    </row>
    <row r="151">
      <c r="A151" s="0" t="inlineStr">
        <is>
          <t>[강내면]</t>
        </is>
      </c>
      <c r="B151" s="0" t="n">
        <v>15370</v>
      </c>
      <c r="C151" s="0" t="n">
        <v>4</v>
      </c>
      <c r="D151" s="0" t="inlineStr">
        <is>
          <t>강내태암수정</t>
        </is>
      </c>
      <c r="E151" s="0" t="inlineStr">
        <is>
          <t>1997.12.</t>
        </is>
      </c>
      <c r="F151" s="0" t="n">
        <v>410</v>
      </c>
      <c r="G151" s="0" t="n">
        <v>20.09</v>
      </c>
      <c r="H151" s="0" t="n">
        <v>66.42</v>
      </c>
      <c r="I151" s="0" t="n">
        <v>16.61</v>
      </c>
      <c r="J151" s="0" t="n">
        <v>54.92</v>
      </c>
      <c r="K151" s="0" t="n">
        <v>20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66</v>
      </c>
      <c r="X151" s="0" t="n">
        <v>10</v>
      </c>
      <c r="Y151" s="0" t="n">
        <v>4</v>
      </c>
      <c r="Z151" s="0" t="inlineStr">
        <is>
          <t>https://new.land.naver.com/complexes/15370?tab=detail&amp;rf=Y</t>
        </is>
      </c>
      <c r="AA151" s="0" t="inlineStr">
        <is>
          <t>충청북도 청주시 흥덕구 강내면 월탄리 90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흥덕구</t>
        </is>
      </c>
      <c r="AE151" s="0" t="inlineStr">
        <is>
          <t>강내면</t>
        </is>
      </c>
      <c r="AG151" s="0" t="inlineStr">
        <is>
          <t>충청북도 청주시 흥덕구 태성탑연로 264</t>
        </is>
      </c>
      <c r="AH151" s="0" t="n">
        <v>0</v>
      </c>
      <c r="AI151" s="0" t="n">
        <v>187</v>
      </c>
      <c r="AJ151" s="0" t="n">
        <v>25</v>
      </c>
      <c r="AK151" s="0" t="n">
        <v>247</v>
      </c>
      <c r="AL151" s="0" t="n">
        <v>0.6</v>
      </c>
    </row>
    <row r="152">
      <c r="A152" s="0" t="inlineStr">
        <is>
          <t>[강내면]</t>
        </is>
      </c>
      <c r="B152" s="0" t="n">
        <v>15370</v>
      </c>
      <c r="C152" s="0" t="n">
        <v>5</v>
      </c>
      <c r="D152" s="0" t="inlineStr">
        <is>
          <t>강내태암수정</t>
        </is>
      </c>
      <c r="E152" s="0" t="inlineStr">
        <is>
          <t>1997.12.</t>
        </is>
      </c>
      <c r="F152" s="0" t="n">
        <v>410</v>
      </c>
      <c r="G152" s="0" t="n">
        <v>23.73</v>
      </c>
      <c r="H152" s="0" t="n">
        <v>78.47</v>
      </c>
      <c r="I152" s="0" t="n">
        <v>18.04</v>
      </c>
      <c r="J152" s="0" t="n">
        <v>59.66</v>
      </c>
      <c r="K152" s="0" t="n">
        <v>50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78A</t>
        </is>
      </c>
      <c r="X152" s="0" t="n">
        <v>10</v>
      </c>
      <c r="Y152" s="0" t="n">
        <v>4</v>
      </c>
      <c r="Z152" s="0" t="inlineStr">
        <is>
          <t>https://new.land.naver.com/complexes/15370?tab=detail&amp;rf=Y</t>
        </is>
      </c>
      <c r="AA152" s="0" t="inlineStr">
        <is>
          <t>충청북도 청주시 흥덕구 강내면 월탄리 90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흥덕구</t>
        </is>
      </c>
      <c r="AE152" s="0" t="inlineStr">
        <is>
          <t>강내면</t>
        </is>
      </c>
      <c r="AG152" s="0" t="inlineStr">
        <is>
          <t>충청북도 청주시 흥덕구 태성탑연로 264</t>
        </is>
      </c>
      <c r="AH152" s="0" t="n">
        <v>0</v>
      </c>
      <c r="AI152" s="0" t="n">
        <v>187</v>
      </c>
      <c r="AJ152" s="0" t="n">
        <v>25</v>
      </c>
      <c r="AK152" s="0" t="n">
        <v>247</v>
      </c>
      <c r="AL152" s="0" t="n">
        <v>0.6</v>
      </c>
    </row>
    <row r="153">
      <c r="A153" s="0" t="inlineStr">
        <is>
          <t>[강내면]</t>
        </is>
      </c>
      <c r="B153" s="0" t="n">
        <v>15370</v>
      </c>
      <c r="C153" s="0" t="n">
        <v>6</v>
      </c>
      <c r="D153" s="0" t="inlineStr">
        <is>
          <t>강내태암수정</t>
        </is>
      </c>
      <c r="E153" s="0" t="inlineStr">
        <is>
          <t>1997.12.</t>
        </is>
      </c>
      <c r="F153" s="0" t="n">
        <v>410</v>
      </c>
      <c r="G153" s="0" t="n">
        <v>23.83</v>
      </c>
      <c r="H153" s="0" t="n">
        <v>78.78</v>
      </c>
      <c r="I153" s="0" t="n">
        <v>18.04</v>
      </c>
      <c r="J153" s="0" t="n">
        <v>59.66</v>
      </c>
      <c r="K153" s="0" t="n">
        <v>47</v>
      </c>
      <c r="T153" s="0" t="n">
        <v>3</v>
      </c>
      <c r="U153" s="0" t="n">
        <v>1</v>
      </c>
      <c r="V153" s="0" t="inlineStr">
        <is>
          <t>계단식</t>
        </is>
      </c>
      <c r="W153" s="0" t="inlineStr">
        <is>
          <t>78B</t>
        </is>
      </c>
      <c r="X153" s="0" t="n">
        <v>10</v>
      </c>
      <c r="Y153" s="0" t="n">
        <v>4</v>
      </c>
      <c r="Z153" s="0" t="inlineStr">
        <is>
          <t>https://new.land.naver.com/complexes/15370?tab=detail&amp;rf=Y</t>
        </is>
      </c>
      <c r="AA153" s="0" t="inlineStr">
        <is>
          <t>충청북도 청주시 흥덕구 강내면 월탄리 90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흥덕구</t>
        </is>
      </c>
      <c r="AE153" s="0" t="inlineStr">
        <is>
          <t>강내면</t>
        </is>
      </c>
      <c r="AG153" s="0" t="inlineStr">
        <is>
          <t>충청북도 청주시 흥덕구 태성탑연로 264</t>
        </is>
      </c>
      <c r="AH153" s="0" t="n">
        <v>0</v>
      </c>
      <c r="AI153" s="0" t="n">
        <v>187</v>
      </c>
      <c r="AJ153" s="0" t="n">
        <v>25</v>
      </c>
      <c r="AK153" s="0" t="n">
        <v>247</v>
      </c>
      <c r="AL153" s="0" t="n">
        <v>0.6</v>
      </c>
    </row>
    <row r="154">
      <c r="A154" s="0" t="inlineStr">
        <is>
          <t>[강내면]</t>
        </is>
      </c>
      <c r="B154" s="0" t="n">
        <v>15369</v>
      </c>
      <c r="C154" s="0" t="n">
        <v>1</v>
      </c>
      <c r="D154" s="0" t="inlineStr">
        <is>
          <t>월곡</t>
        </is>
      </c>
      <c r="E154" s="0" t="inlineStr">
        <is>
          <t>1985.12.</t>
        </is>
      </c>
      <c r="F154" s="0" t="n">
        <v>65</v>
      </c>
      <c r="G154" s="0" t="n">
        <v>17.29</v>
      </c>
      <c r="H154" s="0" t="n">
        <v>57.17</v>
      </c>
      <c r="I154" s="0" t="n">
        <v>13.94</v>
      </c>
      <c r="J154" s="0" t="n">
        <v>46.11</v>
      </c>
      <c r="K154" s="0" t="n">
        <v>5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57</v>
      </c>
      <c r="X154" s="0" t="n">
        <v>5</v>
      </c>
      <c r="Y154" s="0" t="n">
        <v>5</v>
      </c>
      <c r="Z154" s="0" t="inlineStr">
        <is>
          <t>https://new.land.naver.com/complexes/15369?tab=detail&amp;rf=Y</t>
        </is>
      </c>
      <c r="AA154" s="0" t="inlineStr">
        <is>
          <t>충청북도 청주시 흥덕구 강내면 월곡리 300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흥덕구</t>
        </is>
      </c>
      <c r="AE154" s="0" t="inlineStr">
        <is>
          <t>강내면</t>
        </is>
      </c>
      <c r="AG154" s="0" t="inlineStr">
        <is>
          <t>충청북도 청주시 흥덕구 탑연월곡길 86-10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[강내면]</t>
        </is>
      </c>
      <c r="B155" s="0" t="n">
        <v>15369</v>
      </c>
      <c r="C155" s="0" t="n">
        <v>2</v>
      </c>
      <c r="D155" s="0" t="inlineStr">
        <is>
          <t>월곡</t>
        </is>
      </c>
      <c r="E155" s="0" t="inlineStr">
        <is>
          <t>1985.12.</t>
        </is>
      </c>
      <c r="F155" s="0" t="n">
        <v>65</v>
      </c>
      <c r="G155" s="0" t="n">
        <v>17.74</v>
      </c>
      <c r="H155" s="0" t="n">
        <v>58.67</v>
      </c>
      <c r="I155" s="0" t="n">
        <v>16.03</v>
      </c>
      <c r="J155" s="0" t="n">
        <v>53.01</v>
      </c>
      <c r="K155" s="0" t="n">
        <v>20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58</v>
      </c>
      <c r="X155" s="0" t="n">
        <v>5</v>
      </c>
      <c r="Y155" s="0" t="n">
        <v>5</v>
      </c>
      <c r="Z155" s="0" t="inlineStr">
        <is>
          <t>https://new.land.naver.com/complexes/15369?tab=detail&amp;rf=Y</t>
        </is>
      </c>
      <c r="AA155" s="0" t="inlineStr">
        <is>
          <t>충청북도 청주시 흥덕구 강내면 월곡리 300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흥덕구</t>
        </is>
      </c>
      <c r="AE155" s="0" t="inlineStr">
        <is>
          <t>강내면</t>
        </is>
      </c>
      <c r="AG155" s="0" t="inlineStr">
        <is>
          <t>충청북도 청주시 흥덕구 탑연월곡길 86-10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[강내면]</t>
        </is>
      </c>
      <c r="B156" s="0" t="n">
        <v>15369</v>
      </c>
      <c r="C156" s="0" t="n">
        <v>3</v>
      </c>
      <c r="D156" s="0" t="inlineStr">
        <is>
          <t>월곡</t>
        </is>
      </c>
      <c r="E156" s="0" t="inlineStr">
        <is>
          <t>1985.12.</t>
        </is>
      </c>
      <c r="F156" s="0" t="n">
        <v>65</v>
      </c>
      <c r="G156" s="0" t="n">
        <v>19.78</v>
      </c>
      <c r="H156" s="0" t="n">
        <v>65.42</v>
      </c>
      <c r="I156" s="0" t="n">
        <v>18.07</v>
      </c>
      <c r="J156" s="0" t="n">
        <v>59.76</v>
      </c>
      <c r="K156" s="0" t="n">
        <v>20</v>
      </c>
      <c r="T156" s="0" t="n">
        <v>3</v>
      </c>
      <c r="U156" s="0" t="n">
        <v>1</v>
      </c>
      <c r="V156" s="0" t="inlineStr">
        <is>
          <t>계단식</t>
        </is>
      </c>
      <c r="W156" s="0" t="n">
        <v>65</v>
      </c>
      <c r="X156" s="0" t="n">
        <v>5</v>
      </c>
      <c r="Y156" s="0" t="n">
        <v>5</v>
      </c>
      <c r="Z156" s="0" t="inlineStr">
        <is>
          <t>https://new.land.naver.com/complexes/15369?tab=detail&amp;rf=Y</t>
        </is>
      </c>
      <c r="AA156" s="0" t="inlineStr">
        <is>
          <t>충청북도 청주시 흥덕구 강내면 월곡리 300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흥덕구</t>
        </is>
      </c>
      <c r="AE156" s="0" t="inlineStr">
        <is>
          <t>강내면</t>
        </is>
      </c>
      <c r="AG156" s="0" t="inlineStr">
        <is>
          <t>충청북도 청주시 흥덕구 탑연월곡길 86-10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[강내면]</t>
        </is>
      </c>
      <c r="B157" s="0" t="n">
        <v>15369</v>
      </c>
      <c r="C157" s="0" t="n">
        <v>4</v>
      </c>
      <c r="D157" s="0" t="inlineStr">
        <is>
          <t>월곡</t>
        </is>
      </c>
      <c r="E157" s="0" t="inlineStr">
        <is>
          <t>1985.12.</t>
        </is>
      </c>
      <c r="F157" s="0" t="n">
        <v>65</v>
      </c>
      <c r="G157" s="0" t="n">
        <v>20.71</v>
      </c>
      <c r="H157" s="0" t="n">
        <v>68.48</v>
      </c>
      <c r="I157" s="0" t="n">
        <v>19</v>
      </c>
      <c r="J157" s="0" t="n">
        <v>62.82</v>
      </c>
      <c r="K157" s="0" t="n">
        <v>20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68</v>
      </c>
      <c r="X157" s="0" t="n">
        <v>5</v>
      </c>
      <c r="Y157" s="0" t="n">
        <v>5</v>
      </c>
      <c r="Z157" s="0" t="inlineStr">
        <is>
          <t>https://new.land.naver.com/complexes/15369?tab=detail&amp;rf=Y</t>
        </is>
      </c>
      <c r="AA157" s="0" t="inlineStr">
        <is>
          <t>충청북도 청주시 흥덕구 강내면 월곡리 300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흥덕구</t>
        </is>
      </c>
      <c r="AE157" s="0" t="inlineStr">
        <is>
          <t>강내면</t>
        </is>
      </c>
      <c r="AG157" s="0" t="inlineStr">
        <is>
          <t>충청북도 청주시 흥덕구 탑연월곡길 86-10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[강서동]</t>
        </is>
      </c>
      <c r="B158" s="0" t="n">
        <v>107198</v>
      </c>
      <c r="C158" s="0" t="n">
        <v>1</v>
      </c>
      <c r="D158" s="0" t="inlineStr">
        <is>
          <t>주산휴네스트</t>
        </is>
      </c>
      <c r="E158" s="0" t="inlineStr">
        <is>
          <t>2013.05.</t>
        </is>
      </c>
      <c r="F158" s="0" t="n">
        <v>120</v>
      </c>
      <c r="G158" s="0" t="n">
        <v>15.37</v>
      </c>
      <c r="H158" s="0" t="n">
        <v>50.84</v>
      </c>
      <c r="I158" s="0" t="n">
        <v>9.08</v>
      </c>
      <c r="J158" s="0" t="n">
        <v>30.04</v>
      </c>
      <c r="K158" s="0" t="n">
        <v>32</v>
      </c>
      <c r="T158" s="0" t="n">
        <v>2</v>
      </c>
      <c r="U158" s="0" t="n">
        <v>1</v>
      </c>
      <c r="V158" s="0" t="inlineStr">
        <is>
          <t>복도식</t>
        </is>
      </c>
      <c r="W158" s="0" t="n">
        <v>50</v>
      </c>
      <c r="X158" s="0" t="n">
        <v>10</v>
      </c>
      <c r="Y158" s="0" t="n">
        <v>10</v>
      </c>
      <c r="Z158" s="0" t="inlineStr">
        <is>
          <t>https://new.land.naver.com/complexes/107198?tab=detail&amp;rf=Y</t>
        </is>
      </c>
      <c r="AA158" s="0" t="inlineStr">
        <is>
          <t>충청북도 청주시 흥덕구 강서동 467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흥덕구</t>
        </is>
      </c>
      <c r="AE158" s="0" t="inlineStr">
        <is>
          <t>강서동</t>
        </is>
      </c>
      <c r="AG158" s="0" t="inlineStr">
        <is>
          <t>충청북도 청주시 흥덕구 강서로 101</t>
        </is>
      </c>
      <c r="AH158" s="0" t="n">
        <v>0</v>
      </c>
      <c r="AI158" s="0" t="n">
        <v>584</v>
      </c>
      <c r="AJ158" s="0" t="n">
        <v>69</v>
      </c>
      <c r="AK158" s="0" t="n">
        <v>49</v>
      </c>
      <c r="AL158" s="0" t="n">
        <v>0.41</v>
      </c>
    </row>
    <row r="159">
      <c r="A159" s="0" t="inlineStr">
        <is>
          <t>[강서동]</t>
        </is>
      </c>
      <c r="B159" s="0" t="n">
        <v>107198</v>
      </c>
      <c r="C159" s="0" t="n">
        <v>2</v>
      </c>
      <c r="D159" s="0" t="inlineStr">
        <is>
          <t>주산휴네스트</t>
        </is>
      </c>
      <c r="E159" s="0" t="inlineStr">
        <is>
          <t>2013.05.</t>
        </is>
      </c>
      <c r="F159" s="0" t="n">
        <v>120</v>
      </c>
      <c r="G159" s="0" t="n">
        <v>15.61</v>
      </c>
      <c r="H159" s="0" t="n">
        <v>51.62</v>
      </c>
      <c r="I159" s="0" t="n">
        <v>9.220000000000001</v>
      </c>
      <c r="J159" s="0" t="n">
        <v>30.51</v>
      </c>
      <c r="K159" s="0" t="n">
        <v>16</v>
      </c>
      <c r="T159" s="0" t="n">
        <v>2</v>
      </c>
      <c r="U159" s="0" t="n">
        <v>1</v>
      </c>
      <c r="V159" s="0" t="inlineStr">
        <is>
          <t>복도식</t>
        </is>
      </c>
      <c r="W159" s="0" t="inlineStr">
        <is>
          <t>51A</t>
        </is>
      </c>
      <c r="X159" s="0" t="n">
        <v>10</v>
      </c>
      <c r="Y159" s="0" t="n">
        <v>10</v>
      </c>
      <c r="Z159" s="0" t="inlineStr">
        <is>
          <t>https://new.land.naver.com/complexes/107198?tab=detail&amp;rf=Y</t>
        </is>
      </c>
      <c r="AA159" s="0" t="inlineStr">
        <is>
          <t>충청북도 청주시 흥덕구 강서동 467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흥덕구</t>
        </is>
      </c>
      <c r="AE159" s="0" t="inlineStr">
        <is>
          <t>강서동</t>
        </is>
      </c>
      <c r="AG159" s="0" t="inlineStr">
        <is>
          <t>충청북도 청주시 흥덕구 강서로 101</t>
        </is>
      </c>
      <c r="AH159" s="0" t="n">
        <v>0</v>
      </c>
      <c r="AI159" s="0" t="n">
        <v>584</v>
      </c>
      <c r="AJ159" s="0" t="n">
        <v>69</v>
      </c>
      <c r="AK159" s="0" t="n">
        <v>49</v>
      </c>
      <c r="AL159" s="0" t="n">
        <v>0.41</v>
      </c>
    </row>
    <row r="160">
      <c r="A160" s="0" t="inlineStr">
        <is>
          <t>[강서동]</t>
        </is>
      </c>
      <c r="B160" s="0" t="n">
        <v>107198</v>
      </c>
      <c r="C160" s="0" t="n">
        <v>3</v>
      </c>
      <c r="D160" s="0" t="inlineStr">
        <is>
          <t>주산휴네스트</t>
        </is>
      </c>
      <c r="E160" s="0" t="inlineStr">
        <is>
          <t>2013.05.</t>
        </is>
      </c>
      <c r="F160" s="0" t="n">
        <v>120</v>
      </c>
      <c r="G160" s="0" t="n">
        <v>16.1</v>
      </c>
      <c r="H160" s="0" t="n">
        <v>53.25</v>
      </c>
      <c r="I160" s="0" t="n">
        <v>9.51</v>
      </c>
      <c r="J160" s="0" t="n">
        <v>31.47</v>
      </c>
      <c r="K160" s="0" t="n">
        <v>8</v>
      </c>
      <c r="T160" s="0" t="n">
        <v>2</v>
      </c>
      <c r="U160" s="0" t="n">
        <v>1</v>
      </c>
      <c r="V160" s="0" t="inlineStr">
        <is>
          <t>복도식</t>
        </is>
      </c>
      <c r="W160" s="0" t="inlineStr">
        <is>
          <t>53B</t>
        </is>
      </c>
      <c r="X160" s="0" t="n">
        <v>10</v>
      </c>
      <c r="Y160" s="0" t="n">
        <v>10</v>
      </c>
      <c r="Z160" s="0" t="inlineStr">
        <is>
          <t>https://new.land.naver.com/complexes/107198?tab=detail&amp;rf=Y</t>
        </is>
      </c>
      <c r="AA160" s="0" t="inlineStr">
        <is>
          <t>충청북도 청주시 흥덕구 강서동 467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흥덕구</t>
        </is>
      </c>
      <c r="AE160" s="0" t="inlineStr">
        <is>
          <t>강서동</t>
        </is>
      </c>
      <c r="AG160" s="0" t="inlineStr">
        <is>
          <t>충청북도 청주시 흥덕구 강서로 101</t>
        </is>
      </c>
      <c r="AH160" s="0" t="n">
        <v>0</v>
      </c>
      <c r="AI160" s="0" t="n">
        <v>584</v>
      </c>
      <c r="AJ160" s="0" t="n">
        <v>69</v>
      </c>
      <c r="AK160" s="0" t="n">
        <v>49</v>
      </c>
      <c r="AL160" s="0" t="n">
        <v>0.41</v>
      </c>
    </row>
    <row r="161">
      <c r="A161" s="0" t="inlineStr">
        <is>
          <t>[강서동]</t>
        </is>
      </c>
      <c r="B161" s="0" t="n">
        <v>107198</v>
      </c>
      <c r="C161" s="0" t="n">
        <v>4</v>
      </c>
      <c r="D161" s="0" t="inlineStr">
        <is>
          <t>주산휴네스트</t>
        </is>
      </c>
      <c r="E161" s="0" t="inlineStr">
        <is>
          <t>2013.05.</t>
        </is>
      </c>
      <c r="F161" s="0" t="n">
        <v>120</v>
      </c>
      <c r="G161" s="0" t="n">
        <v>17.1</v>
      </c>
      <c r="H161" s="0" t="n">
        <v>56.55</v>
      </c>
      <c r="I161" s="0" t="n">
        <v>10.1</v>
      </c>
      <c r="J161" s="0" t="n">
        <v>33.42</v>
      </c>
      <c r="K161" s="0" t="n">
        <v>32</v>
      </c>
      <c r="T161" s="0" t="n">
        <v>2</v>
      </c>
      <c r="U161" s="0" t="n">
        <v>1</v>
      </c>
      <c r="V161" s="0" t="inlineStr">
        <is>
          <t>복도식</t>
        </is>
      </c>
      <c r="W161" s="0" t="inlineStr">
        <is>
          <t>56A</t>
        </is>
      </c>
      <c r="X161" s="0" t="n">
        <v>10</v>
      </c>
      <c r="Y161" s="0" t="n">
        <v>10</v>
      </c>
      <c r="Z161" s="0" t="inlineStr">
        <is>
          <t>https://new.land.naver.com/complexes/107198?tab=detail&amp;rf=Y</t>
        </is>
      </c>
      <c r="AA161" s="0" t="inlineStr">
        <is>
          <t>충청북도 청주시 흥덕구 강서동 467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흥덕구</t>
        </is>
      </c>
      <c r="AE161" s="0" t="inlineStr">
        <is>
          <t>강서동</t>
        </is>
      </c>
      <c r="AG161" s="0" t="inlineStr">
        <is>
          <t>충청북도 청주시 흥덕구 강서로 101</t>
        </is>
      </c>
      <c r="AH161" s="0" t="n">
        <v>0</v>
      </c>
      <c r="AI161" s="0" t="n">
        <v>584</v>
      </c>
      <c r="AJ161" s="0" t="n">
        <v>69</v>
      </c>
      <c r="AK161" s="0" t="n">
        <v>49</v>
      </c>
      <c r="AL161" s="0" t="n">
        <v>0.41</v>
      </c>
    </row>
    <row r="162">
      <c r="A162" s="0" t="inlineStr">
        <is>
          <t>[강서동]</t>
        </is>
      </c>
      <c r="B162" s="0" t="n">
        <v>107198</v>
      </c>
      <c r="C162" s="0" t="n">
        <v>5</v>
      </c>
      <c r="D162" s="0" t="inlineStr">
        <is>
          <t>주산휴네스트</t>
        </is>
      </c>
      <c r="E162" s="0" t="inlineStr">
        <is>
          <t>2013.05.</t>
        </is>
      </c>
      <c r="F162" s="0" t="n">
        <v>120</v>
      </c>
      <c r="G162" s="0" t="n">
        <v>17.45</v>
      </c>
      <c r="H162" s="0" t="n">
        <v>57.71</v>
      </c>
      <c r="I162" s="0" t="n">
        <v>10.31</v>
      </c>
      <c r="J162" s="0" t="n">
        <v>34.1</v>
      </c>
      <c r="K162" s="0" t="n">
        <v>16</v>
      </c>
      <c r="T162" s="0" t="n">
        <v>2</v>
      </c>
      <c r="U162" s="0" t="n">
        <v>1</v>
      </c>
      <c r="V162" s="0" t="inlineStr">
        <is>
          <t>복도식</t>
        </is>
      </c>
      <c r="W162" s="0" t="inlineStr">
        <is>
          <t>57B</t>
        </is>
      </c>
      <c r="X162" s="0" t="n">
        <v>10</v>
      </c>
      <c r="Y162" s="0" t="n">
        <v>10</v>
      </c>
      <c r="Z162" s="0" t="inlineStr">
        <is>
          <t>https://new.land.naver.com/complexes/107198?tab=detail&amp;rf=Y</t>
        </is>
      </c>
      <c r="AA162" s="0" t="inlineStr">
        <is>
          <t>충청북도 청주시 흥덕구 강서동 467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흥덕구</t>
        </is>
      </c>
      <c r="AE162" s="0" t="inlineStr">
        <is>
          <t>강서동</t>
        </is>
      </c>
      <c r="AG162" s="0" t="inlineStr">
        <is>
          <t>충청북도 청주시 흥덕구 강서로 101</t>
        </is>
      </c>
      <c r="AH162" s="0" t="n">
        <v>0</v>
      </c>
      <c r="AI162" s="0" t="n">
        <v>584</v>
      </c>
      <c r="AJ162" s="0" t="n">
        <v>69</v>
      </c>
      <c r="AK162" s="0" t="n">
        <v>49</v>
      </c>
      <c r="AL162" s="0" t="n">
        <v>0.41</v>
      </c>
    </row>
    <row r="163">
      <c r="A163" s="0" t="inlineStr">
        <is>
          <t>[강서동]</t>
        </is>
      </c>
      <c r="B163" s="0" t="n">
        <v>107198</v>
      </c>
      <c r="C163" s="0" t="n">
        <v>6</v>
      </c>
      <c r="D163" s="0" t="inlineStr">
        <is>
          <t>주산휴네스트</t>
        </is>
      </c>
      <c r="E163" s="0" t="inlineStr">
        <is>
          <t>2013.05.</t>
        </is>
      </c>
      <c r="F163" s="0" t="n">
        <v>120</v>
      </c>
      <c r="G163" s="0" t="n">
        <v>17.65</v>
      </c>
      <c r="H163" s="0" t="n">
        <v>58.37</v>
      </c>
      <c r="I163" s="0" t="n">
        <v>10.43</v>
      </c>
      <c r="J163" s="0" t="n">
        <v>34.49</v>
      </c>
      <c r="K163" s="0" t="n">
        <v>7</v>
      </c>
      <c r="T163" s="0" t="n">
        <v>2</v>
      </c>
      <c r="U163" s="0" t="n">
        <v>1</v>
      </c>
      <c r="V163" s="0" t="inlineStr">
        <is>
          <t>복도식</t>
        </is>
      </c>
      <c r="W163" s="0" t="inlineStr">
        <is>
          <t>58B</t>
        </is>
      </c>
      <c r="X163" s="0" t="n">
        <v>10</v>
      </c>
      <c r="Y163" s="0" t="n">
        <v>10</v>
      </c>
      <c r="Z163" s="0" t="inlineStr">
        <is>
          <t>https://new.land.naver.com/complexes/107198?tab=detail&amp;rf=Y</t>
        </is>
      </c>
      <c r="AA163" s="0" t="inlineStr">
        <is>
          <t>충청북도 청주시 흥덕구 강서동 467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흥덕구</t>
        </is>
      </c>
      <c r="AE163" s="0" t="inlineStr">
        <is>
          <t>강서동</t>
        </is>
      </c>
      <c r="AG163" s="0" t="inlineStr">
        <is>
          <t>충청북도 청주시 흥덕구 강서로 101</t>
        </is>
      </c>
      <c r="AH163" s="0" t="n">
        <v>0</v>
      </c>
      <c r="AI163" s="0" t="n">
        <v>584</v>
      </c>
      <c r="AJ163" s="0" t="n">
        <v>69</v>
      </c>
      <c r="AK163" s="0" t="n">
        <v>49</v>
      </c>
      <c r="AL163" s="0" t="n">
        <v>0.41</v>
      </c>
    </row>
    <row r="164">
      <c r="A164" s="0" t="inlineStr">
        <is>
          <t>[강서동]</t>
        </is>
      </c>
      <c r="B164" s="0" t="n">
        <v>107198</v>
      </c>
      <c r="C164" s="0" t="n">
        <v>7</v>
      </c>
      <c r="D164" s="0" t="inlineStr">
        <is>
          <t>주산휴네스트</t>
        </is>
      </c>
      <c r="E164" s="0" t="inlineStr">
        <is>
          <t>2013.05.</t>
        </is>
      </c>
      <c r="F164" s="0" t="n">
        <v>120</v>
      </c>
      <c r="G164" s="0" t="n">
        <v>17.61</v>
      </c>
      <c r="H164" s="0" t="n">
        <v>58.23</v>
      </c>
      <c r="I164" s="0" t="n">
        <v>10.4</v>
      </c>
      <c r="J164" s="0" t="n">
        <v>34.41</v>
      </c>
      <c r="K164" s="0" t="n">
        <v>1</v>
      </c>
      <c r="T164" s="0" t="n">
        <v>2</v>
      </c>
      <c r="U164" s="0" t="n">
        <v>1</v>
      </c>
      <c r="V164" s="0" t="inlineStr">
        <is>
          <t>복도식</t>
        </is>
      </c>
      <c r="W164" s="0" t="inlineStr">
        <is>
          <t>58A</t>
        </is>
      </c>
      <c r="X164" s="0" t="n">
        <v>10</v>
      </c>
      <c r="Y164" s="0" t="n">
        <v>10</v>
      </c>
      <c r="Z164" s="0" t="inlineStr">
        <is>
          <t>https://new.land.naver.com/complexes/107198?tab=detail&amp;rf=Y</t>
        </is>
      </c>
      <c r="AA164" s="0" t="inlineStr">
        <is>
          <t>충청북도 청주시 흥덕구 강서동 467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흥덕구</t>
        </is>
      </c>
      <c r="AE164" s="0" t="inlineStr">
        <is>
          <t>강서동</t>
        </is>
      </c>
      <c r="AG164" s="0" t="inlineStr">
        <is>
          <t>충청북도 청주시 흥덕구 강서로 101</t>
        </is>
      </c>
      <c r="AH164" s="0" t="n">
        <v>0</v>
      </c>
      <c r="AI164" s="0" t="n">
        <v>584</v>
      </c>
      <c r="AJ164" s="0" t="n">
        <v>69</v>
      </c>
      <c r="AK164" s="0" t="n">
        <v>49</v>
      </c>
      <c r="AL164" s="0" t="n">
        <v>0.41</v>
      </c>
    </row>
    <row r="165">
      <c r="A165" s="0" t="inlineStr">
        <is>
          <t>[강서동]</t>
        </is>
      </c>
      <c r="B165" s="0" t="n">
        <v>107198</v>
      </c>
      <c r="C165" s="0" t="n">
        <v>8</v>
      </c>
      <c r="D165" s="0" t="inlineStr">
        <is>
          <t>주산휴네스트</t>
        </is>
      </c>
      <c r="E165" s="0" t="inlineStr">
        <is>
          <t>2013.05.</t>
        </is>
      </c>
      <c r="F165" s="0" t="n">
        <v>120</v>
      </c>
      <c r="G165" s="0" t="n">
        <v>19.91</v>
      </c>
      <c r="H165" s="0" t="n">
        <v>65.84</v>
      </c>
      <c r="I165" s="0" t="n">
        <v>11.77</v>
      </c>
      <c r="J165" s="0" t="n">
        <v>38.91</v>
      </c>
      <c r="K165" s="0" t="n">
        <v>8</v>
      </c>
      <c r="T165" s="0" t="n">
        <v>2</v>
      </c>
      <c r="U165" s="0" t="n">
        <v>1</v>
      </c>
      <c r="V165" s="0" t="inlineStr">
        <is>
          <t>복도식</t>
        </is>
      </c>
      <c r="W165" s="0" t="n">
        <v>65</v>
      </c>
      <c r="X165" s="0" t="n">
        <v>10</v>
      </c>
      <c r="Y165" s="0" t="n">
        <v>10</v>
      </c>
      <c r="Z165" s="0" t="inlineStr">
        <is>
          <t>https://new.land.naver.com/complexes/107198?tab=detail&amp;rf=Y</t>
        </is>
      </c>
      <c r="AA165" s="0" t="inlineStr">
        <is>
          <t>충청북도 청주시 흥덕구 강서동 467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흥덕구</t>
        </is>
      </c>
      <c r="AE165" s="0" t="inlineStr">
        <is>
          <t>강서동</t>
        </is>
      </c>
      <c r="AG165" s="0" t="inlineStr">
        <is>
          <t>충청북도 청주시 흥덕구 강서로 101</t>
        </is>
      </c>
      <c r="AH165" s="0" t="n">
        <v>0</v>
      </c>
      <c r="AI165" s="0" t="n">
        <v>584</v>
      </c>
      <c r="AJ165" s="0" t="n">
        <v>69</v>
      </c>
      <c r="AK165" s="0" t="n">
        <v>49</v>
      </c>
      <c r="AL165" s="0" t="n">
        <v>0.41</v>
      </c>
    </row>
    <row r="166">
      <c r="A166" s="0" t="inlineStr">
        <is>
          <t>[강서동]</t>
        </is>
      </c>
      <c r="B166" s="0" t="n">
        <v>111248</v>
      </c>
      <c r="C166" s="0" t="n">
        <v>1</v>
      </c>
      <c r="D166" s="0" t="inlineStr">
        <is>
          <t>강서베리굿</t>
        </is>
      </c>
      <c r="E166" s="0" t="inlineStr">
        <is>
          <t>2015.11.</t>
        </is>
      </c>
      <c r="F166" s="0" t="n">
        <v>22</v>
      </c>
      <c r="G166" s="0" t="n">
        <v>28.17</v>
      </c>
      <c r="H166" s="0" t="n">
        <v>93.13</v>
      </c>
      <c r="I166" s="0" t="n">
        <v>17.1</v>
      </c>
      <c r="J166" s="0" t="n">
        <v>56.53</v>
      </c>
      <c r="K166" s="0" t="n">
        <v>6</v>
      </c>
      <c r="T166" s="0" t="n">
        <v>2</v>
      </c>
      <c r="U166" s="0" t="n">
        <v>1</v>
      </c>
      <c r="V166" s="0" t="inlineStr">
        <is>
          <t>복도식</t>
        </is>
      </c>
      <c r="W166" s="0" t="inlineStr">
        <is>
          <t>93B</t>
        </is>
      </c>
      <c r="X166" s="0" t="n">
        <v>3</v>
      </c>
      <c r="Y166" s="0" t="n">
        <v>3</v>
      </c>
      <c r="Z166" s="0" t="inlineStr">
        <is>
          <t>https://new.land.naver.com/complexes/111248?tab=detail&amp;rf=Y</t>
        </is>
      </c>
      <c r="AA166" s="0" t="inlineStr">
        <is>
          <t>충청북도 청주시 흥덕구 강서동 503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흥덕구</t>
        </is>
      </c>
      <c r="AE166" s="0" t="inlineStr">
        <is>
          <t>강서동</t>
        </is>
      </c>
      <c r="AG166" s="0" t="inlineStr">
        <is>
          <t>충청북도 청주시 흥덕구 서현중로 63</t>
        </is>
      </c>
      <c r="AH166" s="0" t="n">
        <v>0</v>
      </c>
      <c r="AI166" s="0" t="n">
        <v>883</v>
      </c>
      <c r="AJ166" s="0" t="n">
        <v>69</v>
      </c>
      <c r="AK166" s="0" t="n">
        <v>16</v>
      </c>
      <c r="AL166" s="0" t="n">
        <v>0.73</v>
      </c>
    </row>
    <row r="167">
      <c r="A167" s="0" t="inlineStr">
        <is>
          <t>[강서동]</t>
        </is>
      </c>
      <c r="B167" s="0" t="n">
        <v>111248</v>
      </c>
      <c r="C167" s="0" t="n">
        <v>2</v>
      </c>
      <c r="D167" s="0" t="inlineStr">
        <is>
          <t>강서베리굿</t>
        </is>
      </c>
      <c r="E167" s="0" t="inlineStr">
        <is>
          <t>2015.11.</t>
        </is>
      </c>
      <c r="F167" s="0" t="n">
        <v>22</v>
      </c>
      <c r="G167" s="0" t="n">
        <v>29.21</v>
      </c>
      <c r="H167" s="0" t="n">
        <v>96.56999999999999</v>
      </c>
      <c r="I167" s="0" t="n">
        <v>17.73</v>
      </c>
      <c r="J167" s="0" t="n">
        <v>58.62</v>
      </c>
      <c r="K167" s="0" t="n">
        <v>4</v>
      </c>
      <c r="T167" s="0" t="n">
        <v>2</v>
      </c>
      <c r="U167" s="0" t="n">
        <v>1</v>
      </c>
      <c r="V167" s="0" t="inlineStr">
        <is>
          <t>복도식</t>
        </is>
      </c>
      <c r="W167" s="0" t="inlineStr">
        <is>
          <t>96A</t>
        </is>
      </c>
      <c r="X167" s="0" t="n">
        <v>3</v>
      </c>
      <c r="Y167" s="0" t="n">
        <v>3</v>
      </c>
      <c r="Z167" s="0" t="inlineStr">
        <is>
          <t>https://new.land.naver.com/complexes/111248?tab=detail&amp;rf=Y</t>
        </is>
      </c>
      <c r="AA167" s="0" t="inlineStr">
        <is>
          <t>충청북도 청주시 흥덕구 강서동 503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흥덕구</t>
        </is>
      </c>
      <c r="AE167" s="0" t="inlineStr">
        <is>
          <t>강서동</t>
        </is>
      </c>
      <c r="AG167" s="0" t="inlineStr">
        <is>
          <t>충청북도 청주시 흥덕구 서현중로 63</t>
        </is>
      </c>
      <c r="AH167" s="0" t="n">
        <v>0</v>
      </c>
      <c r="AI167" s="0" t="n">
        <v>883</v>
      </c>
      <c r="AJ167" s="0" t="n">
        <v>69</v>
      </c>
      <c r="AK167" s="0" t="n">
        <v>16</v>
      </c>
      <c r="AL167" s="0" t="n">
        <v>0.73</v>
      </c>
    </row>
    <row r="168">
      <c r="A168" s="0" t="inlineStr">
        <is>
          <t>[강서동]</t>
        </is>
      </c>
      <c r="B168" s="0" t="n">
        <v>111248</v>
      </c>
      <c r="C168" s="0" t="n">
        <v>3</v>
      </c>
      <c r="D168" s="0" t="inlineStr">
        <is>
          <t>강서베리굿</t>
        </is>
      </c>
      <c r="E168" s="0" t="inlineStr">
        <is>
          <t>2015.11.</t>
        </is>
      </c>
      <c r="F168" s="0" t="n">
        <v>22</v>
      </c>
      <c r="G168" s="0" t="n">
        <v>29.21</v>
      </c>
      <c r="H168" s="0" t="n">
        <v>96.56999999999999</v>
      </c>
      <c r="I168" s="0" t="n">
        <v>17.73</v>
      </c>
      <c r="J168" s="0" t="n">
        <v>58.62</v>
      </c>
      <c r="K168" s="0" t="n">
        <v>4</v>
      </c>
      <c r="T168" s="0" t="n">
        <v>2</v>
      </c>
      <c r="U168" s="0" t="n">
        <v>1</v>
      </c>
      <c r="V168" s="0" t="inlineStr">
        <is>
          <t>복도식</t>
        </is>
      </c>
      <c r="W168" s="0" t="inlineStr">
        <is>
          <t>96D</t>
        </is>
      </c>
      <c r="X168" s="0" t="n">
        <v>3</v>
      </c>
      <c r="Y168" s="0" t="n">
        <v>3</v>
      </c>
      <c r="Z168" s="0" t="inlineStr">
        <is>
          <t>https://new.land.naver.com/complexes/111248?tab=detail&amp;rf=Y</t>
        </is>
      </c>
      <c r="AA168" s="0" t="inlineStr">
        <is>
          <t>충청북도 청주시 흥덕구 강서동 503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흥덕구</t>
        </is>
      </c>
      <c r="AE168" s="0" t="inlineStr">
        <is>
          <t>강서동</t>
        </is>
      </c>
      <c r="AG168" s="0" t="inlineStr">
        <is>
          <t>충청북도 청주시 흥덕구 서현중로 63</t>
        </is>
      </c>
      <c r="AH168" s="0" t="n">
        <v>0</v>
      </c>
      <c r="AI168" s="0" t="n">
        <v>883</v>
      </c>
      <c r="AJ168" s="0" t="n">
        <v>69</v>
      </c>
      <c r="AK168" s="0" t="n">
        <v>16</v>
      </c>
      <c r="AL168" s="0" t="n">
        <v>0.73</v>
      </c>
    </row>
    <row r="169">
      <c r="A169" s="0" t="inlineStr">
        <is>
          <t>[강서동]</t>
        </is>
      </c>
      <c r="B169" s="0" t="n">
        <v>111248</v>
      </c>
      <c r="C169" s="0" t="n">
        <v>4</v>
      </c>
      <c r="D169" s="0" t="inlineStr">
        <is>
          <t>강서베리굿</t>
        </is>
      </c>
      <c r="E169" s="0" t="inlineStr">
        <is>
          <t>2015.11.</t>
        </is>
      </c>
      <c r="F169" s="0" t="n">
        <v>22</v>
      </c>
      <c r="G169" s="0" t="n">
        <v>29.52</v>
      </c>
      <c r="H169" s="0" t="n">
        <v>97.61</v>
      </c>
      <c r="I169" s="0" t="n">
        <v>17.92</v>
      </c>
      <c r="J169" s="0" t="n">
        <v>59.25</v>
      </c>
      <c r="K169" s="0" t="n">
        <v>8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97C</t>
        </is>
      </c>
      <c r="X169" s="0" t="n">
        <v>3</v>
      </c>
      <c r="Y169" s="0" t="n">
        <v>3</v>
      </c>
      <c r="Z169" s="0" t="inlineStr">
        <is>
          <t>https://new.land.naver.com/complexes/111248?tab=detail&amp;rf=Y</t>
        </is>
      </c>
      <c r="AA169" s="0" t="inlineStr">
        <is>
          <t>충청북도 청주시 흥덕구 강서동 503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흥덕구</t>
        </is>
      </c>
      <c r="AE169" s="0" t="inlineStr">
        <is>
          <t>강서동</t>
        </is>
      </c>
      <c r="AG169" s="0" t="inlineStr">
        <is>
          <t>충청북도 청주시 흥덕구 서현중로 63</t>
        </is>
      </c>
      <c r="AH169" s="0" t="n">
        <v>0</v>
      </c>
      <c r="AI169" s="0" t="n">
        <v>883</v>
      </c>
      <c r="AJ169" s="0" t="n">
        <v>69</v>
      </c>
      <c r="AK169" s="0" t="n">
        <v>16</v>
      </c>
      <c r="AL169" s="0" t="n">
        <v>0.73</v>
      </c>
    </row>
    <row r="170">
      <c r="A170" s="0" t="inlineStr">
        <is>
          <t>[강서동]</t>
        </is>
      </c>
      <c r="B170" s="0" t="n">
        <v>10437</v>
      </c>
      <c r="C170" s="0" t="n">
        <v>1</v>
      </c>
      <c r="D170" s="0" t="inlineStr">
        <is>
          <t>대림</t>
        </is>
      </c>
      <c r="E170" s="0" t="inlineStr">
        <is>
          <t>1990.11.</t>
        </is>
      </c>
      <c r="F170" s="0" t="n">
        <v>284</v>
      </c>
      <c r="G170" s="0" t="n">
        <v>25.71</v>
      </c>
      <c r="H170" s="0" t="n">
        <v>85.02</v>
      </c>
      <c r="I170" s="0" t="n">
        <v>17.73</v>
      </c>
      <c r="J170" s="0" t="n">
        <v>58.62</v>
      </c>
      <c r="K170" s="0" t="n">
        <v>134</v>
      </c>
      <c r="T170" s="0" t="n">
        <v>2</v>
      </c>
      <c r="U170" s="0" t="n">
        <v>1</v>
      </c>
      <c r="V170" s="0" t="inlineStr">
        <is>
          <t>복도식</t>
        </is>
      </c>
      <c r="W170" s="0" t="n">
        <v>85</v>
      </c>
      <c r="X170" s="0" t="n">
        <v>15</v>
      </c>
      <c r="Y170" s="0" t="n">
        <v>9</v>
      </c>
      <c r="Z170" s="0" t="inlineStr">
        <is>
          <t>https://new.land.naver.com/complexes/10437?tab=detail&amp;rf=Y</t>
        </is>
      </c>
      <c r="AA170" s="0" t="inlineStr">
        <is>
          <t>충청북도 청주시 흥덕구 강서동 37-1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흥덕구</t>
        </is>
      </c>
      <c r="AE170" s="0" t="inlineStr">
        <is>
          <t>강서동</t>
        </is>
      </c>
      <c r="AG170" s="0" t="inlineStr">
        <is>
          <t>충청북도 청주시 흥덕구 가로수로1154번길 22-2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[강서동]</t>
        </is>
      </c>
      <c r="B171" s="0" t="n">
        <v>10437</v>
      </c>
      <c r="C171" s="0" t="n">
        <v>2</v>
      </c>
      <c r="D171" s="0" t="inlineStr">
        <is>
          <t>대림</t>
        </is>
      </c>
      <c r="E171" s="0" t="inlineStr">
        <is>
          <t>1990.11.</t>
        </is>
      </c>
      <c r="F171" s="0" t="n">
        <v>284</v>
      </c>
      <c r="G171" s="0" t="n">
        <v>31.87</v>
      </c>
      <c r="H171" s="0" t="n">
        <v>105.36</v>
      </c>
      <c r="I171" s="0" t="n">
        <v>25.67</v>
      </c>
      <c r="J171" s="0" t="n">
        <v>84.86</v>
      </c>
      <c r="K171" s="0" t="n">
        <v>150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105</v>
      </c>
      <c r="X171" s="0" t="n">
        <v>15</v>
      </c>
      <c r="Y171" s="0" t="n">
        <v>9</v>
      </c>
      <c r="Z171" s="0" t="inlineStr">
        <is>
          <t>https://new.land.naver.com/complexes/10437?tab=detail&amp;rf=Y</t>
        </is>
      </c>
      <c r="AA171" s="0" t="inlineStr">
        <is>
          <t>충청북도 청주시 흥덕구 강서동 37-1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흥덕구</t>
        </is>
      </c>
      <c r="AE171" s="0" t="inlineStr">
        <is>
          <t>강서동</t>
        </is>
      </c>
      <c r="AG171" s="0" t="inlineStr">
        <is>
          <t>충청북도 청주시 흥덕구 가로수로1154번길 22-2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[강서동]</t>
        </is>
      </c>
      <c r="B172" s="0" t="n">
        <v>15426</v>
      </c>
      <c r="C172" s="0" t="n">
        <v>1</v>
      </c>
      <c r="D172" s="0" t="inlineStr">
        <is>
          <t>청도</t>
        </is>
      </c>
      <c r="E172" s="0" t="inlineStr">
        <is>
          <t>2000.10.</t>
        </is>
      </c>
      <c r="F172" s="0" t="n">
        <v>207</v>
      </c>
      <c r="G172" s="0" t="n">
        <v>21.51</v>
      </c>
      <c r="H172" s="0" t="n">
        <v>71.13</v>
      </c>
      <c r="I172" s="0" t="n">
        <v>18.11</v>
      </c>
      <c r="J172" s="0" t="n">
        <v>59.88</v>
      </c>
      <c r="K172" s="0" t="n">
        <v>207</v>
      </c>
      <c r="T172" s="0" t="n">
        <v>3</v>
      </c>
      <c r="U172" s="0" t="n">
        <v>1</v>
      </c>
      <c r="V172" s="0" t="inlineStr">
        <is>
          <t>복도식</t>
        </is>
      </c>
      <c r="W172" s="0" t="n">
        <v>71</v>
      </c>
      <c r="X172" s="0" t="n">
        <v>15</v>
      </c>
      <c r="Y172" s="0" t="n">
        <v>7</v>
      </c>
      <c r="Z172" s="0" t="inlineStr">
        <is>
          <t>https://new.land.naver.com/complexes/15426?tab=detail&amp;rf=Y</t>
        </is>
      </c>
      <c r="AA172" s="0" t="inlineStr">
        <is>
          <t>충청북도 청주시 흥덕구 강서동 45-4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흥덕구</t>
        </is>
      </c>
      <c r="AE172" s="0" t="inlineStr">
        <is>
          <t>강서동</t>
        </is>
      </c>
      <c r="AG172" s="0" t="inlineStr">
        <is>
          <t>충청북도 청주시 흥덕구 가로수로1144번길 72-2</t>
        </is>
      </c>
      <c r="AH172" s="0" t="n">
        <v>0</v>
      </c>
      <c r="AI172" s="0" t="n">
        <v>190</v>
      </c>
      <c r="AJ172" s="0" t="n">
        <v>25</v>
      </c>
      <c r="AK172" s="0" t="n">
        <v>181</v>
      </c>
      <c r="AL172" s="0" t="n">
        <v>0.87</v>
      </c>
    </row>
    <row r="173">
      <c r="A173" s="0" t="inlineStr">
        <is>
          <t>[강서동]</t>
        </is>
      </c>
      <c r="B173" s="0" t="n">
        <v>110424</v>
      </c>
      <c r="C173" s="0" t="n">
        <v>1</v>
      </c>
      <c r="D173" s="0" t="inlineStr">
        <is>
          <t>레지던스마리</t>
        </is>
      </c>
      <c r="E173" s="0" t="inlineStr">
        <is>
          <t>2011.12.</t>
        </is>
      </c>
      <c r="F173" s="0" t="n">
        <v>13</v>
      </c>
      <c r="G173" s="0" t="n">
        <v>9.73</v>
      </c>
      <c r="H173" s="0" t="n">
        <v>32.18</v>
      </c>
      <c r="I173" s="0" t="n">
        <v>6.87</v>
      </c>
      <c r="J173" s="0" t="n">
        <v>22.74</v>
      </c>
      <c r="K173" s="0" t="n">
        <v>9</v>
      </c>
      <c r="T173" s="0" t="n">
        <v>1</v>
      </c>
      <c r="U173" s="0" t="n">
        <v>1</v>
      </c>
      <c r="V173" s="0" t="inlineStr">
        <is>
          <t>복도식</t>
        </is>
      </c>
      <c r="W173" s="0" t="n">
        <v>32</v>
      </c>
      <c r="X173" s="0" t="n">
        <v>4</v>
      </c>
      <c r="Y173" s="0" t="n">
        <v>2</v>
      </c>
      <c r="Z173" s="0" t="inlineStr">
        <is>
          <t>https://new.land.naver.com/complexes/110424?tab=detail&amp;rf=Y</t>
        </is>
      </c>
      <c r="AA173" s="0" t="inlineStr">
        <is>
          <t>충청북도 청주시 흥덕구 강서동 505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흥덕구</t>
        </is>
      </c>
      <c r="AE173" s="0" t="inlineStr">
        <is>
          <t>강서동</t>
        </is>
      </c>
      <c r="AG173" s="0" t="inlineStr">
        <is>
          <t>충청북도 청주시 흥덕구 서현중로 53-2</t>
        </is>
      </c>
      <c r="AH173" s="0" t="n">
        <v>0</v>
      </c>
      <c r="AI173" s="0" t="n">
        <v>327</v>
      </c>
      <c r="AJ173" s="0" t="n">
        <v>47</v>
      </c>
      <c r="AK173" s="0" t="n">
        <v>7</v>
      </c>
      <c r="AL173" s="0" t="n">
        <v>0.54</v>
      </c>
    </row>
    <row r="174">
      <c r="A174" s="0" t="inlineStr">
        <is>
          <t>[강서동]</t>
        </is>
      </c>
      <c r="B174" s="0" t="n">
        <v>110424</v>
      </c>
      <c r="C174" s="0" t="n">
        <v>2</v>
      </c>
      <c r="D174" s="0" t="inlineStr">
        <is>
          <t>레지던스마리</t>
        </is>
      </c>
      <c r="E174" s="0" t="inlineStr">
        <is>
          <t>2011.12.</t>
        </is>
      </c>
      <c r="F174" s="0" t="n">
        <v>13</v>
      </c>
      <c r="G174" s="0" t="n">
        <v>19.78</v>
      </c>
      <c r="H174" s="0" t="n">
        <v>65.39</v>
      </c>
      <c r="I174" s="0" t="n">
        <v>13.97</v>
      </c>
      <c r="J174" s="0" t="n">
        <v>46.2</v>
      </c>
      <c r="K174" s="0" t="n">
        <v>2</v>
      </c>
      <c r="T174" s="0" t="n">
        <v>1</v>
      </c>
      <c r="U174" s="0" t="n">
        <v>1</v>
      </c>
      <c r="V174" s="0" t="inlineStr">
        <is>
          <t>복도식</t>
        </is>
      </c>
      <c r="W174" s="0" t="n">
        <v>65</v>
      </c>
      <c r="X174" s="0" t="n">
        <v>4</v>
      </c>
      <c r="Y174" s="0" t="n">
        <v>2</v>
      </c>
      <c r="Z174" s="0" t="inlineStr">
        <is>
          <t>https://new.land.naver.com/complexes/110424?tab=detail&amp;rf=Y</t>
        </is>
      </c>
      <c r="AA174" s="0" t="inlineStr">
        <is>
          <t>충청북도 청주시 흥덕구 강서동 505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흥덕구</t>
        </is>
      </c>
      <c r="AE174" s="0" t="inlineStr">
        <is>
          <t>강서동</t>
        </is>
      </c>
      <c r="AG174" s="0" t="inlineStr">
        <is>
          <t>충청북도 청주시 흥덕구 서현중로 53-2</t>
        </is>
      </c>
      <c r="AH174" s="0" t="n">
        <v>0</v>
      </c>
      <c r="AI174" s="0" t="n">
        <v>327</v>
      </c>
      <c r="AJ174" s="0" t="n">
        <v>47</v>
      </c>
      <c r="AK174" s="0" t="n">
        <v>7</v>
      </c>
      <c r="AL174" s="0" t="n">
        <v>0.54</v>
      </c>
    </row>
    <row r="175">
      <c r="A175" s="0" t="inlineStr">
        <is>
          <t>[강서동]</t>
        </is>
      </c>
      <c r="B175" s="0" t="n">
        <v>110424</v>
      </c>
      <c r="C175" s="0" t="n">
        <v>3</v>
      </c>
      <c r="D175" s="0" t="inlineStr">
        <is>
          <t>레지던스마리</t>
        </is>
      </c>
      <c r="E175" s="0" t="inlineStr">
        <is>
          <t>2011.12.</t>
        </is>
      </c>
      <c r="F175" s="0" t="n">
        <v>13</v>
      </c>
      <c r="G175" s="0" t="n">
        <v>24.14</v>
      </c>
      <c r="H175" s="0" t="n">
        <v>79.81</v>
      </c>
      <c r="I175" s="0" t="n">
        <v>17.06</v>
      </c>
      <c r="J175" s="0" t="n">
        <v>56.4</v>
      </c>
      <c r="K175" s="0" t="n">
        <v>2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79</v>
      </c>
      <c r="X175" s="0" t="n">
        <v>4</v>
      </c>
      <c r="Y175" s="0" t="n">
        <v>2</v>
      </c>
      <c r="Z175" s="0" t="inlineStr">
        <is>
          <t>https://new.land.naver.com/complexes/110424?tab=detail&amp;rf=Y</t>
        </is>
      </c>
      <c r="AA175" s="0" t="inlineStr">
        <is>
          <t>충청북도 청주시 흥덕구 강서동 505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흥덕구</t>
        </is>
      </c>
      <c r="AE175" s="0" t="inlineStr">
        <is>
          <t>강서동</t>
        </is>
      </c>
      <c r="AG175" s="0" t="inlineStr">
        <is>
          <t>충청북도 청주시 흥덕구 서현중로 53-2</t>
        </is>
      </c>
      <c r="AH175" s="0" t="n">
        <v>0</v>
      </c>
      <c r="AI175" s="0" t="n">
        <v>327</v>
      </c>
      <c r="AJ175" s="0" t="n">
        <v>47</v>
      </c>
      <c r="AK175" s="0" t="n">
        <v>7</v>
      </c>
      <c r="AL175" s="0" t="n">
        <v>0.54</v>
      </c>
    </row>
    <row r="176">
      <c r="A176" s="0" t="inlineStr">
        <is>
          <t>[강서동]</t>
        </is>
      </c>
      <c r="B176" s="0" t="n">
        <v>106997</v>
      </c>
      <c r="C176" s="0" t="n">
        <v>1</v>
      </c>
      <c r="D176" s="0" t="inlineStr">
        <is>
          <t>경성하늘샵(도시형)</t>
        </is>
      </c>
      <c r="E176" s="0" t="inlineStr">
        <is>
          <t>2013.06.</t>
        </is>
      </c>
      <c r="F176" s="0" t="n">
        <v>160</v>
      </c>
      <c r="G176" s="0" t="n">
        <v>8.17</v>
      </c>
      <c r="H176" s="0" t="n">
        <v>27.03</v>
      </c>
      <c r="I176" s="0" t="n">
        <v>5.28</v>
      </c>
      <c r="J176" s="0" t="n">
        <v>17.48</v>
      </c>
      <c r="K176" s="0" t="n">
        <v>2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27</v>
      </c>
      <c r="X176" s="0" t="n">
        <v>11</v>
      </c>
      <c r="Y176" s="0" t="n">
        <v>10</v>
      </c>
      <c r="Z176" s="0" t="inlineStr">
        <is>
          <t>https://new.land.naver.com/complexes/106997?tab=detail&amp;rf=Y</t>
        </is>
      </c>
      <c r="AA176" s="0" t="inlineStr">
        <is>
          <t>충청북도 청주시 흥덕구 강서동 473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흥덕구</t>
        </is>
      </c>
      <c r="AE176" s="0" t="inlineStr">
        <is>
          <t>강서동</t>
        </is>
      </c>
      <c r="AG176" s="0" t="inlineStr">
        <is>
          <t>충청북도 청주시 흥덕구 가로수로1164번길 41-48</t>
        </is>
      </c>
      <c r="AH176" s="0" t="n">
        <v>0</v>
      </c>
      <c r="AI176" s="0" t="n">
        <v>679</v>
      </c>
      <c r="AJ176" s="0" t="n">
        <v>68</v>
      </c>
      <c r="AK176" s="0" t="n">
        <v>60</v>
      </c>
      <c r="AL176" s="0" t="n">
        <v>0.38</v>
      </c>
    </row>
    <row r="177">
      <c r="A177" s="0" t="inlineStr">
        <is>
          <t>[강서동]</t>
        </is>
      </c>
      <c r="B177" s="0" t="n">
        <v>106997</v>
      </c>
      <c r="C177" s="0" t="n">
        <v>2</v>
      </c>
      <c r="D177" s="0" t="inlineStr">
        <is>
          <t>경성하늘샵(도시형)</t>
        </is>
      </c>
      <c r="E177" s="0" t="inlineStr">
        <is>
          <t>2013.06.</t>
        </is>
      </c>
      <c r="F177" s="0" t="n">
        <v>160</v>
      </c>
      <c r="G177" s="0" t="n">
        <v>8.65</v>
      </c>
      <c r="H177" s="0" t="n">
        <v>28.61</v>
      </c>
      <c r="I177" s="0" t="n">
        <v>5.59</v>
      </c>
      <c r="J177" s="0" t="n">
        <v>18.5</v>
      </c>
      <c r="K177" s="0" t="n">
        <v>2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28A</t>
        </is>
      </c>
      <c r="X177" s="0" t="n">
        <v>11</v>
      </c>
      <c r="Y177" s="0" t="n">
        <v>10</v>
      </c>
      <c r="Z177" s="0" t="inlineStr">
        <is>
          <t>https://new.land.naver.com/complexes/106997?tab=detail&amp;rf=Y</t>
        </is>
      </c>
      <c r="AA177" s="0" t="inlineStr">
        <is>
          <t>충청북도 청주시 흥덕구 강서동 473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흥덕구</t>
        </is>
      </c>
      <c r="AE177" s="0" t="inlineStr">
        <is>
          <t>강서동</t>
        </is>
      </c>
      <c r="AG177" s="0" t="inlineStr">
        <is>
          <t>충청북도 청주시 흥덕구 가로수로1164번길 41-48</t>
        </is>
      </c>
      <c r="AH177" s="0" t="n">
        <v>0</v>
      </c>
      <c r="AI177" s="0" t="n">
        <v>679</v>
      </c>
      <c r="AJ177" s="0" t="n">
        <v>68</v>
      </c>
      <c r="AK177" s="0" t="n">
        <v>60</v>
      </c>
      <c r="AL177" s="0" t="n">
        <v>0.38</v>
      </c>
    </row>
    <row r="178">
      <c r="A178" s="0" t="inlineStr">
        <is>
          <t>[강서동]</t>
        </is>
      </c>
      <c r="B178" s="0" t="n">
        <v>106997</v>
      </c>
      <c r="C178" s="0" t="n">
        <v>3</v>
      </c>
      <c r="D178" s="0" t="inlineStr">
        <is>
          <t>경성하늘샵(도시형)</t>
        </is>
      </c>
      <c r="E178" s="0" t="inlineStr">
        <is>
          <t>2013.06.</t>
        </is>
      </c>
      <c r="F178" s="0" t="n">
        <v>160</v>
      </c>
      <c r="G178" s="0" t="n">
        <v>8.57</v>
      </c>
      <c r="H178" s="0" t="n">
        <v>28.35</v>
      </c>
      <c r="I178" s="0" t="n">
        <v>5.54</v>
      </c>
      <c r="J178" s="0" t="n">
        <v>18.33</v>
      </c>
      <c r="K178" s="0" t="n">
        <v>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28B</t>
        </is>
      </c>
      <c r="X178" s="0" t="n">
        <v>11</v>
      </c>
      <c r="Y178" s="0" t="n">
        <v>10</v>
      </c>
      <c r="Z178" s="0" t="inlineStr">
        <is>
          <t>https://new.land.naver.com/complexes/106997?tab=detail&amp;rf=Y</t>
        </is>
      </c>
      <c r="AA178" s="0" t="inlineStr">
        <is>
          <t>충청북도 청주시 흥덕구 강서동 473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흥덕구</t>
        </is>
      </c>
      <c r="AE178" s="0" t="inlineStr">
        <is>
          <t>강서동</t>
        </is>
      </c>
      <c r="AG178" s="0" t="inlineStr">
        <is>
          <t>충청북도 청주시 흥덕구 가로수로1164번길 41-48</t>
        </is>
      </c>
      <c r="AH178" s="0" t="n">
        <v>0</v>
      </c>
      <c r="AI178" s="0" t="n">
        <v>679</v>
      </c>
      <c r="AJ178" s="0" t="n">
        <v>68</v>
      </c>
      <c r="AK178" s="0" t="n">
        <v>60</v>
      </c>
      <c r="AL178" s="0" t="n">
        <v>0.38</v>
      </c>
    </row>
    <row r="179">
      <c r="A179" s="0" t="inlineStr">
        <is>
          <t>[강서동]</t>
        </is>
      </c>
      <c r="B179" s="0" t="n">
        <v>106997</v>
      </c>
      <c r="C179" s="0" t="n">
        <v>4</v>
      </c>
      <c r="D179" s="0" t="inlineStr">
        <is>
          <t>경성하늘샵(도시형)</t>
        </is>
      </c>
      <c r="E179" s="0" t="inlineStr">
        <is>
          <t>2013.06.</t>
        </is>
      </c>
      <c r="F179" s="0" t="n">
        <v>160</v>
      </c>
      <c r="G179" s="0" t="n">
        <v>8.93</v>
      </c>
      <c r="H179" s="0" t="n">
        <v>29.55</v>
      </c>
      <c r="I179" s="0" t="n">
        <v>5.78</v>
      </c>
      <c r="J179" s="0" t="n">
        <v>19.11</v>
      </c>
      <c r="K179" s="0" t="n">
        <v>1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29C</t>
        </is>
      </c>
      <c r="X179" s="0" t="n">
        <v>11</v>
      </c>
      <c r="Y179" s="0" t="n">
        <v>10</v>
      </c>
      <c r="Z179" s="0" t="inlineStr">
        <is>
          <t>https://new.land.naver.com/complexes/106997?tab=detail&amp;rf=Y</t>
        </is>
      </c>
      <c r="AA179" s="0" t="inlineStr">
        <is>
          <t>충청북도 청주시 흥덕구 강서동 473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흥덕구</t>
        </is>
      </c>
      <c r="AE179" s="0" t="inlineStr">
        <is>
          <t>강서동</t>
        </is>
      </c>
      <c r="AG179" s="0" t="inlineStr">
        <is>
          <t>충청북도 청주시 흥덕구 가로수로1164번길 41-48</t>
        </is>
      </c>
      <c r="AH179" s="0" t="n">
        <v>0</v>
      </c>
      <c r="AI179" s="0" t="n">
        <v>679</v>
      </c>
      <c r="AJ179" s="0" t="n">
        <v>68</v>
      </c>
      <c r="AK179" s="0" t="n">
        <v>60</v>
      </c>
      <c r="AL179" s="0" t="n">
        <v>0.38</v>
      </c>
    </row>
    <row r="180">
      <c r="A180" s="0" t="inlineStr">
        <is>
          <t>[강서동]</t>
        </is>
      </c>
      <c r="B180" s="0" t="n">
        <v>106997</v>
      </c>
      <c r="C180" s="0" t="n">
        <v>5</v>
      </c>
      <c r="D180" s="0" t="inlineStr">
        <is>
          <t>경성하늘샵(도시형)</t>
        </is>
      </c>
      <c r="E180" s="0" t="inlineStr">
        <is>
          <t>2013.06.</t>
        </is>
      </c>
      <c r="F180" s="0" t="n">
        <v>160</v>
      </c>
      <c r="G180" s="0" t="n">
        <v>9.130000000000001</v>
      </c>
      <c r="H180" s="0" t="n">
        <v>30.19</v>
      </c>
      <c r="I180" s="0" t="n">
        <v>5.9</v>
      </c>
      <c r="J180" s="0" t="n">
        <v>19.52</v>
      </c>
      <c r="K180" s="0" t="n">
        <v>2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30D</t>
        </is>
      </c>
      <c r="X180" s="0" t="n">
        <v>11</v>
      </c>
      <c r="Y180" s="0" t="n">
        <v>10</v>
      </c>
      <c r="Z180" s="0" t="inlineStr">
        <is>
          <t>https://new.land.naver.com/complexes/106997?tab=detail&amp;rf=Y</t>
        </is>
      </c>
      <c r="AA180" s="0" t="inlineStr">
        <is>
          <t>충청북도 청주시 흥덕구 강서동 473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흥덕구</t>
        </is>
      </c>
      <c r="AE180" s="0" t="inlineStr">
        <is>
          <t>강서동</t>
        </is>
      </c>
      <c r="AG180" s="0" t="inlineStr">
        <is>
          <t>충청북도 청주시 흥덕구 가로수로1164번길 41-48</t>
        </is>
      </c>
      <c r="AH180" s="0" t="n">
        <v>0</v>
      </c>
      <c r="AI180" s="0" t="n">
        <v>679</v>
      </c>
      <c r="AJ180" s="0" t="n">
        <v>68</v>
      </c>
      <c r="AK180" s="0" t="n">
        <v>60</v>
      </c>
      <c r="AL180" s="0" t="n">
        <v>0.38</v>
      </c>
    </row>
    <row r="181">
      <c r="A181" s="0" t="inlineStr">
        <is>
          <t>[강서동]</t>
        </is>
      </c>
      <c r="B181" s="0" t="n">
        <v>106997</v>
      </c>
      <c r="C181" s="0" t="n">
        <v>6</v>
      </c>
      <c r="D181" s="0" t="inlineStr">
        <is>
          <t>경성하늘샵(도시형)</t>
        </is>
      </c>
      <c r="E181" s="0" t="inlineStr">
        <is>
          <t>2013.06.</t>
        </is>
      </c>
      <c r="F181" s="0" t="n">
        <v>160</v>
      </c>
      <c r="G181" s="0" t="n">
        <v>9.369999999999999</v>
      </c>
      <c r="H181" s="0" t="n">
        <v>30.98</v>
      </c>
      <c r="I181" s="0" t="n">
        <v>6.05</v>
      </c>
      <c r="J181" s="0" t="n">
        <v>20.03</v>
      </c>
      <c r="K181" s="0" t="n">
        <v>1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30E</t>
        </is>
      </c>
      <c r="X181" s="0" t="n">
        <v>11</v>
      </c>
      <c r="Y181" s="0" t="n">
        <v>10</v>
      </c>
      <c r="Z181" s="0" t="inlineStr">
        <is>
          <t>https://new.land.naver.com/complexes/106997?tab=detail&amp;rf=Y</t>
        </is>
      </c>
      <c r="AA181" s="0" t="inlineStr">
        <is>
          <t>충청북도 청주시 흥덕구 강서동 473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흥덕구</t>
        </is>
      </c>
      <c r="AE181" s="0" t="inlineStr">
        <is>
          <t>강서동</t>
        </is>
      </c>
      <c r="AG181" s="0" t="inlineStr">
        <is>
          <t>충청북도 청주시 흥덕구 가로수로1164번길 41-48</t>
        </is>
      </c>
      <c r="AH181" s="0" t="n">
        <v>0</v>
      </c>
      <c r="AI181" s="0" t="n">
        <v>679</v>
      </c>
      <c r="AJ181" s="0" t="n">
        <v>68</v>
      </c>
      <c r="AK181" s="0" t="n">
        <v>60</v>
      </c>
      <c r="AL181" s="0" t="n">
        <v>0.38</v>
      </c>
    </row>
    <row r="182">
      <c r="A182" s="0" t="inlineStr">
        <is>
          <t>[강서동]</t>
        </is>
      </c>
      <c r="B182" s="0" t="n">
        <v>106997</v>
      </c>
      <c r="C182" s="0" t="n">
        <v>7</v>
      </c>
      <c r="D182" s="0" t="inlineStr">
        <is>
          <t>경성하늘샵(도시형)</t>
        </is>
      </c>
      <c r="E182" s="0" t="inlineStr">
        <is>
          <t>2013.06.</t>
        </is>
      </c>
      <c r="F182" s="0" t="n">
        <v>160</v>
      </c>
      <c r="G182" s="0" t="n">
        <v>10.16</v>
      </c>
      <c r="H182" s="0" t="n">
        <v>33.61</v>
      </c>
      <c r="I182" s="0" t="n">
        <v>6.57</v>
      </c>
      <c r="J182" s="0" t="n">
        <v>21.73</v>
      </c>
      <c r="K182" s="0" t="n">
        <v>1</v>
      </c>
      <c r="T182" s="0" t="n">
        <v>1</v>
      </c>
      <c r="U182" s="0" t="n">
        <v>1</v>
      </c>
      <c r="V182" s="0" t="inlineStr">
        <is>
          <t>복도식</t>
        </is>
      </c>
      <c r="W182" s="0" t="n">
        <v>33</v>
      </c>
      <c r="X182" s="0" t="n">
        <v>11</v>
      </c>
      <c r="Y182" s="0" t="n">
        <v>10</v>
      </c>
      <c r="Z182" s="0" t="inlineStr">
        <is>
          <t>https://new.land.naver.com/complexes/106997?tab=detail&amp;rf=Y</t>
        </is>
      </c>
      <c r="AA182" s="0" t="inlineStr">
        <is>
          <t>충청북도 청주시 흥덕구 강서동 473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흥덕구</t>
        </is>
      </c>
      <c r="AE182" s="0" t="inlineStr">
        <is>
          <t>강서동</t>
        </is>
      </c>
      <c r="AG182" s="0" t="inlineStr">
        <is>
          <t>충청북도 청주시 흥덕구 가로수로1164번길 41-48</t>
        </is>
      </c>
      <c r="AH182" s="0" t="n">
        <v>0</v>
      </c>
      <c r="AI182" s="0" t="n">
        <v>679</v>
      </c>
      <c r="AJ182" s="0" t="n">
        <v>68</v>
      </c>
      <c r="AK182" s="0" t="n">
        <v>60</v>
      </c>
      <c r="AL182" s="0" t="n">
        <v>0.38</v>
      </c>
    </row>
    <row r="183">
      <c r="A183" s="0" t="inlineStr">
        <is>
          <t>[강서동]</t>
        </is>
      </c>
      <c r="B183" s="0" t="n">
        <v>106997</v>
      </c>
      <c r="C183" s="0" t="n">
        <v>8</v>
      </c>
      <c r="D183" s="0" t="inlineStr">
        <is>
          <t>경성하늘샵(도시형)</t>
        </is>
      </c>
      <c r="E183" s="0" t="inlineStr">
        <is>
          <t>2013.06.</t>
        </is>
      </c>
      <c r="F183" s="0" t="n">
        <v>160</v>
      </c>
      <c r="G183" s="0" t="n">
        <v>10.88</v>
      </c>
      <c r="H183" s="0" t="n">
        <v>35.97</v>
      </c>
      <c r="I183" s="0" t="n">
        <v>7.03</v>
      </c>
      <c r="J183" s="0" t="n">
        <v>23.26</v>
      </c>
      <c r="K183" s="0" t="n">
        <v>64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35A</t>
        </is>
      </c>
      <c r="X183" s="0" t="n">
        <v>11</v>
      </c>
      <c r="Y183" s="0" t="n">
        <v>10</v>
      </c>
      <c r="Z183" s="0" t="inlineStr">
        <is>
          <t>https://new.land.naver.com/complexes/106997?tab=detail&amp;rf=Y</t>
        </is>
      </c>
      <c r="AA183" s="0" t="inlineStr">
        <is>
          <t>충청북도 청주시 흥덕구 강서동 473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흥덕구</t>
        </is>
      </c>
      <c r="AE183" s="0" t="inlineStr">
        <is>
          <t>강서동</t>
        </is>
      </c>
      <c r="AG183" s="0" t="inlineStr">
        <is>
          <t>충청북도 청주시 흥덕구 가로수로1164번길 41-48</t>
        </is>
      </c>
      <c r="AH183" s="0" t="n">
        <v>0</v>
      </c>
      <c r="AI183" s="0" t="n">
        <v>679</v>
      </c>
      <c r="AJ183" s="0" t="n">
        <v>68</v>
      </c>
      <c r="AK183" s="0" t="n">
        <v>60</v>
      </c>
      <c r="AL183" s="0" t="n">
        <v>0.38</v>
      </c>
    </row>
    <row r="184">
      <c r="A184" s="0" t="inlineStr">
        <is>
          <t>[강서동]</t>
        </is>
      </c>
      <c r="B184" s="0" t="n">
        <v>106997</v>
      </c>
      <c r="C184" s="0" t="n">
        <v>9</v>
      </c>
      <c r="D184" s="0" t="inlineStr">
        <is>
          <t>경성하늘샵(도시형)</t>
        </is>
      </c>
      <c r="E184" s="0" t="inlineStr">
        <is>
          <t>2013.06.</t>
        </is>
      </c>
      <c r="F184" s="0" t="n">
        <v>160</v>
      </c>
      <c r="G184" s="0" t="n">
        <v>11.04</v>
      </c>
      <c r="H184" s="0" t="n">
        <v>36.5</v>
      </c>
      <c r="I184" s="0" t="n">
        <v>7.13</v>
      </c>
      <c r="J184" s="0" t="n">
        <v>23.6</v>
      </c>
      <c r="K184" s="0" t="n">
        <v>4</v>
      </c>
      <c r="T184" s="0" t="n">
        <v>1</v>
      </c>
      <c r="U184" s="0" t="n">
        <v>1</v>
      </c>
      <c r="V184" s="0" t="inlineStr">
        <is>
          <t>복도식</t>
        </is>
      </c>
      <c r="W184" s="0" t="inlineStr">
        <is>
          <t>36B</t>
        </is>
      </c>
      <c r="X184" s="0" t="n">
        <v>11</v>
      </c>
      <c r="Y184" s="0" t="n">
        <v>10</v>
      </c>
      <c r="Z184" s="0" t="inlineStr">
        <is>
          <t>https://new.land.naver.com/complexes/106997?tab=detail&amp;rf=Y</t>
        </is>
      </c>
      <c r="AA184" s="0" t="inlineStr">
        <is>
          <t>충청북도 청주시 흥덕구 강서동 473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흥덕구</t>
        </is>
      </c>
      <c r="AE184" s="0" t="inlineStr">
        <is>
          <t>강서동</t>
        </is>
      </c>
      <c r="AG184" s="0" t="inlineStr">
        <is>
          <t>충청북도 청주시 흥덕구 가로수로1164번길 41-48</t>
        </is>
      </c>
      <c r="AH184" s="0" t="n">
        <v>0</v>
      </c>
      <c r="AI184" s="0" t="n">
        <v>679</v>
      </c>
      <c r="AJ184" s="0" t="n">
        <v>68</v>
      </c>
      <c r="AK184" s="0" t="n">
        <v>60</v>
      </c>
      <c r="AL184" s="0" t="n">
        <v>0.38</v>
      </c>
    </row>
    <row r="185">
      <c r="A185" s="0" t="inlineStr">
        <is>
          <t>[강서동]</t>
        </is>
      </c>
      <c r="B185" s="0" t="n">
        <v>106997</v>
      </c>
      <c r="C185" s="0" t="n">
        <v>10</v>
      </c>
      <c r="D185" s="0" t="inlineStr">
        <is>
          <t>경성하늘샵(도시형)</t>
        </is>
      </c>
      <c r="E185" s="0" t="inlineStr">
        <is>
          <t>2013.06.</t>
        </is>
      </c>
      <c r="F185" s="0" t="n">
        <v>160</v>
      </c>
      <c r="G185" s="0" t="n">
        <v>11.91</v>
      </c>
      <c r="H185" s="0" t="n">
        <v>39.39</v>
      </c>
      <c r="I185" s="0" t="n">
        <v>7.7</v>
      </c>
      <c r="J185" s="0" t="n">
        <v>25.47</v>
      </c>
      <c r="K185" s="0" t="n">
        <v>24</v>
      </c>
      <c r="T185" s="0" t="n">
        <v>1</v>
      </c>
      <c r="U185" s="0" t="n">
        <v>1</v>
      </c>
      <c r="V185" s="0" t="inlineStr">
        <is>
          <t>복도식</t>
        </is>
      </c>
      <c r="W185" s="0" t="inlineStr">
        <is>
          <t>39A</t>
        </is>
      </c>
      <c r="X185" s="0" t="n">
        <v>11</v>
      </c>
      <c r="Y185" s="0" t="n">
        <v>10</v>
      </c>
      <c r="Z185" s="0" t="inlineStr">
        <is>
          <t>https://new.land.naver.com/complexes/106997?tab=detail&amp;rf=Y</t>
        </is>
      </c>
      <c r="AA185" s="0" t="inlineStr">
        <is>
          <t>충청북도 청주시 흥덕구 강서동 473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흥덕구</t>
        </is>
      </c>
      <c r="AE185" s="0" t="inlineStr">
        <is>
          <t>강서동</t>
        </is>
      </c>
      <c r="AG185" s="0" t="inlineStr">
        <is>
          <t>충청북도 청주시 흥덕구 가로수로1164번길 41-48</t>
        </is>
      </c>
      <c r="AH185" s="0" t="n">
        <v>0</v>
      </c>
      <c r="AI185" s="0" t="n">
        <v>679</v>
      </c>
      <c r="AJ185" s="0" t="n">
        <v>68</v>
      </c>
      <c r="AK185" s="0" t="n">
        <v>60</v>
      </c>
      <c r="AL185" s="0" t="n">
        <v>0.38</v>
      </c>
    </row>
    <row r="186">
      <c r="A186" s="0" t="inlineStr">
        <is>
          <t>[강서동]</t>
        </is>
      </c>
      <c r="B186" s="0" t="n">
        <v>106997</v>
      </c>
      <c r="C186" s="0" t="n">
        <v>11</v>
      </c>
      <c r="D186" s="0" t="inlineStr">
        <is>
          <t>경성하늘샵(도시형)</t>
        </is>
      </c>
      <c r="E186" s="0" t="inlineStr">
        <is>
          <t>2013.06.</t>
        </is>
      </c>
      <c r="F186" s="0" t="n">
        <v>160</v>
      </c>
      <c r="G186" s="0" t="n">
        <v>12.14</v>
      </c>
      <c r="H186" s="0" t="n">
        <v>40.15</v>
      </c>
      <c r="I186" s="0" t="n">
        <v>7.85</v>
      </c>
      <c r="J186" s="0" t="n">
        <v>25.96</v>
      </c>
      <c r="K186" s="0" t="n">
        <v>8</v>
      </c>
      <c r="T186" s="0" t="n">
        <v>1</v>
      </c>
      <c r="U186" s="0" t="n">
        <v>1</v>
      </c>
      <c r="V186" s="0" t="inlineStr">
        <is>
          <t>복도식</t>
        </is>
      </c>
      <c r="W186" s="0" t="inlineStr">
        <is>
          <t>40B</t>
        </is>
      </c>
      <c r="X186" s="0" t="n">
        <v>11</v>
      </c>
      <c r="Y186" s="0" t="n">
        <v>10</v>
      </c>
      <c r="Z186" s="0" t="inlineStr">
        <is>
          <t>https://new.land.naver.com/complexes/106997?tab=detail&amp;rf=Y</t>
        </is>
      </c>
      <c r="AA186" s="0" t="inlineStr">
        <is>
          <t>충청북도 청주시 흥덕구 강서동 473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흥덕구</t>
        </is>
      </c>
      <c r="AE186" s="0" t="inlineStr">
        <is>
          <t>강서동</t>
        </is>
      </c>
      <c r="AG186" s="0" t="inlineStr">
        <is>
          <t>충청북도 청주시 흥덕구 가로수로1164번길 41-48</t>
        </is>
      </c>
      <c r="AH186" s="0" t="n">
        <v>0</v>
      </c>
      <c r="AI186" s="0" t="n">
        <v>679</v>
      </c>
      <c r="AJ186" s="0" t="n">
        <v>68</v>
      </c>
      <c r="AK186" s="0" t="n">
        <v>60</v>
      </c>
      <c r="AL186" s="0" t="n">
        <v>0.38</v>
      </c>
    </row>
    <row r="187">
      <c r="A187" s="0" t="inlineStr">
        <is>
          <t>[강서동]</t>
        </is>
      </c>
      <c r="B187" s="0" t="n">
        <v>106997</v>
      </c>
      <c r="C187" s="0" t="n">
        <v>12</v>
      </c>
      <c r="D187" s="0" t="inlineStr">
        <is>
          <t>경성하늘샵(도시형)</t>
        </is>
      </c>
      <c r="E187" s="0" t="inlineStr">
        <is>
          <t>2013.06.</t>
        </is>
      </c>
      <c r="F187" s="0" t="n">
        <v>160</v>
      </c>
      <c r="G187" s="0" t="n">
        <v>12.59</v>
      </c>
      <c r="H187" s="0" t="n">
        <v>41.65</v>
      </c>
      <c r="I187" s="0" t="n">
        <v>8.140000000000001</v>
      </c>
      <c r="J187" s="0" t="n">
        <v>26.93</v>
      </c>
      <c r="K187" s="0" t="n">
        <v>8</v>
      </c>
      <c r="T187" s="0" t="n">
        <v>1</v>
      </c>
      <c r="U187" s="0" t="n">
        <v>1</v>
      </c>
      <c r="V187" s="0" t="inlineStr">
        <is>
          <t>복도식</t>
        </is>
      </c>
      <c r="W187" s="0" t="n">
        <v>41</v>
      </c>
      <c r="X187" s="0" t="n">
        <v>11</v>
      </c>
      <c r="Y187" s="0" t="n">
        <v>10</v>
      </c>
      <c r="Z187" s="0" t="inlineStr">
        <is>
          <t>https://new.land.naver.com/complexes/106997?tab=detail&amp;rf=Y</t>
        </is>
      </c>
      <c r="AA187" s="0" t="inlineStr">
        <is>
          <t>충청북도 청주시 흥덕구 강서동 473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흥덕구</t>
        </is>
      </c>
      <c r="AE187" s="0" t="inlineStr">
        <is>
          <t>강서동</t>
        </is>
      </c>
      <c r="AG187" s="0" t="inlineStr">
        <is>
          <t>충청북도 청주시 흥덕구 가로수로1164번길 41-48</t>
        </is>
      </c>
      <c r="AH187" s="0" t="n">
        <v>0</v>
      </c>
      <c r="AI187" s="0" t="n">
        <v>679</v>
      </c>
      <c r="AJ187" s="0" t="n">
        <v>68</v>
      </c>
      <c r="AK187" s="0" t="n">
        <v>60</v>
      </c>
      <c r="AL187" s="0" t="n">
        <v>0.38</v>
      </c>
    </row>
    <row r="188">
      <c r="A188" s="0" t="inlineStr">
        <is>
          <t>[강서동]</t>
        </is>
      </c>
      <c r="B188" s="0" t="n">
        <v>106997</v>
      </c>
      <c r="C188" s="0" t="n">
        <v>13</v>
      </c>
      <c r="D188" s="0" t="inlineStr">
        <is>
          <t>경성하늘샵(도시형)</t>
        </is>
      </c>
      <c r="E188" s="0" t="inlineStr">
        <is>
          <t>2013.06.</t>
        </is>
      </c>
      <c r="F188" s="0" t="n">
        <v>160</v>
      </c>
      <c r="G188" s="0" t="n">
        <v>14.25</v>
      </c>
      <c r="H188" s="0" t="n">
        <v>47.13</v>
      </c>
      <c r="I188" s="0" t="n">
        <v>9.210000000000001</v>
      </c>
      <c r="J188" s="0" t="n">
        <v>30.47</v>
      </c>
      <c r="K188" s="0" t="n">
        <v>32</v>
      </c>
      <c r="T188" s="0" t="n">
        <v>1</v>
      </c>
      <c r="U188" s="0" t="n">
        <v>1</v>
      </c>
      <c r="V188" s="0" t="inlineStr">
        <is>
          <t>복도식</t>
        </is>
      </c>
      <c r="W188" s="0" t="n">
        <v>47</v>
      </c>
      <c r="X188" s="0" t="n">
        <v>11</v>
      </c>
      <c r="Y188" s="0" t="n">
        <v>10</v>
      </c>
      <c r="Z188" s="0" t="inlineStr">
        <is>
          <t>https://new.land.naver.com/complexes/106997?tab=detail&amp;rf=Y</t>
        </is>
      </c>
      <c r="AA188" s="0" t="inlineStr">
        <is>
          <t>충청북도 청주시 흥덕구 강서동 473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흥덕구</t>
        </is>
      </c>
      <c r="AE188" s="0" t="inlineStr">
        <is>
          <t>강서동</t>
        </is>
      </c>
      <c r="AG188" s="0" t="inlineStr">
        <is>
          <t>충청북도 청주시 흥덕구 가로수로1164번길 41-48</t>
        </is>
      </c>
      <c r="AH188" s="0" t="n">
        <v>0</v>
      </c>
      <c r="AI188" s="0" t="n">
        <v>679</v>
      </c>
      <c r="AJ188" s="0" t="n">
        <v>68</v>
      </c>
      <c r="AK188" s="0" t="n">
        <v>60</v>
      </c>
      <c r="AL188" s="0" t="n">
        <v>0.38</v>
      </c>
    </row>
    <row r="189">
      <c r="A189" s="0" t="inlineStr">
        <is>
          <t>[강서동]</t>
        </is>
      </c>
      <c r="B189" s="0" t="n">
        <v>106997</v>
      </c>
      <c r="C189" s="0" t="n">
        <v>14</v>
      </c>
      <c r="D189" s="0" t="inlineStr">
        <is>
          <t>경성하늘샵(도시형)</t>
        </is>
      </c>
      <c r="E189" s="0" t="inlineStr">
        <is>
          <t>2013.06.</t>
        </is>
      </c>
      <c r="F189" s="0" t="n">
        <v>160</v>
      </c>
      <c r="G189" s="0" t="n">
        <v>14.73</v>
      </c>
      <c r="H189" s="0" t="n">
        <v>48.71</v>
      </c>
      <c r="I189" s="0" t="n">
        <v>9.52</v>
      </c>
      <c r="J189" s="0" t="n">
        <v>31.49</v>
      </c>
      <c r="K189" s="0" t="n">
        <v>1</v>
      </c>
      <c r="T189" s="0" t="n">
        <v>1</v>
      </c>
      <c r="U189" s="0" t="n">
        <v>1</v>
      </c>
      <c r="V189" s="0" t="inlineStr">
        <is>
          <t>복도식</t>
        </is>
      </c>
      <c r="W189" s="0" t="n">
        <v>48</v>
      </c>
      <c r="X189" s="0" t="n">
        <v>11</v>
      </c>
      <c r="Y189" s="0" t="n">
        <v>10</v>
      </c>
      <c r="Z189" s="0" t="inlineStr">
        <is>
          <t>https://new.land.naver.com/complexes/106997?tab=detail&amp;rf=Y</t>
        </is>
      </c>
      <c r="AA189" s="0" t="inlineStr">
        <is>
          <t>충청북도 청주시 흥덕구 강서동 473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흥덕구</t>
        </is>
      </c>
      <c r="AE189" s="0" t="inlineStr">
        <is>
          <t>강서동</t>
        </is>
      </c>
      <c r="AG189" s="0" t="inlineStr">
        <is>
          <t>충청북도 청주시 흥덕구 가로수로1164번길 41-48</t>
        </is>
      </c>
      <c r="AH189" s="0" t="n">
        <v>0</v>
      </c>
      <c r="AI189" s="0" t="n">
        <v>679</v>
      </c>
      <c r="AJ189" s="0" t="n">
        <v>68</v>
      </c>
      <c r="AK189" s="0" t="n">
        <v>60</v>
      </c>
      <c r="AL189" s="0" t="n">
        <v>0.38</v>
      </c>
    </row>
    <row r="190">
      <c r="A190" s="0" t="inlineStr">
        <is>
          <t>[강서동]</t>
        </is>
      </c>
      <c r="B190" s="0" t="n">
        <v>106997</v>
      </c>
      <c r="C190" s="0" t="n">
        <v>15</v>
      </c>
      <c r="D190" s="0" t="inlineStr">
        <is>
          <t>경성하늘샵(도시형)</t>
        </is>
      </c>
      <c r="E190" s="0" t="inlineStr">
        <is>
          <t>2013.06.</t>
        </is>
      </c>
      <c r="F190" s="0" t="n">
        <v>160</v>
      </c>
      <c r="G190" s="0" t="n">
        <v>15.89</v>
      </c>
      <c r="H190" s="0" t="n">
        <v>52.54</v>
      </c>
      <c r="I190" s="0" t="n">
        <v>10.27</v>
      </c>
      <c r="J190" s="0" t="n">
        <v>33.97</v>
      </c>
      <c r="K190" s="0" t="n">
        <v>8</v>
      </c>
      <c r="T190" s="0" t="n">
        <v>1</v>
      </c>
      <c r="U190" s="0" t="n">
        <v>1</v>
      </c>
      <c r="V190" s="0" t="inlineStr">
        <is>
          <t>복도식</t>
        </is>
      </c>
      <c r="W190" s="0" t="n">
        <v>52</v>
      </c>
      <c r="X190" s="0" t="n">
        <v>11</v>
      </c>
      <c r="Y190" s="0" t="n">
        <v>10</v>
      </c>
      <c r="Z190" s="0" t="inlineStr">
        <is>
          <t>https://new.land.naver.com/complexes/106997?tab=detail&amp;rf=Y</t>
        </is>
      </c>
      <c r="AA190" s="0" t="inlineStr">
        <is>
          <t>충청북도 청주시 흥덕구 강서동 473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흥덕구</t>
        </is>
      </c>
      <c r="AE190" s="0" t="inlineStr">
        <is>
          <t>강서동</t>
        </is>
      </c>
      <c r="AG190" s="0" t="inlineStr">
        <is>
          <t>충청북도 청주시 흥덕구 가로수로1164번길 41-48</t>
        </is>
      </c>
      <c r="AH190" s="0" t="n">
        <v>0</v>
      </c>
      <c r="AI190" s="0" t="n">
        <v>679</v>
      </c>
      <c r="AJ190" s="0" t="n">
        <v>68</v>
      </c>
      <c r="AK190" s="0" t="n">
        <v>60</v>
      </c>
      <c r="AL190" s="0" t="n">
        <v>0.38</v>
      </c>
    </row>
    <row r="191">
      <c r="A191" s="0" t="inlineStr">
        <is>
          <t>[강서동]</t>
        </is>
      </c>
      <c r="B191" s="0" t="n">
        <v>106997</v>
      </c>
      <c r="C191" s="0" t="n">
        <v>16</v>
      </c>
      <c r="D191" s="0" t="inlineStr">
        <is>
          <t>경성하늘샵(도시형)</t>
        </is>
      </c>
      <c r="E191" s="0" t="inlineStr">
        <is>
          <t>2013.06.</t>
        </is>
      </c>
      <c r="F191" s="0" t="n">
        <v>160</v>
      </c>
      <c r="G191" s="0" t="n">
        <v>16.52</v>
      </c>
      <c r="H191" s="0" t="n">
        <v>54.62</v>
      </c>
      <c r="I191" s="0" t="n">
        <v>10.68</v>
      </c>
      <c r="J191" s="0" t="n">
        <v>35.31</v>
      </c>
      <c r="K191" s="0" t="n">
        <v>1</v>
      </c>
      <c r="T191" s="0" t="n">
        <v>1</v>
      </c>
      <c r="U191" s="0" t="n">
        <v>1</v>
      </c>
      <c r="V191" s="0" t="inlineStr">
        <is>
          <t>복도식</t>
        </is>
      </c>
      <c r="W191" s="0" t="n">
        <v>54</v>
      </c>
      <c r="X191" s="0" t="n">
        <v>11</v>
      </c>
      <c r="Y191" s="0" t="n">
        <v>10</v>
      </c>
      <c r="Z191" s="0" t="inlineStr">
        <is>
          <t>https://new.land.naver.com/complexes/106997?tab=detail&amp;rf=Y</t>
        </is>
      </c>
      <c r="AA191" s="0" t="inlineStr">
        <is>
          <t>충청북도 청주시 흥덕구 강서동 473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흥덕구</t>
        </is>
      </c>
      <c r="AE191" s="0" t="inlineStr">
        <is>
          <t>강서동</t>
        </is>
      </c>
      <c r="AG191" s="0" t="inlineStr">
        <is>
          <t>충청북도 청주시 흥덕구 가로수로1164번길 41-48</t>
        </is>
      </c>
      <c r="AH191" s="0" t="n">
        <v>0</v>
      </c>
      <c r="AI191" s="0" t="n">
        <v>679</v>
      </c>
      <c r="AJ191" s="0" t="n">
        <v>68</v>
      </c>
      <c r="AK191" s="0" t="n">
        <v>60</v>
      </c>
      <c r="AL191" s="0" t="n">
        <v>0.38</v>
      </c>
    </row>
    <row r="192">
      <c r="A192" s="0" t="inlineStr">
        <is>
          <t>[강서동]</t>
        </is>
      </c>
      <c r="B192" s="0" t="n">
        <v>110423</v>
      </c>
      <c r="C192" s="0" t="n">
        <v>1</v>
      </c>
      <c r="D192" s="0" t="inlineStr">
        <is>
          <t>레지던스마리(도시형)</t>
        </is>
      </c>
      <c r="E192" s="0" t="inlineStr">
        <is>
          <t>2011.12.</t>
        </is>
      </c>
      <c r="F192" s="0" t="n">
        <v>24</v>
      </c>
      <c r="G192" s="0" t="n">
        <v>9.41</v>
      </c>
      <c r="H192" s="0" t="n">
        <v>31.13</v>
      </c>
      <c r="I192" s="0" t="n">
        <v>6.87</v>
      </c>
      <c r="J192" s="0" t="n">
        <v>22.74</v>
      </c>
      <c r="K192" s="0" t="n">
        <v>24</v>
      </c>
      <c r="T192" s="0" t="n">
        <v>1</v>
      </c>
      <c r="U192" s="0" t="n">
        <v>1</v>
      </c>
      <c r="V192" s="0" t="inlineStr">
        <is>
          <t>계단식</t>
        </is>
      </c>
      <c r="W192" s="0" t="n">
        <v>31</v>
      </c>
      <c r="X192" s="0" t="n">
        <v>8</v>
      </c>
      <c r="Y192" s="0" t="n">
        <v>8</v>
      </c>
      <c r="Z192" s="0" t="inlineStr">
        <is>
          <t>https://new.land.naver.com/complexes/110423?tab=detail&amp;rf=Y</t>
        </is>
      </c>
      <c r="AA192" s="0" t="inlineStr">
        <is>
          <t>충청북도 청주시 흥덕구 강서동 505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흥덕구</t>
        </is>
      </c>
      <c r="AE192" s="0" t="inlineStr">
        <is>
          <t>강서동</t>
        </is>
      </c>
      <c r="AG192" s="0" t="inlineStr">
        <is>
          <t>충청북도 청주시 흥덕구 서현중로 53-2</t>
        </is>
      </c>
      <c r="AH192" s="0" t="n">
        <v>0</v>
      </c>
      <c r="AI192" s="0" t="n">
        <v>327</v>
      </c>
      <c r="AJ192" s="0" t="n">
        <v>47</v>
      </c>
      <c r="AK192" s="0" t="n">
        <v>7</v>
      </c>
      <c r="AL192" s="0" t="n">
        <v>0.29</v>
      </c>
    </row>
    <row r="193">
      <c r="A193" s="0" t="inlineStr">
        <is>
          <t>[강서동]</t>
        </is>
      </c>
      <c r="B193" s="0" t="n">
        <v>121081</v>
      </c>
      <c r="C193" s="0" t="n">
        <v>1</v>
      </c>
      <c r="D193" s="0" t="inlineStr">
        <is>
          <t>청주강서나보나시티(도시형)</t>
        </is>
      </c>
      <c r="E193" s="0" t="inlineStr">
        <is>
          <t>2021.03.</t>
        </is>
      </c>
      <c r="F193" s="0" t="n">
        <v>264</v>
      </c>
      <c r="G193" s="0" t="n">
        <v>10.13</v>
      </c>
      <c r="H193" s="0" t="n">
        <v>33.51</v>
      </c>
      <c r="I193" s="0" t="n">
        <v>6.49</v>
      </c>
      <c r="J193" s="0" t="n">
        <v>21.46</v>
      </c>
      <c r="K193" s="0" t="n">
        <v>24</v>
      </c>
      <c r="T193" s="0" t="n">
        <v>1</v>
      </c>
      <c r="U193" s="0" t="n">
        <v>1</v>
      </c>
      <c r="V193" s="0" t="inlineStr">
        <is>
          <t>계단식</t>
        </is>
      </c>
      <c r="W193" s="0" t="inlineStr">
        <is>
          <t>33D</t>
        </is>
      </c>
      <c r="X193" s="0" t="n">
        <v>26</v>
      </c>
      <c r="Y193" s="0" t="n">
        <v>26</v>
      </c>
      <c r="Z193" s="0" t="inlineStr">
        <is>
          <t>https://new.land.naver.com/complexes/121081?tab=detail&amp;rf=Y</t>
        </is>
      </c>
      <c r="AA193" s="0" t="inlineStr">
        <is>
          <t>충청북도 청주시 흥덕구 강서동 470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흥덕구</t>
        </is>
      </c>
      <c r="AE193" s="0" t="inlineStr">
        <is>
          <t>강서동</t>
        </is>
      </c>
      <c r="AG193" s="0" t="inlineStr">
        <is>
          <t>충청북도 청주시 흥덕구 가로수로1164번길 41-28</t>
        </is>
      </c>
      <c r="AH193" s="0" t="n">
        <v>0</v>
      </c>
      <c r="AI193" s="0" t="n">
        <v>899</v>
      </c>
      <c r="AJ193" s="0" t="n">
        <v>67</v>
      </c>
      <c r="AK193" s="0" t="n">
        <v>196</v>
      </c>
      <c r="AL193" s="0" t="n">
        <v>0.74</v>
      </c>
    </row>
    <row r="194">
      <c r="A194" s="0" t="inlineStr">
        <is>
          <t>[강서동]</t>
        </is>
      </c>
      <c r="B194" s="0" t="n">
        <v>121081</v>
      </c>
      <c r="C194" s="0" t="n">
        <v>2</v>
      </c>
      <c r="D194" s="0" t="inlineStr">
        <is>
          <t>청주강서나보나시티(도시형)</t>
        </is>
      </c>
      <c r="E194" s="0" t="inlineStr">
        <is>
          <t>2021.03.</t>
        </is>
      </c>
      <c r="F194" s="0" t="n">
        <v>264</v>
      </c>
      <c r="G194" s="0" t="n">
        <v>12.87</v>
      </c>
      <c r="H194" s="0" t="n">
        <v>42.55</v>
      </c>
      <c r="I194" s="0" t="n">
        <v>8.24</v>
      </c>
      <c r="J194" s="0" t="n">
        <v>27.25</v>
      </c>
      <c r="K194" s="0" t="n">
        <v>96</v>
      </c>
      <c r="T194" s="0" t="n">
        <v>1</v>
      </c>
      <c r="U194" s="0" t="n">
        <v>1</v>
      </c>
      <c r="V194" s="0" t="inlineStr">
        <is>
          <t>계단식</t>
        </is>
      </c>
      <c r="W194" s="0" t="inlineStr">
        <is>
          <t>42B</t>
        </is>
      </c>
      <c r="X194" s="0" t="n">
        <v>26</v>
      </c>
      <c r="Y194" s="0" t="n">
        <v>26</v>
      </c>
      <c r="Z194" s="0" t="inlineStr">
        <is>
          <t>https://new.land.naver.com/complexes/121081?tab=detail&amp;rf=Y</t>
        </is>
      </c>
      <c r="AA194" s="0" t="inlineStr">
        <is>
          <t>충청북도 청주시 흥덕구 강서동 470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흥덕구</t>
        </is>
      </c>
      <c r="AE194" s="0" t="inlineStr">
        <is>
          <t>강서동</t>
        </is>
      </c>
      <c r="AG194" s="0" t="inlineStr">
        <is>
          <t>충청북도 청주시 흥덕구 가로수로1164번길 41-28</t>
        </is>
      </c>
      <c r="AH194" s="0" t="n">
        <v>0</v>
      </c>
      <c r="AI194" s="0" t="n">
        <v>899</v>
      </c>
      <c r="AJ194" s="0" t="n">
        <v>67</v>
      </c>
      <c r="AK194" s="0" t="n">
        <v>196</v>
      </c>
      <c r="AL194" s="0" t="n">
        <v>0.74</v>
      </c>
    </row>
    <row r="195">
      <c r="A195" s="0" t="inlineStr">
        <is>
          <t>[강서동]</t>
        </is>
      </c>
      <c r="B195" s="0" t="n">
        <v>121081</v>
      </c>
      <c r="C195" s="0" t="n">
        <v>3</v>
      </c>
      <c r="D195" s="0" t="inlineStr">
        <is>
          <t>청주강서나보나시티(도시형)</t>
        </is>
      </c>
      <c r="E195" s="0" t="inlineStr">
        <is>
          <t>2021.03.</t>
        </is>
      </c>
      <c r="F195" s="0" t="n">
        <v>264</v>
      </c>
      <c r="G195" s="0" t="n">
        <v>13.54</v>
      </c>
      <c r="H195" s="0" t="n">
        <v>44.77</v>
      </c>
      <c r="I195" s="0" t="n">
        <v>8.67</v>
      </c>
      <c r="J195" s="0" t="n">
        <v>28.67</v>
      </c>
      <c r="K195" s="0" t="n">
        <v>48</v>
      </c>
      <c r="T195" s="0" t="n">
        <v>1</v>
      </c>
      <c r="U195" s="0" t="n">
        <v>1</v>
      </c>
      <c r="V195" s="0" t="inlineStr">
        <is>
          <t>계단식</t>
        </is>
      </c>
      <c r="W195" s="0" t="inlineStr">
        <is>
          <t>44C</t>
        </is>
      </c>
      <c r="X195" s="0" t="n">
        <v>26</v>
      </c>
      <c r="Y195" s="0" t="n">
        <v>26</v>
      </c>
      <c r="Z195" s="0" t="inlineStr">
        <is>
          <t>https://new.land.naver.com/complexes/121081?tab=detail&amp;rf=Y</t>
        </is>
      </c>
      <c r="AA195" s="0" t="inlineStr">
        <is>
          <t>충청북도 청주시 흥덕구 강서동 470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흥덕구</t>
        </is>
      </c>
      <c r="AE195" s="0" t="inlineStr">
        <is>
          <t>강서동</t>
        </is>
      </c>
      <c r="AG195" s="0" t="inlineStr">
        <is>
          <t>충청북도 청주시 흥덕구 가로수로1164번길 41-28</t>
        </is>
      </c>
      <c r="AH195" s="0" t="n">
        <v>0</v>
      </c>
      <c r="AI195" s="0" t="n">
        <v>899</v>
      </c>
      <c r="AJ195" s="0" t="n">
        <v>67</v>
      </c>
      <c r="AK195" s="0" t="n">
        <v>196</v>
      </c>
      <c r="AL195" s="0" t="n">
        <v>0.74</v>
      </c>
    </row>
    <row r="196">
      <c r="A196" s="0" t="inlineStr">
        <is>
          <t>[강서동]</t>
        </is>
      </c>
      <c r="B196" s="0" t="n">
        <v>121081</v>
      </c>
      <c r="C196" s="0" t="n">
        <v>4</v>
      </c>
      <c r="D196" s="0" t="inlineStr">
        <is>
          <t>청주강서나보나시티(도시형)</t>
        </is>
      </c>
      <c r="E196" s="0" t="inlineStr">
        <is>
          <t>2021.03.</t>
        </is>
      </c>
      <c r="F196" s="0" t="n">
        <v>264</v>
      </c>
      <c r="G196" s="0" t="n">
        <v>14.1</v>
      </c>
      <c r="H196" s="0" t="n">
        <v>46.63</v>
      </c>
      <c r="I196" s="0" t="n">
        <v>9.029999999999999</v>
      </c>
      <c r="J196" s="0" t="n">
        <v>29.86</v>
      </c>
      <c r="K196" s="0" t="n">
        <v>96</v>
      </c>
      <c r="T196" s="0" t="n">
        <v>1</v>
      </c>
      <c r="U196" s="0" t="n">
        <v>1</v>
      </c>
      <c r="V196" s="0" t="inlineStr">
        <is>
          <t>계단식</t>
        </is>
      </c>
      <c r="W196" s="0" t="inlineStr">
        <is>
          <t>46A</t>
        </is>
      </c>
      <c r="X196" s="0" t="n">
        <v>26</v>
      </c>
      <c r="Y196" s="0" t="n">
        <v>26</v>
      </c>
      <c r="Z196" s="0" t="inlineStr">
        <is>
          <t>https://new.land.naver.com/complexes/121081?tab=detail&amp;rf=Y</t>
        </is>
      </c>
      <c r="AA196" s="0" t="inlineStr">
        <is>
          <t>충청북도 청주시 흥덕구 강서동 470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흥덕구</t>
        </is>
      </c>
      <c r="AE196" s="0" t="inlineStr">
        <is>
          <t>강서동</t>
        </is>
      </c>
      <c r="AG196" s="0" t="inlineStr">
        <is>
          <t>충청북도 청주시 흥덕구 가로수로1164번길 41-28</t>
        </is>
      </c>
      <c r="AH196" s="0" t="n">
        <v>0</v>
      </c>
      <c r="AI196" s="0" t="n">
        <v>899</v>
      </c>
      <c r="AJ196" s="0" t="n">
        <v>67</v>
      </c>
      <c r="AK196" s="0" t="n">
        <v>196</v>
      </c>
      <c r="AL196" s="0" t="n">
        <v>0.74</v>
      </c>
    </row>
    <row r="197">
      <c r="A197" s="0" t="inlineStr">
        <is>
          <t>[강서동]</t>
        </is>
      </c>
      <c r="B197" s="0" t="n">
        <v>112882</v>
      </c>
      <c r="C197" s="0" t="n">
        <v>1</v>
      </c>
      <c r="D197" s="0" t="inlineStr">
        <is>
          <t>레지던스마리3</t>
        </is>
      </c>
      <c r="E197" s="0" t="inlineStr">
        <is>
          <t>2014.07.</t>
        </is>
      </c>
      <c r="F197" s="0" t="n">
        <v>7</v>
      </c>
      <c r="G197" s="0" t="n">
        <v>16.87</v>
      </c>
      <c r="H197" s="0" t="n">
        <v>55.78</v>
      </c>
      <c r="I197" s="0" t="n">
        <v>12.57</v>
      </c>
      <c r="J197" s="0" t="n">
        <v>41.56</v>
      </c>
      <c r="K197" s="0" t="n">
        <v>1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55A</t>
        </is>
      </c>
      <c r="X197" s="0" t="n">
        <v>3</v>
      </c>
      <c r="Y197" s="0" t="n">
        <v>3</v>
      </c>
      <c r="Z197" s="0" t="inlineStr">
        <is>
          <t>https://new.land.naver.com/complexes/112882?tab=detail&amp;rf=Y</t>
        </is>
      </c>
      <c r="AA197" s="0" t="inlineStr">
        <is>
          <t>충청북도 청주시 흥덕구 강서동 504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흥덕구</t>
        </is>
      </c>
      <c r="AE197" s="0" t="inlineStr">
        <is>
          <t>강서동</t>
        </is>
      </c>
      <c r="AG197" s="0" t="inlineStr">
        <is>
          <t>충청북도 청주시 흥덕구 서현중로 57-2</t>
        </is>
      </c>
      <c r="AH197" s="0" t="n">
        <v>0</v>
      </c>
      <c r="AI197" s="0" t="n">
        <v>499</v>
      </c>
      <c r="AJ197" s="0" t="n">
        <v>69</v>
      </c>
      <c r="AK197" s="0" t="n">
        <v>0</v>
      </c>
      <c r="AL197" s="0" t="n">
        <v>0</v>
      </c>
    </row>
    <row r="198">
      <c r="A198" s="0" t="inlineStr">
        <is>
          <t>[강서동]</t>
        </is>
      </c>
      <c r="B198" s="0" t="n">
        <v>112882</v>
      </c>
      <c r="C198" s="0" t="n">
        <v>2</v>
      </c>
      <c r="D198" s="0" t="inlineStr">
        <is>
          <t>레지던스마리3</t>
        </is>
      </c>
      <c r="E198" s="0" t="inlineStr">
        <is>
          <t>2014.07.</t>
        </is>
      </c>
      <c r="F198" s="0" t="n">
        <v>7</v>
      </c>
      <c r="G198" s="0" t="n">
        <v>17.12</v>
      </c>
      <c r="H198" s="0" t="n">
        <v>56.62</v>
      </c>
      <c r="I198" s="0" t="n">
        <v>12.76</v>
      </c>
      <c r="J198" s="0" t="n">
        <v>42.2</v>
      </c>
      <c r="K198" s="0" t="n">
        <v>1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56B</t>
        </is>
      </c>
      <c r="X198" s="0" t="n">
        <v>3</v>
      </c>
      <c r="Y198" s="0" t="n">
        <v>3</v>
      </c>
      <c r="Z198" s="0" t="inlineStr">
        <is>
          <t>https://new.land.naver.com/complexes/112882?tab=detail&amp;rf=Y</t>
        </is>
      </c>
      <c r="AA198" s="0" t="inlineStr">
        <is>
          <t>충청북도 청주시 흥덕구 강서동 504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흥덕구</t>
        </is>
      </c>
      <c r="AE198" s="0" t="inlineStr">
        <is>
          <t>강서동</t>
        </is>
      </c>
      <c r="AG198" s="0" t="inlineStr">
        <is>
          <t>충청북도 청주시 흥덕구 서현중로 57-2</t>
        </is>
      </c>
      <c r="AH198" s="0" t="n">
        <v>0</v>
      </c>
      <c r="AI198" s="0" t="n">
        <v>499</v>
      </c>
      <c r="AJ198" s="0" t="n">
        <v>69</v>
      </c>
      <c r="AK198" s="0" t="n">
        <v>0</v>
      </c>
      <c r="AL198" s="0" t="n">
        <v>0</v>
      </c>
    </row>
    <row r="199">
      <c r="A199" s="0" t="inlineStr">
        <is>
          <t>[강서동]</t>
        </is>
      </c>
      <c r="B199" s="0" t="n">
        <v>112882</v>
      </c>
      <c r="C199" s="0" t="n">
        <v>3</v>
      </c>
      <c r="D199" s="0" t="inlineStr">
        <is>
          <t>레지던스마리3</t>
        </is>
      </c>
      <c r="E199" s="0" t="inlineStr">
        <is>
          <t>2014.07.</t>
        </is>
      </c>
      <c r="F199" s="0" t="n">
        <v>7</v>
      </c>
      <c r="G199" s="0" t="n">
        <v>19.91</v>
      </c>
      <c r="H199" s="0" t="n">
        <v>65.84999999999999</v>
      </c>
      <c r="I199" s="0" t="n">
        <v>14.84</v>
      </c>
      <c r="J199" s="0" t="n">
        <v>49.07</v>
      </c>
      <c r="K199" s="0" t="n">
        <v>4</v>
      </c>
      <c r="T199" s="0" t="n">
        <v>1</v>
      </c>
      <c r="U199" s="0" t="n">
        <v>1</v>
      </c>
      <c r="V199" s="0" t="inlineStr">
        <is>
          <t>복도식</t>
        </is>
      </c>
      <c r="W199" s="0" t="n">
        <v>65</v>
      </c>
      <c r="X199" s="0" t="n">
        <v>3</v>
      </c>
      <c r="Y199" s="0" t="n">
        <v>3</v>
      </c>
      <c r="Z199" s="0" t="inlineStr">
        <is>
          <t>https://new.land.naver.com/complexes/112882?tab=detail&amp;rf=Y</t>
        </is>
      </c>
      <c r="AA199" s="0" t="inlineStr">
        <is>
          <t>충청북도 청주시 흥덕구 강서동 504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흥덕구</t>
        </is>
      </c>
      <c r="AE199" s="0" t="inlineStr">
        <is>
          <t>강서동</t>
        </is>
      </c>
      <c r="AG199" s="0" t="inlineStr">
        <is>
          <t>충청북도 청주시 흥덕구 서현중로 57-2</t>
        </is>
      </c>
      <c r="AH199" s="0" t="n">
        <v>0</v>
      </c>
      <c r="AI199" s="0" t="n">
        <v>499</v>
      </c>
      <c r="AJ199" s="0" t="n">
        <v>69</v>
      </c>
      <c r="AK199" s="0" t="n">
        <v>0</v>
      </c>
      <c r="AL199" s="0" t="n">
        <v>0</v>
      </c>
    </row>
    <row r="200">
      <c r="A200" s="0" t="inlineStr">
        <is>
          <t>[강서동]</t>
        </is>
      </c>
      <c r="B200" s="0" t="n">
        <v>112882</v>
      </c>
      <c r="C200" s="0" t="n">
        <v>4</v>
      </c>
      <c r="D200" s="0" t="inlineStr">
        <is>
          <t>레지던스마리3</t>
        </is>
      </c>
      <c r="E200" s="0" t="inlineStr">
        <is>
          <t>2014.07.</t>
        </is>
      </c>
      <c r="F200" s="0" t="n">
        <v>7</v>
      </c>
      <c r="G200" s="0" t="n">
        <v>24.13</v>
      </c>
      <c r="H200" s="0" t="n">
        <v>79.78</v>
      </c>
      <c r="I200" s="0" t="n">
        <v>17.98</v>
      </c>
      <c r="J200" s="0" t="n">
        <v>59.45</v>
      </c>
      <c r="K200" s="0" t="n">
        <v>1</v>
      </c>
      <c r="T200" s="0" t="n">
        <v>2</v>
      </c>
      <c r="U200" s="0" t="n">
        <v>1</v>
      </c>
      <c r="V200" s="0" t="inlineStr">
        <is>
          <t>복도식</t>
        </is>
      </c>
      <c r="W200" s="0" t="n">
        <v>79</v>
      </c>
      <c r="X200" s="0" t="n">
        <v>3</v>
      </c>
      <c r="Y200" s="0" t="n">
        <v>3</v>
      </c>
      <c r="Z200" s="0" t="inlineStr">
        <is>
          <t>https://new.land.naver.com/complexes/112882?tab=detail&amp;rf=Y</t>
        </is>
      </c>
      <c r="AA200" s="0" t="inlineStr">
        <is>
          <t>충청북도 청주시 흥덕구 강서동 504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흥덕구</t>
        </is>
      </c>
      <c r="AE200" s="0" t="inlineStr">
        <is>
          <t>강서동</t>
        </is>
      </c>
      <c r="AG200" s="0" t="inlineStr">
        <is>
          <t>충청북도 청주시 흥덕구 서현중로 57-2</t>
        </is>
      </c>
      <c r="AH200" s="0" t="n">
        <v>0</v>
      </c>
      <c r="AI200" s="0" t="n">
        <v>499</v>
      </c>
      <c r="AJ200" s="0" t="n">
        <v>69</v>
      </c>
      <c r="AK200" s="0" t="n">
        <v>0</v>
      </c>
      <c r="AL200" s="0" t="n">
        <v>0</v>
      </c>
    </row>
    <row r="201">
      <c r="A201" s="0" t="inlineStr">
        <is>
          <t>[강서동]</t>
        </is>
      </c>
      <c r="B201" s="0" t="n">
        <v>112791</v>
      </c>
      <c r="C201" s="0" t="n">
        <v>1</v>
      </c>
      <c r="D201" s="0" t="inlineStr">
        <is>
          <t>경도펠리스(도시형)</t>
        </is>
      </c>
      <c r="E201" s="0" t="inlineStr">
        <is>
          <t>2016.03.</t>
        </is>
      </c>
      <c r="F201" s="0" t="n">
        <v>104</v>
      </c>
      <c r="G201" s="0" t="n">
        <v>7.65</v>
      </c>
      <c r="H201" s="0" t="n">
        <v>25.31</v>
      </c>
      <c r="I201" s="0" t="n">
        <v>4.97</v>
      </c>
      <c r="J201" s="0" t="n">
        <v>16.45</v>
      </c>
      <c r="K201" s="0" t="n">
        <v>1</v>
      </c>
      <c r="T201" s="0" t="n">
        <v>1</v>
      </c>
      <c r="U201" s="0" t="n">
        <v>1</v>
      </c>
      <c r="V201" s="0" t="inlineStr">
        <is>
          <t>계단식</t>
        </is>
      </c>
      <c r="W201" s="0" t="inlineStr">
        <is>
          <t>25A</t>
        </is>
      </c>
      <c r="X201" s="0" t="n">
        <v>15</v>
      </c>
      <c r="Y201" s="0" t="n">
        <v>15</v>
      </c>
      <c r="Z201" s="0" t="inlineStr">
        <is>
          <t>https://new.land.naver.com/complexes/112791?tab=detail&amp;rf=Y</t>
        </is>
      </c>
      <c r="AA201" s="0" t="inlineStr">
        <is>
          <t>충청북도 청주시 흥덕구 강서동 498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흥덕구</t>
        </is>
      </c>
      <c r="AE201" s="0" t="inlineStr">
        <is>
          <t>강서동</t>
        </is>
      </c>
      <c r="AG201" s="0" t="inlineStr">
        <is>
          <t>충청북도 청주시 흥덕구 서현동로 21</t>
        </is>
      </c>
      <c r="AH201" s="0" t="n">
        <v>0</v>
      </c>
      <c r="AI201" s="0" t="n">
        <v>719</v>
      </c>
      <c r="AJ201" s="0" t="n">
        <v>69</v>
      </c>
      <c r="AK201" s="0" t="n">
        <v>52</v>
      </c>
      <c r="AL201" s="0" t="n">
        <v>0.5</v>
      </c>
    </row>
    <row r="202">
      <c r="A202" s="0" t="inlineStr">
        <is>
          <t>[강서동]</t>
        </is>
      </c>
      <c r="B202" s="0" t="n">
        <v>112791</v>
      </c>
      <c r="C202" s="0" t="n">
        <v>2</v>
      </c>
      <c r="D202" s="0" t="inlineStr">
        <is>
          <t>경도펠리스(도시형)</t>
        </is>
      </c>
      <c r="E202" s="0" t="inlineStr">
        <is>
          <t>2016.03.</t>
        </is>
      </c>
      <c r="F202" s="0" t="n">
        <v>104</v>
      </c>
      <c r="G202" s="0" t="n">
        <v>8.09</v>
      </c>
      <c r="H202" s="0" t="n">
        <v>26.77</v>
      </c>
      <c r="I202" s="0" t="n">
        <v>5.26</v>
      </c>
      <c r="J202" s="0" t="n">
        <v>17.4</v>
      </c>
      <c r="K202" s="0" t="n">
        <v>1</v>
      </c>
      <c r="T202" s="0" t="n">
        <v>1</v>
      </c>
      <c r="U202" s="0" t="n">
        <v>1</v>
      </c>
      <c r="V202" s="0" t="inlineStr">
        <is>
          <t>계단식</t>
        </is>
      </c>
      <c r="W202" s="0" t="inlineStr">
        <is>
          <t>26B</t>
        </is>
      </c>
      <c r="X202" s="0" t="n">
        <v>15</v>
      </c>
      <c r="Y202" s="0" t="n">
        <v>15</v>
      </c>
      <c r="Z202" s="0" t="inlineStr">
        <is>
          <t>https://new.land.naver.com/complexes/112791?tab=detail&amp;rf=Y</t>
        </is>
      </c>
      <c r="AA202" s="0" t="inlineStr">
        <is>
          <t>충청북도 청주시 흥덕구 강서동 498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흥덕구</t>
        </is>
      </c>
      <c r="AE202" s="0" t="inlineStr">
        <is>
          <t>강서동</t>
        </is>
      </c>
      <c r="AG202" s="0" t="inlineStr">
        <is>
          <t>충청북도 청주시 흥덕구 서현동로 21</t>
        </is>
      </c>
      <c r="AH202" s="0" t="n">
        <v>0</v>
      </c>
      <c r="AI202" s="0" t="n">
        <v>719</v>
      </c>
      <c r="AJ202" s="0" t="n">
        <v>69</v>
      </c>
      <c r="AK202" s="0" t="n">
        <v>52</v>
      </c>
      <c r="AL202" s="0" t="n">
        <v>0.5</v>
      </c>
    </row>
    <row r="203">
      <c r="A203" s="0" t="inlineStr">
        <is>
          <t>[강서동]</t>
        </is>
      </c>
      <c r="B203" s="0" t="n">
        <v>112791</v>
      </c>
      <c r="C203" s="0" t="n">
        <v>3</v>
      </c>
      <c r="D203" s="0" t="inlineStr">
        <is>
          <t>경도펠리스(도시형)</t>
        </is>
      </c>
      <c r="E203" s="0" t="inlineStr">
        <is>
          <t>2016.03.</t>
        </is>
      </c>
      <c r="F203" s="0" t="n">
        <v>104</v>
      </c>
      <c r="G203" s="0" t="n">
        <v>10.34</v>
      </c>
      <c r="H203" s="0" t="n">
        <v>34.21</v>
      </c>
      <c r="I203" s="0" t="n">
        <v>6.72</v>
      </c>
      <c r="J203" s="0" t="n">
        <v>22.23</v>
      </c>
      <c r="K203" s="0" t="n">
        <v>20</v>
      </c>
      <c r="T203" s="0" t="n">
        <v>1</v>
      </c>
      <c r="U203" s="0" t="n">
        <v>1</v>
      </c>
      <c r="V203" s="0" t="inlineStr">
        <is>
          <t>계단식</t>
        </is>
      </c>
      <c r="W203" s="0" t="n">
        <v>34</v>
      </c>
      <c r="X203" s="0" t="n">
        <v>15</v>
      </c>
      <c r="Y203" s="0" t="n">
        <v>15</v>
      </c>
      <c r="Z203" s="0" t="inlineStr">
        <is>
          <t>https://new.land.naver.com/complexes/112791?tab=detail&amp;rf=Y</t>
        </is>
      </c>
      <c r="AA203" s="0" t="inlineStr">
        <is>
          <t>충청북도 청주시 흥덕구 강서동 498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흥덕구</t>
        </is>
      </c>
      <c r="AE203" s="0" t="inlineStr">
        <is>
          <t>강서동</t>
        </is>
      </c>
      <c r="AG203" s="0" t="inlineStr">
        <is>
          <t>충청북도 청주시 흥덕구 서현동로 21</t>
        </is>
      </c>
      <c r="AH203" s="0" t="n">
        <v>0</v>
      </c>
      <c r="AI203" s="0" t="n">
        <v>719</v>
      </c>
      <c r="AJ203" s="0" t="n">
        <v>69</v>
      </c>
      <c r="AK203" s="0" t="n">
        <v>52</v>
      </c>
      <c r="AL203" s="0" t="n">
        <v>0.5</v>
      </c>
    </row>
    <row r="204">
      <c r="A204" s="0" t="inlineStr">
        <is>
          <t>[강서동]</t>
        </is>
      </c>
      <c r="B204" s="0" t="n">
        <v>112791</v>
      </c>
      <c r="C204" s="0" t="n">
        <v>4</v>
      </c>
      <c r="D204" s="0" t="inlineStr">
        <is>
          <t>경도펠리스(도시형)</t>
        </is>
      </c>
      <c r="E204" s="0" t="inlineStr">
        <is>
          <t>2016.03.</t>
        </is>
      </c>
      <c r="F204" s="0" t="n">
        <v>104</v>
      </c>
      <c r="G204" s="0" t="n">
        <v>10.64</v>
      </c>
      <c r="H204" s="0" t="n">
        <v>35.18</v>
      </c>
      <c r="I204" s="0" t="n">
        <v>6.91</v>
      </c>
      <c r="J204" s="0" t="n">
        <v>22.86</v>
      </c>
      <c r="K204" s="0" t="n">
        <v>6</v>
      </c>
      <c r="T204" s="0" t="n">
        <v>1</v>
      </c>
      <c r="U204" s="0" t="n">
        <v>1</v>
      </c>
      <c r="V204" s="0" t="inlineStr">
        <is>
          <t>계단식</t>
        </is>
      </c>
      <c r="W204" s="0" t="inlineStr">
        <is>
          <t>35A</t>
        </is>
      </c>
      <c r="X204" s="0" t="n">
        <v>15</v>
      </c>
      <c r="Y204" s="0" t="n">
        <v>15</v>
      </c>
      <c r="Z204" s="0" t="inlineStr">
        <is>
          <t>https://new.land.naver.com/complexes/112791?tab=detail&amp;rf=Y</t>
        </is>
      </c>
      <c r="AA204" s="0" t="inlineStr">
        <is>
          <t>충청북도 청주시 흥덕구 강서동 498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흥덕구</t>
        </is>
      </c>
      <c r="AE204" s="0" t="inlineStr">
        <is>
          <t>강서동</t>
        </is>
      </c>
      <c r="AG204" s="0" t="inlineStr">
        <is>
          <t>충청북도 청주시 흥덕구 서현동로 21</t>
        </is>
      </c>
      <c r="AH204" s="0" t="n">
        <v>0</v>
      </c>
      <c r="AI204" s="0" t="n">
        <v>719</v>
      </c>
      <c r="AJ204" s="0" t="n">
        <v>69</v>
      </c>
      <c r="AK204" s="0" t="n">
        <v>52</v>
      </c>
      <c r="AL204" s="0" t="n">
        <v>0.5</v>
      </c>
    </row>
    <row r="205">
      <c r="A205" s="0" t="inlineStr">
        <is>
          <t>[강서동]</t>
        </is>
      </c>
      <c r="B205" s="0" t="n">
        <v>112791</v>
      </c>
      <c r="C205" s="0" t="n">
        <v>5</v>
      </c>
      <c r="D205" s="0" t="inlineStr">
        <is>
          <t>경도펠리스(도시형)</t>
        </is>
      </c>
      <c r="E205" s="0" t="inlineStr">
        <is>
          <t>2016.03.</t>
        </is>
      </c>
      <c r="F205" s="0" t="n">
        <v>104</v>
      </c>
      <c r="G205" s="0" t="n">
        <v>10.93</v>
      </c>
      <c r="H205" s="0" t="n">
        <v>36.15</v>
      </c>
      <c r="I205" s="0" t="n">
        <v>7.1</v>
      </c>
      <c r="J205" s="0" t="n">
        <v>23.49</v>
      </c>
      <c r="K205" s="0" t="n">
        <v>1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36B</t>
        </is>
      </c>
      <c r="X205" s="0" t="n">
        <v>15</v>
      </c>
      <c r="Y205" s="0" t="n">
        <v>15</v>
      </c>
      <c r="Z205" s="0" t="inlineStr">
        <is>
          <t>https://new.land.naver.com/complexes/112791?tab=detail&amp;rf=Y</t>
        </is>
      </c>
      <c r="AA205" s="0" t="inlineStr">
        <is>
          <t>충청북도 청주시 흥덕구 강서동 498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흥덕구</t>
        </is>
      </c>
      <c r="AE205" s="0" t="inlineStr">
        <is>
          <t>강서동</t>
        </is>
      </c>
      <c r="AG205" s="0" t="inlineStr">
        <is>
          <t>충청북도 청주시 흥덕구 서현동로 21</t>
        </is>
      </c>
      <c r="AH205" s="0" t="n">
        <v>0</v>
      </c>
      <c r="AI205" s="0" t="n">
        <v>719</v>
      </c>
      <c r="AJ205" s="0" t="n">
        <v>69</v>
      </c>
      <c r="AK205" s="0" t="n">
        <v>52</v>
      </c>
      <c r="AL205" s="0" t="n">
        <v>0.5</v>
      </c>
    </row>
    <row r="206">
      <c r="A206" s="0" t="inlineStr">
        <is>
          <t>[강서동]</t>
        </is>
      </c>
      <c r="B206" s="0" t="n">
        <v>112791</v>
      </c>
      <c r="C206" s="0" t="n">
        <v>6</v>
      </c>
      <c r="D206" s="0" t="inlineStr">
        <is>
          <t>경도펠리스(도시형)</t>
        </is>
      </c>
      <c r="E206" s="0" t="inlineStr">
        <is>
          <t>2016.03.</t>
        </is>
      </c>
      <c r="F206" s="0" t="n">
        <v>104</v>
      </c>
      <c r="G206" s="0" t="n">
        <v>12.81</v>
      </c>
      <c r="H206" s="0" t="n">
        <v>42.38</v>
      </c>
      <c r="I206" s="0" t="n">
        <v>8.33</v>
      </c>
      <c r="J206" s="0" t="n">
        <v>27.54</v>
      </c>
      <c r="K206" s="0" t="n">
        <v>4</v>
      </c>
      <c r="T206" s="0" t="n">
        <v>1</v>
      </c>
      <c r="U206" s="0" t="n">
        <v>1</v>
      </c>
      <c r="V206" s="0" t="inlineStr">
        <is>
          <t>계단식</t>
        </is>
      </c>
      <c r="W206" s="0" t="n">
        <v>42</v>
      </c>
      <c r="X206" s="0" t="n">
        <v>15</v>
      </c>
      <c r="Y206" s="0" t="n">
        <v>15</v>
      </c>
      <c r="Z206" s="0" t="inlineStr">
        <is>
          <t>https://new.land.naver.com/complexes/112791?tab=detail&amp;rf=Y</t>
        </is>
      </c>
      <c r="AA206" s="0" t="inlineStr">
        <is>
          <t>충청북도 청주시 흥덕구 강서동 498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흥덕구</t>
        </is>
      </c>
      <c r="AE206" s="0" t="inlineStr">
        <is>
          <t>강서동</t>
        </is>
      </c>
      <c r="AG206" s="0" t="inlineStr">
        <is>
          <t>충청북도 청주시 흥덕구 서현동로 21</t>
        </is>
      </c>
      <c r="AH206" s="0" t="n">
        <v>0</v>
      </c>
      <c r="AI206" s="0" t="n">
        <v>719</v>
      </c>
      <c r="AJ206" s="0" t="n">
        <v>69</v>
      </c>
      <c r="AK206" s="0" t="n">
        <v>52</v>
      </c>
      <c r="AL206" s="0" t="n">
        <v>0.5</v>
      </c>
    </row>
    <row r="207">
      <c r="A207" s="0" t="inlineStr">
        <is>
          <t>[강서동]</t>
        </is>
      </c>
      <c r="B207" s="0" t="n">
        <v>112791</v>
      </c>
      <c r="C207" s="0" t="n">
        <v>7</v>
      </c>
      <c r="D207" s="0" t="inlineStr">
        <is>
          <t>경도펠리스(도시형)</t>
        </is>
      </c>
      <c r="E207" s="0" t="inlineStr">
        <is>
          <t>2016.03.</t>
        </is>
      </c>
      <c r="F207" s="0" t="n">
        <v>104</v>
      </c>
      <c r="G207" s="0" t="n">
        <v>14.22</v>
      </c>
      <c r="H207" s="0" t="n">
        <v>47.01</v>
      </c>
      <c r="I207" s="0" t="n">
        <v>9.24</v>
      </c>
      <c r="J207" s="0" t="n">
        <v>30.55</v>
      </c>
      <c r="K207" s="0" t="n">
        <v>5</v>
      </c>
      <c r="T207" s="0" t="n">
        <v>1</v>
      </c>
      <c r="U207" s="0" t="n">
        <v>1</v>
      </c>
      <c r="V207" s="0" t="inlineStr">
        <is>
          <t>계단식</t>
        </is>
      </c>
      <c r="W207" s="0" t="n">
        <v>47</v>
      </c>
      <c r="X207" s="0" t="n">
        <v>15</v>
      </c>
      <c r="Y207" s="0" t="n">
        <v>15</v>
      </c>
      <c r="Z207" s="0" t="inlineStr">
        <is>
          <t>https://new.land.naver.com/complexes/112791?tab=detail&amp;rf=Y</t>
        </is>
      </c>
      <c r="AA207" s="0" t="inlineStr">
        <is>
          <t>충청북도 청주시 흥덕구 강서동 498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흥덕구</t>
        </is>
      </c>
      <c r="AE207" s="0" t="inlineStr">
        <is>
          <t>강서동</t>
        </is>
      </c>
      <c r="AG207" s="0" t="inlineStr">
        <is>
          <t>충청북도 청주시 흥덕구 서현동로 21</t>
        </is>
      </c>
      <c r="AH207" s="0" t="n">
        <v>0</v>
      </c>
      <c r="AI207" s="0" t="n">
        <v>719</v>
      </c>
      <c r="AJ207" s="0" t="n">
        <v>69</v>
      </c>
      <c r="AK207" s="0" t="n">
        <v>52</v>
      </c>
      <c r="AL207" s="0" t="n">
        <v>0.5</v>
      </c>
    </row>
    <row r="208">
      <c r="A208" s="0" t="inlineStr">
        <is>
          <t>[강서동]</t>
        </is>
      </c>
      <c r="B208" s="0" t="n">
        <v>112791</v>
      </c>
      <c r="C208" s="0" t="n">
        <v>8</v>
      </c>
      <c r="D208" s="0" t="inlineStr">
        <is>
          <t>경도펠리스(도시형)</t>
        </is>
      </c>
      <c r="E208" s="0" t="inlineStr">
        <is>
          <t>2016.03.</t>
        </is>
      </c>
      <c r="F208" s="0" t="n">
        <v>104</v>
      </c>
      <c r="G208" s="0" t="n">
        <v>18.34</v>
      </c>
      <c r="H208" s="0" t="n">
        <v>60.66</v>
      </c>
      <c r="I208" s="0" t="n">
        <v>11.92</v>
      </c>
      <c r="J208" s="0" t="n">
        <v>39.42</v>
      </c>
      <c r="K208" s="0" t="n">
        <v>26</v>
      </c>
      <c r="T208" s="0" t="n">
        <v>1</v>
      </c>
      <c r="U208" s="0" t="n">
        <v>1</v>
      </c>
      <c r="V208" s="0" t="inlineStr">
        <is>
          <t>계단식</t>
        </is>
      </c>
      <c r="W208" s="0" t="n">
        <v>60</v>
      </c>
      <c r="X208" s="0" t="n">
        <v>15</v>
      </c>
      <c r="Y208" s="0" t="n">
        <v>15</v>
      </c>
      <c r="Z208" s="0" t="inlineStr">
        <is>
          <t>https://new.land.naver.com/complexes/112791?tab=detail&amp;rf=Y</t>
        </is>
      </c>
      <c r="AA208" s="0" t="inlineStr">
        <is>
          <t>충청북도 청주시 흥덕구 강서동 498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흥덕구</t>
        </is>
      </c>
      <c r="AE208" s="0" t="inlineStr">
        <is>
          <t>강서동</t>
        </is>
      </c>
      <c r="AG208" s="0" t="inlineStr">
        <is>
          <t>충청북도 청주시 흥덕구 서현동로 21</t>
        </is>
      </c>
      <c r="AH208" s="0" t="n">
        <v>0</v>
      </c>
      <c r="AI208" s="0" t="n">
        <v>719</v>
      </c>
      <c r="AJ208" s="0" t="n">
        <v>69</v>
      </c>
      <c r="AK208" s="0" t="n">
        <v>52</v>
      </c>
      <c r="AL208" s="0" t="n">
        <v>0.5</v>
      </c>
    </row>
    <row r="209">
      <c r="A209" s="0" t="inlineStr">
        <is>
          <t>[강서동]</t>
        </is>
      </c>
      <c r="B209" s="0" t="n">
        <v>112791</v>
      </c>
      <c r="C209" s="0" t="n">
        <v>9</v>
      </c>
      <c r="D209" s="0" t="inlineStr">
        <is>
          <t>경도펠리스(도시형)</t>
        </is>
      </c>
      <c r="E209" s="0" t="inlineStr">
        <is>
          <t>2016.03.</t>
        </is>
      </c>
      <c r="F209" s="0" t="n">
        <v>104</v>
      </c>
      <c r="G209" s="0" t="n">
        <v>18.87</v>
      </c>
      <c r="H209" s="0" t="n">
        <v>62.39</v>
      </c>
      <c r="I209" s="0" t="n">
        <v>12.26</v>
      </c>
      <c r="J209" s="0" t="n">
        <v>40.54</v>
      </c>
      <c r="K209" s="0" t="n">
        <v>30</v>
      </c>
      <c r="T209" s="0" t="n">
        <v>1</v>
      </c>
      <c r="U209" s="0" t="n">
        <v>1</v>
      </c>
      <c r="V209" s="0" t="inlineStr">
        <is>
          <t>계단식</t>
        </is>
      </c>
      <c r="W209" s="0" t="n">
        <v>62</v>
      </c>
      <c r="X209" s="0" t="n">
        <v>15</v>
      </c>
      <c r="Y209" s="0" t="n">
        <v>15</v>
      </c>
      <c r="Z209" s="0" t="inlineStr">
        <is>
          <t>https://new.land.naver.com/complexes/112791?tab=detail&amp;rf=Y</t>
        </is>
      </c>
      <c r="AA209" s="0" t="inlineStr">
        <is>
          <t>충청북도 청주시 흥덕구 강서동 498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흥덕구</t>
        </is>
      </c>
      <c r="AE209" s="0" t="inlineStr">
        <is>
          <t>강서동</t>
        </is>
      </c>
      <c r="AG209" s="0" t="inlineStr">
        <is>
          <t>충청북도 청주시 흥덕구 서현동로 21</t>
        </is>
      </c>
      <c r="AH209" s="0" t="n">
        <v>0</v>
      </c>
      <c r="AI209" s="0" t="n">
        <v>719</v>
      </c>
      <c r="AJ209" s="0" t="n">
        <v>69</v>
      </c>
      <c r="AK209" s="0" t="n">
        <v>52</v>
      </c>
      <c r="AL209" s="0" t="n">
        <v>0.5</v>
      </c>
    </row>
    <row r="210">
      <c r="A210" s="0" t="inlineStr">
        <is>
          <t>[강서동]</t>
        </is>
      </c>
      <c r="B210" s="0" t="n">
        <v>112791</v>
      </c>
      <c r="C210" s="0" t="n">
        <v>10</v>
      </c>
      <c r="D210" s="0" t="inlineStr">
        <is>
          <t>경도펠리스(도시형)</t>
        </is>
      </c>
      <c r="E210" s="0" t="inlineStr">
        <is>
          <t>2016.03.</t>
        </is>
      </c>
      <c r="F210" s="0" t="n">
        <v>104</v>
      </c>
      <c r="G210" s="0" t="n">
        <v>20.69</v>
      </c>
      <c r="H210" s="0" t="n">
        <v>68.42</v>
      </c>
      <c r="I210" s="0" t="n">
        <v>13.44</v>
      </c>
      <c r="J210" s="0" t="n">
        <v>44.46</v>
      </c>
      <c r="K210" s="0" t="n">
        <v>10</v>
      </c>
      <c r="T210" s="0" t="n">
        <v>1</v>
      </c>
      <c r="U210" s="0" t="n">
        <v>1</v>
      </c>
      <c r="V210" s="0" t="inlineStr">
        <is>
          <t>계단식</t>
        </is>
      </c>
      <c r="W210" s="0" t="n">
        <v>68</v>
      </c>
      <c r="X210" s="0" t="n">
        <v>15</v>
      </c>
      <c r="Y210" s="0" t="n">
        <v>15</v>
      </c>
      <c r="Z210" s="0" t="inlineStr">
        <is>
          <t>https://new.land.naver.com/complexes/112791?tab=detail&amp;rf=Y</t>
        </is>
      </c>
      <c r="AA210" s="0" t="inlineStr">
        <is>
          <t>충청북도 청주시 흥덕구 강서동 498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흥덕구</t>
        </is>
      </c>
      <c r="AE210" s="0" t="inlineStr">
        <is>
          <t>강서동</t>
        </is>
      </c>
      <c r="AG210" s="0" t="inlineStr">
        <is>
          <t>충청북도 청주시 흥덕구 서현동로 21</t>
        </is>
      </c>
      <c r="AH210" s="0" t="n">
        <v>0</v>
      </c>
      <c r="AI210" s="0" t="n">
        <v>719</v>
      </c>
      <c r="AJ210" s="0" t="n">
        <v>69</v>
      </c>
      <c r="AK210" s="0" t="n">
        <v>52</v>
      </c>
      <c r="AL210" s="0" t="n">
        <v>0.5</v>
      </c>
    </row>
    <row r="211">
      <c r="A211" s="0" t="inlineStr">
        <is>
          <t>[강서동]</t>
        </is>
      </c>
      <c r="B211" s="0" t="n">
        <v>113157</v>
      </c>
      <c r="C211" s="0" t="n">
        <v>1</v>
      </c>
      <c r="D211" s="0" t="inlineStr">
        <is>
          <t>세솔타운(도시형)</t>
        </is>
      </c>
      <c r="E211" s="0" t="inlineStr">
        <is>
          <t>2013.12.</t>
        </is>
      </c>
      <c r="F211" s="0" t="n">
        <v>72</v>
      </c>
      <c r="G211" s="0" t="n">
        <v>10.51</v>
      </c>
      <c r="H211" s="0" t="n">
        <v>34.75</v>
      </c>
      <c r="I211" s="0" t="n">
        <v>8.01</v>
      </c>
      <c r="J211" s="0" t="n">
        <v>26.5</v>
      </c>
      <c r="K211" s="0" t="n">
        <v>9</v>
      </c>
      <c r="T211" s="0" t="n">
        <v>1</v>
      </c>
      <c r="U211" s="0" t="n">
        <v>1</v>
      </c>
      <c r="V211" s="0" t="inlineStr">
        <is>
          <t>복도식</t>
        </is>
      </c>
      <c r="W211" s="0" t="n">
        <v>34</v>
      </c>
      <c r="X211" s="0" t="n">
        <v>12</v>
      </c>
      <c r="Y211" s="0" t="n">
        <v>12</v>
      </c>
      <c r="Z211" s="0" t="inlineStr">
        <is>
          <t>https://new.land.naver.com/complexes/113157?tab=detail&amp;rf=Y</t>
        </is>
      </c>
      <c r="AA211" s="0" t="inlineStr">
        <is>
          <t>충청북도 청주시 흥덕구 강서동 478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흥덕구</t>
        </is>
      </c>
      <c r="AE211" s="0" t="inlineStr">
        <is>
          <t>강서동</t>
        </is>
      </c>
      <c r="AG211" s="0" t="inlineStr">
        <is>
          <t>충청북도 청주시 흥덕구 강서로 121</t>
        </is>
      </c>
      <c r="AH211" s="0" t="n">
        <v>0</v>
      </c>
      <c r="AI211" s="0" t="n">
        <v>567</v>
      </c>
      <c r="AJ211" s="0" t="n">
        <v>69</v>
      </c>
      <c r="AK211" s="0" t="n">
        <v>35</v>
      </c>
      <c r="AL211" s="0" t="n">
        <v>0.49</v>
      </c>
    </row>
    <row r="212">
      <c r="A212" s="0" t="inlineStr">
        <is>
          <t>[강서동]</t>
        </is>
      </c>
      <c r="B212" s="0" t="n">
        <v>113157</v>
      </c>
      <c r="C212" s="0" t="n">
        <v>2</v>
      </c>
      <c r="D212" s="0" t="inlineStr">
        <is>
          <t>세솔타운(도시형)</t>
        </is>
      </c>
      <c r="E212" s="0" t="inlineStr">
        <is>
          <t>2013.12.</t>
        </is>
      </c>
      <c r="F212" s="0" t="n">
        <v>72</v>
      </c>
      <c r="G212" s="0" t="n">
        <v>10.46</v>
      </c>
      <c r="H212" s="0" t="n">
        <v>34.58</v>
      </c>
      <c r="I212" s="0" t="n">
        <v>7.97</v>
      </c>
      <c r="J212" s="0" t="n">
        <v>26.37</v>
      </c>
      <c r="K212" s="0" t="n">
        <v>9</v>
      </c>
      <c r="T212" s="0" t="n">
        <v>1</v>
      </c>
      <c r="U212" s="0" t="n">
        <v>1</v>
      </c>
      <c r="V212" s="0" t="inlineStr">
        <is>
          <t>복도식</t>
        </is>
      </c>
      <c r="W212" s="0" t="inlineStr">
        <is>
          <t>34A</t>
        </is>
      </c>
      <c r="X212" s="0" t="n">
        <v>12</v>
      </c>
      <c r="Y212" s="0" t="n">
        <v>12</v>
      </c>
      <c r="Z212" s="0" t="inlineStr">
        <is>
          <t>https://new.land.naver.com/complexes/113157?tab=detail&amp;rf=Y</t>
        </is>
      </c>
      <c r="AA212" s="0" t="inlineStr">
        <is>
          <t>충청북도 청주시 흥덕구 강서동 478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흥덕구</t>
        </is>
      </c>
      <c r="AE212" s="0" t="inlineStr">
        <is>
          <t>강서동</t>
        </is>
      </c>
      <c r="AG212" s="0" t="inlineStr">
        <is>
          <t>충청북도 청주시 흥덕구 강서로 121</t>
        </is>
      </c>
      <c r="AH212" s="0" t="n">
        <v>0</v>
      </c>
      <c r="AI212" s="0" t="n">
        <v>567</v>
      </c>
      <c r="AJ212" s="0" t="n">
        <v>69</v>
      </c>
      <c r="AK212" s="0" t="n">
        <v>35</v>
      </c>
      <c r="AL212" s="0" t="n">
        <v>0.49</v>
      </c>
    </row>
    <row r="213">
      <c r="A213" s="0" t="inlineStr">
        <is>
          <t>[강서동]</t>
        </is>
      </c>
      <c r="B213" s="0" t="n">
        <v>113157</v>
      </c>
      <c r="C213" s="0" t="n">
        <v>3</v>
      </c>
      <c r="D213" s="0" t="inlineStr">
        <is>
          <t>세솔타운(도시형)</t>
        </is>
      </c>
      <c r="E213" s="0" t="inlineStr">
        <is>
          <t>2013.12.</t>
        </is>
      </c>
      <c r="F213" s="0" t="n">
        <v>72</v>
      </c>
      <c r="G213" s="0" t="n">
        <v>10.47</v>
      </c>
      <c r="H213" s="0" t="n">
        <v>34.64</v>
      </c>
      <c r="I213" s="0" t="n">
        <v>7.98</v>
      </c>
      <c r="J213" s="0" t="n">
        <v>26.41</v>
      </c>
      <c r="K213" s="0" t="n">
        <v>1</v>
      </c>
      <c r="T213" s="0" t="n">
        <v>1</v>
      </c>
      <c r="U213" s="0" t="n">
        <v>1</v>
      </c>
      <c r="V213" s="0" t="inlineStr">
        <is>
          <t>복도식</t>
        </is>
      </c>
      <c r="W213" s="0" t="inlineStr">
        <is>
          <t>34B</t>
        </is>
      </c>
      <c r="X213" s="0" t="n">
        <v>12</v>
      </c>
      <c r="Y213" s="0" t="n">
        <v>12</v>
      </c>
      <c r="Z213" s="0" t="inlineStr">
        <is>
          <t>https://new.land.naver.com/complexes/113157?tab=detail&amp;rf=Y</t>
        </is>
      </c>
      <c r="AA213" s="0" t="inlineStr">
        <is>
          <t>충청북도 청주시 흥덕구 강서동 478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흥덕구</t>
        </is>
      </c>
      <c r="AE213" s="0" t="inlineStr">
        <is>
          <t>강서동</t>
        </is>
      </c>
      <c r="AG213" s="0" t="inlineStr">
        <is>
          <t>충청북도 청주시 흥덕구 강서로 121</t>
        </is>
      </c>
      <c r="AH213" s="0" t="n">
        <v>0</v>
      </c>
      <c r="AI213" s="0" t="n">
        <v>567</v>
      </c>
      <c r="AJ213" s="0" t="n">
        <v>69</v>
      </c>
      <c r="AK213" s="0" t="n">
        <v>35</v>
      </c>
      <c r="AL213" s="0" t="n">
        <v>0.49</v>
      </c>
    </row>
    <row r="214">
      <c r="A214" s="0" t="inlineStr">
        <is>
          <t>[강서동]</t>
        </is>
      </c>
      <c r="B214" s="0" t="n">
        <v>113157</v>
      </c>
      <c r="C214" s="0" t="n">
        <v>4</v>
      </c>
      <c r="D214" s="0" t="inlineStr">
        <is>
          <t>세솔타운(도시형)</t>
        </is>
      </c>
      <c r="E214" s="0" t="inlineStr">
        <is>
          <t>2013.12.</t>
        </is>
      </c>
      <c r="F214" s="0" t="n">
        <v>72</v>
      </c>
      <c r="G214" s="0" t="n">
        <v>13.5</v>
      </c>
      <c r="H214" s="0" t="n">
        <v>44.63</v>
      </c>
      <c r="I214" s="0" t="n">
        <v>10.29</v>
      </c>
      <c r="J214" s="0" t="n">
        <v>34.04</v>
      </c>
      <c r="K214" s="0" t="n">
        <v>8</v>
      </c>
      <c r="T214" s="0" t="n">
        <v>1</v>
      </c>
      <c r="U214" s="0" t="n">
        <v>1</v>
      </c>
      <c r="V214" s="0" t="inlineStr">
        <is>
          <t>복도식</t>
        </is>
      </c>
      <c r="W214" s="0" t="n">
        <v>44</v>
      </c>
      <c r="X214" s="0" t="n">
        <v>12</v>
      </c>
      <c r="Y214" s="0" t="n">
        <v>12</v>
      </c>
      <c r="Z214" s="0" t="inlineStr">
        <is>
          <t>https://new.land.naver.com/complexes/113157?tab=detail&amp;rf=Y</t>
        </is>
      </c>
      <c r="AA214" s="0" t="inlineStr">
        <is>
          <t>충청북도 청주시 흥덕구 강서동 478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흥덕구</t>
        </is>
      </c>
      <c r="AE214" s="0" t="inlineStr">
        <is>
          <t>강서동</t>
        </is>
      </c>
      <c r="AG214" s="0" t="inlineStr">
        <is>
          <t>충청북도 청주시 흥덕구 강서로 121</t>
        </is>
      </c>
      <c r="AH214" s="0" t="n">
        <v>0</v>
      </c>
      <c r="AI214" s="0" t="n">
        <v>567</v>
      </c>
      <c r="AJ214" s="0" t="n">
        <v>69</v>
      </c>
      <c r="AK214" s="0" t="n">
        <v>35</v>
      </c>
      <c r="AL214" s="0" t="n">
        <v>0.49</v>
      </c>
    </row>
    <row r="215">
      <c r="A215" s="0" t="inlineStr">
        <is>
          <t>[강서동]</t>
        </is>
      </c>
      <c r="B215" s="0" t="n">
        <v>113157</v>
      </c>
      <c r="C215" s="0" t="n">
        <v>5</v>
      </c>
      <c r="D215" s="0" t="inlineStr">
        <is>
          <t>세솔타운(도시형)</t>
        </is>
      </c>
      <c r="E215" s="0" t="inlineStr">
        <is>
          <t>2013.12.</t>
        </is>
      </c>
      <c r="F215" s="0" t="n">
        <v>72</v>
      </c>
      <c r="G215" s="0" t="n">
        <v>15.97</v>
      </c>
      <c r="H215" s="0" t="n">
        <v>52.81</v>
      </c>
      <c r="I215" s="0" t="n">
        <v>12.18</v>
      </c>
      <c r="J215" s="0" t="n">
        <v>40.27</v>
      </c>
      <c r="K215" s="0" t="n">
        <v>36</v>
      </c>
      <c r="T215" s="0" t="n">
        <v>1</v>
      </c>
      <c r="U215" s="0" t="n">
        <v>1</v>
      </c>
      <c r="V215" s="0" t="inlineStr">
        <is>
          <t>복도식</t>
        </is>
      </c>
      <c r="W215" s="0" t="inlineStr">
        <is>
          <t>52A</t>
        </is>
      </c>
      <c r="X215" s="0" t="n">
        <v>12</v>
      </c>
      <c r="Y215" s="0" t="n">
        <v>12</v>
      </c>
      <c r="Z215" s="0" t="inlineStr">
        <is>
          <t>https://new.land.naver.com/complexes/113157?tab=detail&amp;rf=Y</t>
        </is>
      </c>
      <c r="AA215" s="0" t="inlineStr">
        <is>
          <t>충청북도 청주시 흥덕구 강서동 478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흥덕구</t>
        </is>
      </c>
      <c r="AE215" s="0" t="inlineStr">
        <is>
          <t>강서동</t>
        </is>
      </c>
      <c r="AG215" s="0" t="inlineStr">
        <is>
          <t>충청북도 청주시 흥덕구 강서로 121</t>
        </is>
      </c>
      <c r="AH215" s="0" t="n">
        <v>0</v>
      </c>
      <c r="AI215" s="0" t="n">
        <v>567</v>
      </c>
      <c r="AJ215" s="0" t="n">
        <v>69</v>
      </c>
      <c r="AK215" s="0" t="n">
        <v>35</v>
      </c>
      <c r="AL215" s="0" t="n">
        <v>0.49</v>
      </c>
    </row>
    <row r="216">
      <c r="A216" s="0" t="inlineStr">
        <is>
          <t>[강서동]</t>
        </is>
      </c>
      <c r="B216" s="0" t="n">
        <v>113157</v>
      </c>
      <c r="C216" s="0" t="n">
        <v>6</v>
      </c>
      <c r="D216" s="0" t="inlineStr">
        <is>
          <t>세솔타운(도시형)</t>
        </is>
      </c>
      <c r="E216" s="0" t="inlineStr">
        <is>
          <t>2013.12.</t>
        </is>
      </c>
      <c r="F216" s="0" t="n">
        <v>72</v>
      </c>
      <c r="G216" s="0" t="n">
        <v>19.57</v>
      </c>
      <c r="H216" s="0" t="n">
        <v>64.72</v>
      </c>
      <c r="I216" s="0" t="n">
        <v>14.93</v>
      </c>
      <c r="J216" s="0" t="n">
        <v>49.36</v>
      </c>
      <c r="K216" s="0" t="n">
        <v>9</v>
      </c>
      <c r="T216" s="0" t="n">
        <v>1</v>
      </c>
      <c r="U216" s="0" t="n">
        <v>1</v>
      </c>
      <c r="V216" s="0" t="inlineStr">
        <is>
          <t>복도식</t>
        </is>
      </c>
      <c r="W216" s="0" t="inlineStr">
        <is>
          <t>64B</t>
        </is>
      </c>
      <c r="X216" s="0" t="n">
        <v>12</v>
      </c>
      <c r="Y216" s="0" t="n">
        <v>12</v>
      </c>
      <c r="Z216" s="0" t="inlineStr">
        <is>
          <t>https://new.land.naver.com/complexes/113157?tab=detail&amp;rf=Y</t>
        </is>
      </c>
      <c r="AA216" s="0" t="inlineStr">
        <is>
          <t>충청북도 청주시 흥덕구 강서동 478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흥덕구</t>
        </is>
      </c>
      <c r="AE216" s="0" t="inlineStr">
        <is>
          <t>강서동</t>
        </is>
      </c>
      <c r="AG216" s="0" t="inlineStr">
        <is>
          <t>충청북도 청주시 흥덕구 강서로 121</t>
        </is>
      </c>
      <c r="AH216" s="0" t="n">
        <v>0</v>
      </c>
      <c r="AI216" s="0" t="n">
        <v>567</v>
      </c>
      <c r="AJ216" s="0" t="n">
        <v>69</v>
      </c>
      <c r="AK216" s="0" t="n">
        <v>35</v>
      </c>
      <c r="AL216" s="0" t="n">
        <v>0.49</v>
      </c>
    </row>
    <row r="217">
      <c r="A217" s="0" t="inlineStr">
        <is>
          <t>[강서동]</t>
        </is>
      </c>
      <c r="B217" s="0" t="n">
        <v>15425</v>
      </c>
      <c r="C217" s="0" t="n">
        <v>1</v>
      </c>
      <c r="D217" s="0" t="inlineStr">
        <is>
          <t>덕흥</t>
        </is>
      </c>
      <c r="E217" s="0" t="inlineStr">
        <is>
          <t>1992.11.</t>
        </is>
      </c>
      <c r="F217" s="0" t="n">
        <v>48</v>
      </c>
      <c r="G217" s="0" t="n">
        <v>23.48</v>
      </c>
      <c r="H217" s="0" t="n">
        <v>77.65000000000001</v>
      </c>
      <c r="I217" s="0" t="n">
        <v>18.11</v>
      </c>
      <c r="J217" s="0" t="n">
        <v>59.89</v>
      </c>
      <c r="K217" s="0" t="n">
        <v>18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77</v>
      </c>
      <c r="X217" s="0" t="n">
        <v>9</v>
      </c>
      <c r="Y217" s="0" t="n">
        <v>5</v>
      </c>
      <c r="Z217" s="0" t="inlineStr">
        <is>
          <t>https://new.land.naver.com/complexes/15425?tab=detail&amp;rf=Y</t>
        </is>
      </c>
      <c r="AA217" s="0" t="inlineStr">
        <is>
          <t>충청북도 청주시 흥덕구 강서동 40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흥덕구</t>
        </is>
      </c>
      <c r="AE217" s="0" t="inlineStr">
        <is>
          <t>강서동</t>
        </is>
      </c>
      <c r="AG217" s="0" t="inlineStr">
        <is>
          <t>충청북도 청주시 흥덕구 가로수로1144번길 42-8</t>
        </is>
      </c>
      <c r="AH217" s="0" t="n">
        <v>0</v>
      </c>
      <c r="AI217" s="0" t="n">
        <v>165</v>
      </c>
      <c r="AJ217" s="0" t="n">
        <v>22</v>
      </c>
      <c r="AK217" s="0" t="n">
        <v>26</v>
      </c>
      <c r="AL217" s="0" t="n">
        <v>0.54</v>
      </c>
    </row>
    <row r="218">
      <c r="A218" s="0" t="inlineStr">
        <is>
          <t>[강서동]</t>
        </is>
      </c>
      <c r="B218" s="0" t="n">
        <v>15425</v>
      </c>
      <c r="C218" s="0" t="n">
        <v>2</v>
      </c>
      <c r="D218" s="0" t="inlineStr">
        <is>
          <t>덕흥</t>
        </is>
      </c>
      <c r="E218" s="0" t="inlineStr">
        <is>
          <t>1992.11.</t>
        </is>
      </c>
      <c r="F218" s="0" t="n">
        <v>48</v>
      </c>
      <c r="G218" s="0" t="n">
        <v>24.41</v>
      </c>
      <c r="H218" s="0" t="n">
        <v>80.7</v>
      </c>
      <c r="I218" s="0" t="n">
        <v>18.11</v>
      </c>
      <c r="J218" s="0" t="n">
        <v>59.89</v>
      </c>
      <c r="K218" s="0" t="n">
        <v>14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80</v>
      </c>
      <c r="X218" s="0" t="n">
        <v>9</v>
      </c>
      <c r="Y218" s="0" t="n">
        <v>5</v>
      </c>
      <c r="Z218" s="0" t="inlineStr">
        <is>
          <t>https://new.land.naver.com/complexes/15425?tab=detail&amp;rf=Y</t>
        </is>
      </c>
      <c r="AA218" s="0" t="inlineStr">
        <is>
          <t>충청북도 청주시 흥덕구 강서동 40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흥덕구</t>
        </is>
      </c>
      <c r="AE218" s="0" t="inlineStr">
        <is>
          <t>강서동</t>
        </is>
      </c>
      <c r="AG218" s="0" t="inlineStr">
        <is>
          <t>충청북도 청주시 흥덕구 가로수로1144번길 42-8</t>
        </is>
      </c>
      <c r="AH218" s="0" t="n">
        <v>0</v>
      </c>
      <c r="AI218" s="0" t="n">
        <v>165</v>
      </c>
      <c r="AJ218" s="0" t="n">
        <v>22</v>
      </c>
      <c r="AK218" s="0" t="n">
        <v>26</v>
      </c>
      <c r="AL218" s="0" t="n">
        <v>0.54</v>
      </c>
    </row>
    <row r="219">
      <c r="A219" s="0" t="inlineStr">
        <is>
          <t>[강서동]</t>
        </is>
      </c>
      <c r="B219" s="0" t="n">
        <v>15425</v>
      </c>
      <c r="C219" s="0" t="n">
        <v>3</v>
      </c>
      <c r="D219" s="0" t="inlineStr">
        <is>
          <t>덕흥</t>
        </is>
      </c>
      <c r="E219" s="0" t="inlineStr">
        <is>
          <t>1992.11.</t>
        </is>
      </c>
      <c r="F219" s="0" t="n">
        <v>48</v>
      </c>
      <c r="G219" s="0" t="n">
        <v>31.91</v>
      </c>
      <c r="H219" s="0" t="n">
        <v>105.52</v>
      </c>
      <c r="I219" s="0" t="n">
        <v>25.7</v>
      </c>
      <c r="J219" s="0" t="n">
        <v>84.95999999999999</v>
      </c>
      <c r="K219" s="0" t="n">
        <v>16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105</v>
      </c>
      <c r="X219" s="0" t="n">
        <v>9</v>
      </c>
      <c r="Y219" s="0" t="n">
        <v>5</v>
      </c>
      <c r="Z219" s="0" t="inlineStr">
        <is>
          <t>https://new.land.naver.com/complexes/15425?tab=detail&amp;rf=Y</t>
        </is>
      </c>
      <c r="AA219" s="0" t="inlineStr">
        <is>
          <t>충청북도 청주시 흥덕구 강서동 40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흥덕구</t>
        </is>
      </c>
      <c r="AE219" s="0" t="inlineStr">
        <is>
          <t>강서동</t>
        </is>
      </c>
      <c r="AG219" s="0" t="inlineStr">
        <is>
          <t>충청북도 청주시 흥덕구 가로수로1144번길 42-8</t>
        </is>
      </c>
      <c r="AH219" s="0" t="n">
        <v>0</v>
      </c>
      <c r="AI219" s="0" t="n">
        <v>165</v>
      </c>
      <c r="AJ219" s="0" t="n">
        <v>22</v>
      </c>
      <c r="AK219" s="0" t="n">
        <v>26</v>
      </c>
      <c r="AL219" s="0" t="n">
        <v>0.54</v>
      </c>
    </row>
    <row r="220">
      <c r="A220" s="0" t="inlineStr">
        <is>
          <t>[강서동]</t>
        </is>
      </c>
      <c r="B220" s="0" t="n">
        <v>116600</v>
      </c>
      <c r="C220" s="0" t="n">
        <v>1</v>
      </c>
      <c r="D220" s="0" t="inlineStr">
        <is>
          <t>이랜드타운힐스싱글스위트청주(도시형)</t>
        </is>
      </c>
      <c r="E220" s="0" t="inlineStr">
        <is>
          <t>2019.09.</t>
        </is>
      </c>
      <c r="F220" s="0" t="n">
        <v>288</v>
      </c>
      <c r="G220" s="0" t="n">
        <v>9.1</v>
      </c>
      <c r="H220" s="0" t="n">
        <v>30.1</v>
      </c>
      <c r="I220" s="0" t="n">
        <v>6.03</v>
      </c>
      <c r="J220" s="0" t="n">
        <v>19.96</v>
      </c>
      <c r="K220" s="0" t="n">
        <v>178</v>
      </c>
      <c r="T220" s="0" t="n">
        <v>1</v>
      </c>
      <c r="U220" s="0" t="n">
        <v>1</v>
      </c>
      <c r="V220" s="0" t="inlineStr">
        <is>
          <t>복도식</t>
        </is>
      </c>
      <c r="W220" s="0" t="inlineStr">
        <is>
          <t>30S</t>
        </is>
      </c>
      <c r="X220" s="0" t="n">
        <v>20</v>
      </c>
      <c r="Y220" s="0" t="n">
        <v>20</v>
      </c>
      <c r="Z220" s="0" t="inlineStr">
        <is>
          <t>https://new.land.naver.com/complexes/116600?tab=detail&amp;rf=Y</t>
        </is>
      </c>
      <c r="AA220" s="0" t="inlineStr">
        <is>
          <t>충청북도 청주시 흥덕구 강서동 460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흥덕구</t>
        </is>
      </c>
      <c r="AE220" s="0" t="inlineStr">
        <is>
          <t>강서동</t>
        </is>
      </c>
      <c r="AG220" s="0" t="inlineStr">
        <is>
          <t>충청북도 청주시 흥덕구 2순환로 1228</t>
        </is>
      </c>
      <c r="AH220" s="0" t="n">
        <v>0</v>
      </c>
      <c r="AI220" s="0" t="n">
        <v>898</v>
      </c>
      <c r="AJ220" s="0" t="n">
        <v>69</v>
      </c>
      <c r="AK220" s="0" t="n">
        <v>202</v>
      </c>
      <c r="AL220" s="0" t="n">
        <v>0.7</v>
      </c>
    </row>
    <row r="221">
      <c r="A221" s="0" t="inlineStr">
        <is>
          <t>[강서동]</t>
        </is>
      </c>
      <c r="B221" s="0" t="n">
        <v>116600</v>
      </c>
      <c r="C221" s="0" t="n">
        <v>2</v>
      </c>
      <c r="D221" s="0" t="inlineStr">
        <is>
          <t>이랜드타운힐스싱글스위트청주(도시형)</t>
        </is>
      </c>
      <c r="E221" s="0" t="inlineStr">
        <is>
          <t>2019.09.</t>
        </is>
      </c>
      <c r="F221" s="0" t="n">
        <v>288</v>
      </c>
      <c r="G221" s="0" t="n">
        <v>9.24</v>
      </c>
      <c r="H221" s="0" t="n">
        <v>30.55</v>
      </c>
      <c r="I221" s="0" t="n">
        <v>6.03</v>
      </c>
      <c r="J221" s="0" t="n">
        <v>19.96</v>
      </c>
      <c r="K221" s="0" t="n">
        <v>53</v>
      </c>
      <c r="T221" s="0" t="n">
        <v>1</v>
      </c>
      <c r="U221" s="0" t="n">
        <v>1</v>
      </c>
      <c r="V221" s="0" t="inlineStr">
        <is>
          <t>복도식</t>
        </is>
      </c>
      <c r="W221" s="0" t="inlineStr">
        <is>
          <t>30I</t>
        </is>
      </c>
      <c r="X221" s="0" t="n">
        <v>20</v>
      </c>
      <c r="Y221" s="0" t="n">
        <v>20</v>
      </c>
      <c r="Z221" s="0" t="inlineStr">
        <is>
          <t>https://new.land.naver.com/complexes/116600?tab=detail&amp;rf=Y</t>
        </is>
      </c>
      <c r="AA221" s="0" t="inlineStr">
        <is>
          <t>충청북도 청주시 흥덕구 강서동 460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흥덕구</t>
        </is>
      </c>
      <c r="AE221" s="0" t="inlineStr">
        <is>
          <t>강서동</t>
        </is>
      </c>
      <c r="AG221" s="0" t="inlineStr">
        <is>
          <t>충청북도 청주시 흥덕구 2순환로 1228</t>
        </is>
      </c>
      <c r="AH221" s="0" t="n">
        <v>0</v>
      </c>
      <c r="AI221" s="0" t="n">
        <v>898</v>
      </c>
      <c r="AJ221" s="0" t="n">
        <v>69</v>
      </c>
      <c r="AK221" s="0" t="n">
        <v>202</v>
      </c>
      <c r="AL221" s="0" t="n">
        <v>0.7</v>
      </c>
    </row>
    <row r="222">
      <c r="A222" s="0" t="inlineStr">
        <is>
          <t>[강서동]</t>
        </is>
      </c>
      <c r="B222" s="0" t="n">
        <v>116600</v>
      </c>
      <c r="C222" s="0" t="n">
        <v>3</v>
      </c>
      <c r="D222" s="0" t="inlineStr">
        <is>
          <t>이랜드타운힐스싱글스위트청주(도시형)</t>
        </is>
      </c>
      <c r="E222" s="0" t="inlineStr">
        <is>
          <t>2019.09.</t>
        </is>
      </c>
      <c r="F222" s="0" t="n">
        <v>288</v>
      </c>
      <c r="G222" s="0" t="n">
        <v>9.24</v>
      </c>
      <c r="H222" s="0" t="n">
        <v>30.57</v>
      </c>
      <c r="I222" s="0" t="n">
        <v>6.03</v>
      </c>
      <c r="J222" s="0" t="n">
        <v>19.96</v>
      </c>
      <c r="K222" s="0" t="n">
        <v>35</v>
      </c>
      <c r="T222" s="0" t="n">
        <v>1</v>
      </c>
      <c r="U222" s="0" t="n">
        <v>1</v>
      </c>
      <c r="V222" s="0" t="inlineStr">
        <is>
          <t>복도식</t>
        </is>
      </c>
      <c r="W222" s="0" t="inlineStr">
        <is>
          <t>30G</t>
        </is>
      </c>
      <c r="X222" s="0" t="n">
        <v>20</v>
      </c>
      <c r="Y222" s="0" t="n">
        <v>20</v>
      </c>
      <c r="Z222" s="0" t="inlineStr">
        <is>
          <t>https://new.land.naver.com/complexes/116600?tab=detail&amp;rf=Y</t>
        </is>
      </c>
      <c r="AA222" s="0" t="inlineStr">
        <is>
          <t>충청북도 청주시 흥덕구 강서동 460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흥덕구</t>
        </is>
      </c>
      <c r="AE222" s="0" t="inlineStr">
        <is>
          <t>강서동</t>
        </is>
      </c>
      <c r="AG222" s="0" t="inlineStr">
        <is>
          <t>충청북도 청주시 흥덕구 2순환로 1228</t>
        </is>
      </c>
      <c r="AH222" s="0" t="n">
        <v>0</v>
      </c>
      <c r="AI222" s="0" t="n">
        <v>898</v>
      </c>
      <c r="AJ222" s="0" t="n">
        <v>69</v>
      </c>
      <c r="AK222" s="0" t="n">
        <v>202</v>
      </c>
      <c r="AL222" s="0" t="n">
        <v>0.7</v>
      </c>
    </row>
    <row r="223">
      <c r="A223" s="0" t="inlineStr">
        <is>
          <t>[강서동]</t>
        </is>
      </c>
      <c r="B223" s="0" t="n">
        <v>116600</v>
      </c>
      <c r="C223" s="0" t="n">
        <v>4</v>
      </c>
      <c r="D223" s="0" t="inlineStr">
        <is>
          <t>이랜드타운힐스싱글스위트청주(도시형)</t>
        </is>
      </c>
      <c r="E223" s="0" t="inlineStr">
        <is>
          <t>2019.09.</t>
        </is>
      </c>
      <c r="F223" s="0" t="n">
        <v>288</v>
      </c>
      <c r="G223" s="0" t="n">
        <v>9.25</v>
      </c>
      <c r="H223" s="0" t="n">
        <v>30.59</v>
      </c>
      <c r="I223" s="0" t="n">
        <v>6.03</v>
      </c>
      <c r="J223" s="0" t="n">
        <v>19.96</v>
      </c>
      <c r="K223" s="0" t="n">
        <v>18</v>
      </c>
      <c r="T223" s="0" t="n">
        <v>1</v>
      </c>
      <c r="U223" s="0" t="n">
        <v>1</v>
      </c>
      <c r="V223" s="0" t="inlineStr">
        <is>
          <t>복도식</t>
        </is>
      </c>
      <c r="W223" s="0" t="inlineStr">
        <is>
          <t>30L</t>
        </is>
      </c>
      <c r="X223" s="0" t="n">
        <v>20</v>
      </c>
      <c r="Y223" s="0" t="n">
        <v>20</v>
      </c>
      <c r="Z223" s="0" t="inlineStr">
        <is>
          <t>https://new.land.naver.com/complexes/116600?tab=detail&amp;rf=Y</t>
        </is>
      </c>
      <c r="AA223" s="0" t="inlineStr">
        <is>
          <t>충청북도 청주시 흥덕구 강서동 460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흥덕구</t>
        </is>
      </c>
      <c r="AE223" s="0" t="inlineStr">
        <is>
          <t>강서동</t>
        </is>
      </c>
      <c r="AG223" s="0" t="inlineStr">
        <is>
          <t>충청북도 청주시 흥덕구 2순환로 1228</t>
        </is>
      </c>
      <c r="AH223" s="0" t="n">
        <v>0</v>
      </c>
      <c r="AI223" s="0" t="n">
        <v>898</v>
      </c>
      <c r="AJ223" s="0" t="n">
        <v>69</v>
      </c>
      <c r="AK223" s="0" t="n">
        <v>202</v>
      </c>
      <c r="AL223" s="0" t="n">
        <v>0.7</v>
      </c>
    </row>
    <row r="224">
      <c r="A224" s="0" t="inlineStr">
        <is>
          <t>[강서동]</t>
        </is>
      </c>
      <c r="B224" s="0" t="n">
        <v>116600</v>
      </c>
      <c r="C224" s="0" t="n">
        <v>5</v>
      </c>
      <c r="D224" s="0" t="inlineStr">
        <is>
          <t>이랜드타운힐스싱글스위트청주(도시형)</t>
        </is>
      </c>
      <c r="E224" s="0" t="inlineStr">
        <is>
          <t>2019.09.</t>
        </is>
      </c>
      <c r="F224" s="0" t="n">
        <v>288</v>
      </c>
      <c r="G224" s="0" t="n">
        <v>9.140000000000001</v>
      </c>
      <c r="H224" s="0" t="n">
        <v>30.24</v>
      </c>
      <c r="I224" s="0" t="n">
        <v>6.03</v>
      </c>
      <c r="J224" s="0" t="n">
        <v>19.96</v>
      </c>
      <c r="K224" s="0" t="n">
        <v>2</v>
      </c>
      <c r="T224" s="0" t="n">
        <v>1</v>
      </c>
      <c r="U224" s="0" t="n">
        <v>1</v>
      </c>
      <c r="V224" s="0" t="inlineStr">
        <is>
          <t>복도식</t>
        </is>
      </c>
      <c r="W224" s="0" t="inlineStr">
        <is>
          <t>30T</t>
        </is>
      </c>
      <c r="X224" s="0" t="n">
        <v>20</v>
      </c>
      <c r="Y224" s="0" t="n">
        <v>20</v>
      </c>
      <c r="Z224" s="0" t="inlineStr">
        <is>
          <t>https://new.land.naver.com/complexes/116600?tab=detail&amp;rf=Y</t>
        </is>
      </c>
      <c r="AA224" s="0" t="inlineStr">
        <is>
          <t>충청북도 청주시 흥덕구 강서동 460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흥덕구</t>
        </is>
      </c>
      <c r="AE224" s="0" t="inlineStr">
        <is>
          <t>강서동</t>
        </is>
      </c>
      <c r="AG224" s="0" t="inlineStr">
        <is>
          <t>충청북도 청주시 흥덕구 2순환로 1228</t>
        </is>
      </c>
      <c r="AH224" s="0" t="n">
        <v>0</v>
      </c>
      <c r="AI224" s="0" t="n">
        <v>898</v>
      </c>
      <c r="AJ224" s="0" t="n">
        <v>69</v>
      </c>
      <c r="AK224" s="0" t="n">
        <v>202</v>
      </c>
      <c r="AL224" s="0" t="n">
        <v>0.7</v>
      </c>
    </row>
    <row r="225">
      <c r="A225" s="0" t="inlineStr">
        <is>
          <t>[강서동]</t>
        </is>
      </c>
      <c r="B225" s="0" t="n">
        <v>116600</v>
      </c>
      <c r="C225" s="0" t="n">
        <v>6</v>
      </c>
      <c r="D225" s="0" t="inlineStr">
        <is>
          <t>이랜드타운힐스싱글스위트청주(도시형)</t>
        </is>
      </c>
      <c r="E225" s="0" t="inlineStr">
        <is>
          <t>2019.09.</t>
        </is>
      </c>
      <c r="F225" s="0" t="n">
        <v>288</v>
      </c>
      <c r="G225" s="0" t="n">
        <v>9.24</v>
      </c>
      <c r="H225" s="0" t="n">
        <v>30.57</v>
      </c>
      <c r="I225" s="0" t="n">
        <v>6.03</v>
      </c>
      <c r="J225" s="0" t="n">
        <v>19.96</v>
      </c>
      <c r="K225" s="0" t="n">
        <v>1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30C</t>
        </is>
      </c>
      <c r="X225" s="0" t="n">
        <v>20</v>
      </c>
      <c r="Y225" s="0" t="n">
        <v>20</v>
      </c>
      <c r="Z225" s="0" t="inlineStr">
        <is>
          <t>https://new.land.naver.com/complexes/116600?tab=detail&amp;rf=Y</t>
        </is>
      </c>
      <c r="AA225" s="0" t="inlineStr">
        <is>
          <t>충청북도 청주시 흥덕구 강서동 460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흥덕구</t>
        </is>
      </c>
      <c r="AE225" s="0" t="inlineStr">
        <is>
          <t>강서동</t>
        </is>
      </c>
      <c r="AG225" s="0" t="inlineStr">
        <is>
          <t>충청북도 청주시 흥덕구 2순환로 1228</t>
        </is>
      </c>
      <c r="AH225" s="0" t="n">
        <v>0</v>
      </c>
      <c r="AI225" s="0" t="n">
        <v>898</v>
      </c>
      <c r="AJ225" s="0" t="n">
        <v>69</v>
      </c>
      <c r="AK225" s="0" t="n">
        <v>202</v>
      </c>
      <c r="AL225" s="0" t="n">
        <v>0.7</v>
      </c>
    </row>
    <row r="226">
      <c r="A226" s="0" t="inlineStr">
        <is>
          <t>[강서동]</t>
        </is>
      </c>
      <c r="B226" s="0" t="n">
        <v>116600</v>
      </c>
      <c r="C226" s="0" t="n">
        <v>7</v>
      </c>
      <c r="D226" s="0" t="inlineStr">
        <is>
          <t>이랜드타운힐스싱글스위트청주(도시형)</t>
        </is>
      </c>
      <c r="E226" s="0" t="inlineStr">
        <is>
          <t>2019.09.</t>
        </is>
      </c>
      <c r="F226" s="0" t="n">
        <v>288</v>
      </c>
      <c r="G226" s="0" t="n">
        <v>9.24</v>
      </c>
      <c r="H226" s="0" t="n">
        <v>30.55</v>
      </c>
      <c r="I226" s="0" t="n">
        <v>6.03</v>
      </c>
      <c r="J226" s="0" t="n">
        <v>19.96</v>
      </c>
      <c r="K226" s="0" t="n">
        <v>1</v>
      </c>
      <c r="T226" s="0" t="n">
        <v>1</v>
      </c>
      <c r="U226" s="0" t="n">
        <v>1</v>
      </c>
      <c r="V226" s="0" t="inlineStr">
        <is>
          <t>복도식</t>
        </is>
      </c>
      <c r="W226" s="0" t="inlineStr">
        <is>
          <t>30R</t>
        </is>
      </c>
      <c r="X226" s="0" t="n">
        <v>20</v>
      </c>
      <c r="Y226" s="0" t="n">
        <v>20</v>
      </c>
      <c r="Z226" s="0" t="inlineStr">
        <is>
          <t>https://new.land.naver.com/complexes/116600?tab=detail&amp;rf=Y</t>
        </is>
      </c>
      <c r="AA226" s="0" t="inlineStr">
        <is>
          <t>충청북도 청주시 흥덕구 강서동 460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흥덕구</t>
        </is>
      </c>
      <c r="AE226" s="0" t="inlineStr">
        <is>
          <t>강서동</t>
        </is>
      </c>
      <c r="AG226" s="0" t="inlineStr">
        <is>
          <t>충청북도 청주시 흥덕구 2순환로 1228</t>
        </is>
      </c>
      <c r="AH226" s="0" t="n">
        <v>0</v>
      </c>
      <c r="AI226" s="0" t="n">
        <v>898</v>
      </c>
      <c r="AJ226" s="0" t="n">
        <v>69</v>
      </c>
      <c r="AK226" s="0" t="n">
        <v>202</v>
      </c>
      <c r="AL226" s="0" t="n">
        <v>0.7</v>
      </c>
    </row>
    <row r="227">
      <c r="A227" s="0" t="inlineStr">
        <is>
          <t>[강서동]</t>
        </is>
      </c>
      <c r="B227" s="0" t="n">
        <v>109824</v>
      </c>
      <c r="C227" s="0" t="n">
        <v>1</v>
      </c>
      <c r="D227" s="0" t="inlineStr">
        <is>
          <t>신해블루지움</t>
        </is>
      </c>
      <c r="E227" s="0" t="inlineStr">
        <is>
          <t>2017.11.</t>
        </is>
      </c>
      <c r="F227" s="0" t="n">
        <v>611</v>
      </c>
      <c r="G227" s="0" t="n">
        <v>13.46</v>
      </c>
      <c r="H227" s="0" t="n">
        <v>44.5</v>
      </c>
      <c r="I227" s="0" t="n">
        <v>6.67</v>
      </c>
      <c r="J227" s="0" t="n">
        <v>22.08</v>
      </c>
      <c r="K227" s="0" t="n">
        <v>497</v>
      </c>
      <c r="T227" s="0" t="n">
        <v>1</v>
      </c>
      <c r="U227" s="0" t="n">
        <v>1</v>
      </c>
      <c r="V227" s="0" t="inlineStr">
        <is>
          <t>복도식</t>
        </is>
      </c>
      <c r="W227" s="0" t="inlineStr">
        <is>
          <t>44A1</t>
        </is>
      </c>
      <c r="X227" s="0" t="n">
        <v>18</v>
      </c>
      <c r="Y227" s="0" t="n">
        <v>2</v>
      </c>
      <c r="Z227" s="0" t="inlineStr">
        <is>
          <t>https://new.land.naver.com/complexes/109824?tab=detail&amp;rf=Y</t>
        </is>
      </c>
      <c r="AA227" s="0" t="inlineStr">
        <is>
          <t>충청북도 청주시 흥덕구 강서동 459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흥덕구</t>
        </is>
      </c>
      <c r="AE227" s="0" t="inlineStr">
        <is>
          <t>강서동</t>
        </is>
      </c>
      <c r="AG227" s="0" t="inlineStr">
        <is>
          <t>충청북도 청주시 흥덕구 2순환로 1222</t>
        </is>
      </c>
      <c r="AH227" s="0" t="n">
        <v>0</v>
      </c>
      <c r="AI227" s="0" t="n">
        <v>888</v>
      </c>
      <c r="AJ227" s="0" t="n">
        <v>67</v>
      </c>
      <c r="AK227" s="0" t="n">
        <v>427</v>
      </c>
      <c r="AL227" s="0" t="n">
        <v>0.7</v>
      </c>
    </row>
    <row r="228">
      <c r="A228" s="0" t="inlineStr">
        <is>
          <t>[강서동]</t>
        </is>
      </c>
      <c r="B228" s="0" t="n">
        <v>109824</v>
      </c>
      <c r="C228" s="0" t="n">
        <v>2</v>
      </c>
      <c r="D228" s="0" t="inlineStr">
        <is>
          <t>신해블루지움</t>
        </is>
      </c>
      <c r="E228" s="0" t="inlineStr">
        <is>
          <t>2017.11.</t>
        </is>
      </c>
      <c r="F228" s="0" t="n">
        <v>611</v>
      </c>
      <c r="G228" s="0" t="n">
        <v>15.53</v>
      </c>
      <c r="H228" s="0" t="n">
        <v>51.35</v>
      </c>
      <c r="I228" s="0" t="n">
        <v>7.7</v>
      </c>
      <c r="J228" s="0" t="n">
        <v>25.48</v>
      </c>
      <c r="K228" s="0" t="n">
        <v>12</v>
      </c>
      <c r="T228" s="0" t="n">
        <v>1</v>
      </c>
      <c r="U228" s="0" t="n">
        <v>1</v>
      </c>
      <c r="V228" s="0" t="inlineStr">
        <is>
          <t>계단식</t>
        </is>
      </c>
      <c r="W228" s="0" t="inlineStr">
        <is>
          <t>51A2</t>
        </is>
      </c>
      <c r="X228" s="0" t="n">
        <v>18</v>
      </c>
      <c r="Y228" s="0" t="n">
        <v>2</v>
      </c>
      <c r="Z228" s="0" t="inlineStr">
        <is>
          <t>https://new.land.naver.com/complexes/109824?tab=detail&amp;rf=Y</t>
        </is>
      </c>
      <c r="AA228" s="0" t="inlineStr">
        <is>
          <t>충청북도 청주시 흥덕구 강서동 459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흥덕구</t>
        </is>
      </c>
      <c r="AE228" s="0" t="inlineStr">
        <is>
          <t>강서동</t>
        </is>
      </c>
      <c r="AG228" s="0" t="inlineStr">
        <is>
          <t>충청북도 청주시 흥덕구 2순환로 1222</t>
        </is>
      </c>
      <c r="AH228" s="0" t="n">
        <v>0</v>
      </c>
      <c r="AI228" s="0" t="n">
        <v>888</v>
      </c>
      <c r="AJ228" s="0" t="n">
        <v>67</v>
      </c>
      <c r="AK228" s="0" t="n">
        <v>427</v>
      </c>
      <c r="AL228" s="0" t="n">
        <v>0.7</v>
      </c>
    </row>
    <row r="229">
      <c r="A229" s="0" t="inlineStr">
        <is>
          <t>[강서동]</t>
        </is>
      </c>
      <c r="B229" s="0" t="n">
        <v>109824</v>
      </c>
      <c r="C229" s="0" t="n">
        <v>3</v>
      </c>
      <c r="D229" s="0" t="inlineStr">
        <is>
          <t>신해블루지움</t>
        </is>
      </c>
      <c r="E229" s="0" t="inlineStr">
        <is>
          <t>2017.11.</t>
        </is>
      </c>
      <c r="F229" s="0" t="n">
        <v>611</v>
      </c>
      <c r="G229" s="0" t="n">
        <v>15.73</v>
      </c>
      <c r="H229" s="0" t="n">
        <v>52.03</v>
      </c>
      <c r="I229" s="0" t="n">
        <v>7.83</v>
      </c>
      <c r="J229" s="0" t="n">
        <v>25.89</v>
      </c>
      <c r="K229" s="0" t="n">
        <v>17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52A3</t>
        </is>
      </c>
      <c r="X229" s="0" t="n">
        <v>18</v>
      </c>
      <c r="Y229" s="0" t="n">
        <v>2</v>
      </c>
      <c r="Z229" s="0" t="inlineStr">
        <is>
          <t>https://new.land.naver.com/complexes/109824?tab=detail&amp;rf=Y</t>
        </is>
      </c>
      <c r="AA229" s="0" t="inlineStr">
        <is>
          <t>충청북도 청주시 흥덕구 강서동 459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흥덕구</t>
        </is>
      </c>
      <c r="AE229" s="0" t="inlineStr">
        <is>
          <t>강서동</t>
        </is>
      </c>
      <c r="AG229" s="0" t="inlineStr">
        <is>
          <t>충청북도 청주시 흥덕구 2순환로 1222</t>
        </is>
      </c>
      <c r="AH229" s="0" t="n">
        <v>0</v>
      </c>
      <c r="AI229" s="0" t="n">
        <v>888</v>
      </c>
      <c r="AJ229" s="0" t="n">
        <v>67</v>
      </c>
      <c r="AK229" s="0" t="n">
        <v>427</v>
      </c>
      <c r="AL229" s="0" t="n">
        <v>0.7</v>
      </c>
    </row>
    <row r="230">
      <c r="A230" s="0" t="inlineStr">
        <is>
          <t>[강서동]</t>
        </is>
      </c>
      <c r="B230" s="0" t="n">
        <v>109824</v>
      </c>
      <c r="C230" s="0" t="n">
        <v>4</v>
      </c>
      <c r="D230" s="0" t="inlineStr">
        <is>
          <t>신해블루지움</t>
        </is>
      </c>
      <c r="E230" s="0" t="inlineStr">
        <is>
          <t>2017.11.</t>
        </is>
      </c>
      <c r="F230" s="0" t="n">
        <v>611</v>
      </c>
      <c r="G230" s="0" t="n">
        <v>25.54</v>
      </c>
      <c r="H230" s="0" t="n">
        <v>84.45</v>
      </c>
      <c r="I230" s="0" t="n">
        <v>12.67</v>
      </c>
      <c r="J230" s="0" t="n">
        <v>41.9</v>
      </c>
      <c r="K230" s="0" t="n">
        <v>32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84B1</t>
        </is>
      </c>
      <c r="X230" s="0" t="n">
        <v>18</v>
      </c>
      <c r="Y230" s="0" t="n">
        <v>2</v>
      </c>
      <c r="Z230" s="0" t="inlineStr">
        <is>
          <t>https://new.land.naver.com/complexes/109824?tab=detail&amp;rf=Y</t>
        </is>
      </c>
      <c r="AA230" s="0" t="inlineStr">
        <is>
          <t>충청북도 청주시 흥덕구 강서동 459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흥덕구</t>
        </is>
      </c>
      <c r="AE230" s="0" t="inlineStr">
        <is>
          <t>강서동</t>
        </is>
      </c>
      <c r="AG230" s="0" t="inlineStr">
        <is>
          <t>충청북도 청주시 흥덕구 2순환로 1222</t>
        </is>
      </c>
      <c r="AH230" s="0" t="n">
        <v>0</v>
      </c>
      <c r="AI230" s="0" t="n">
        <v>888</v>
      </c>
      <c r="AJ230" s="0" t="n">
        <v>67</v>
      </c>
      <c r="AK230" s="0" t="n">
        <v>427</v>
      </c>
      <c r="AL230" s="0" t="n">
        <v>0.7</v>
      </c>
    </row>
    <row r="231">
      <c r="A231" s="0" t="inlineStr">
        <is>
          <t>[강서동]</t>
        </is>
      </c>
      <c r="B231" s="0" t="n">
        <v>109824</v>
      </c>
      <c r="C231" s="0" t="n">
        <v>5</v>
      </c>
      <c r="D231" s="0" t="inlineStr">
        <is>
          <t>신해블루지움</t>
        </is>
      </c>
      <c r="E231" s="0" t="inlineStr">
        <is>
          <t>2017.11.</t>
        </is>
      </c>
      <c r="F231" s="0" t="n">
        <v>611</v>
      </c>
      <c r="G231" s="0" t="n">
        <v>28.55</v>
      </c>
      <c r="H231" s="0" t="n">
        <v>94.39</v>
      </c>
      <c r="I231" s="0" t="n">
        <v>14.16</v>
      </c>
      <c r="J231" s="0" t="n">
        <v>46.83</v>
      </c>
      <c r="K231" s="0" t="n">
        <v>49</v>
      </c>
      <c r="T231" s="0" t="n">
        <v>2</v>
      </c>
      <c r="U231" s="0" t="n">
        <v>1</v>
      </c>
      <c r="V231" s="0" t="inlineStr">
        <is>
          <t>계단식</t>
        </is>
      </c>
      <c r="W231" s="0" t="inlineStr">
        <is>
          <t>94C1</t>
        </is>
      </c>
      <c r="X231" s="0" t="n">
        <v>18</v>
      </c>
      <c r="Y231" s="0" t="n">
        <v>2</v>
      </c>
      <c r="Z231" s="0" t="inlineStr">
        <is>
          <t>https://new.land.naver.com/complexes/109824?tab=detail&amp;rf=Y</t>
        </is>
      </c>
      <c r="AA231" s="0" t="inlineStr">
        <is>
          <t>충청북도 청주시 흥덕구 강서동 459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흥덕구</t>
        </is>
      </c>
      <c r="AE231" s="0" t="inlineStr">
        <is>
          <t>강서동</t>
        </is>
      </c>
      <c r="AG231" s="0" t="inlineStr">
        <is>
          <t>충청북도 청주시 흥덕구 2순환로 1222</t>
        </is>
      </c>
      <c r="AH231" s="0" t="n">
        <v>0</v>
      </c>
      <c r="AI231" s="0" t="n">
        <v>888</v>
      </c>
      <c r="AJ231" s="0" t="n">
        <v>67</v>
      </c>
      <c r="AK231" s="0" t="n">
        <v>427</v>
      </c>
      <c r="AL231" s="0" t="n">
        <v>0.7</v>
      </c>
    </row>
    <row r="232">
      <c r="A232" s="0" t="inlineStr">
        <is>
          <t>[강서동]</t>
        </is>
      </c>
      <c r="B232" s="0" t="n">
        <v>109824</v>
      </c>
      <c r="C232" s="0" t="n">
        <v>6</v>
      </c>
      <c r="D232" s="0" t="inlineStr">
        <is>
          <t>신해블루지움</t>
        </is>
      </c>
      <c r="E232" s="0" t="inlineStr">
        <is>
          <t>2017.11.</t>
        </is>
      </c>
      <c r="F232" s="0" t="n">
        <v>611</v>
      </c>
      <c r="G232" s="0" t="n">
        <v>28.65</v>
      </c>
      <c r="H232" s="0" t="n">
        <v>94.73</v>
      </c>
      <c r="I232" s="0" t="n">
        <v>14.21</v>
      </c>
      <c r="J232" s="0" t="n">
        <v>47</v>
      </c>
      <c r="K232" s="0" t="n">
        <v>2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94B2</t>
        </is>
      </c>
      <c r="X232" s="0" t="n">
        <v>18</v>
      </c>
      <c r="Y232" s="0" t="n">
        <v>2</v>
      </c>
      <c r="Z232" s="0" t="inlineStr">
        <is>
          <t>https://new.land.naver.com/complexes/109824?tab=detail&amp;rf=Y</t>
        </is>
      </c>
      <c r="AA232" s="0" t="inlineStr">
        <is>
          <t>충청북도 청주시 흥덕구 강서동 459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흥덕구</t>
        </is>
      </c>
      <c r="AE232" s="0" t="inlineStr">
        <is>
          <t>강서동</t>
        </is>
      </c>
      <c r="AG232" s="0" t="inlineStr">
        <is>
          <t>충청북도 청주시 흥덕구 2순환로 1222</t>
        </is>
      </c>
      <c r="AH232" s="0" t="n">
        <v>0</v>
      </c>
      <c r="AI232" s="0" t="n">
        <v>888</v>
      </c>
      <c r="AJ232" s="0" t="n">
        <v>67</v>
      </c>
      <c r="AK232" s="0" t="n">
        <v>427</v>
      </c>
      <c r="AL232" s="0" t="n">
        <v>0.7</v>
      </c>
    </row>
    <row r="233">
      <c r="A233" s="0" t="inlineStr">
        <is>
          <t>[강서동]</t>
        </is>
      </c>
      <c r="B233" s="0" t="n">
        <v>109824</v>
      </c>
      <c r="C233" s="0" t="n">
        <v>7</v>
      </c>
      <c r="D233" s="0" t="inlineStr">
        <is>
          <t>신해블루지움</t>
        </is>
      </c>
      <c r="E233" s="0" t="inlineStr">
        <is>
          <t>2017.11.</t>
        </is>
      </c>
      <c r="F233" s="0" t="n">
        <v>611</v>
      </c>
      <c r="G233" s="0" t="n">
        <v>30.56</v>
      </c>
      <c r="H233" s="0" t="n">
        <v>101.04</v>
      </c>
      <c r="I233" s="0" t="n">
        <v>15.16</v>
      </c>
      <c r="J233" s="0" t="n">
        <v>50.13</v>
      </c>
      <c r="K233" s="0" t="n">
        <v>2</v>
      </c>
      <c r="T233" s="0" t="n">
        <v>2</v>
      </c>
      <c r="U233" s="0" t="n">
        <v>1</v>
      </c>
      <c r="V233" s="0" t="inlineStr">
        <is>
          <t>계단식</t>
        </is>
      </c>
      <c r="W233" s="0" t="inlineStr">
        <is>
          <t>101C2</t>
        </is>
      </c>
      <c r="X233" s="0" t="n">
        <v>18</v>
      </c>
      <c r="Y233" s="0" t="n">
        <v>2</v>
      </c>
      <c r="Z233" s="0" t="inlineStr">
        <is>
          <t>https://new.land.naver.com/complexes/109824?tab=detail&amp;rf=Y</t>
        </is>
      </c>
      <c r="AA233" s="0" t="inlineStr">
        <is>
          <t>충청북도 청주시 흥덕구 강서동 459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흥덕구</t>
        </is>
      </c>
      <c r="AE233" s="0" t="inlineStr">
        <is>
          <t>강서동</t>
        </is>
      </c>
      <c r="AG233" s="0" t="inlineStr">
        <is>
          <t>충청북도 청주시 흥덕구 2순환로 1222</t>
        </is>
      </c>
      <c r="AH233" s="0" t="n">
        <v>0</v>
      </c>
      <c r="AI233" s="0" t="n">
        <v>888</v>
      </c>
      <c r="AJ233" s="0" t="n">
        <v>67</v>
      </c>
      <c r="AK233" s="0" t="n">
        <v>427</v>
      </c>
      <c r="AL233" s="0" t="n">
        <v>0.7</v>
      </c>
    </row>
    <row r="234">
      <c r="A234" s="0" t="inlineStr">
        <is>
          <t>[강서동]</t>
        </is>
      </c>
      <c r="B234" s="0" t="n">
        <v>113953</v>
      </c>
      <c r="C234" s="0" t="n">
        <v>1</v>
      </c>
      <c r="D234" s="0" t="inlineStr">
        <is>
          <t>우양센트럴(도시형)</t>
        </is>
      </c>
      <c r="E234" s="0" t="inlineStr">
        <is>
          <t>2016.10.</t>
        </is>
      </c>
      <c r="F234" s="0" t="n">
        <v>216</v>
      </c>
      <c r="G234" s="0" t="n">
        <v>9.359999999999999</v>
      </c>
      <c r="H234" s="0" t="n">
        <v>30.96</v>
      </c>
      <c r="I234" s="0" t="n">
        <v>6.69</v>
      </c>
      <c r="J234" s="0" t="n">
        <v>22.14</v>
      </c>
      <c r="K234" s="0" t="n">
        <v>24</v>
      </c>
      <c r="T234" s="0" t="n">
        <v>1</v>
      </c>
      <c r="U234" s="0" t="n">
        <v>1</v>
      </c>
      <c r="V234" s="0" t="inlineStr">
        <is>
          <t>복도식</t>
        </is>
      </c>
      <c r="W234" s="0" t="inlineStr">
        <is>
          <t>30A</t>
        </is>
      </c>
      <c r="X234" s="0" t="n">
        <v>26</v>
      </c>
      <c r="Y234" s="0" t="n">
        <v>26</v>
      </c>
      <c r="Z234" s="0" t="inlineStr">
        <is>
          <t>https://new.land.naver.com/complexes/113953?tab=detail&amp;rf=Y</t>
        </is>
      </c>
      <c r="AA234" s="0" t="inlineStr">
        <is>
          <t>충청북도 청주시 흥덕구 강서동 472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흥덕구</t>
        </is>
      </c>
      <c r="AE234" s="0" t="inlineStr">
        <is>
          <t>강서동</t>
        </is>
      </c>
      <c r="AG234" s="0" t="inlineStr">
        <is>
          <t>충청북도 청주시 흥덕구 가로수로1164번길 41-44</t>
        </is>
      </c>
      <c r="AH234" s="0" t="n">
        <v>0</v>
      </c>
      <c r="AI234" s="0" t="n">
        <v>862</v>
      </c>
      <c r="AJ234" s="0" t="n">
        <v>59</v>
      </c>
      <c r="AK234" s="0" t="n">
        <v>152</v>
      </c>
      <c r="AL234" s="0" t="n">
        <v>0.7</v>
      </c>
    </row>
    <row r="235">
      <c r="A235" s="0" t="inlineStr">
        <is>
          <t>[강서동]</t>
        </is>
      </c>
      <c r="B235" s="0" t="n">
        <v>113953</v>
      </c>
      <c r="C235" s="0" t="n">
        <v>2</v>
      </c>
      <c r="D235" s="0" t="inlineStr">
        <is>
          <t>우양센트럴(도시형)</t>
        </is>
      </c>
      <c r="E235" s="0" t="inlineStr">
        <is>
          <t>2016.10.</t>
        </is>
      </c>
      <c r="F235" s="0" t="n">
        <v>216</v>
      </c>
      <c r="G235" s="0" t="n">
        <v>9.49</v>
      </c>
      <c r="H235" s="0" t="n">
        <v>31.4</v>
      </c>
      <c r="I235" s="0" t="n">
        <v>6.79</v>
      </c>
      <c r="J235" s="0" t="n">
        <v>22.46</v>
      </c>
      <c r="K235" s="0" t="n">
        <v>120</v>
      </c>
      <c r="T235" s="0" t="n">
        <v>1</v>
      </c>
      <c r="U235" s="0" t="n">
        <v>1</v>
      </c>
      <c r="V235" s="0" t="inlineStr">
        <is>
          <t>복도식</t>
        </is>
      </c>
      <c r="W235" s="0" t="inlineStr">
        <is>
          <t>31B</t>
        </is>
      </c>
      <c r="X235" s="0" t="n">
        <v>26</v>
      </c>
      <c r="Y235" s="0" t="n">
        <v>26</v>
      </c>
      <c r="Z235" s="0" t="inlineStr">
        <is>
          <t>https://new.land.naver.com/complexes/113953?tab=detail&amp;rf=Y</t>
        </is>
      </c>
      <c r="AA235" s="0" t="inlineStr">
        <is>
          <t>충청북도 청주시 흥덕구 강서동 472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흥덕구</t>
        </is>
      </c>
      <c r="AE235" s="0" t="inlineStr">
        <is>
          <t>강서동</t>
        </is>
      </c>
      <c r="AG235" s="0" t="inlineStr">
        <is>
          <t>충청북도 청주시 흥덕구 가로수로1164번길 41-44</t>
        </is>
      </c>
      <c r="AH235" s="0" t="n">
        <v>0</v>
      </c>
      <c r="AI235" s="0" t="n">
        <v>862</v>
      </c>
      <c r="AJ235" s="0" t="n">
        <v>59</v>
      </c>
      <c r="AK235" s="0" t="n">
        <v>152</v>
      </c>
      <c r="AL235" s="0" t="n">
        <v>0.7</v>
      </c>
    </row>
    <row r="236">
      <c r="A236" s="0" t="inlineStr">
        <is>
          <t>[강서동]</t>
        </is>
      </c>
      <c r="B236" s="0" t="n">
        <v>113953</v>
      </c>
      <c r="C236" s="0" t="n">
        <v>3</v>
      </c>
      <c r="D236" s="0" t="inlineStr">
        <is>
          <t>우양센트럴(도시형)</t>
        </is>
      </c>
      <c r="E236" s="0" t="inlineStr">
        <is>
          <t>2016.10.</t>
        </is>
      </c>
      <c r="F236" s="0" t="n">
        <v>216</v>
      </c>
      <c r="G236" s="0" t="n">
        <v>10.41</v>
      </c>
      <c r="H236" s="0" t="n">
        <v>34.44</v>
      </c>
      <c r="I236" s="0" t="n">
        <v>7.45</v>
      </c>
      <c r="J236" s="0" t="n">
        <v>24.64</v>
      </c>
      <c r="K236" s="0" t="n">
        <v>24</v>
      </c>
      <c r="T236" s="0" t="n">
        <v>1</v>
      </c>
      <c r="U236" s="0" t="n">
        <v>1</v>
      </c>
      <c r="V236" s="0" t="inlineStr">
        <is>
          <t>복도식</t>
        </is>
      </c>
      <c r="W236" s="0" t="inlineStr">
        <is>
          <t>34C</t>
        </is>
      </c>
      <c r="X236" s="0" t="n">
        <v>26</v>
      </c>
      <c r="Y236" s="0" t="n">
        <v>26</v>
      </c>
      <c r="Z236" s="0" t="inlineStr">
        <is>
          <t>https://new.land.naver.com/complexes/113953?tab=detail&amp;rf=Y</t>
        </is>
      </c>
      <c r="AA236" s="0" t="inlineStr">
        <is>
          <t>충청북도 청주시 흥덕구 강서동 472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흥덕구</t>
        </is>
      </c>
      <c r="AE236" s="0" t="inlineStr">
        <is>
          <t>강서동</t>
        </is>
      </c>
      <c r="AG236" s="0" t="inlineStr">
        <is>
          <t>충청북도 청주시 흥덕구 가로수로1164번길 41-44</t>
        </is>
      </c>
      <c r="AH236" s="0" t="n">
        <v>0</v>
      </c>
      <c r="AI236" s="0" t="n">
        <v>862</v>
      </c>
      <c r="AJ236" s="0" t="n">
        <v>59</v>
      </c>
      <c r="AK236" s="0" t="n">
        <v>152</v>
      </c>
      <c r="AL236" s="0" t="n">
        <v>0.7</v>
      </c>
    </row>
    <row r="237">
      <c r="A237" s="0" t="inlineStr">
        <is>
          <t>[강서동]</t>
        </is>
      </c>
      <c r="B237" s="0" t="n">
        <v>113953</v>
      </c>
      <c r="C237" s="0" t="n">
        <v>4</v>
      </c>
      <c r="D237" s="0" t="inlineStr">
        <is>
          <t>우양센트럴(도시형)</t>
        </is>
      </c>
      <c r="E237" s="0" t="inlineStr">
        <is>
          <t>2016.10.</t>
        </is>
      </c>
      <c r="F237" s="0" t="n">
        <v>216</v>
      </c>
      <c r="G237" s="0" t="n">
        <v>12.2</v>
      </c>
      <c r="H237" s="0" t="n">
        <v>40.36</v>
      </c>
      <c r="I237" s="0" t="n">
        <v>8.73</v>
      </c>
      <c r="J237" s="0" t="n">
        <v>28.86</v>
      </c>
      <c r="K237" s="0" t="n">
        <v>24</v>
      </c>
      <c r="T237" s="0" t="n">
        <v>1</v>
      </c>
      <c r="U237" s="0" t="n">
        <v>1</v>
      </c>
      <c r="V237" s="0" t="inlineStr">
        <is>
          <t>복도식</t>
        </is>
      </c>
      <c r="W237" s="0" t="inlineStr">
        <is>
          <t>40D</t>
        </is>
      </c>
      <c r="X237" s="0" t="n">
        <v>26</v>
      </c>
      <c r="Y237" s="0" t="n">
        <v>26</v>
      </c>
      <c r="Z237" s="0" t="inlineStr">
        <is>
          <t>https://new.land.naver.com/complexes/113953?tab=detail&amp;rf=Y</t>
        </is>
      </c>
      <c r="AA237" s="0" t="inlineStr">
        <is>
          <t>충청북도 청주시 흥덕구 강서동 472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흥덕구</t>
        </is>
      </c>
      <c r="AE237" s="0" t="inlineStr">
        <is>
          <t>강서동</t>
        </is>
      </c>
      <c r="AG237" s="0" t="inlineStr">
        <is>
          <t>충청북도 청주시 흥덕구 가로수로1164번길 41-44</t>
        </is>
      </c>
      <c r="AH237" s="0" t="n">
        <v>0</v>
      </c>
      <c r="AI237" s="0" t="n">
        <v>862</v>
      </c>
      <c r="AJ237" s="0" t="n">
        <v>59</v>
      </c>
      <c r="AK237" s="0" t="n">
        <v>152</v>
      </c>
      <c r="AL237" s="0" t="n">
        <v>0.7</v>
      </c>
    </row>
    <row r="238">
      <c r="A238" s="0" t="inlineStr">
        <is>
          <t>[강서동]</t>
        </is>
      </c>
      <c r="B238" s="0" t="n">
        <v>113953</v>
      </c>
      <c r="C238" s="0" t="n">
        <v>5</v>
      </c>
      <c r="D238" s="0" t="inlineStr">
        <is>
          <t>우양센트럴(도시형)</t>
        </is>
      </c>
      <c r="E238" s="0" t="inlineStr">
        <is>
          <t>2016.10.</t>
        </is>
      </c>
      <c r="F238" s="0" t="n">
        <v>216</v>
      </c>
      <c r="G238" s="0" t="n">
        <v>12.66</v>
      </c>
      <c r="H238" s="0" t="n">
        <v>41.88</v>
      </c>
      <c r="I238" s="0" t="n">
        <v>9.050000000000001</v>
      </c>
      <c r="J238" s="0" t="n">
        <v>29.95</v>
      </c>
      <c r="K238" s="0" t="n">
        <v>24</v>
      </c>
      <c r="T238" s="0" t="n">
        <v>1</v>
      </c>
      <c r="U238" s="0" t="n">
        <v>1</v>
      </c>
      <c r="V238" s="0" t="inlineStr">
        <is>
          <t>복도식</t>
        </is>
      </c>
      <c r="W238" s="0" t="inlineStr">
        <is>
          <t>41E</t>
        </is>
      </c>
      <c r="X238" s="0" t="n">
        <v>26</v>
      </c>
      <c r="Y238" s="0" t="n">
        <v>26</v>
      </c>
      <c r="Z238" s="0" t="inlineStr">
        <is>
          <t>https://new.land.naver.com/complexes/113953?tab=detail&amp;rf=Y</t>
        </is>
      </c>
      <c r="AA238" s="0" t="inlineStr">
        <is>
          <t>충청북도 청주시 흥덕구 강서동 472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흥덕구</t>
        </is>
      </c>
      <c r="AE238" s="0" t="inlineStr">
        <is>
          <t>강서동</t>
        </is>
      </c>
      <c r="AG238" s="0" t="inlineStr">
        <is>
          <t>충청북도 청주시 흥덕구 가로수로1164번길 41-44</t>
        </is>
      </c>
      <c r="AH238" s="0" t="n">
        <v>0</v>
      </c>
      <c r="AI238" s="0" t="n">
        <v>862</v>
      </c>
      <c r="AJ238" s="0" t="n">
        <v>59</v>
      </c>
      <c r="AK238" s="0" t="n">
        <v>152</v>
      </c>
      <c r="AL238" s="0" t="n">
        <v>0.7</v>
      </c>
    </row>
    <row r="239">
      <c r="A239" s="0" t="inlineStr">
        <is>
          <t>[강서동]</t>
        </is>
      </c>
      <c r="B239" s="0" t="n">
        <v>112790</v>
      </c>
      <c r="C239" s="0" t="n">
        <v>1</v>
      </c>
      <c r="D239" s="0" t="inlineStr">
        <is>
          <t>경도펠리스</t>
        </is>
      </c>
      <c r="E239" s="0" t="inlineStr">
        <is>
          <t>2016.03.</t>
        </is>
      </c>
      <c r="F239" s="0" t="n">
        <v>34</v>
      </c>
      <c r="G239" s="0" t="n">
        <v>8.880000000000001</v>
      </c>
      <c r="H239" s="0" t="n">
        <v>29.38</v>
      </c>
      <c r="I239" s="0" t="n">
        <v>5.19</v>
      </c>
      <c r="J239" s="0" t="n">
        <v>17.19</v>
      </c>
      <c r="K239" s="0" t="n">
        <v>1</v>
      </c>
      <c r="T239" s="0" t="n">
        <v>1</v>
      </c>
      <c r="U239" s="0" t="n">
        <v>1</v>
      </c>
      <c r="V239" s="0" t="inlineStr">
        <is>
          <t>복도식</t>
        </is>
      </c>
      <c r="W239" s="0" t="n">
        <v>29</v>
      </c>
      <c r="X239" s="0" t="n">
        <v>14</v>
      </c>
      <c r="Y239" s="0" t="n">
        <v>14</v>
      </c>
      <c r="Z239" s="0" t="inlineStr">
        <is>
          <t>https://new.land.naver.com/complexes/112790?tab=detail&amp;rf=Y</t>
        </is>
      </c>
      <c r="AA239" s="0" t="inlineStr">
        <is>
          <t>충청북도 청주시 흥덕구 강서동 498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흥덕구</t>
        </is>
      </c>
      <c r="AE239" s="0" t="inlineStr">
        <is>
          <t>강서동</t>
        </is>
      </c>
      <c r="AG239" s="0" t="inlineStr">
        <is>
          <t>충청북도 청주시 흥덕구 서현동로 21</t>
        </is>
      </c>
      <c r="AH239" s="0" t="n">
        <v>0</v>
      </c>
      <c r="AI239" s="0" t="n">
        <v>719</v>
      </c>
      <c r="AJ239" s="0" t="n">
        <v>69</v>
      </c>
      <c r="AK239" s="0" t="n">
        <v>17</v>
      </c>
      <c r="AL239" s="0" t="n">
        <v>0.5</v>
      </c>
    </row>
    <row r="240">
      <c r="A240" s="0" t="inlineStr">
        <is>
          <t>[강서동]</t>
        </is>
      </c>
      <c r="B240" s="0" t="n">
        <v>112790</v>
      </c>
      <c r="C240" s="0" t="n">
        <v>2</v>
      </c>
      <c r="D240" s="0" t="inlineStr">
        <is>
          <t>경도펠리스</t>
        </is>
      </c>
      <c r="E240" s="0" t="inlineStr">
        <is>
          <t>2016.03.</t>
        </is>
      </c>
      <c r="F240" s="0" t="n">
        <v>34</v>
      </c>
      <c r="G240" s="0" t="n">
        <v>9.529999999999999</v>
      </c>
      <c r="H240" s="0" t="n">
        <v>31.53</v>
      </c>
      <c r="I240" s="0" t="n">
        <v>5.58</v>
      </c>
      <c r="J240" s="0" t="n">
        <v>18.45</v>
      </c>
      <c r="K240" s="0" t="n">
        <v>1</v>
      </c>
      <c r="T240" s="0" t="n">
        <v>1</v>
      </c>
      <c r="U240" s="0" t="n">
        <v>1</v>
      </c>
      <c r="V240" s="0" t="inlineStr">
        <is>
          <t>복도식</t>
        </is>
      </c>
      <c r="W240" s="0" t="inlineStr">
        <is>
          <t>31A</t>
        </is>
      </c>
      <c r="X240" s="0" t="n">
        <v>14</v>
      </c>
      <c r="Y240" s="0" t="n">
        <v>14</v>
      </c>
      <c r="Z240" s="0" t="inlineStr">
        <is>
          <t>https://new.land.naver.com/complexes/112790?tab=detail&amp;rf=Y</t>
        </is>
      </c>
      <c r="AA240" s="0" t="inlineStr">
        <is>
          <t>충청북도 청주시 흥덕구 강서동 498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흥덕구</t>
        </is>
      </c>
      <c r="AE240" s="0" t="inlineStr">
        <is>
          <t>강서동</t>
        </is>
      </c>
      <c r="AG240" s="0" t="inlineStr">
        <is>
          <t>충청북도 청주시 흥덕구 서현동로 21</t>
        </is>
      </c>
      <c r="AH240" s="0" t="n">
        <v>0</v>
      </c>
      <c r="AI240" s="0" t="n">
        <v>719</v>
      </c>
      <c r="AJ240" s="0" t="n">
        <v>69</v>
      </c>
      <c r="AK240" s="0" t="n">
        <v>17</v>
      </c>
      <c r="AL240" s="0" t="n">
        <v>0.5</v>
      </c>
    </row>
    <row r="241">
      <c r="A241" s="0" t="inlineStr">
        <is>
          <t>[강서동]</t>
        </is>
      </c>
      <c r="B241" s="0" t="n">
        <v>112790</v>
      </c>
      <c r="C241" s="0" t="n">
        <v>3</v>
      </c>
      <c r="D241" s="0" t="inlineStr">
        <is>
          <t>경도펠리스</t>
        </is>
      </c>
      <c r="E241" s="0" t="inlineStr">
        <is>
          <t>2016.03.</t>
        </is>
      </c>
      <c r="F241" s="0" t="n">
        <v>34</v>
      </c>
      <c r="G241" s="0" t="n">
        <v>9.74</v>
      </c>
      <c r="H241" s="0" t="n">
        <v>32.23</v>
      </c>
      <c r="I241" s="0" t="n">
        <v>5.7</v>
      </c>
      <c r="J241" s="0" t="n">
        <v>18.86</v>
      </c>
      <c r="K241" s="0" t="n">
        <v>1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32B</t>
        </is>
      </c>
      <c r="X241" s="0" t="n">
        <v>14</v>
      </c>
      <c r="Y241" s="0" t="n">
        <v>14</v>
      </c>
      <c r="Z241" s="0" t="inlineStr">
        <is>
          <t>https://new.land.naver.com/complexes/112790?tab=detail&amp;rf=Y</t>
        </is>
      </c>
      <c r="AA241" s="0" t="inlineStr">
        <is>
          <t>충청북도 청주시 흥덕구 강서동 498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흥덕구</t>
        </is>
      </c>
      <c r="AE241" s="0" t="inlineStr">
        <is>
          <t>강서동</t>
        </is>
      </c>
      <c r="AG241" s="0" t="inlineStr">
        <is>
          <t>충청북도 청주시 흥덕구 서현동로 21</t>
        </is>
      </c>
      <c r="AH241" s="0" t="n">
        <v>0</v>
      </c>
      <c r="AI241" s="0" t="n">
        <v>719</v>
      </c>
      <c r="AJ241" s="0" t="n">
        <v>69</v>
      </c>
      <c r="AK241" s="0" t="n">
        <v>17</v>
      </c>
      <c r="AL241" s="0" t="n">
        <v>0.5</v>
      </c>
    </row>
    <row r="242">
      <c r="A242" s="0" t="inlineStr">
        <is>
          <t>[강서동]</t>
        </is>
      </c>
      <c r="B242" s="0" t="n">
        <v>112790</v>
      </c>
      <c r="C242" s="0" t="n">
        <v>4</v>
      </c>
      <c r="D242" s="0" t="inlineStr">
        <is>
          <t>경도펠리스</t>
        </is>
      </c>
      <c r="E242" s="0" t="inlineStr">
        <is>
          <t>2016.03.</t>
        </is>
      </c>
      <c r="F242" s="0" t="n">
        <v>34</v>
      </c>
      <c r="G242" s="0" t="n">
        <v>11.49</v>
      </c>
      <c r="H242" s="0" t="n">
        <v>37.99</v>
      </c>
      <c r="I242" s="0" t="n">
        <v>6.72</v>
      </c>
      <c r="J242" s="0" t="n">
        <v>22.23</v>
      </c>
      <c r="K242" s="0" t="n">
        <v>2</v>
      </c>
      <c r="T242" s="0" t="n">
        <v>1</v>
      </c>
      <c r="U242" s="0" t="n">
        <v>1</v>
      </c>
      <c r="V242" s="0" t="inlineStr">
        <is>
          <t>복도식</t>
        </is>
      </c>
      <c r="W242" s="0" t="inlineStr">
        <is>
          <t>37A</t>
        </is>
      </c>
      <c r="X242" s="0" t="n">
        <v>14</v>
      </c>
      <c r="Y242" s="0" t="n">
        <v>14</v>
      </c>
      <c r="Z242" s="0" t="inlineStr">
        <is>
          <t>https://new.land.naver.com/complexes/112790?tab=detail&amp;rf=Y</t>
        </is>
      </c>
      <c r="AA242" s="0" t="inlineStr">
        <is>
          <t>충청북도 청주시 흥덕구 강서동 498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흥덕구</t>
        </is>
      </c>
      <c r="AE242" s="0" t="inlineStr">
        <is>
          <t>강서동</t>
        </is>
      </c>
      <c r="AG242" s="0" t="inlineStr">
        <is>
          <t>충청북도 청주시 흥덕구 서현동로 21</t>
        </is>
      </c>
      <c r="AH242" s="0" t="n">
        <v>0</v>
      </c>
      <c r="AI242" s="0" t="n">
        <v>719</v>
      </c>
      <c r="AJ242" s="0" t="n">
        <v>69</v>
      </c>
      <c r="AK242" s="0" t="n">
        <v>17</v>
      </c>
      <c r="AL242" s="0" t="n">
        <v>0.5</v>
      </c>
    </row>
    <row r="243">
      <c r="A243" s="0" t="inlineStr">
        <is>
          <t>[강서동]</t>
        </is>
      </c>
      <c r="B243" s="0" t="n">
        <v>112790</v>
      </c>
      <c r="C243" s="0" t="n">
        <v>5</v>
      </c>
      <c r="D243" s="0" t="inlineStr">
        <is>
          <t>경도펠리스</t>
        </is>
      </c>
      <c r="E243" s="0" t="inlineStr">
        <is>
          <t>2016.03.</t>
        </is>
      </c>
      <c r="F243" s="0" t="n">
        <v>34</v>
      </c>
      <c r="G243" s="0" t="n">
        <v>11.64</v>
      </c>
      <c r="H243" s="0" t="n">
        <v>38.5</v>
      </c>
      <c r="I243" s="0" t="n">
        <v>6.81</v>
      </c>
      <c r="J243" s="0" t="n">
        <v>22.53</v>
      </c>
      <c r="K243" s="0" t="n">
        <v>1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38B</t>
        </is>
      </c>
      <c r="X243" s="0" t="n">
        <v>14</v>
      </c>
      <c r="Y243" s="0" t="n">
        <v>14</v>
      </c>
      <c r="Z243" s="0" t="inlineStr">
        <is>
          <t>https://new.land.naver.com/complexes/112790?tab=detail&amp;rf=Y</t>
        </is>
      </c>
      <c r="AA243" s="0" t="inlineStr">
        <is>
          <t>충청북도 청주시 흥덕구 강서동 498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흥덕구</t>
        </is>
      </c>
      <c r="AE243" s="0" t="inlineStr">
        <is>
          <t>강서동</t>
        </is>
      </c>
      <c r="AG243" s="0" t="inlineStr">
        <is>
          <t>충청북도 청주시 흥덕구 서현동로 21</t>
        </is>
      </c>
      <c r="AH243" s="0" t="n">
        <v>0</v>
      </c>
      <c r="AI243" s="0" t="n">
        <v>719</v>
      </c>
      <c r="AJ243" s="0" t="n">
        <v>69</v>
      </c>
      <c r="AK243" s="0" t="n">
        <v>17</v>
      </c>
      <c r="AL243" s="0" t="n">
        <v>0.5</v>
      </c>
    </row>
    <row r="244">
      <c r="A244" s="0" t="inlineStr">
        <is>
          <t>[강서동]</t>
        </is>
      </c>
      <c r="B244" s="0" t="n">
        <v>112790</v>
      </c>
      <c r="C244" s="0" t="n">
        <v>6</v>
      </c>
      <c r="D244" s="0" t="inlineStr">
        <is>
          <t>경도펠리스</t>
        </is>
      </c>
      <c r="E244" s="0" t="inlineStr">
        <is>
          <t>2016.03.</t>
        </is>
      </c>
      <c r="F244" s="0" t="n">
        <v>34</v>
      </c>
      <c r="G244" s="0" t="n">
        <v>11</v>
      </c>
      <c r="H244" s="0" t="n">
        <v>36.37</v>
      </c>
      <c r="I244" s="0" t="n">
        <v>6.88</v>
      </c>
      <c r="J244" s="0" t="n">
        <v>22.76</v>
      </c>
      <c r="K244" s="0" t="n">
        <v>1</v>
      </c>
      <c r="T244" s="0" t="n">
        <v>1</v>
      </c>
      <c r="U244" s="0" t="n">
        <v>1</v>
      </c>
      <c r="V244" s="0" t="inlineStr">
        <is>
          <t>복도식</t>
        </is>
      </c>
      <c r="W244" s="0" t="n">
        <v>36</v>
      </c>
      <c r="X244" s="0" t="n">
        <v>14</v>
      </c>
      <c r="Y244" s="0" t="n">
        <v>14</v>
      </c>
      <c r="Z244" s="0" t="inlineStr">
        <is>
          <t>https://new.land.naver.com/complexes/112790?tab=detail&amp;rf=Y</t>
        </is>
      </c>
      <c r="AA244" s="0" t="inlineStr">
        <is>
          <t>충청북도 청주시 흥덕구 강서동 498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흥덕구</t>
        </is>
      </c>
      <c r="AE244" s="0" t="inlineStr">
        <is>
          <t>강서동</t>
        </is>
      </c>
      <c r="AG244" s="0" t="inlineStr">
        <is>
          <t>충청북도 청주시 흥덕구 서현동로 21</t>
        </is>
      </c>
      <c r="AH244" s="0" t="n">
        <v>0</v>
      </c>
      <c r="AI244" s="0" t="n">
        <v>719</v>
      </c>
      <c r="AJ244" s="0" t="n">
        <v>69</v>
      </c>
      <c r="AK244" s="0" t="n">
        <v>17</v>
      </c>
      <c r="AL244" s="0" t="n">
        <v>0.5</v>
      </c>
    </row>
    <row r="245">
      <c r="A245" s="0" t="inlineStr">
        <is>
          <t>[강서동]</t>
        </is>
      </c>
      <c r="B245" s="0" t="n">
        <v>112790</v>
      </c>
      <c r="C245" s="0" t="n">
        <v>7</v>
      </c>
      <c r="D245" s="0" t="inlineStr">
        <is>
          <t>경도펠리스</t>
        </is>
      </c>
      <c r="E245" s="0" t="inlineStr">
        <is>
          <t>2016.03.</t>
        </is>
      </c>
      <c r="F245" s="0" t="n">
        <v>34</v>
      </c>
      <c r="G245" s="0" t="n">
        <v>14.89</v>
      </c>
      <c r="H245" s="0" t="n">
        <v>49.24</v>
      </c>
      <c r="I245" s="0" t="n">
        <v>8.710000000000001</v>
      </c>
      <c r="J245" s="0" t="n">
        <v>28.81</v>
      </c>
      <c r="K245" s="0" t="n">
        <v>9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49</v>
      </c>
      <c r="X245" s="0" t="n">
        <v>14</v>
      </c>
      <c r="Y245" s="0" t="n">
        <v>14</v>
      </c>
      <c r="Z245" s="0" t="inlineStr">
        <is>
          <t>https://new.land.naver.com/complexes/112790?tab=detail&amp;rf=Y</t>
        </is>
      </c>
      <c r="AA245" s="0" t="inlineStr">
        <is>
          <t>충청북도 청주시 흥덕구 강서동 498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흥덕구</t>
        </is>
      </c>
      <c r="AE245" s="0" t="inlineStr">
        <is>
          <t>강서동</t>
        </is>
      </c>
      <c r="AG245" s="0" t="inlineStr">
        <is>
          <t>충청북도 청주시 흥덕구 서현동로 21</t>
        </is>
      </c>
      <c r="AH245" s="0" t="n">
        <v>0</v>
      </c>
      <c r="AI245" s="0" t="n">
        <v>719</v>
      </c>
      <c r="AJ245" s="0" t="n">
        <v>69</v>
      </c>
      <c r="AK245" s="0" t="n">
        <v>17</v>
      </c>
      <c r="AL245" s="0" t="n">
        <v>0.5</v>
      </c>
    </row>
    <row r="246">
      <c r="A246" s="0" t="inlineStr">
        <is>
          <t>[강서동]</t>
        </is>
      </c>
      <c r="B246" s="0" t="n">
        <v>112790</v>
      </c>
      <c r="C246" s="0" t="n">
        <v>8</v>
      </c>
      <c r="D246" s="0" t="inlineStr">
        <is>
          <t>경도펠리스</t>
        </is>
      </c>
      <c r="E246" s="0" t="inlineStr">
        <is>
          <t>2016.03.</t>
        </is>
      </c>
      <c r="F246" s="0" t="n">
        <v>34</v>
      </c>
      <c r="G246" s="0" t="n">
        <v>15.2</v>
      </c>
      <c r="H246" s="0" t="n">
        <v>50.25</v>
      </c>
      <c r="I246" s="0" t="n">
        <v>8.890000000000001</v>
      </c>
      <c r="J246" s="0" t="n">
        <v>29.4</v>
      </c>
      <c r="K246" s="0" t="n">
        <v>1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50</v>
      </c>
      <c r="X246" s="0" t="n">
        <v>14</v>
      </c>
      <c r="Y246" s="0" t="n">
        <v>14</v>
      </c>
      <c r="Z246" s="0" t="inlineStr">
        <is>
          <t>https://new.land.naver.com/complexes/112790?tab=detail&amp;rf=Y</t>
        </is>
      </c>
      <c r="AA246" s="0" t="inlineStr">
        <is>
          <t>충청북도 청주시 흥덕구 강서동 498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흥덕구</t>
        </is>
      </c>
      <c r="AE246" s="0" t="inlineStr">
        <is>
          <t>강서동</t>
        </is>
      </c>
      <c r="AG246" s="0" t="inlineStr">
        <is>
          <t>충청북도 청주시 흥덕구 서현동로 21</t>
        </is>
      </c>
      <c r="AH246" s="0" t="n">
        <v>0</v>
      </c>
      <c r="AI246" s="0" t="n">
        <v>719</v>
      </c>
      <c r="AJ246" s="0" t="n">
        <v>69</v>
      </c>
      <c r="AK246" s="0" t="n">
        <v>17</v>
      </c>
      <c r="AL246" s="0" t="n">
        <v>0.5</v>
      </c>
    </row>
    <row r="247">
      <c r="A247" s="0" t="inlineStr">
        <is>
          <t>[강서동]</t>
        </is>
      </c>
      <c r="B247" s="0" t="n">
        <v>112790</v>
      </c>
      <c r="C247" s="0" t="n">
        <v>9</v>
      </c>
      <c r="D247" s="0" t="inlineStr">
        <is>
          <t>경도펠리스</t>
        </is>
      </c>
      <c r="E247" s="0" t="inlineStr">
        <is>
          <t>2016.03.</t>
        </is>
      </c>
      <c r="F247" s="0" t="n">
        <v>34</v>
      </c>
      <c r="G247" s="0" t="n">
        <v>17.18</v>
      </c>
      <c r="H247" s="0" t="n">
        <v>56.81</v>
      </c>
      <c r="I247" s="0" t="n">
        <v>10.05</v>
      </c>
      <c r="J247" s="0" t="n">
        <v>33.24</v>
      </c>
      <c r="K247" s="0" t="n">
        <v>9</v>
      </c>
      <c r="T247" s="0" t="n">
        <v>1</v>
      </c>
      <c r="U247" s="0" t="n">
        <v>1</v>
      </c>
      <c r="V247" s="0" t="inlineStr">
        <is>
          <t>복도식</t>
        </is>
      </c>
      <c r="W247" s="0" t="n">
        <v>56</v>
      </c>
      <c r="X247" s="0" t="n">
        <v>14</v>
      </c>
      <c r="Y247" s="0" t="n">
        <v>14</v>
      </c>
      <c r="Z247" s="0" t="inlineStr">
        <is>
          <t>https://new.land.naver.com/complexes/112790?tab=detail&amp;rf=Y</t>
        </is>
      </c>
      <c r="AA247" s="0" t="inlineStr">
        <is>
          <t>충청북도 청주시 흥덕구 강서동 498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흥덕구</t>
        </is>
      </c>
      <c r="AE247" s="0" t="inlineStr">
        <is>
          <t>강서동</t>
        </is>
      </c>
      <c r="AG247" s="0" t="inlineStr">
        <is>
          <t>충청북도 청주시 흥덕구 서현동로 21</t>
        </is>
      </c>
      <c r="AH247" s="0" t="n">
        <v>0</v>
      </c>
      <c r="AI247" s="0" t="n">
        <v>719</v>
      </c>
      <c r="AJ247" s="0" t="n">
        <v>69</v>
      </c>
      <c r="AK247" s="0" t="n">
        <v>17</v>
      </c>
      <c r="AL247" s="0" t="n">
        <v>0.5</v>
      </c>
    </row>
    <row r="248">
      <c r="A248" s="0" t="inlineStr">
        <is>
          <t>[강서동]</t>
        </is>
      </c>
      <c r="B248" s="0" t="n">
        <v>112790</v>
      </c>
      <c r="C248" s="0" t="n">
        <v>10</v>
      </c>
      <c r="D248" s="0" t="inlineStr">
        <is>
          <t>경도펠리스</t>
        </is>
      </c>
      <c r="E248" s="0" t="inlineStr">
        <is>
          <t>2016.03.</t>
        </is>
      </c>
      <c r="F248" s="0" t="n">
        <v>34</v>
      </c>
      <c r="G248" s="0" t="n">
        <v>22.98</v>
      </c>
      <c r="H248" s="0" t="n">
        <v>75.98999999999999</v>
      </c>
      <c r="I248" s="0" t="n">
        <v>13.44</v>
      </c>
      <c r="J248" s="0" t="n">
        <v>44.46</v>
      </c>
      <c r="K248" s="0" t="n">
        <v>8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75</v>
      </c>
      <c r="X248" s="0" t="n">
        <v>14</v>
      </c>
      <c r="Y248" s="0" t="n">
        <v>14</v>
      </c>
      <c r="Z248" s="0" t="inlineStr">
        <is>
          <t>https://new.land.naver.com/complexes/112790?tab=detail&amp;rf=Y</t>
        </is>
      </c>
      <c r="AA248" s="0" t="inlineStr">
        <is>
          <t>충청북도 청주시 흥덕구 강서동 498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흥덕구</t>
        </is>
      </c>
      <c r="AE248" s="0" t="inlineStr">
        <is>
          <t>강서동</t>
        </is>
      </c>
      <c r="AG248" s="0" t="inlineStr">
        <is>
          <t>충청북도 청주시 흥덕구 서현동로 21</t>
        </is>
      </c>
      <c r="AH248" s="0" t="n">
        <v>0</v>
      </c>
      <c r="AI248" s="0" t="n">
        <v>719</v>
      </c>
      <c r="AJ248" s="0" t="n">
        <v>69</v>
      </c>
      <c r="AK248" s="0" t="n">
        <v>17</v>
      </c>
      <c r="AL248" s="0" t="n">
        <v>0.5</v>
      </c>
    </row>
    <row r="249">
      <c r="A249" s="0" t="inlineStr">
        <is>
          <t>[강서동]</t>
        </is>
      </c>
      <c r="B249" s="0" t="n">
        <v>13426</v>
      </c>
      <c r="C249" s="0" t="n">
        <v>1</v>
      </c>
      <c r="D249" s="0" t="inlineStr">
        <is>
          <t>우림</t>
        </is>
      </c>
      <c r="E249" s="0" t="inlineStr">
        <is>
          <t>2001.05.</t>
        </is>
      </c>
      <c r="F249" s="0" t="n">
        <v>132</v>
      </c>
      <c r="G249" s="0" t="n">
        <v>17.58</v>
      </c>
      <c r="H249" s="0" t="n">
        <v>58.14</v>
      </c>
      <c r="I249" s="0" t="n">
        <v>16.66</v>
      </c>
      <c r="J249" s="0" t="n">
        <v>55.08</v>
      </c>
      <c r="K249" s="0" t="n">
        <v>131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58</v>
      </c>
      <c r="X249" s="0" t="n">
        <v>8</v>
      </c>
      <c r="Y249" s="0" t="n">
        <v>7</v>
      </c>
      <c r="Z249" s="0" t="inlineStr">
        <is>
          <t>https://new.land.naver.com/complexes/13426?tab=detail&amp;rf=Y</t>
        </is>
      </c>
      <c r="AA249" s="0" t="inlineStr">
        <is>
          <t>충청북도 청주시 흥덕구 강서동 45-1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흥덕구</t>
        </is>
      </c>
      <c r="AE249" s="0" t="inlineStr">
        <is>
          <t>강서동</t>
        </is>
      </c>
      <c r="AG249" s="0" t="inlineStr">
        <is>
          <t>충청북도 청주시 흥덕구 가로수로1144번길 50</t>
        </is>
      </c>
      <c r="AH249" s="0" t="n">
        <v>0</v>
      </c>
      <c r="AI249" s="0" t="n">
        <v>0</v>
      </c>
      <c r="AJ249" s="0" t="n">
        <v>0</v>
      </c>
      <c r="AK249" s="0" t="n">
        <v>22</v>
      </c>
      <c r="AL249" s="0" t="n">
        <v>0.17</v>
      </c>
    </row>
    <row r="250">
      <c r="A250" s="0" t="inlineStr">
        <is>
          <t>[강서동]</t>
        </is>
      </c>
      <c r="B250" s="0" t="n">
        <v>13426</v>
      </c>
      <c r="C250" s="0" t="n">
        <v>2</v>
      </c>
      <c r="D250" s="0" t="inlineStr">
        <is>
          <t>우림</t>
        </is>
      </c>
      <c r="E250" s="0" t="inlineStr">
        <is>
          <t>2001.05.</t>
        </is>
      </c>
      <c r="F250" s="0" t="n">
        <v>132</v>
      </c>
      <c r="G250" s="0" t="n">
        <v>35.17</v>
      </c>
      <c r="H250" s="0" t="n">
        <v>116.28</v>
      </c>
      <c r="I250" s="0" t="n">
        <v>33.32</v>
      </c>
      <c r="J250" s="0" t="n">
        <v>110.16</v>
      </c>
      <c r="K250" s="0" t="n">
        <v>1</v>
      </c>
      <c r="T250" s="0" t="n">
        <v>4</v>
      </c>
      <c r="U250" s="0" t="n">
        <v>2</v>
      </c>
      <c r="V250" s="0" t="inlineStr">
        <is>
          <t>복도식</t>
        </is>
      </c>
      <c r="W250" s="0" t="n">
        <v>116</v>
      </c>
      <c r="X250" s="0" t="n">
        <v>8</v>
      </c>
      <c r="Y250" s="0" t="n">
        <v>7</v>
      </c>
      <c r="Z250" s="0" t="inlineStr">
        <is>
          <t>https://new.land.naver.com/complexes/13426?tab=detail&amp;rf=Y</t>
        </is>
      </c>
      <c r="AA250" s="0" t="inlineStr">
        <is>
          <t>충청북도 청주시 흥덕구 강서동 45-1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흥덕구</t>
        </is>
      </c>
      <c r="AE250" s="0" t="inlineStr">
        <is>
          <t>강서동</t>
        </is>
      </c>
      <c r="AG250" s="0" t="inlineStr">
        <is>
          <t>충청북도 청주시 흥덕구 가로수로1144번길 50</t>
        </is>
      </c>
      <c r="AH250" s="0" t="n">
        <v>0</v>
      </c>
      <c r="AI250" s="0" t="n">
        <v>0</v>
      </c>
      <c r="AJ250" s="0" t="n">
        <v>0</v>
      </c>
      <c r="AK250" s="0" t="n">
        <v>22</v>
      </c>
      <c r="AL250" s="0" t="n">
        <v>0.17</v>
      </c>
    </row>
    <row r="251">
      <c r="A251" s="0" t="inlineStr">
        <is>
          <t>[강서동]</t>
        </is>
      </c>
      <c r="B251" s="0" t="n">
        <v>117443</v>
      </c>
      <c r="C251" s="0" t="n">
        <v>1</v>
      </c>
      <c r="D251" s="0" t="inlineStr">
        <is>
          <t>이랜드타운힐스싱글스위트청주</t>
        </is>
      </c>
      <c r="E251" s="0" t="inlineStr">
        <is>
          <t>2019.09.</t>
        </is>
      </c>
      <c r="F251" s="0" t="n">
        <v>216</v>
      </c>
      <c r="G251" s="0" t="n">
        <v>16.92</v>
      </c>
      <c r="H251" s="0" t="n">
        <v>55.94</v>
      </c>
      <c r="I251" s="0" t="n">
        <v>7.08</v>
      </c>
      <c r="J251" s="0" t="n">
        <v>23.43</v>
      </c>
      <c r="K251" s="0" t="n">
        <v>180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55S1</t>
        </is>
      </c>
      <c r="X251" s="0" t="n">
        <v>20</v>
      </c>
      <c r="Y251" s="0" t="n">
        <v>20</v>
      </c>
      <c r="Z251" s="0" t="inlineStr">
        <is>
          <t>https://new.land.naver.com/complexes/117443?tab=detail&amp;rf=Y</t>
        </is>
      </c>
      <c r="AA251" s="0" t="inlineStr">
        <is>
          <t>충청북도 청주시 흥덕구 강서동 460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흥덕구</t>
        </is>
      </c>
      <c r="AE251" s="0" t="inlineStr">
        <is>
          <t>강서동</t>
        </is>
      </c>
      <c r="AG251" s="0" t="inlineStr">
        <is>
          <t>충청북도 청주시 흥덕구 2순환로 1228</t>
        </is>
      </c>
      <c r="AH251" s="0" t="n">
        <v>0</v>
      </c>
      <c r="AI251" s="0" t="n">
        <v>898</v>
      </c>
      <c r="AJ251" s="0" t="n">
        <v>69</v>
      </c>
      <c r="AK251" s="0" t="n">
        <v>152</v>
      </c>
      <c r="AL251" s="0" t="n">
        <v>0.7</v>
      </c>
    </row>
    <row r="252">
      <c r="A252" s="0" t="inlineStr">
        <is>
          <t>[강서동]</t>
        </is>
      </c>
      <c r="B252" s="0" t="n">
        <v>117443</v>
      </c>
      <c r="C252" s="0" t="n">
        <v>2</v>
      </c>
      <c r="D252" s="0" t="inlineStr">
        <is>
          <t>이랜드타운힐스싱글스위트청주</t>
        </is>
      </c>
      <c r="E252" s="0" t="inlineStr">
        <is>
          <t>2019.09.</t>
        </is>
      </c>
      <c r="F252" s="0" t="n">
        <v>216</v>
      </c>
      <c r="G252" s="0" t="n">
        <v>17.1</v>
      </c>
      <c r="H252" s="0" t="n">
        <v>56.55</v>
      </c>
      <c r="I252" s="0" t="n">
        <v>7.08</v>
      </c>
      <c r="J252" s="0" t="n">
        <v>23.43</v>
      </c>
      <c r="K252" s="0" t="n">
        <v>36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56L1</t>
        </is>
      </c>
      <c r="X252" s="0" t="n">
        <v>20</v>
      </c>
      <c r="Y252" s="0" t="n">
        <v>20</v>
      </c>
      <c r="Z252" s="0" t="inlineStr">
        <is>
          <t>https://new.land.naver.com/complexes/117443?tab=detail&amp;rf=Y</t>
        </is>
      </c>
      <c r="AA252" s="0" t="inlineStr">
        <is>
          <t>충청북도 청주시 흥덕구 강서동 460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흥덕구</t>
        </is>
      </c>
      <c r="AE252" s="0" t="inlineStr">
        <is>
          <t>강서동</t>
        </is>
      </c>
      <c r="AG252" s="0" t="inlineStr">
        <is>
          <t>충청북도 청주시 흥덕구 2순환로 1228</t>
        </is>
      </c>
      <c r="AH252" s="0" t="n">
        <v>0</v>
      </c>
      <c r="AI252" s="0" t="n">
        <v>898</v>
      </c>
      <c r="AJ252" s="0" t="n">
        <v>69</v>
      </c>
      <c r="AK252" s="0" t="n">
        <v>152</v>
      </c>
      <c r="AL252" s="0" t="n">
        <v>0.7</v>
      </c>
    </row>
    <row r="253">
      <c r="A253" s="0" t="inlineStr">
        <is>
          <t>[강서동]</t>
        </is>
      </c>
      <c r="B253" s="0" t="n">
        <v>13344</v>
      </c>
      <c r="C253" s="0" t="n">
        <v>1</v>
      </c>
      <c r="D253" s="0" t="inlineStr">
        <is>
          <t>우정</t>
        </is>
      </c>
      <c r="E253" s="0" t="inlineStr">
        <is>
          <t>1992.03.</t>
        </is>
      </c>
      <c r="F253" s="0" t="n">
        <v>233</v>
      </c>
      <c r="G253" s="0" t="n">
        <v>10.46</v>
      </c>
      <c r="H253" s="0" t="n">
        <v>34.59</v>
      </c>
      <c r="I253" s="0" t="n">
        <v>6.84</v>
      </c>
      <c r="J253" s="0" t="n">
        <v>22.64</v>
      </c>
      <c r="K253" s="0" t="n">
        <v>233</v>
      </c>
      <c r="T253" s="0" t="n">
        <v>1</v>
      </c>
      <c r="U253" s="0" t="n">
        <v>1</v>
      </c>
      <c r="V253" s="0" t="inlineStr">
        <is>
          <t>복도식</t>
        </is>
      </c>
      <c r="W253" s="0" t="n">
        <v>34</v>
      </c>
      <c r="X253" s="0" t="n">
        <v>13</v>
      </c>
      <c r="Y253" s="0" t="n">
        <v>13</v>
      </c>
      <c r="Z253" s="0" t="inlineStr">
        <is>
          <t>https://new.land.naver.com/complexes/13344?tab=detail&amp;rf=Y</t>
        </is>
      </c>
      <c r="AA253" s="0" t="inlineStr">
        <is>
          <t>충청북도 청주시 흥덕구 강서동 33-7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흥덕구</t>
        </is>
      </c>
      <c r="AE253" s="0" t="inlineStr">
        <is>
          <t>강서동</t>
        </is>
      </c>
      <c r="AG253" s="0" t="inlineStr">
        <is>
          <t>충청북도 청주시 흥덕구 가로수로1154번길 21-5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[강서동]</t>
        </is>
      </c>
      <c r="B254" s="0" t="n">
        <v>111247</v>
      </c>
      <c r="C254" s="0" t="n">
        <v>1</v>
      </c>
      <c r="D254" s="0" t="inlineStr">
        <is>
          <t>강서베리굿(도시형)</t>
        </is>
      </c>
      <c r="E254" s="0" t="inlineStr">
        <is>
          <t>2015.11.</t>
        </is>
      </c>
      <c r="F254" s="0" t="n">
        <v>154</v>
      </c>
      <c r="G254" s="0" t="n">
        <v>22</v>
      </c>
      <c r="H254" s="0" t="n">
        <v>72.76000000000001</v>
      </c>
      <c r="I254" s="0" t="n">
        <v>14.9</v>
      </c>
      <c r="J254" s="0" t="n">
        <v>49.26</v>
      </c>
      <c r="K254" s="0" t="n">
        <v>42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72F</t>
        </is>
      </c>
      <c r="X254" s="0" t="n">
        <v>17</v>
      </c>
      <c r="Y254" s="0" t="n">
        <v>17</v>
      </c>
      <c r="Z254" s="0" t="inlineStr">
        <is>
          <t>https://new.land.naver.com/complexes/111247?tab=detail&amp;rf=Y</t>
        </is>
      </c>
      <c r="AA254" s="0" t="inlineStr">
        <is>
          <t>충청북도 청주시 흥덕구 강서동 503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흥덕구</t>
        </is>
      </c>
      <c r="AE254" s="0" t="inlineStr">
        <is>
          <t>강서동</t>
        </is>
      </c>
      <c r="AG254" s="0" t="inlineStr">
        <is>
          <t>충청북도 청주시 흥덕구 서현중로 63</t>
        </is>
      </c>
      <c r="AH254" s="0" t="n">
        <v>0</v>
      </c>
      <c r="AI254" s="0" t="n">
        <v>883</v>
      </c>
      <c r="AJ254" s="0" t="n">
        <v>69</v>
      </c>
      <c r="AK254" s="0" t="n">
        <v>112</v>
      </c>
      <c r="AL254" s="0" t="n">
        <v>0.73</v>
      </c>
    </row>
    <row r="255">
      <c r="A255" s="0" t="inlineStr">
        <is>
          <t>[강서동]</t>
        </is>
      </c>
      <c r="B255" s="0" t="n">
        <v>111247</v>
      </c>
      <c r="C255" s="0" t="n">
        <v>2</v>
      </c>
      <c r="D255" s="0" t="inlineStr">
        <is>
          <t>강서베리굿(도시형)</t>
        </is>
      </c>
      <c r="E255" s="0" t="inlineStr">
        <is>
          <t>2015.11.</t>
        </is>
      </c>
      <c r="F255" s="0" t="n">
        <v>154</v>
      </c>
      <c r="G255" s="0" t="n">
        <v>22.3</v>
      </c>
      <c r="H255" s="0" t="n">
        <v>73.75</v>
      </c>
      <c r="I255" s="0" t="n">
        <v>15.1</v>
      </c>
      <c r="J255" s="0" t="n">
        <v>49.93</v>
      </c>
      <c r="K255" s="0" t="n">
        <v>56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73G</t>
        </is>
      </c>
      <c r="X255" s="0" t="n">
        <v>17</v>
      </c>
      <c r="Y255" s="0" t="n">
        <v>17</v>
      </c>
      <c r="Z255" s="0" t="inlineStr">
        <is>
          <t>https://new.land.naver.com/complexes/111247?tab=detail&amp;rf=Y</t>
        </is>
      </c>
      <c r="AA255" s="0" t="inlineStr">
        <is>
          <t>충청북도 청주시 흥덕구 강서동 503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흥덕구</t>
        </is>
      </c>
      <c r="AE255" s="0" t="inlineStr">
        <is>
          <t>강서동</t>
        </is>
      </c>
      <c r="AG255" s="0" t="inlineStr">
        <is>
          <t>충청북도 청주시 흥덕구 서현중로 63</t>
        </is>
      </c>
      <c r="AH255" s="0" t="n">
        <v>0</v>
      </c>
      <c r="AI255" s="0" t="n">
        <v>883</v>
      </c>
      <c r="AJ255" s="0" t="n">
        <v>69</v>
      </c>
      <c r="AK255" s="0" t="n">
        <v>112</v>
      </c>
      <c r="AL255" s="0" t="n">
        <v>0.73</v>
      </c>
    </row>
    <row r="256">
      <c r="A256" s="0" t="inlineStr">
        <is>
          <t>[강서동]</t>
        </is>
      </c>
      <c r="B256" s="0" t="n">
        <v>111247</v>
      </c>
      <c r="C256" s="0" t="n">
        <v>3</v>
      </c>
      <c r="D256" s="0" t="inlineStr">
        <is>
          <t>강서베리굿(도시형)</t>
        </is>
      </c>
      <c r="E256" s="0" t="inlineStr">
        <is>
          <t>2015.11.</t>
        </is>
      </c>
      <c r="F256" s="0" t="n">
        <v>154</v>
      </c>
      <c r="G256" s="0" t="n">
        <v>22.22</v>
      </c>
      <c r="H256" s="0" t="n">
        <v>73.47</v>
      </c>
      <c r="I256" s="0" t="n">
        <v>15.04</v>
      </c>
      <c r="J256" s="0" t="n">
        <v>49.74</v>
      </c>
      <c r="K256" s="0" t="n">
        <v>28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73E</t>
        </is>
      </c>
      <c r="X256" s="0" t="n">
        <v>17</v>
      </c>
      <c r="Y256" s="0" t="n">
        <v>17</v>
      </c>
      <c r="Z256" s="0" t="inlineStr">
        <is>
          <t>https://new.land.naver.com/complexes/111247?tab=detail&amp;rf=Y</t>
        </is>
      </c>
      <c r="AA256" s="0" t="inlineStr">
        <is>
          <t>충청북도 청주시 흥덕구 강서동 503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흥덕구</t>
        </is>
      </c>
      <c r="AE256" s="0" t="inlineStr">
        <is>
          <t>강서동</t>
        </is>
      </c>
      <c r="AG256" s="0" t="inlineStr">
        <is>
          <t>충청북도 청주시 흥덕구 서현중로 63</t>
        </is>
      </c>
      <c r="AH256" s="0" t="n">
        <v>0</v>
      </c>
      <c r="AI256" s="0" t="n">
        <v>883</v>
      </c>
      <c r="AJ256" s="0" t="n">
        <v>69</v>
      </c>
      <c r="AK256" s="0" t="n">
        <v>112</v>
      </c>
      <c r="AL256" s="0" t="n">
        <v>0.73</v>
      </c>
    </row>
    <row r="257">
      <c r="A257" s="0" t="inlineStr">
        <is>
          <t>[강서동]</t>
        </is>
      </c>
      <c r="B257" s="0" t="n">
        <v>111247</v>
      </c>
      <c r="C257" s="0" t="n">
        <v>4</v>
      </c>
      <c r="D257" s="0" t="inlineStr">
        <is>
          <t>강서베리굿(도시형)</t>
        </is>
      </c>
      <c r="E257" s="0" t="inlineStr">
        <is>
          <t>2015.11.</t>
        </is>
      </c>
      <c r="F257" s="0" t="n">
        <v>154</v>
      </c>
      <c r="G257" s="0" t="n">
        <v>22.26</v>
      </c>
      <c r="H257" s="0" t="n">
        <v>73.59</v>
      </c>
      <c r="I257" s="0" t="n">
        <v>15.07</v>
      </c>
      <c r="J257" s="0" t="n">
        <v>49.82</v>
      </c>
      <c r="K257" s="0" t="n">
        <v>28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73H</t>
        </is>
      </c>
      <c r="X257" s="0" t="n">
        <v>17</v>
      </c>
      <c r="Y257" s="0" t="n">
        <v>17</v>
      </c>
      <c r="Z257" s="0" t="inlineStr">
        <is>
          <t>https://new.land.naver.com/complexes/111247?tab=detail&amp;rf=Y</t>
        </is>
      </c>
      <c r="AA257" s="0" t="inlineStr">
        <is>
          <t>충청북도 청주시 흥덕구 강서동 503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흥덕구</t>
        </is>
      </c>
      <c r="AE257" s="0" t="inlineStr">
        <is>
          <t>강서동</t>
        </is>
      </c>
      <c r="AG257" s="0" t="inlineStr">
        <is>
          <t>충청북도 청주시 흥덕구 서현중로 63</t>
        </is>
      </c>
      <c r="AH257" s="0" t="n">
        <v>0</v>
      </c>
      <c r="AI257" s="0" t="n">
        <v>883</v>
      </c>
      <c r="AJ257" s="0" t="n">
        <v>69</v>
      </c>
      <c r="AK257" s="0" t="n">
        <v>112</v>
      </c>
      <c r="AL257" s="0" t="n">
        <v>0.73</v>
      </c>
    </row>
    <row r="258">
      <c r="A258" s="0" t="inlineStr">
        <is>
          <t>[강서동]</t>
        </is>
      </c>
      <c r="B258" s="0" t="n">
        <v>111587</v>
      </c>
      <c r="C258" s="0" t="n">
        <v>1</v>
      </c>
      <c r="D258" s="0" t="inlineStr">
        <is>
          <t>미소랑(도시형)</t>
        </is>
      </c>
      <c r="E258" s="0" t="inlineStr">
        <is>
          <t>2014.09.</t>
        </is>
      </c>
      <c r="F258" s="0" t="n">
        <v>168</v>
      </c>
      <c r="G258" s="0" t="n">
        <v>7.44</v>
      </c>
      <c r="H258" s="0" t="n">
        <v>24.6</v>
      </c>
      <c r="I258" s="0" t="n">
        <v>5.68</v>
      </c>
      <c r="J258" s="0" t="n">
        <v>18.8</v>
      </c>
      <c r="K258" s="0" t="n">
        <v>48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24</v>
      </c>
      <c r="X258" s="0" t="n">
        <v>14</v>
      </c>
      <c r="Y258" s="0" t="n">
        <v>14</v>
      </c>
      <c r="Z258" s="0" t="inlineStr">
        <is>
          <t>https://new.land.naver.com/complexes/111587?tab=detail&amp;rf=Y</t>
        </is>
      </c>
      <c r="AA258" s="0" t="inlineStr">
        <is>
          <t>충청북도 청주시 흥덕구 강서동 466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흥덕구</t>
        </is>
      </c>
      <c r="AE258" s="0" t="inlineStr">
        <is>
          <t>강서동</t>
        </is>
      </c>
      <c r="AG258" s="0" t="inlineStr">
        <is>
          <t>충청북도 청주시 흥덕구 가로수로1164번길 41-8</t>
        </is>
      </c>
      <c r="AH258" s="0" t="n">
        <v>0</v>
      </c>
      <c r="AI258" s="0" t="n">
        <v>749</v>
      </c>
      <c r="AJ258" s="0" t="n">
        <v>69</v>
      </c>
      <c r="AK258" s="0" t="n">
        <v>58</v>
      </c>
      <c r="AL258" s="0" t="n">
        <v>0.35</v>
      </c>
    </row>
    <row r="259">
      <c r="A259" s="0" t="inlineStr">
        <is>
          <t>[강서동]</t>
        </is>
      </c>
      <c r="B259" s="0" t="n">
        <v>111587</v>
      </c>
      <c r="C259" s="0" t="n">
        <v>2</v>
      </c>
      <c r="D259" s="0" t="inlineStr">
        <is>
          <t>미소랑(도시형)</t>
        </is>
      </c>
      <c r="E259" s="0" t="inlineStr">
        <is>
          <t>2014.09.</t>
        </is>
      </c>
      <c r="F259" s="0" t="n">
        <v>168</v>
      </c>
      <c r="G259" s="0" t="n">
        <v>13.52</v>
      </c>
      <c r="H259" s="0" t="n">
        <v>44.71</v>
      </c>
      <c r="I259" s="0" t="n">
        <v>10.33</v>
      </c>
      <c r="J259" s="0" t="n">
        <v>34.17</v>
      </c>
      <c r="K259" s="0" t="n">
        <v>72</v>
      </c>
      <c r="T259" s="0" t="n">
        <v>1</v>
      </c>
      <c r="U259" s="0" t="n">
        <v>1</v>
      </c>
      <c r="V259" s="0" t="inlineStr">
        <is>
          <t>계단식</t>
        </is>
      </c>
      <c r="W259" s="0" t="n">
        <v>44</v>
      </c>
      <c r="X259" s="0" t="n">
        <v>14</v>
      </c>
      <c r="Y259" s="0" t="n">
        <v>14</v>
      </c>
      <c r="Z259" s="0" t="inlineStr">
        <is>
          <t>https://new.land.naver.com/complexes/111587?tab=detail&amp;rf=Y</t>
        </is>
      </c>
      <c r="AA259" s="0" t="inlineStr">
        <is>
          <t>충청북도 청주시 흥덕구 강서동 466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흥덕구</t>
        </is>
      </c>
      <c r="AE259" s="0" t="inlineStr">
        <is>
          <t>강서동</t>
        </is>
      </c>
      <c r="AG259" s="0" t="inlineStr">
        <is>
          <t>충청북도 청주시 흥덕구 가로수로1164번길 41-8</t>
        </is>
      </c>
      <c r="AH259" s="0" t="n">
        <v>0</v>
      </c>
      <c r="AI259" s="0" t="n">
        <v>749</v>
      </c>
      <c r="AJ259" s="0" t="n">
        <v>69</v>
      </c>
      <c r="AK259" s="0" t="n">
        <v>58</v>
      </c>
      <c r="AL259" s="0" t="n">
        <v>0.35</v>
      </c>
    </row>
    <row r="260">
      <c r="A260" s="0" t="inlineStr">
        <is>
          <t>[강서동]</t>
        </is>
      </c>
      <c r="B260" s="0" t="n">
        <v>111587</v>
      </c>
      <c r="C260" s="0" t="n">
        <v>3</v>
      </c>
      <c r="D260" s="0" t="inlineStr">
        <is>
          <t>미소랑(도시형)</t>
        </is>
      </c>
      <c r="E260" s="0" t="inlineStr">
        <is>
          <t>2014.09.</t>
        </is>
      </c>
      <c r="F260" s="0" t="n">
        <v>168</v>
      </c>
      <c r="G260" s="0" t="n">
        <v>16.55</v>
      </c>
      <c r="H260" s="0" t="n">
        <v>54.74</v>
      </c>
      <c r="I260" s="0" t="n">
        <v>12.65</v>
      </c>
      <c r="J260" s="0" t="n">
        <v>41.83</v>
      </c>
      <c r="K260" s="0" t="n">
        <v>24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54A</t>
        </is>
      </c>
      <c r="X260" s="0" t="n">
        <v>14</v>
      </c>
      <c r="Y260" s="0" t="n">
        <v>14</v>
      </c>
      <c r="Z260" s="0" t="inlineStr">
        <is>
          <t>https://new.land.naver.com/complexes/111587?tab=detail&amp;rf=Y</t>
        </is>
      </c>
      <c r="AA260" s="0" t="inlineStr">
        <is>
          <t>충청북도 청주시 흥덕구 강서동 466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흥덕구</t>
        </is>
      </c>
      <c r="AE260" s="0" t="inlineStr">
        <is>
          <t>강서동</t>
        </is>
      </c>
      <c r="AG260" s="0" t="inlineStr">
        <is>
          <t>충청북도 청주시 흥덕구 가로수로1164번길 41-8</t>
        </is>
      </c>
      <c r="AH260" s="0" t="n">
        <v>0</v>
      </c>
      <c r="AI260" s="0" t="n">
        <v>749</v>
      </c>
      <c r="AJ260" s="0" t="n">
        <v>69</v>
      </c>
      <c r="AK260" s="0" t="n">
        <v>58</v>
      </c>
      <c r="AL260" s="0" t="n">
        <v>0.35</v>
      </c>
    </row>
    <row r="261">
      <c r="A261" s="0" t="inlineStr">
        <is>
          <t>[강서동]</t>
        </is>
      </c>
      <c r="B261" s="0" t="n">
        <v>111587</v>
      </c>
      <c r="C261" s="0" t="n">
        <v>4</v>
      </c>
      <c r="D261" s="0" t="inlineStr">
        <is>
          <t>미소랑(도시형)</t>
        </is>
      </c>
      <c r="E261" s="0" t="inlineStr">
        <is>
          <t>2014.09.</t>
        </is>
      </c>
      <c r="F261" s="0" t="n">
        <v>168</v>
      </c>
      <c r="G261" s="0" t="n">
        <v>16.6</v>
      </c>
      <c r="H261" s="0" t="n">
        <v>54.89</v>
      </c>
      <c r="I261" s="0" t="n">
        <v>12.68</v>
      </c>
      <c r="J261" s="0" t="n">
        <v>41.94</v>
      </c>
      <c r="K261" s="0" t="n">
        <v>24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54B</t>
        </is>
      </c>
      <c r="X261" s="0" t="n">
        <v>14</v>
      </c>
      <c r="Y261" s="0" t="n">
        <v>14</v>
      </c>
      <c r="Z261" s="0" t="inlineStr">
        <is>
          <t>https://new.land.naver.com/complexes/111587?tab=detail&amp;rf=Y</t>
        </is>
      </c>
      <c r="AA261" s="0" t="inlineStr">
        <is>
          <t>충청북도 청주시 흥덕구 강서동 466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흥덕구</t>
        </is>
      </c>
      <c r="AE261" s="0" t="inlineStr">
        <is>
          <t>강서동</t>
        </is>
      </c>
      <c r="AG261" s="0" t="inlineStr">
        <is>
          <t>충청북도 청주시 흥덕구 가로수로1164번길 41-8</t>
        </is>
      </c>
      <c r="AH261" s="0" t="n">
        <v>0</v>
      </c>
      <c r="AI261" s="0" t="n">
        <v>749</v>
      </c>
      <c r="AJ261" s="0" t="n">
        <v>69</v>
      </c>
      <c r="AK261" s="0" t="n">
        <v>58</v>
      </c>
      <c r="AL261" s="0" t="n">
        <v>0.35</v>
      </c>
    </row>
    <row r="262">
      <c r="A262" s="0" t="inlineStr">
        <is>
          <t>[강서동]</t>
        </is>
      </c>
      <c r="B262" s="0" t="n">
        <v>109825</v>
      </c>
      <c r="C262" s="0" t="n">
        <v>1</v>
      </c>
      <c r="D262" s="0" t="inlineStr">
        <is>
          <t>신해블루지움(도시형)</t>
        </is>
      </c>
      <c r="E262" s="0" t="inlineStr">
        <is>
          <t>2017.11.</t>
        </is>
      </c>
      <c r="F262" s="0" t="n">
        <v>298</v>
      </c>
      <c r="G262" s="0" t="n">
        <v>7.57</v>
      </c>
      <c r="H262" s="0" t="n">
        <v>25.03</v>
      </c>
      <c r="I262" s="0" t="n">
        <v>5.52</v>
      </c>
      <c r="J262" s="0" t="n">
        <v>18.28</v>
      </c>
      <c r="K262" s="0" t="n">
        <v>253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25D</t>
        </is>
      </c>
      <c r="X262" s="0" t="n">
        <v>26</v>
      </c>
      <c r="Y262" s="0" t="n">
        <v>25</v>
      </c>
      <c r="Z262" s="0" t="inlineStr">
        <is>
          <t>https://new.land.naver.com/complexes/109825?tab=detail&amp;rf=Y</t>
        </is>
      </c>
      <c r="AA262" s="0" t="inlineStr">
        <is>
          <t>충청북도 청주시 흥덕구 강서동 459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흥덕구</t>
        </is>
      </c>
      <c r="AE262" s="0" t="inlineStr">
        <is>
          <t>강서동</t>
        </is>
      </c>
      <c r="AG262" s="0" t="inlineStr">
        <is>
          <t>충청북도 청주시 흥덕구 2순환로 1222</t>
        </is>
      </c>
      <c r="AH262" s="0" t="n">
        <v>0</v>
      </c>
      <c r="AI262" s="0" t="n">
        <v>888</v>
      </c>
      <c r="AJ262" s="0" t="n">
        <v>67</v>
      </c>
      <c r="AK262" s="0" t="n">
        <v>444</v>
      </c>
      <c r="AL262" s="0" t="n">
        <v>1.49</v>
      </c>
    </row>
    <row r="263">
      <c r="A263" s="0" t="inlineStr">
        <is>
          <t>[강서동]</t>
        </is>
      </c>
      <c r="B263" s="0" t="n">
        <v>109825</v>
      </c>
      <c r="C263" s="0" t="n">
        <v>2</v>
      </c>
      <c r="D263" s="0" t="inlineStr">
        <is>
          <t>신해블루지움(도시형)</t>
        </is>
      </c>
      <c r="E263" s="0" t="inlineStr">
        <is>
          <t>2017.11.</t>
        </is>
      </c>
      <c r="F263" s="0" t="n">
        <v>298</v>
      </c>
      <c r="G263" s="0" t="n">
        <v>8.859999999999999</v>
      </c>
      <c r="H263" s="0" t="n">
        <v>29.29</v>
      </c>
      <c r="I263" s="0" t="n">
        <v>6.47</v>
      </c>
      <c r="J263" s="0" t="n">
        <v>21.39</v>
      </c>
      <c r="K263" s="0" t="n">
        <v>7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29G</t>
        </is>
      </c>
      <c r="X263" s="0" t="n">
        <v>26</v>
      </c>
      <c r="Y263" s="0" t="n">
        <v>25</v>
      </c>
      <c r="Z263" s="0" t="inlineStr">
        <is>
          <t>https://new.land.naver.com/complexes/109825?tab=detail&amp;rf=Y</t>
        </is>
      </c>
      <c r="AA263" s="0" t="inlineStr">
        <is>
          <t>충청북도 청주시 흥덕구 강서동 459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흥덕구</t>
        </is>
      </c>
      <c r="AE263" s="0" t="inlineStr">
        <is>
          <t>강서동</t>
        </is>
      </c>
      <c r="AG263" s="0" t="inlineStr">
        <is>
          <t>충청북도 청주시 흥덕구 2순환로 1222</t>
        </is>
      </c>
      <c r="AH263" s="0" t="n">
        <v>0</v>
      </c>
      <c r="AI263" s="0" t="n">
        <v>888</v>
      </c>
      <c r="AJ263" s="0" t="n">
        <v>67</v>
      </c>
      <c r="AK263" s="0" t="n">
        <v>444</v>
      </c>
      <c r="AL263" s="0" t="n">
        <v>1.49</v>
      </c>
    </row>
    <row r="264">
      <c r="A264" s="0" t="inlineStr">
        <is>
          <t>[강서동]</t>
        </is>
      </c>
      <c r="B264" s="0" t="n">
        <v>109825</v>
      </c>
      <c r="C264" s="0" t="n">
        <v>3</v>
      </c>
      <c r="D264" s="0" t="inlineStr">
        <is>
          <t>신해블루지움(도시형)</t>
        </is>
      </c>
      <c r="E264" s="0" t="inlineStr">
        <is>
          <t>2017.11.</t>
        </is>
      </c>
      <c r="F264" s="0" t="n">
        <v>298</v>
      </c>
      <c r="G264" s="0" t="n">
        <v>11.07</v>
      </c>
      <c r="H264" s="0" t="n">
        <v>36.61</v>
      </c>
      <c r="I264" s="0" t="n">
        <v>8.08</v>
      </c>
      <c r="J264" s="0" t="n">
        <v>26.74</v>
      </c>
      <c r="K264" s="0" t="n">
        <v>14</v>
      </c>
      <c r="T264" s="0" t="n">
        <v>1</v>
      </c>
      <c r="U264" s="0" t="n">
        <v>1</v>
      </c>
      <c r="V264" s="0" t="inlineStr">
        <is>
          <t>계단식</t>
        </is>
      </c>
      <c r="W264" s="0" t="inlineStr">
        <is>
          <t>36E</t>
        </is>
      </c>
      <c r="X264" s="0" t="n">
        <v>26</v>
      </c>
      <c r="Y264" s="0" t="n">
        <v>25</v>
      </c>
      <c r="Z264" s="0" t="inlineStr">
        <is>
          <t>https://new.land.naver.com/complexes/109825?tab=detail&amp;rf=Y</t>
        </is>
      </c>
      <c r="AA264" s="0" t="inlineStr">
        <is>
          <t>충청북도 청주시 흥덕구 강서동 459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흥덕구</t>
        </is>
      </c>
      <c r="AE264" s="0" t="inlineStr">
        <is>
          <t>강서동</t>
        </is>
      </c>
      <c r="AG264" s="0" t="inlineStr">
        <is>
          <t>충청북도 청주시 흥덕구 2순환로 1222</t>
        </is>
      </c>
      <c r="AH264" s="0" t="n">
        <v>0</v>
      </c>
      <c r="AI264" s="0" t="n">
        <v>888</v>
      </c>
      <c r="AJ264" s="0" t="n">
        <v>67</v>
      </c>
      <c r="AK264" s="0" t="n">
        <v>444</v>
      </c>
      <c r="AL264" s="0" t="n">
        <v>1.49</v>
      </c>
    </row>
    <row r="265">
      <c r="A265" s="0" t="inlineStr">
        <is>
          <t>[강서동]</t>
        </is>
      </c>
      <c r="B265" s="0" t="n">
        <v>109825</v>
      </c>
      <c r="C265" s="0" t="n">
        <v>4</v>
      </c>
      <c r="D265" s="0" t="inlineStr">
        <is>
          <t>신해블루지움(도시형)</t>
        </is>
      </c>
      <c r="E265" s="0" t="inlineStr">
        <is>
          <t>2017.11.</t>
        </is>
      </c>
      <c r="F265" s="0" t="n">
        <v>298</v>
      </c>
      <c r="G265" s="0" t="n">
        <v>11.49</v>
      </c>
      <c r="H265" s="0" t="n">
        <v>37.99</v>
      </c>
      <c r="I265" s="0" t="n">
        <v>8.390000000000001</v>
      </c>
      <c r="J265" s="0" t="n">
        <v>27.75</v>
      </c>
      <c r="K265" s="0" t="n">
        <v>24</v>
      </c>
      <c r="T265" s="0" t="n">
        <v>1</v>
      </c>
      <c r="U265" s="0" t="n">
        <v>1</v>
      </c>
      <c r="V265" s="0" t="inlineStr">
        <is>
          <t>계단식</t>
        </is>
      </c>
      <c r="W265" s="0" t="inlineStr">
        <is>
          <t>37F</t>
        </is>
      </c>
      <c r="X265" s="0" t="n">
        <v>26</v>
      </c>
      <c r="Y265" s="0" t="n">
        <v>25</v>
      </c>
      <c r="Z265" s="0" t="inlineStr">
        <is>
          <t>https://new.land.naver.com/complexes/109825?tab=detail&amp;rf=Y</t>
        </is>
      </c>
      <c r="AA265" s="0" t="inlineStr">
        <is>
          <t>충청북도 청주시 흥덕구 강서동 459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흥덕구</t>
        </is>
      </c>
      <c r="AE265" s="0" t="inlineStr">
        <is>
          <t>강서동</t>
        </is>
      </c>
      <c r="AG265" s="0" t="inlineStr">
        <is>
          <t>충청북도 청주시 흥덕구 2순환로 1222</t>
        </is>
      </c>
      <c r="AH265" s="0" t="n">
        <v>0</v>
      </c>
      <c r="AI265" s="0" t="n">
        <v>888</v>
      </c>
      <c r="AJ265" s="0" t="n">
        <v>67</v>
      </c>
      <c r="AK265" s="0" t="n">
        <v>444</v>
      </c>
      <c r="AL265" s="0" t="n">
        <v>1.49</v>
      </c>
    </row>
    <row r="266">
      <c r="A266" s="0" t="inlineStr">
        <is>
          <t>[강서동]</t>
        </is>
      </c>
      <c r="B266" s="0" t="n">
        <v>112525</v>
      </c>
      <c r="C266" s="0" t="n">
        <v>1</v>
      </c>
      <c r="D266" s="0" t="inlineStr">
        <is>
          <t>청주강서동광모닝스카이(도시형)</t>
        </is>
      </c>
      <c r="E266" s="0" t="inlineStr">
        <is>
          <t>2016.06.</t>
        </is>
      </c>
      <c r="F266" s="0" t="n">
        <v>298</v>
      </c>
      <c r="G266" s="0" t="n">
        <v>6.77</v>
      </c>
      <c r="H266" s="0" t="n">
        <v>22.41</v>
      </c>
      <c r="I266" s="0" t="n">
        <v>4.53</v>
      </c>
      <c r="J266" s="0" t="n">
        <v>14.98</v>
      </c>
      <c r="K266" s="0" t="n">
        <v>210</v>
      </c>
      <c r="T266" s="0" t="n">
        <v>1</v>
      </c>
      <c r="U266" s="0" t="n">
        <v>1</v>
      </c>
      <c r="V266" s="0" t="inlineStr">
        <is>
          <t>계단식</t>
        </is>
      </c>
      <c r="W266" s="0" t="inlineStr">
        <is>
          <t>22A</t>
        </is>
      </c>
      <c r="X266" s="0" t="n">
        <v>26</v>
      </c>
      <c r="Y266" s="0" t="n">
        <v>26</v>
      </c>
      <c r="Z266" s="0" t="inlineStr">
        <is>
          <t>https://new.land.naver.com/complexes/112525?tab=detail&amp;rf=Y</t>
        </is>
      </c>
      <c r="AA266" s="0" t="inlineStr">
        <is>
          <t>충청북도 청주시 흥덕구 강서동 458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흥덕구</t>
        </is>
      </c>
      <c r="AE266" s="0" t="inlineStr">
        <is>
          <t>강서동</t>
        </is>
      </c>
      <c r="AG266" s="0" t="inlineStr">
        <is>
          <t>충청북도 청주시 흥덕구 가로수로1164번길 41-33</t>
        </is>
      </c>
      <c r="AH266" s="0" t="n">
        <v>0</v>
      </c>
      <c r="AI266" s="0" t="n">
        <v>828</v>
      </c>
      <c r="AJ266" s="0" t="n">
        <v>54</v>
      </c>
      <c r="AK266" s="0" t="n">
        <v>205</v>
      </c>
      <c r="AL266" s="0" t="n">
        <v>0.6899999999999999</v>
      </c>
    </row>
    <row r="267">
      <c r="A267" s="0" t="inlineStr">
        <is>
          <t>[강서동]</t>
        </is>
      </c>
      <c r="B267" s="0" t="n">
        <v>112525</v>
      </c>
      <c r="C267" s="0" t="n">
        <v>2</v>
      </c>
      <c r="D267" s="0" t="inlineStr">
        <is>
          <t>청주강서동광모닝스카이(도시형)</t>
        </is>
      </c>
      <c r="E267" s="0" t="inlineStr">
        <is>
          <t>2016.06.</t>
        </is>
      </c>
      <c r="F267" s="0" t="n">
        <v>298</v>
      </c>
      <c r="G267" s="0" t="n">
        <v>9.050000000000001</v>
      </c>
      <c r="H267" s="0" t="n">
        <v>29.92</v>
      </c>
      <c r="I267" s="0" t="n">
        <v>6.05</v>
      </c>
      <c r="J267" s="0" t="n">
        <v>20</v>
      </c>
      <c r="K267" s="0" t="n">
        <v>18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29C</t>
        </is>
      </c>
      <c r="X267" s="0" t="n">
        <v>26</v>
      </c>
      <c r="Y267" s="0" t="n">
        <v>26</v>
      </c>
      <c r="Z267" s="0" t="inlineStr">
        <is>
          <t>https://new.land.naver.com/complexes/112525?tab=detail&amp;rf=Y</t>
        </is>
      </c>
      <c r="AA267" s="0" t="inlineStr">
        <is>
          <t>충청북도 청주시 흥덕구 강서동 458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흥덕구</t>
        </is>
      </c>
      <c r="AE267" s="0" t="inlineStr">
        <is>
          <t>강서동</t>
        </is>
      </c>
      <c r="AG267" s="0" t="inlineStr">
        <is>
          <t>충청북도 청주시 흥덕구 가로수로1164번길 41-33</t>
        </is>
      </c>
      <c r="AH267" s="0" t="n">
        <v>0</v>
      </c>
      <c r="AI267" s="0" t="n">
        <v>828</v>
      </c>
      <c r="AJ267" s="0" t="n">
        <v>54</v>
      </c>
      <c r="AK267" s="0" t="n">
        <v>205</v>
      </c>
      <c r="AL267" s="0" t="n">
        <v>0.6899999999999999</v>
      </c>
    </row>
    <row r="268">
      <c r="A268" s="0" t="inlineStr">
        <is>
          <t>[강서동]</t>
        </is>
      </c>
      <c r="B268" s="0" t="n">
        <v>112525</v>
      </c>
      <c r="C268" s="0" t="n">
        <v>3</v>
      </c>
      <c r="D268" s="0" t="inlineStr">
        <is>
          <t>청주강서동광모닝스카이(도시형)</t>
        </is>
      </c>
      <c r="E268" s="0" t="inlineStr">
        <is>
          <t>2016.06.</t>
        </is>
      </c>
      <c r="F268" s="0" t="n">
        <v>298</v>
      </c>
      <c r="G268" s="0" t="n">
        <v>12.5</v>
      </c>
      <c r="H268" s="0" t="n">
        <v>41.34</v>
      </c>
      <c r="I268" s="0" t="n">
        <v>8.35</v>
      </c>
      <c r="J268" s="0" t="n">
        <v>27.63</v>
      </c>
      <c r="K268" s="0" t="n">
        <v>70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41B</t>
        </is>
      </c>
      <c r="X268" s="0" t="n">
        <v>26</v>
      </c>
      <c r="Y268" s="0" t="n">
        <v>26</v>
      </c>
      <c r="Z268" s="0" t="inlineStr">
        <is>
          <t>https://new.land.naver.com/complexes/112525?tab=detail&amp;rf=Y</t>
        </is>
      </c>
      <c r="AA268" s="0" t="inlineStr">
        <is>
          <t>충청북도 청주시 흥덕구 강서동 458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흥덕구</t>
        </is>
      </c>
      <c r="AE268" s="0" t="inlineStr">
        <is>
          <t>강서동</t>
        </is>
      </c>
      <c r="AG268" s="0" t="inlineStr">
        <is>
          <t>충청북도 청주시 흥덕구 가로수로1164번길 41-33</t>
        </is>
      </c>
      <c r="AH268" s="0" t="n">
        <v>0</v>
      </c>
      <c r="AI268" s="0" t="n">
        <v>828</v>
      </c>
      <c r="AJ268" s="0" t="n">
        <v>54</v>
      </c>
      <c r="AK268" s="0" t="n">
        <v>205</v>
      </c>
      <c r="AL268" s="0" t="n">
        <v>0.6899999999999999</v>
      </c>
    </row>
    <row r="269">
      <c r="A269" s="0" t="inlineStr">
        <is>
          <t>[강서동]</t>
        </is>
      </c>
      <c r="B269" s="0" t="n">
        <v>112981</v>
      </c>
      <c r="C269" s="0" t="n">
        <v>1</v>
      </c>
      <c r="D269" s="0" t="inlineStr">
        <is>
          <t>강서베리굿2차(도시형)</t>
        </is>
      </c>
      <c r="E269" s="0" t="inlineStr">
        <is>
          <t>2016.08.</t>
        </is>
      </c>
      <c r="F269" s="0" t="n">
        <v>285</v>
      </c>
      <c r="G269" s="0" t="n">
        <v>9.9</v>
      </c>
      <c r="H269" s="0" t="n">
        <v>32.76</v>
      </c>
      <c r="I269" s="0" t="n">
        <v>6.32</v>
      </c>
      <c r="J269" s="0" t="n">
        <v>20.91</v>
      </c>
      <c r="K269" s="0" t="n">
        <v>60</v>
      </c>
      <c r="T269" s="0" t="n">
        <v>1</v>
      </c>
      <c r="U269" s="0" t="n">
        <v>1</v>
      </c>
      <c r="V269" s="0" t="inlineStr">
        <is>
          <t>복도식</t>
        </is>
      </c>
      <c r="W269" s="0" t="inlineStr">
        <is>
          <t>32C</t>
        </is>
      </c>
      <c r="X269" s="0" t="n">
        <v>17</v>
      </c>
      <c r="Y269" s="0" t="n">
        <v>17</v>
      </c>
      <c r="Z269" s="0" t="inlineStr">
        <is>
          <t>https://new.land.naver.com/complexes/112981?tab=detail&amp;rf=Y</t>
        </is>
      </c>
      <c r="AA269" s="0" t="inlineStr">
        <is>
          <t>충청북도 청주시 흥덕구 강서동 482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흥덕구</t>
        </is>
      </c>
      <c r="AE269" s="0" t="inlineStr">
        <is>
          <t>강서동</t>
        </is>
      </c>
      <c r="AG269" s="0" t="inlineStr">
        <is>
          <t>충청북도 청주시 흥덕구 강서로 111</t>
        </is>
      </c>
      <c r="AH269" s="0" t="n">
        <v>0</v>
      </c>
      <c r="AI269" s="0" t="n">
        <v>873</v>
      </c>
      <c r="AJ269" s="0" t="n">
        <v>69</v>
      </c>
      <c r="AK269" s="0" t="n">
        <v>199</v>
      </c>
      <c r="AL269" s="0" t="n">
        <v>0.7</v>
      </c>
    </row>
    <row r="270">
      <c r="A270" s="0" t="inlineStr">
        <is>
          <t>[강서동]</t>
        </is>
      </c>
      <c r="B270" s="0" t="n">
        <v>112981</v>
      </c>
      <c r="C270" s="0" t="n">
        <v>2</v>
      </c>
      <c r="D270" s="0" t="inlineStr">
        <is>
          <t>강서베리굿2차(도시형)</t>
        </is>
      </c>
      <c r="E270" s="0" t="inlineStr">
        <is>
          <t>2016.08.</t>
        </is>
      </c>
      <c r="F270" s="0" t="n">
        <v>285</v>
      </c>
      <c r="G270" s="0" t="n">
        <v>11.19</v>
      </c>
      <c r="H270" s="0" t="n">
        <v>37</v>
      </c>
      <c r="I270" s="0" t="n">
        <v>7.14</v>
      </c>
      <c r="J270" s="0" t="n">
        <v>23.62</v>
      </c>
      <c r="K270" s="0" t="n">
        <v>75</v>
      </c>
      <c r="T270" s="0" t="n">
        <v>1</v>
      </c>
      <c r="U270" s="0" t="n">
        <v>1</v>
      </c>
      <c r="V270" s="0" t="inlineStr">
        <is>
          <t>복도식</t>
        </is>
      </c>
      <c r="W270" s="0" t="inlineStr">
        <is>
          <t>37D</t>
        </is>
      </c>
      <c r="X270" s="0" t="n">
        <v>17</v>
      </c>
      <c r="Y270" s="0" t="n">
        <v>17</v>
      </c>
      <c r="Z270" s="0" t="inlineStr">
        <is>
          <t>https://new.land.naver.com/complexes/112981?tab=detail&amp;rf=Y</t>
        </is>
      </c>
      <c r="AA270" s="0" t="inlineStr">
        <is>
          <t>충청북도 청주시 흥덕구 강서동 482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흥덕구</t>
        </is>
      </c>
      <c r="AE270" s="0" t="inlineStr">
        <is>
          <t>강서동</t>
        </is>
      </c>
      <c r="AG270" s="0" t="inlineStr">
        <is>
          <t>충청북도 청주시 흥덕구 강서로 111</t>
        </is>
      </c>
      <c r="AH270" s="0" t="n">
        <v>0</v>
      </c>
      <c r="AI270" s="0" t="n">
        <v>873</v>
      </c>
      <c r="AJ270" s="0" t="n">
        <v>69</v>
      </c>
      <c r="AK270" s="0" t="n">
        <v>199</v>
      </c>
      <c r="AL270" s="0" t="n">
        <v>0.7</v>
      </c>
    </row>
    <row r="271">
      <c r="A271" s="0" t="inlineStr">
        <is>
          <t>[강서동]</t>
        </is>
      </c>
      <c r="B271" s="0" t="n">
        <v>112981</v>
      </c>
      <c r="C271" s="0" t="n">
        <v>3</v>
      </c>
      <c r="D271" s="0" t="inlineStr">
        <is>
          <t>강서베리굿2차(도시형)</t>
        </is>
      </c>
      <c r="E271" s="0" t="inlineStr">
        <is>
          <t>2016.08.</t>
        </is>
      </c>
      <c r="F271" s="0" t="n">
        <v>285</v>
      </c>
      <c r="G271" s="0" t="n">
        <v>11.51</v>
      </c>
      <c r="H271" s="0" t="n">
        <v>38.05</v>
      </c>
      <c r="I271" s="0" t="n">
        <v>7.34</v>
      </c>
      <c r="J271" s="0" t="n">
        <v>24.29</v>
      </c>
      <c r="K271" s="0" t="n">
        <v>15</v>
      </c>
      <c r="T271" s="0" t="n">
        <v>1</v>
      </c>
      <c r="U271" s="0" t="n">
        <v>1</v>
      </c>
      <c r="V271" s="0" t="inlineStr">
        <is>
          <t>복도식</t>
        </is>
      </c>
      <c r="W271" s="0" t="inlineStr">
        <is>
          <t>38E</t>
        </is>
      </c>
      <c r="X271" s="0" t="n">
        <v>17</v>
      </c>
      <c r="Y271" s="0" t="n">
        <v>17</v>
      </c>
      <c r="Z271" s="0" t="inlineStr">
        <is>
          <t>https://new.land.naver.com/complexes/112981?tab=detail&amp;rf=Y</t>
        </is>
      </c>
      <c r="AA271" s="0" t="inlineStr">
        <is>
          <t>충청북도 청주시 흥덕구 강서동 482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흥덕구</t>
        </is>
      </c>
      <c r="AE271" s="0" t="inlineStr">
        <is>
          <t>강서동</t>
        </is>
      </c>
      <c r="AG271" s="0" t="inlineStr">
        <is>
          <t>충청북도 청주시 흥덕구 강서로 111</t>
        </is>
      </c>
      <c r="AH271" s="0" t="n">
        <v>0</v>
      </c>
      <c r="AI271" s="0" t="n">
        <v>873</v>
      </c>
      <c r="AJ271" s="0" t="n">
        <v>69</v>
      </c>
      <c r="AK271" s="0" t="n">
        <v>199</v>
      </c>
      <c r="AL271" s="0" t="n">
        <v>0.7</v>
      </c>
    </row>
    <row r="272">
      <c r="A272" s="0" t="inlineStr">
        <is>
          <t>[강서동]</t>
        </is>
      </c>
      <c r="B272" s="0" t="n">
        <v>112981</v>
      </c>
      <c r="C272" s="0" t="n">
        <v>4</v>
      </c>
      <c r="D272" s="0" t="inlineStr">
        <is>
          <t>강서베리굿2차(도시형)</t>
        </is>
      </c>
      <c r="E272" s="0" t="inlineStr">
        <is>
          <t>2016.08.</t>
        </is>
      </c>
      <c r="F272" s="0" t="n">
        <v>285</v>
      </c>
      <c r="G272" s="0" t="n">
        <v>11.7</v>
      </c>
      <c r="H272" s="0" t="n">
        <v>38.71</v>
      </c>
      <c r="I272" s="0" t="n">
        <v>7.47</v>
      </c>
      <c r="J272" s="0" t="n">
        <v>24.71</v>
      </c>
      <c r="K272" s="0" t="n">
        <v>15</v>
      </c>
      <c r="T272" s="0" t="n">
        <v>1</v>
      </c>
      <c r="U272" s="0" t="n">
        <v>1</v>
      </c>
      <c r="V272" s="0" t="inlineStr">
        <is>
          <t>복도식</t>
        </is>
      </c>
      <c r="W272" s="0" t="inlineStr">
        <is>
          <t>38F</t>
        </is>
      </c>
      <c r="X272" s="0" t="n">
        <v>17</v>
      </c>
      <c r="Y272" s="0" t="n">
        <v>17</v>
      </c>
      <c r="Z272" s="0" t="inlineStr">
        <is>
          <t>https://new.land.naver.com/complexes/112981?tab=detail&amp;rf=Y</t>
        </is>
      </c>
      <c r="AA272" s="0" t="inlineStr">
        <is>
          <t>충청북도 청주시 흥덕구 강서동 482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흥덕구</t>
        </is>
      </c>
      <c r="AE272" s="0" t="inlineStr">
        <is>
          <t>강서동</t>
        </is>
      </c>
      <c r="AG272" s="0" t="inlineStr">
        <is>
          <t>충청북도 청주시 흥덕구 강서로 111</t>
        </is>
      </c>
      <c r="AH272" s="0" t="n">
        <v>0</v>
      </c>
      <c r="AI272" s="0" t="n">
        <v>873</v>
      </c>
      <c r="AJ272" s="0" t="n">
        <v>69</v>
      </c>
      <c r="AK272" s="0" t="n">
        <v>199</v>
      </c>
      <c r="AL272" s="0" t="n">
        <v>0.7</v>
      </c>
    </row>
    <row r="273">
      <c r="A273" s="0" t="inlineStr">
        <is>
          <t>[강서동]</t>
        </is>
      </c>
      <c r="B273" s="0" t="n">
        <v>112981</v>
      </c>
      <c r="C273" s="0" t="n">
        <v>5</v>
      </c>
      <c r="D273" s="0" t="inlineStr">
        <is>
          <t>강서베리굿2차(도시형)</t>
        </is>
      </c>
      <c r="E273" s="0" t="inlineStr">
        <is>
          <t>2016.08.</t>
        </is>
      </c>
      <c r="F273" s="0" t="n">
        <v>285</v>
      </c>
      <c r="G273" s="0" t="n">
        <v>12.46</v>
      </c>
      <c r="H273" s="0" t="n">
        <v>41.2</v>
      </c>
      <c r="I273" s="0" t="n">
        <v>7.95</v>
      </c>
      <c r="J273" s="0" t="n">
        <v>26.3</v>
      </c>
      <c r="K273" s="0" t="n">
        <v>90</v>
      </c>
      <c r="T273" s="0" t="n">
        <v>1</v>
      </c>
      <c r="U273" s="0" t="n">
        <v>1</v>
      </c>
      <c r="V273" s="0" t="inlineStr">
        <is>
          <t>복도식</t>
        </is>
      </c>
      <c r="W273" s="0" t="inlineStr">
        <is>
          <t>41B</t>
        </is>
      </c>
      <c r="X273" s="0" t="n">
        <v>17</v>
      </c>
      <c r="Y273" s="0" t="n">
        <v>17</v>
      </c>
      <c r="Z273" s="0" t="inlineStr">
        <is>
          <t>https://new.land.naver.com/complexes/112981?tab=detail&amp;rf=Y</t>
        </is>
      </c>
      <c r="AA273" s="0" t="inlineStr">
        <is>
          <t>충청북도 청주시 흥덕구 강서동 482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흥덕구</t>
        </is>
      </c>
      <c r="AE273" s="0" t="inlineStr">
        <is>
          <t>강서동</t>
        </is>
      </c>
      <c r="AG273" s="0" t="inlineStr">
        <is>
          <t>충청북도 청주시 흥덕구 강서로 111</t>
        </is>
      </c>
      <c r="AH273" s="0" t="n">
        <v>0</v>
      </c>
      <c r="AI273" s="0" t="n">
        <v>873</v>
      </c>
      <c r="AJ273" s="0" t="n">
        <v>69</v>
      </c>
      <c r="AK273" s="0" t="n">
        <v>199</v>
      </c>
      <c r="AL273" s="0" t="n">
        <v>0.7</v>
      </c>
    </row>
    <row r="274">
      <c r="A274" s="0" t="inlineStr">
        <is>
          <t>[강서동]</t>
        </is>
      </c>
      <c r="B274" s="0" t="n">
        <v>112981</v>
      </c>
      <c r="C274" s="0" t="n">
        <v>6</v>
      </c>
      <c r="D274" s="0" t="inlineStr">
        <is>
          <t>강서베리굿2차(도시형)</t>
        </is>
      </c>
      <c r="E274" s="0" t="inlineStr">
        <is>
          <t>2016.08.</t>
        </is>
      </c>
      <c r="F274" s="0" t="n">
        <v>285</v>
      </c>
      <c r="G274" s="0" t="n">
        <v>12.7</v>
      </c>
      <c r="H274" s="0" t="n">
        <v>42</v>
      </c>
      <c r="I274" s="0" t="n">
        <v>8.109999999999999</v>
      </c>
      <c r="J274" s="0" t="n">
        <v>26.82</v>
      </c>
      <c r="K274" s="0" t="n">
        <v>30</v>
      </c>
      <c r="T274" s="0" t="n">
        <v>1</v>
      </c>
      <c r="U274" s="0" t="n">
        <v>1</v>
      </c>
      <c r="V274" s="0" t="inlineStr">
        <is>
          <t>복도식</t>
        </is>
      </c>
      <c r="W274" s="0" t="inlineStr">
        <is>
          <t>42A</t>
        </is>
      </c>
      <c r="X274" s="0" t="n">
        <v>17</v>
      </c>
      <c r="Y274" s="0" t="n">
        <v>17</v>
      </c>
      <c r="Z274" s="0" t="inlineStr">
        <is>
          <t>https://new.land.naver.com/complexes/112981?tab=detail&amp;rf=Y</t>
        </is>
      </c>
      <c r="AA274" s="0" t="inlineStr">
        <is>
          <t>충청북도 청주시 흥덕구 강서동 482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흥덕구</t>
        </is>
      </c>
      <c r="AE274" s="0" t="inlineStr">
        <is>
          <t>강서동</t>
        </is>
      </c>
      <c r="AG274" s="0" t="inlineStr">
        <is>
          <t>충청북도 청주시 흥덕구 강서로 111</t>
        </is>
      </c>
      <c r="AH274" s="0" t="n">
        <v>0</v>
      </c>
      <c r="AI274" s="0" t="n">
        <v>873</v>
      </c>
      <c r="AJ274" s="0" t="n">
        <v>69</v>
      </c>
      <c r="AK274" s="0" t="n">
        <v>199</v>
      </c>
      <c r="AL274" s="0" t="n">
        <v>0.7</v>
      </c>
    </row>
    <row r="275">
      <c r="A275" s="0" t="inlineStr">
        <is>
          <t>[강서동]</t>
        </is>
      </c>
      <c r="B275" s="0" t="n">
        <v>119425</v>
      </c>
      <c r="C275" s="0" t="n">
        <v>1</v>
      </c>
      <c r="D275" s="0" t="inlineStr">
        <is>
          <t>레지던스마리2</t>
        </is>
      </c>
      <c r="E275" s="0" t="inlineStr">
        <is>
          <t>2013.04.</t>
        </is>
      </c>
      <c r="F275" s="0" t="n">
        <v>8</v>
      </c>
      <c r="G275" s="0" t="n">
        <v>9.65</v>
      </c>
      <c r="H275" s="0" t="n">
        <v>31.92</v>
      </c>
      <c r="I275" s="0" t="n">
        <v>7.11</v>
      </c>
      <c r="J275" s="0" t="n">
        <v>23.52</v>
      </c>
      <c r="K275" s="0" t="n">
        <v>2</v>
      </c>
      <c r="T275" s="0" t="n">
        <v>1</v>
      </c>
      <c r="U275" s="0" t="n">
        <v>1</v>
      </c>
      <c r="V275" s="0" t="inlineStr">
        <is>
          <t>계단식</t>
        </is>
      </c>
      <c r="W275" s="0" t="n">
        <v>31</v>
      </c>
      <c r="X275" s="0" t="n">
        <v>3</v>
      </c>
      <c r="Y275" s="0" t="n">
        <v>3</v>
      </c>
      <c r="Z275" s="0" t="inlineStr">
        <is>
          <t>https://new.land.naver.com/complexes/119425?tab=detail&amp;rf=Y</t>
        </is>
      </c>
      <c r="AA275" s="0" t="inlineStr">
        <is>
          <t>충청북도 청주시 흥덕구 강서동 522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흥덕구</t>
        </is>
      </c>
      <c r="AE275" s="0" t="inlineStr">
        <is>
          <t>강서동</t>
        </is>
      </c>
      <c r="AG275" s="0" t="inlineStr">
        <is>
          <t>충청북도 청주시 흥덕구 서현동로 16-1</t>
        </is>
      </c>
      <c r="AH275" s="0" t="n">
        <v>0</v>
      </c>
      <c r="AI275" s="0" t="n">
        <v>450</v>
      </c>
      <c r="AJ275" s="0" t="n">
        <v>55</v>
      </c>
      <c r="AK275" s="0" t="n">
        <v>4</v>
      </c>
      <c r="AL275" s="0" t="n">
        <v>0.5</v>
      </c>
    </row>
    <row r="276">
      <c r="A276" s="0" t="inlineStr">
        <is>
          <t>[강서동]</t>
        </is>
      </c>
      <c r="B276" s="0" t="n">
        <v>119425</v>
      </c>
      <c r="C276" s="0" t="n">
        <v>2</v>
      </c>
      <c r="D276" s="0" t="inlineStr">
        <is>
          <t>레지던스마리2</t>
        </is>
      </c>
      <c r="E276" s="0" t="inlineStr">
        <is>
          <t>2013.04.</t>
        </is>
      </c>
      <c r="F276" s="0" t="n">
        <v>8</v>
      </c>
      <c r="G276" s="0" t="n">
        <v>20.12</v>
      </c>
      <c r="H276" s="0" t="n">
        <v>66.52</v>
      </c>
      <c r="I276" s="0" t="n">
        <v>14.83</v>
      </c>
      <c r="J276" s="0" t="n">
        <v>49.04</v>
      </c>
      <c r="K276" s="0" t="n">
        <v>2</v>
      </c>
      <c r="T276" s="0" t="n">
        <v>2</v>
      </c>
      <c r="U276" s="0" t="n">
        <v>1</v>
      </c>
      <c r="V276" s="0" t="inlineStr">
        <is>
          <t>계단식</t>
        </is>
      </c>
      <c r="W276" s="0" t="n">
        <v>66</v>
      </c>
      <c r="X276" s="0" t="n">
        <v>3</v>
      </c>
      <c r="Y276" s="0" t="n">
        <v>3</v>
      </c>
      <c r="Z276" s="0" t="inlineStr">
        <is>
          <t>https://new.land.naver.com/complexes/119425?tab=detail&amp;rf=Y</t>
        </is>
      </c>
      <c r="AA276" s="0" t="inlineStr">
        <is>
          <t>충청북도 청주시 흥덕구 강서동 522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흥덕구</t>
        </is>
      </c>
      <c r="AE276" s="0" t="inlineStr">
        <is>
          <t>강서동</t>
        </is>
      </c>
      <c r="AG276" s="0" t="inlineStr">
        <is>
          <t>충청북도 청주시 흥덕구 서현동로 16-1</t>
        </is>
      </c>
      <c r="AH276" s="0" t="n">
        <v>0</v>
      </c>
      <c r="AI276" s="0" t="n">
        <v>450</v>
      </c>
      <c r="AJ276" s="0" t="n">
        <v>55</v>
      </c>
      <c r="AK276" s="0" t="n">
        <v>4</v>
      </c>
      <c r="AL276" s="0" t="n">
        <v>0.5</v>
      </c>
    </row>
    <row r="277">
      <c r="A277" s="0" t="inlineStr">
        <is>
          <t>[강서동]</t>
        </is>
      </c>
      <c r="B277" s="0" t="n">
        <v>119425</v>
      </c>
      <c r="C277" s="0" t="n">
        <v>3</v>
      </c>
      <c r="D277" s="0" t="inlineStr">
        <is>
          <t>레지던스마리2</t>
        </is>
      </c>
      <c r="E277" s="0" t="inlineStr">
        <is>
          <t>2013.04.</t>
        </is>
      </c>
      <c r="F277" s="0" t="n">
        <v>8</v>
      </c>
      <c r="G277" s="0" t="n">
        <v>20.45</v>
      </c>
      <c r="H277" s="0" t="n">
        <v>67.62</v>
      </c>
      <c r="I277" s="0" t="n">
        <v>15.07</v>
      </c>
      <c r="J277" s="0" t="n">
        <v>49.84</v>
      </c>
      <c r="K277" s="0" t="n">
        <v>2</v>
      </c>
      <c r="T277" s="0" t="n">
        <v>3</v>
      </c>
      <c r="U277" s="0" t="n">
        <v>1</v>
      </c>
      <c r="V277" s="0" t="inlineStr">
        <is>
          <t>계단식</t>
        </is>
      </c>
      <c r="W277" s="0" t="inlineStr">
        <is>
          <t>67A</t>
        </is>
      </c>
      <c r="X277" s="0" t="n">
        <v>3</v>
      </c>
      <c r="Y277" s="0" t="n">
        <v>3</v>
      </c>
      <c r="Z277" s="0" t="inlineStr">
        <is>
          <t>https://new.land.naver.com/complexes/119425?tab=detail&amp;rf=Y</t>
        </is>
      </c>
      <c r="AA277" s="0" t="inlineStr">
        <is>
          <t>충청북도 청주시 흥덕구 강서동 522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흥덕구</t>
        </is>
      </c>
      <c r="AE277" s="0" t="inlineStr">
        <is>
          <t>강서동</t>
        </is>
      </c>
      <c r="AG277" s="0" t="inlineStr">
        <is>
          <t>충청북도 청주시 흥덕구 서현동로 16-1</t>
        </is>
      </c>
      <c r="AH277" s="0" t="n">
        <v>0</v>
      </c>
      <c r="AI277" s="0" t="n">
        <v>450</v>
      </c>
      <c r="AJ277" s="0" t="n">
        <v>55</v>
      </c>
      <c r="AK277" s="0" t="n">
        <v>4</v>
      </c>
      <c r="AL277" s="0" t="n">
        <v>0.5</v>
      </c>
    </row>
    <row r="278">
      <c r="A278" s="0" t="inlineStr">
        <is>
          <t>[강서동]</t>
        </is>
      </c>
      <c r="B278" s="0" t="n">
        <v>119425</v>
      </c>
      <c r="C278" s="0" t="n">
        <v>4</v>
      </c>
      <c r="D278" s="0" t="inlineStr">
        <is>
          <t>레지던스마리2</t>
        </is>
      </c>
      <c r="E278" s="0" t="inlineStr">
        <is>
          <t>2013.04.</t>
        </is>
      </c>
      <c r="F278" s="0" t="n">
        <v>8</v>
      </c>
      <c r="G278" s="0" t="n">
        <v>20.38</v>
      </c>
      <c r="H278" s="0" t="n">
        <v>67.38</v>
      </c>
      <c r="I278" s="0" t="n">
        <v>15.02</v>
      </c>
      <c r="J278" s="0" t="n">
        <v>49.66</v>
      </c>
      <c r="K278" s="0" t="n">
        <v>2</v>
      </c>
      <c r="T278" s="0" t="n">
        <v>3</v>
      </c>
      <c r="U278" s="0" t="n">
        <v>1</v>
      </c>
      <c r="V278" s="0" t="inlineStr">
        <is>
          <t>계단식</t>
        </is>
      </c>
      <c r="W278" s="0" t="inlineStr">
        <is>
          <t>67B</t>
        </is>
      </c>
      <c r="X278" s="0" t="n">
        <v>3</v>
      </c>
      <c r="Y278" s="0" t="n">
        <v>3</v>
      </c>
      <c r="Z278" s="0" t="inlineStr">
        <is>
          <t>https://new.land.naver.com/complexes/119425?tab=detail&amp;rf=Y</t>
        </is>
      </c>
      <c r="AA278" s="0" t="inlineStr">
        <is>
          <t>충청북도 청주시 흥덕구 강서동 522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흥덕구</t>
        </is>
      </c>
      <c r="AE278" s="0" t="inlineStr">
        <is>
          <t>강서동</t>
        </is>
      </c>
      <c r="AG278" s="0" t="inlineStr">
        <is>
          <t>충청북도 청주시 흥덕구 서현동로 16-1</t>
        </is>
      </c>
      <c r="AH278" s="0" t="n">
        <v>0</v>
      </c>
      <c r="AI278" s="0" t="n">
        <v>450</v>
      </c>
      <c r="AJ278" s="0" t="n">
        <v>55</v>
      </c>
      <c r="AK278" s="0" t="n">
        <v>4</v>
      </c>
      <c r="AL278" s="0" t="n">
        <v>0.5</v>
      </c>
    </row>
    <row r="279">
      <c r="A279" s="0" t="inlineStr">
        <is>
          <t>[강서동]</t>
        </is>
      </c>
      <c r="B279" s="0" t="n">
        <v>112883</v>
      </c>
      <c r="C279" s="0" t="n">
        <v>1</v>
      </c>
      <c r="D279" s="0" t="inlineStr">
        <is>
          <t>레지던스마리3(도시형)</t>
        </is>
      </c>
      <c r="E279" s="0" t="inlineStr">
        <is>
          <t>2014.07.</t>
        </is>
      </c>
      <c r="F279" s="0" t="n">
        <v>29</v>
      </c>
      <c r="G279" s="0" t="n">
        <v>8.1</v>
      </c>
      <c r="H279" s="0" t="n">
        <v>26.79</v>
      </c>
      <c r="I279" s="0" t="n">
        <v>6.28</v>
      </c>
      <c r="J279" s="0" t="n">
        <v>20.78</v>
      </c>
      <c r="K279" s="0" t="n">
        <v>4</v>
      </c>
      <c r="T279" s="0" t="n">
        <v>1</v>
      </c>
      <c r="U279" s="0" t="n">
        <v>1</v>
      </c>
      <c r="V279" s="0" t="inlineStr">
        <is>
          <t>복도식</t>
        </is>
      </c>
      <c r="W279" s="0" t="n">
        <v>26</v>
      </c>
      <c r="X279" s="0" t="n">
        <v>10</v>
      </c>
      <c r="Y279" s="0" t="n">
        <v>5</v>
      </c>
      <c r="Z279" s="0" t="inlineStr">
        <is>
          <t>https://new.land.naver.com/complexes/112883?tab=detail&amp;rf=Y</t>
        </is>
      </c>
      <c r="AA279" s="0" t="inlineStr">
        <is>
          <t>충청북도 청주시 흥덕구 강서동 504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흥덕구</t>
        </is>
      </c>
      <c r="AE279" s="0" t="inlineStr">
        <is>
          <t>강서동</t>
        </is>
      </c>
      <c r="AG279" s="0" t="inlineStr">
        <is>
          <t>충청북도 청주시 흥덕구 서현중로 57-2</t>
        </is>
      </c>
      <c r="AH279" s="0" t="n">
        <v>0</v>
      </c>
      <c r="AI279" s="0" t="n">
        <v>499</v>
      </c>
      <c r="AJ279" s="0" t="n">
        <v>69</v>
      </c>
      <c r="AK279" s="0" t="n">
        <v>0</v>
      </c>
      <c r="AL279" s="0" t="n">
        <v>0</v>
      </c>
    </row>
    <row r="280">
      <c r="A280" s="0" t="inlineStr">
        <is>
          <t>[강서동]</t>
        </is>
      </c>
      <c r="B280" s="0" t="n">
        <v>112883</v>
      </c>
      <c r="C280" s="0" t="n">
        <v>2</v>
      </c>
      <c r="D280" s="0" t="inlineStr">
        <is>
          <t>레지던스마리3(도시형)</t>
        </is>
      </c>
      <c r="E280" s="0" t="inlineStr">
        <is>
          <t>2014.07.</t>
        </is>
      </c>
      <c r="F280" s="0" t="n">
        <v>29</v>
      </c>
      <c r="G280" s="0" t="n">
        <v>12.2</v>
      </c>
      <c r="H280" s="0" t="n">
        <v>40.36</v>
      </c>
      <c r="I280" s="0" t="n">
        <v>9.470000000000001</v>
      </c>
      <c r="J280" s="0" t="n">
        <v>31.32</v>
      </c>
      <c r="K280" s="0" t="n">
        <v>1</v>
      </c>
      <c r="T280" s="0" t="n">
        <v>1</v>
      </c>
      <c r="U280" s="0" t="n">
        <v>1</v>
      </c>
      <c r="V280" s="0" t="inlineStr">
        <is>
          <t>복도식</t>
        </is>
      </c>
      <c r="W280" s="0" t="inlineStr">
        <is>
          <t>40A</t>
        </is>
      </c>
      <c r="X280" s="0" t="n">
        <v>10</v>
      </c>
      <c r="Y280" s="0" t="n">
        <v>5</v>
      </c>
      <c r="Z280" s="0" t="inlineStr">
        <is>
          <t>https://new.land.naver.com/complexes/112883?tab=detail&amp;rf=Y</t>
        </is>
      </c>
      <c r="AA280" s="0" t="inlineStr">
        <is>
          <t>충청북도 청주시 흥덕구 강서동 504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흥덕구</t>
        </is>
      </c>
      <c r="AE280" s="0" t="inlineStr">
        <is>
          <t>강서동</t>
        </is>
      </c>
      <c r="AG280" s="0" t="inlineStr">
        <is>
          <t>충청북도 청주시 흥덕구 서현중로 57-2</t>
        </is>
      </c>
      <c r="AH280" s="0" t="n">
        <v>0</v>
      </c>
      <c r="AI280" s="0" t="n">
        <v>499</v>
      </c>
      <c r="AJ280" s="0" t="n">
        <v>69</v>
      </c>
      <c r="AK280" s="0" t="n">
        <v>0</v>
      </c>
      <c r="AL280" s="0" t="n">
        <v>0</v>
      </c>
    </row>
    <row r="281">
      <c r="A281" s="0" t="inlineStr">
        <is>
          <t>[강서동]</t>
        </is>
      </c>
      <c r="B281" s="0" t="n">
        <v>112883</v>
      </c>
      <c r="C281" s="0" t="n">
        <v>3</v>
      </c>
      <c r="D281" s="0" t="inlineStr">
        <is>
          <t>레지던스마리3(도시형)</t>
        </is>
      </c>
      <c r="E281" s="0" t="inlineStr">
        <is>
          <t>2014.07.</t>
        </is>
      </c>
      <c r="F281" s="0" t="n">
        <v>29</v>
      </c>
      <c r="G281" s="0" t="n">
        <v>12.49</v>
      </c>
      <c r="H281" s="0" t="n">
        <v>41.29</v>
      </c>
      <c r="I281" s="0" t="n">
        <v>9.69</v>
      </c>
      <c r="J281" s="0" t="n">
        <v>32.04</v>
      </c>
      <c r="K281" s="0" t="n">
        <v>1</v>
      </c>
      <c r="T281" s="0" t="n">
        <v>1</v>
      </c>
      <c r="U281" s="0" t="n">
        <v>1</v>
      </c>
      <c r="V281" s="0" t="inlineStr">
        <is>
          <t>복도식</t>
        </is>
      </c>
      <c r="W281" s="0" t="inlineStr">
        <is>
          <t>41B</t>
        </is>
      </c>
      <c r="X281" s="0" t="n">
        <v>10</v>
      </c>
      <c r="Y281" s="0" t="n">
        <v>5</v>
      </c>
      <c r="Z281" s="0" t="inlineStr">
        <is>
          <t>https://new.land.naver.com/complexes/112883?tab=detail&amp;rf=Y</t>
        </is>
      </c>
      <c r="AA281" s="0" t="inlineStr">
        <is>
          <t>충청북도 청주시 흥덕구 강서동 504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흥덕구</t>
        </is>
      </c>
      <c r="AE281" s="0" t="inlineStr">
        <is>
          <t>강서동</t>
        </is>
      </c>
      <c r="AG281" s="0" t="inlineStr">
        <is>
          <t>충청북도 청주시 흥덕구 서현중로 57-2</t>
        </is>
      </c>
      <c r="AH281" s="0" t="n">
        <v>0</v>
      </c>
      <c r="AI281" s="0" t="n">
        <v>499</v>
      </c>
      <c r="AJ281" s="0" t="n">
        <v>69</v>
      </c>
      <c r="AK281" s="0" t="n">
        <v>0</v>
      </c>
      <c r="AL281" s="0" t="n">
        <v>0</v>
      </c>
    </row>
    <row r="282">
      <c r="A282" s="0" t="inlineStr">
        <is>
          <t>[강서동]</t>
        </is>
      </c>
      <c r="B282" s="0" t="n">
        <v>112883</v>
      </c>
      <c r="C282" s="0" t="n">
        <v>4</v>
      </c>
      <c r="D282" s="0" t="inlineStr">
        <is>
          <t>레지던스마리3(도시형)</t>
        </is>
      </c>
      <c r="E282" s="0" t="inlineStr">
        <is>
          <t>2014.07.</t>
        </is>
      </c>
      <c r="F282" s="0" t="n">
        <v>29</v>
      </c>
      <c r="G282" s="0" t="n">
        <v>15.14</v>
      </c>
      <c r="H282" s="0" t="n">
        <v>50.06</v>
      </c>
      <c r="I282" s="0" t="n">
        <v>11.74</v>
      </c>
      <c r="J282" s="0" t="n">
        <v>38.84</v>
      </c>
      <c r="K282" s="0" t="n">
        <v>1</v>
      </c>
      <c r="T282" s="0" t="n">
        <v>1</v>
      </c>
      <c r="U282" s="0" t="n">
        <v>1</v>
      </c>
      <c r="V282" s="0" t="inlineStr">
        <is>
          <t>복도식</t>
        </is>
      </c>
      <c r="W282" s="0" t="n">
        <v>50</v>
      </c>
      <c r="X282" s="0" t="n">
        <v>10</v>
      </c>
      <c r="Y282" s="0" t="n">
        <v>5</v>
      </c>
      <c r="Z282" s="0" t="inlineStr">
        <is>
          <t>https://new.land.naver.com/complexes/112883?tab=detail&amp;rf=Y</t>
        </is>
      </c>
      <c r="AA282" s="0" t="inlineStr">
        <is>
          <t>충청북도 청주시 흥덕구 강서동 504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흥덕구</t>
        </is>
      </c>
      <c r="AE282" s="0" t="inlineStr">
        <is>
          <t>강서동</t>
        </is>
      </c>
      <c r="AG282" s="0" t="inlineStr">
        <is>
          <t>충청북도 청주시 흥덕구 서현중로 57-2</t>
        </is>
      </c>
      <c r="AH282" s="0" t="n">
        <v>0</v>
      </c>
      <c r="AI282" s="0" t="n">
        <v>499</v>
      </c>
      <c r="AJ282" s="0" t="n">
        <v>69</v>
      </c>
      <c r="AK282" s="0" t="n">
        <v>0</v>
      </c>
      <c r="AL282" s="0" t="n">
        <v>0</v>
      </c>
    </row>
    <row r="283">
      <c r="A283" s="0" t="inlineStr">
        <is>
          <t>[강서동]</t>
        </is>
      </c>
      <c r="B283" s="0" t="n">
        <v>112883</v>
      </c>
      <c r="C283" s="0" t="n">
        <v>5</v>
      </c>
      <c r="D283" s="0" t="inlineStr">
        <is>
          <t>레지던스마리3(도시형)</t>
        </is>
      </c>
      <c r="E283" s="0" t="inlineStr">
        <is>
          <t>2014.07.</t>
        </is>
      </c>
      <c r="F283" s="0" t="n">
        <v>29</v>
      </c>
      <c r="G283" s="0" t="n">
        <v>16.2</v>
      </c>
      <c r="H283" s="0" t="n">
        <v>53.58</v>
      </c>
      <c r="I283" s="0" t="n">
        <v>12.57</v>
      </c>
      <c r="J283" s="0" t="n">
        <v>41.56</v>
      </c>
      <c r="K283" s="0" t="n">
        <v>4</v>
      </c>
      <c r="T283" s="0" t="n">
        <v>1</v>
      </c>
      <c r="U283" s="0" t="n">
        <v>1</v>
      </c>
      <c r="V283" s="0" t="inlineStr">
        <is>
          <t>복도식</t>
        </is>
      </c>
      <c r="W283" s="0" t="inlineStr">
        <is>
          <t>53A</t>
        </is>
      </c>
      <c r="X283" s="0" t="n">
        <v>10</v>
      </c>
      <c r="Y283" s="0" t="n">
        <v>5</v>
      </c>
      <c r="Z283" s="0" t="inlineStr">
        <is>
          <t>https://new.land.naver.com/complexes/112883?tab=detail&amp;rf=Y</t>
        </is>
      </c>
      <c r="AA283" s="0" t="inlineStr">
        <is>
          <t>충청북도 청주시 흥덕구 강서동 504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흥덕구</t>
        </is>
      </c>
      <c r="AE283" s="0" t="inlineStr">
        <is>
          <t>강서동</t>
        </is>
      </c>
      <c r="AG283" s="0" t="inlineStr">
        <is>
          <t>충청북도 청주시 흥덕구 서현중로 57-2</t>
        </is>
      </c>
      <c r="AH283" s="0" t="n">
        <v>0</v>
      </c>
      <c r="AI283" s="0" t="n">
        <v>499</v>
      </c>
      <c r="AJ283" s="0" t="n">
        <v>69</v>
      </c>
      <c r="AK283" s="0" t="n">
        <v>0</v>
      </c>
      <c r="AL283" s="0" t="n">
        <v>0</v>
      </c>
    </row>
    <row r="284">
      <c r="A284" s="0" t="inlineStr">
        <is>
          <t>[강서동]</t>
        </is>
      </c>
      <c r="B284" s="0" t="n">
        <v>112883</v>
      </c>
      <c r="C284" s="0" t="n">
        <v>6</v>
      </c>
      <c r="D284" s="0" t="inlineStr">
        <is>
          <t>레지던스마리3(도시형)</t>
        </is>
      </c>
      <c r="E284" s="0" t="inlineStr">
        <is>
          <t>2014.07.</t>
        </is>
      </c>
      <c r="F284" s="0" t="n">
        <v>29</v>
      </c>
      <c r="G284" s="0" t="n">
        <v>16.45</v>
      </c>
      <c r="H284" s="0" t="n">
        <v>54.4</v>
      </c>
      <c r="I284" s="0" t="n">
        <v>12.76</v>
      </c>
      <c r="J284" s="0" t="n">
        <v>42.2</v>
      </c>
      <c r="K284" s="0" t="n">
        <v>6</v>
      </c>
      <c r="T284" s="0" t="n">
        <v>1</v>
      </c>
      <c r="U284" s="0" t="n">
        <v>1</v>
      </c>
      <c r="V284" s="0" t="inlineStr">
        <is>
          <t>복도식</t>
        </is>
      </c>
      <c r="W284" s="0" t="inlineStr">
        <is>
          <t>54B</t>
        </is>
      </c>
      <c r="X284" s="0" t="n">
        <v>10</v>
      </c>
      <c r="Y284" s="0" t="n">
        <v>5</v>
      </c>
      <c r="Z284" s="0" t="inlineStr">
        <is>
          <t>https://new.land.naver.com/complexes/112883?tab=detail&amp;rf=Y</t>
        </is>
      </c>
      <c r="AA284" s="0" t="inlineStr">
        <is>
          <t>충청북도 청주시 흥덕구 강서동 504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흥덕구</t>
        </is>
      </c>
      <c r="AE284" s="0" t="inlineStr">
        <is>
          <t>강서동</t>
        </is>
      </c>
      <c r="AG284" s="0" t="inlineStr">
        <is>
          <t>충청북도 청주시 흥덕구 서현중로 57-2</t>
        </is>
      </c>
      <c r="AH284" s="0" t="n">
        <v>0</v>
      </c>
      <c r="AI284" s="0" t="n">
        <v>499</v>
      </c>
      <c r="AJ284" s="0" t="n">
        <v>69</v>
      </c>
      <c r="AK284" s="0" t="n">
        <v>0</v>
      </c>
      <c r="AL284" s="0" t="n">
        <v>0</v>
      </c>
    </row>
    <row r="285">
      <c r="A285" s="0" t="inlineStr">
        <is>
          <t>[강서동]</t>
        </is>
      </c>
      <c r="B285" s="0" t="n">
        <v>112883</v>
      </c>
      <c r="C285" s="0" t="n">
        <v>7</v>
      </c>
      <c r="D285" s="0" t="inlineStr">
        <is>
          <t>레지던스마리3(도시형)</t>
        </is>
      </c>
      <c r="E285" s="0" t="inlineStr">
        <is>
          <t>2014.07.</t>
        </is>
      </c>
      <c r="F285" s="0" t="n">
        <v>29</v>
      </c>
      <c r="G285" s="0" t="n">
        <v>19.13</v>
      </c>
      <c r="H285" s="0" t="n">
        <v>63.26</v>
      </c>
      <c r="I285" s="0" t="n">
        <v>14.84</v>
      </c>
      <c r="J285" s="0" t="n">
        <v>49.07</v>
      </c>
      <c r="K285" s="0" t="n">
        <v>12</v>
      </c>
      <c r="T285" s="0" t="n">
        <v>1</v>
      </c>
      <c r="U285" s="0" t="n">
        <v>1</v>
      </c>
      <c r="V285" s="0" t="inlineStr">
        <is>
          <t>복도식</t>
        </is>
      </c>
      <c r="W285" s="0" t="n">
        <v>63</v>
      </c>
      <c r="X285" s="0" t="n">
        <v>10</v>
      </c>
      <c r="Y285" s="0" t="n">
        <v>5</v>
      </c>
      <c r="Z285" s="0" t="inlineStr">
        <is>
          <t>https://new.land.naver.com/complexes/112883?tab=detail&amp;rf=Y</t>
        </is>
      </c>
      <c r="AA285" s="0" t="inlineStr">
        <is>
          <t>충청북도 청주시 흥덕구 강서동 504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흥덕구</t>
        </is>
      </c>
      <c r="AE285" s="0" t="inlineStr">
        <is>
          <t>강서동</t>
        </is>
      </c>
      <c r="AG285" s="0" t="inlineStr">
        <is>
          <t>충청북도 청주시 흥덕구 서현중로 57-2</t>
        </is>
      </c>
      <c r="AH285" s="0" t="n">
        <v>0</v>
      </c>
      <c r="AI285" s="0" t="n">
        <v>499</v>
      </c>
      <c r="AJ285" s="0" t="n">
        <v>69</v>
      </c>
      <c r="AK285" s="0" t="n">
        <v>0</v>
      </c>
      <c r="AL285" s="0" t="n">
        <v>0</v>
      </c>
    </row>
    <row r="286">
      <c r="A286" s="0" t="inlineStr">
        <is>
          <t>[강서동]</t>
        </is>
      </c>
      <c r="B286" s="0" t="n">
        <v>112526</v>
      </c>
      <c r="C286" s="0" t="n">
        <v>1</v>
      </c>
      <c r="D286" s="0" t="inlineStr">
        <is>
          <t>강서동광모닝스카이</t>
        </is>
      </c>
      <c r="E286" s="0" t="inlineStr">
        <is>
          <t>2016.06.</t>
        </is>
      </c>
      <c r="F286" s="0" t="n">
        <v>419</v>
      </c>
      <c r="G286" s="0" t="n">
        <v>11.12</v>
      </c>
      <c r="H286" s="0" t="n">
        <v>36.78</v>
      </c>
      <c r="I286" s="0" t="n">
        <v>6.19</v>
      </c>
      <c r="J286" s="0" t="n">
        <v>20.47</v>
      </c>
      <c r="K286" s="0" t="n">
        <v>284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36D</t>
        </is>
      </c>
      <c r="X286" s="0" t="n">
        <v>16</v>
      </c>
      <c r="Y286" s="0" t="n">
        <v>16</v>
      </c>
      <c r="Z286" s="0" t="inlineStr">
        <is>
          <t>https://new.land.naver.com/complexes/112526?tab=detail&amp;rf=Y</t>
        </is>
      </c>
      <c r="AA286" s="0" t="inlineStr">
        <is>
          <t>충청북도 청주시 흥덕구 강서동 458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흥덕구</t>
        </is>
      </c>
      <c r="AE286" s="0" t="inlineStr">
        <is>
          <t>강서동</t>
        </is>
      </c>
      <c r="AG286" s="0" t="inlineStr">
        <is>
          <t>충청북도 청주시 흥덕구 가로수로1164번길 41-33</t>
        </is>
      </c>
      <c r="AH286" s="0" t="n">
        <v>0</v>
      </c>
      <c r="AI286" s="0" t="n">
        <v>828</v>
      </c>
      <c r="AJ286" s="0" t="n">
        <v>54</v>
      </c>
      <c r="AK286" s="0" t="n">
        <v>142</v>
      </c>
      <c r="AL286" s="0" t="n">
        <v>0.34</v>
      </c>
    </row>
    <row r="287">
      <c r="A287" s="0" t="inlineStr">
        <is>
          <t>[강서동]</t>
        </is>
      </c>
      <c r="B287" s="0" t="n">
        <v>112526</v>
      </c>
      <c r="C287" s="0" t="n">
        <v>2</v>
      </c>
      <c r="D287" s="0" t="inlineStr">
        <is>
          <t>강서동광모닝스카이</t>
        </is>
      </c>
      <c r="E287" s="0" t="inlineStr">
        <is>
          <t>2016.06.</t>
        </is>
      </c>
      <c r="F287" s="0" t="n">
        <v>419</v>
      </c>
      <c r="G287" s="0" t="n">
        <v>14.88</v>
      </c>
      <c r="H287" s="0" t="n">
        <v>49.22</v>
      </c>
      <c r="I287" s="0" t="n">
        <v>8.279999999999999</v>
      </c>
      <c r="J287" s="0" t="n">
        <v>27.39</v>
      </c>
      <c r="K287" s="0" t="n">
        <v>30</v>
      </c>
      <c r="T287" s="0" t="n">
        <v>1</v>
      </c>
      <c r="U287" s="0" t="n">
        <v>1</v>
      </c>
      <c r="V287" s="0" t="inlineStr">
        <is>
          <t>계단식</t>
        </is>
      </c>
      <c r="W287" s="0" t="inlineStr">
        <is>
          <t>49F</t>
        </is>
      </c>
      <c r="X287" s="0" t="n">
        <v>16</v>
      </c>
      <c r="Y287" s="0" t="n">
        <v>16</v>
      </c>
      <c r="Z287" s="0" t="inlineStr">
        <is>
          <t>https://new.land.naver.com/complexes/112526?tab=detail&amp;rf=Y</t>
        </is>
      </c>
      <c r="AA287" s="0" t="inlineStr">
        <is>
          <t>충청북도 청주시 흥덕구 강서동 458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흥덕구</t>
        </is>
      </c>
      <c r="AE287" s="0" t="inlineStr">
        <is>
          <t>강서동</t>
        </is>
      </c>
      <c r="AG287" s="0" t="inlineStr">
        <is>
          <t>충청북도 청주시 흥덕구 가로수로1164번길 41-33</t>
        </is>
      </c>
      <c r="AH287" s="0" t="n">
        <v>0</v>
      </c>
      <c r="AI287" s="0" t="n">
        <v>828</v>
      </c>
      <c r="AJ287" s="0" t="n">
        <v>54</v>
      </c>
      <c r="AK287" s="0" t="n">
        <v>142</v>
      </c>
      <c r="AL287" s="0" t="n">
        <v>0.34</v>
      </c>
    </row>
    <row r="288">
      <c r="A288" s="0" t="inlineStr">
        <is>
          <t>[강서동]</t>
        </is>
      </c>
      <c r="B288" s="0" t="n">
        <v>112526</v>
      </c>
      <c r="C288" s="0" t="n">
        <v>3</v>
      </c>
      <c r="D288" s="0" t="inlineStr">
        <is>
          <t>강서동광모닝스카이</t>
        </is>
      </c>
      <c r="E288" s="0" t="inlineStr">
        <is>
          <t>2016.06.</t>
        </is>
      </c>
      <c r="F288" s="0" t="n">
        <v>419</v>
      </c>
      <c r="G288" s="0" t="n">
        <v>20.44</v>
      </c>
      <c r="H288" s="0" t="n">
        <v>67.59</v>
      </c>
      <c r="I288" s="0" t="n">
        <v>11.37</v>
      </c>
      <c r="J288" s="0" t="n">
        <v>37.61</v>
      </c>
      <c r="K288" s="0" t="n">
        <v>105</v>
      </c>
      <c r="T288" s="0" t="n">
        <v>1</v>
      </c>
      <c r="U288" s="0" t="n">
        <v>1</v>
      </c>
      <c r="V288" s="0" t="inlineStr">
        <is>
          <t>계단식</t>
        </is>
      </c>
      <c r="W288" s="0" t="inlineStr">
        <is>
          <t>67E</t>
        </is>
      </c>
      <c r="X288" s="0" t="n">
        <v>16</v>
      </c>
      <c r="Y288" s="0" t="n">
        <v>16</v>
      </c>
      <c r="Z288" s="0" t="inlineStr">
        <is>
          <t>https://new.land.naver.com/complexes/112526?tab=detail&amp;rf=Y</t>
        </is>
      </c>
      <c r="AA288" s="0" t="inlineStr">
        <is>
          <t>충청북도 청주시 흥덕구 강서동 458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흥덕구</t>
        </is>
      </c>
      <c r="AE288" s="0" t="inlineStr">
        <is>
          <t>강서동</t>
        </is>
      </c>
      <c r="AG288" s="0" t="inlineStr">
        <is>
          <t>충청북도 청주시 흥덕구 가로수로1164번길 41-33</t>
        </is>
      </c>
      <c r="AH288" s="0" t="n">
        <v>0</v>
      </c>
      <c r="AI288" s="0" t="n">
        <v>828</v>
      </c>
      <c r="AJ288" s="0" t="n">
        <v>54</v>
      </c>
      <c r="AK288" s="0" t="n">
        <v>142</v>
      </c>
      <c r="AL288" s="0" t="n">
        <v>0.34</v>
      </c>
    </row>
    <row r="289">
      <c r="A289" s="0" t="inlineStr">
        <is>
          <t>[강서동]</t>
        </is>
      </c>
      <c r="B289" s="0" t="n">
        <v>100655</v>
      </c>
      <c r="C289" s="0" t="n">
        <v>1</v>
      </c>
      <c r="D289" s="0" t="inlineStr">
        <is>
          <t>낙원</t>
        </is>
      </c>
      <c r="E289" s="0" t="inlineStr">
        <is>
          <t>1989.09.</t>
        </is>
      </c>
      <c r="F289" s="0" t="n">
        <v>79</v>
      </c>
      <c r="G289" s="0" t="n">
        <v>11.21</v>
      </c>
      <c r="H289" s="0" t="n">
        <v>37.09</v>
      </c>
      <c r="I289" s="0" t="n">
        <v>8</v>
      </c>
      <c r="J289" s="0" t="n">
        <v>26.46</v>
      </c>
      <c r="K289" s="0" t="n">
        <v>79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37</v>
      </c>
      <c r="X289" s="0" t="n">
        <v>6</v>
      </c>
      <c r="Y289" s="0" t="n">
        <v>4</v>
      </c>
      <c r="Z289" s="0" t="inlineStr">
        <is>
          <t>https://new.land.naver.com/complexes/100655?tab=detail&amp;rf=Y</t>
        </is>
      </c>
      <c r="AA289" s="0" t="inlineStr">
        <is>
          <t>충청북도 청주시 흥덕구 강서동 50-1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흥덕구</t>
        </is>
      </c>
      <c r="AE289" s="0" t="inlineStr">
        <is>
          <t>강서동</t>
        </is>
      </c>
      <c r="AG289" s="0" t="inlineStr">
        <is>
          <t>충청북도 청주시 흥덕구 가로수로1154번길 56-2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[강서동]</t>
        </is>
      </c>
      <c r="B290" s="0" t="n">
        <v>112892</v>
      </c>
      <c r="C290" s="0" t="n">
        <v>1</v>
      </c>
      <c r="D290" s="0" t="inlineStr">
        <is>
          <t>레지던스마리2(도시형)</t>
        </is>
      </c>
      <c r="E290" s="0" t="inlineStr">
        <is>
          <t>2013.04.</t>
        </is>
      </c>
      <c r="F290" s="0" t="n">
        <v>29</v>
      </c>
      <c r="G290" s="0" t="n">
        <v>8.17</v>
      </c>
      <c r="H290" s="0" t="n">
        <v>27.02</v>
      </c>
      <c r="I290" s="0" t="n">
        <v>6.28</v>
      </c>
      <c r="J290" s="0" t="n">
        <v>20.78</v>
      </c>
      <c r="K290" s="0" t="n">
        <v>5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27</v>
      </c>
      <c r="X290" s="0" t="n">
        <v>10</v>
      </c>
      <c r="Y290" s="0" t="n">
        <v>8</v>
      </c>
      <c r="Z290" s="0" t="inlineStr">
        <is>
          <t>https://new.land.naver.com/complexes/112892?tab=detail&amp;rf=Y</t>
        </is>
      </c>
      <c r="AA290" s="0" t="inlineStr">
        <is>
          <t>충청북도 청주시 흥덕구 강서동 522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흥덕구</t>
        </is>
      </c>
      <c r="AE290" s="0" t="inlineStr">
        <is>
          <t>강서동</t>
        </is>
      </c>
      <c r="AG290" s="0" t="inlineStr">
        <is>
          <t>충청북도 청주시 흥덕구 서현동로 16-1</t>
        </is>
      </c>
      <c r="AH290" s="0" t="n">
        <v>0</v>
      </c>
      <c r="AI290" s="0" t="n">
        <v>450</v>
      </c>
      <c r="AJ290" s="0" t="n">
        <v>55</v>
      </c>
      <c r="AK290" s="0" t="n">
        <v>0</v>
      </c>
      <c r="AL290" s="0" t="n">
        <v>0</v>
      </c>
    </row>
    <row r="291">
      <c r="A291" s="0" t="inlineStr">
        <is>
          <t>[강서동]</t>
        </is>
      </c>
      <c r="B291" s="0" t="n">
        <v>112892</v>
      </c>
      <c r="C291" s="0" t="n">
        <v>2</v>
      </c>
      <c r="D291" s="0" t="inlineStr">
        <is>
          <t>레지던스마리2(도시형)</t>
        </is>
      </c>
      <c r="E291" s="0" t="inlineStr">
        <is>
          <t>2013.04.</t>
        </is>
      </c>
      <c r="F291" s="0" t="n">
        <v>29</v>
      </c>
      <c r="G291" s="0" t="n">
        <v>9.25</v>
      </c>
      <c r="H291" s="0" t="n">
        <v>30.58</v>
      </c>
      <c r="I291" s="0" t="n">
        <v>7.11</v>
      </c>
      <c r="J291" s="0" t="n">
        <v>23.52</v>
      </c>
      <c r="K291" s="0" t="n">
        <v>4</v>
      </c>
      <c r="T291" s="0" t="n">
        <v>1</v>
      </c>
      <c r="U291" s="0" t="n">
        <v>1</v>
      </c>
      <c r="V291" s="0" t="inlineStr">
        <is>
          <t>계단식</t>
        </is>
      </c>
      <c r="W291" s="0" t="n">
        <v>30</v>
      </c>
      <c r="X291" s="0" t="n">
        <v>10</v>
      </c>
      <c r="Y291" s="0" t="n">
        <v>8</v>
      </c>
      <c r="Z291" s="0" t="inlineStr">
        <is>
          <t>https://new.land.naver.com/complexes/112892?tab=detail&amp;rf=Y</t>
        </is>
      </c>
      <c r="AA291" s="0" t="inlineStr">
        <is>
          <t>충청북도 청주시 흥덕구 강서동 522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흥덕구</t>
        </is>
      </c>
      <c r="AE291" s="0" t="inlineStr">
        <is>
          <t>강서동</t>
        </is>
      </c>
      <c r="AG291" s="0" t="inlineStr">
        <is>
          <t>충청북도 청주시 흥덕구 서현동로 16-1</t>
        </is>
      </c>
      <c r="AH291" s="0" t="n">
        <v>0</v>
      </c>
      <c r="AI291" s="0" t="n">
        <v>450</v>
      </c>
      <c r="AJ291" s="0" t="n">
        <v>55</v>
      </c>
      <c r="AK291" s="0" t="n">
        <v>0</v>
      </c>
      <c r="AL291" s="0" t="n">
        <v>0</v>
      </c>
    </row>
    <row r="292">
      <c r="A292" s="0" t="inlineStr">
        <is>
          <t>[강서동]</t>
        </is>
      </c>
      <c r="B292" s="0" t="n">
        <v>112892</v>
      </c>
      <c r="C292" s="0" t="n">
        <v>3</v>
      </c>
      <c r="D292" s="0" t="inlineStr">
        <is>
          <t>레지던스마리2(도시형)</t>
        </is>
      </c>
      <c r="E292" s="0" t="inlineStr">
        <is>
          <t>2013.04.</t>
        </is>
      </c>
      <c r="F292" s="0" t="n">
        <v>29</v>
      </c>
      <c r="G292" s="0" t="n">
        <v>11.82</v>
      </c>
      <c r="H292" s="0" t="n">
        <v>39.1</v>
      </c>
      <c r="I292" s="0" t="n">
        <v>9.09</v>
      </c>
      <c r="J292" s="0" t="n">
        <v>30.08</v>
      </c>
      <c r="K292" s="0" t="n">
        <v>1</v>
      </c>
      <c r="T292" s="0" t="n">
        <v>1</v>
      </c>
      <c r="U292" s="0" t="n">
        <v>1</v>
      </c>
      <c r="V292" s="0" t="inlineStr">
        <is>
          <t>계단식</t>
        </is>
      </c>
      <c r="W292" s="0" t="n">
        <v>39</v>
      </c>
      <c r="X292" s="0" t="n">
        <v>10</v>
      </c>
      <c r="Y292" s="0" t="n">
        <v>8</v>
      </c>
      <c r="Z292" s="0" t="inlineStr">
        <is>
          <t>https://new.land.naver.com/complexes/112892?tab=detail&amp;rf=Y</t>
        </is>
      </c>
      <c r="AA292" s="0" t="inlineStr">
        <is>
          <t>충청북도 청주시 흥덕구 강서동 522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흥덕구</t>
        </is>
      </c>
      <c r="AE292" s="0" t="inlineStr">
        <is>
          <t>강서동</t>
        </is>
      </c>
      <c r="AG292" s="0" t="inlineStr">
        <is>
          <t>충청북도 청주시 흥덕구 서현동로 16-1</t>
        </is>
      </c>
      <c r="AH292" s="0" t="n">
        <v>0</v>
      </c>
      <c r="AI292" s="0" t="n">
        <v>450</v>
      </c>
      <c r="AJ292" s="0" t="n">
        <v>55</v>
      </c>
      <c r="AK292" s="0" t="n">
        <v>0</v>
      </c>
      <c r="AL292" s="0" t="n">
        <v>0</v>
      </c>
    </row>
    <row r="293">
      <c r="A293" s="0" t="inlineStr">
        <is>
          <t>[강서동]</t>
        </is>
      </c>
      <c r="B293" s="0" t="n">
        <v>112892</v>
      </c>
      <c r="C293" s="0" t="n">
        <v>4</v>
      </c>
      <c r="D293" s="0" t="inlineStr">
        <is>
          <t>레지던스마리2(도시형)</t>
        </is>
      </c>
      <c r="E293" s="0" t="inlineStr">
        <is>
          <t>2013.04.</t>
        </is>
      </c>
      <c r="F293" s="0" t="n">
        <v>29</v>
      </c>
      <c r="G293" s="0" t="n">
        <v>13.16</v>
      </c>
      <c r="H293" s="0" t="n">
        <v>43.52</v>
      </c>
      <c r="I293" s="0" t="n">
        <v>10.12</v>
      </c>
      <c r="J293" s="0" t="n">
        <v>33.48</v>
      </c>
      <c r="K293" s="0" t="n">
        <v>1</v>
      </c>
      <c r="T293" s="0" t="n">
        <v>1</v>
      </c>
      <c r="U293" s="0" t="n">
        <v>1</v>
      </c>
      <c r="V293" s="0" t="inlineStr">
        <is>
          <t>계단식</t>
        </is>
      </c>
      <c r="W293" s="0" t="n">
        <v>43</v>
      </c>
      <c r="X293" s="0" t="n">
        <v>10</v>
      </c>
      <c r="Y293" s="0" t="n">
        <v>8</v>
      </c>
      <c r="Z293" s="0" t="inlineStr">
        <is>
          <t>https://new.land.naver.com/complexes/112892?tab=detail&amp;rf=Y</t>
        </is>
      </c>
      <c r="AA293" s="0" t="inlineStr">
        <is>
          <t>충청북도 청주시 흥덕구 강서동 522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흥덕구</t>
        </is>
      </c>
      <c r="AE293" s="0" t="inlineStr">
        <is>
          <t>강서동</t>
        </is>
      </c>
      <c r="AG293" s="0" t="inlineStr">
        <is>
          <t>충청북도 청주시 흥덕구 서현동로 16-1</t>
        </is>
      </c>
      <c r="AH293" s="0" t="n">
        <v>0</v>
      </c>
      <c r="AI293" s="0" t="n">
        <v>450</v>
      </c>
      <c r="AJ293" s="0" t="n">
        <v>55</v>
      </c>
      <c r="AK293" s="0" t="n">
        <v>0</v>
      </c>
      <c r="AL293" s="0" t="n">
        <v>0</v>
      </c>
    </row>
    <row r="294">
      <c r="A294" s="0" t="inlineStr">
        <is>
          <t>[강서동]</t>
        </is>
      </c>
      <c r="B294" s="0" t="n">
        <v>112892</v>
      </c>
      <c r="C294" s="0" t="n">
        <v>5</v>
      </c>
      <c r="D294" s="0" t="inlineStr">
        <is>
          <t>레지던스마리2(도시형)</t>
        </is>
      </c>
      <c r="E294" s="0" t="inlineStr">
        <is>
          <t>2013.04.</t>
        </is>
      </c>
      <c r="F294" s="0" t="n">
        <v>29</v>
      </c>
      <c r="G294" s="0" t="n">
        <v>13.64</v>
      </c>
      <c r="H294" s="0" t="n">
        <v>45.1</v>
      </c>
      <c r="I294" s="0" t="n">
        <v>10.49</v>
      </c>
      <c r="J294" s="0" t="n">
        <v>34.7</v>
      </c>
      <c r="K294" s="0" t="n">
        <v>1</v>
      </c>
      <c r="T294" s="0" t="n">
        <v>1</v>
      </c>
      <c r="U294" s="0" t="n">
        <v>1</v>
      </c>
      <c r="V294" s="0" t="inlineStr">
        <is>
          <t>계단식</t>
        </is>
      </c>
      <c r="W294" s="0" t="inlineStr">
        <is>
          <t>45A</t>
        </is>
      </c>
      <c r="X294" s="0" t="n">
        <v>10</v>
      </c>
      <c r="Y294" s="0" t="n">
        <v>8</v>
      </c>
      <c r="Z294" s="0" t="inlineStr">
        <is>
          <t>https://new.land.naver.com/complexes/112892?tab=detail&amp;rf=Y</t>
        </is>
      </c>
      <c r="AA294" s="0" t="inlineStr">
        <is>
          <t>충청북도 청주시 흥덕구 강서동 522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흥덕구</t>
        </is>
      </c>
      <c r="AE294" s="0" t="inlineStr">
        <is>
          <t>강서동</t>
        </is>
      </c>
      <c r="AG294" s="0" t="inlineStr">
        <is>
          <t>충청북도 청주시 흥덕구 서현동로 16-1</t>
        </is>
      </c>
      <c r="AH294" s="0" t="n">
        <v>0</v>
      </c>
      <c r="AI294" s="0" t="n">
        <v>450</v>
      </c>
      <c r="AJ294" s="0" t="n">
        <v>55</v>
      </c>
      <c r="AK294" s="0" t="n">
        <v>0</v>
      </c>
      <c r="AL294" s="0" t="n">
        <v>0</v>
      </c>
    </row>
    <row r="295">
      <c r="A295" s="0" t="inlineStr">
        <is>
          <t>[강서동]</t>
        </is>
      </c>
      <c r="B295" s="0" t="n">
        <v>112892</v>
      </c>
      <c r="C295" s="0" t="n">
        <v>6</v>
      </c>
      <c r="D295" s="0" t="inlineStr">
        <is>
          <t>레지던스마리2(도시형)</t>
        </is>
      </c>
      <c r="E295" s="0" t="inlineStr">
        <is>
          <t>2013.04.</t>
        </is>
      </c>
      <c r="F295" s="0" t="n">
        <v>29</v>
      </c>
      <c r="G295" s="0" t="n">
        <v>14.11</v>
      </c>
      <c r="H295" s="0" t="n">
        <v>46.67</v>
      </c>
      <c r="I295" s="0" t="n">
        <v>10.85</v>
      </c>
      <c r="J295" s="0" t="n">
        <v>35.9</v>
      </c>
      <c r="K295" s="0" t="n">
        <v>5</v>
      </c>
      <c r="T295" s="0" t="n">
        <v>1</v>
      </c>
      <c r="U295" s="0" t="n">
        <v>1</v>
      </c>
      <c r="V295" s="0" t="inlineStr">
        <is>
          <t>계단식</t>
        </is>
      </c>
      <c r="W295" s="0" t="inlineStr">
        <is>
          <t>46B</t>
        </is>
      </c>
      <c r="X295" s="0" t="n">
        <v>10</v>
      </c>
      <c r="Y295" s="0" t="n">
        <v>8</v>
      </c>
      <c r="Z295" s="0" t="inlineStr">
        <is>
          <t>https://new.land.naver.com/complexes/112892?tab=detail&amp;rf=Y</t>
        </is>
      </c>
      <c r="AA295" s="0" t="inlineStr">
        <is>
          <t>충청북도 청주시 흥덕구 강서동 522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흥덕구</t>
        </is>
      </c>
      <c r="AE295" s="0" t="inlineStr">
        <is>
          <t>강서동</t>
        </is>
      </c>
      <c r="AG295" s="0" t="inlineStr">
        <is>
          <t>충청북도 청주시 흥덕구 서현동로 16-1</t>
        </is>
      </c>
      <c r="AH295" s="0" t="n">
        <v>0</v>
      </c>
      <c r="AI295" s="0" t="n">
        <v>450</v>
      </c>
      <c r="AJ295" s="0" t="n">
        <v>55</v>
      </c>
      <c r="AK295" s="0" t="n">
        <v>0</v>
      </c>
      <c r="AL295" s="0" t="n">
        <v>0</v>
      </c>
    </row>
    <row r="296">
      <c r="A296" s="0" t="inlineStr">
        <is>
          <t>[강서동]</t>
        </is>
      </c>
      <c r="B296" s="0" t="n">
        <v>112892</v>
      </c>
      <c r="C296" s="0" t="n">
        <v>7</v>
      </c>
      <c r="D296" s="0" t="inlineStr">
        <is>
          <t>레지던스마리2(도시형)</t>
        </is>
      </c>
      <c r="E296" s="0" t="inlineStr">
        <is>
          <t>2013.04.</t>
        </is>
      </c>
      <c r="F296" s="0" t="n">
        <v>29</v>
      </c>
      <c r="G296" s="0" t="n">
        <v>16.59</v>
      </c>
      <c r="H296" s="0" t="n">
        <v>54.86</v>
      </c>
      <c r="I296" s="0" t="n">
        <v>12.76</v>
      </c>
      <c r="J296" s="0" t="n">
        <v>42.2</v>
      </c>
      <c r="K296" s="0" t="n">
        <v>5</v>
      </c>
      <c r="T296" s="0" t="n">
        <v>1</v>
      </c>
      <c r="U296" s="0" t="n">
        <v>1</v>
      </c>
      <c r="V296" s="0" t="inlineStr">
        <is>
          <t>계단식</t>
        </is>
      </c>
      <c r="W296" s="0" t="n">
        <v>54</v>
      </c>
      <c r="X296" s="0" t="n">
        <v>10</v>
      </c>
      <c r="Y296" s="0" t="n">
        <v>8</v>
      </c>
      <c r="Z296" s="0" t="inlineStr">
        <is>
          <t>https://new.land.naver.com/complexes/112892?tab=detail&amp;rf=Y</t>
        </is>
      </c>
      <c r="AA296" s="0" t="inlineStr">
        <is>
          <t>충청북도 청주시 흥덕구 강서동 522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흥덕구</t>
        </is>
      </c>
      <c r="AE296" s="0" t="inlineStr">
        <is>
          <t>강서동</t>
        </is>
      </c>
      <c r="AG296" s="0" t="inlineStr">
        <is>
          <t>충청북도 청주시 흥덕구 서현동로 16-1</t>
        </is>
      </c>
      <c r="AH296" s="0" t="n">
        <v>0</v>
      </c>
      <c r="AI296" s="0" t="n">
        <v>450</v>
      </c>
      <c r="AJ296" s="0" t="n">
        <v>55</v>
      </c>
      <c r="AK296" s="0" t="n">
        <v>0</v>
      </c>
      <c r="AL296" s="0" t="n">
        <v>0</v>
      </c>
    </row>
    <row r="297">
      <c r="A297" s="0" t="inlineStr">
        <is>
          <t>[강서동]</t>
        </is>
      </c>
      <c r="B297" s="0" t="n">
        <v>112892</v>
      </c>
      <c r="C297" s="0" t="n">
        <v>8</v>
      </c>
      <c r="D297" s="0" t="inlineStr">
        <is>
          <t>레지던스마리2(도시형)</t>
        </is>
      </c>
      <c r="E297" s="0" t="inlineStr">
        <is>
          <t>2013.04.</t>
        </is>
      </c>
      <c r="F297" s="0" t="n">
        <v>29</v>
      </c>
      <c r="G297" s="0" t="n">
        <v>18.5</v>
      </c>
      <c r="H297" s="0" t="n">
        <v>61.16</v>
      </c>
      <c r="I297" s="0" t="n">
        <v>14.22</v>
      </c>
      <c r="J297" s="0" t="n">
        <v>47.04</v>
      </c>
      <c r="K297" s="0" t="n">
        <v>1</v>
      </c>
      <c r="T297" s="0" t="n">
        <v>1</v>
      </c>
      <c r="U297" s="0" t="n">
        <v>1</v>
      </c>
      <c r="V297" s="0" t="inlineStr">
        <is>
          <t>계단식</t>
        </is>
      </c>
      <c r="W297" s="0" t="n">
        <v>61</v>
      </c>
      <c r="X297" s="0" t="n">
        <v>10</v>
      </c>
      <c r="Y297" s="0" t="n">
        <v>8</v>
      </c>
      <c r="Z297" s="0" t="inlineStr">
        <is>
          <t>https://new.land.naver.com/complexes/112892?tab=detail&amp;rf=Y</t>
        </is>
      </c>
      <c r="AA297" s="0" t="inlineStr">
        <is>
          <t>충청북도 청주시 흥덕구 강서동 522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흥덕구</t>
        </is>
      </c>
      <c r="AE297" s="0" t="inlineStr">
        <is>
          <t>강서동</t>
        </is>
      </c>
      <c r="AG297" s="0" t="inlineStr">
        <is>
          <t>충청북도 청주시 흥덕구 서현동로 16-1</t>
        </is>
      </c>
      <c r="AH297" s="0" t="n">
        <v>0</v>
      </c>
      <c r="AI297" s="0" t="n">
        <v>450</v>
      </c>
      <c r="AJ297" s="0" t="n">
        <v>55</v>
      </c>
      <c r="AK297" s="0" t="n">
        <v>0</v>
      </c>
      <c r="AL297" s="0" t="n">
        <v>0</v>
      </c>
    </row>
    <row r="298">
      <c r="A298" s="0" t="inlineStr">
        <is>
          <t>[강서동]</t>
        </is>
      </c>
      <c r="B298" s="0" t="n">
        <v>112892</v>
      </c>
      <c r="C298" s="0" t="n">
        <v>9</v>
      </c>
      <c r="D298" s="0" t="inlineStr">
        <is>
          <t>레지던스마리2(도시형)</t>
        </is>
      </c>
      <c r="E298" s="0" t="inlineStr">
        <is>
          <t>2013.04.</t>
        </is>
      </c>
      <c r="F298" s="0" t="n">
        <v>29</v>
      </c>
      <c r="G298" s="0" t="n">
        <v>19.52</v>
      </c>
      <c r="H298" s="0" t="n">
        <v>64.56</v>
      </c>
      <c r="I298" s="0" t="n">
        <v>15.02</v>
      </c>
      <c r="J298" s="0" t="n">
        <v>49.66</v>
      </c>
      <c r="K298" s="0" t="n">
        <v>5</v>
      </c>
      <c r="T298" s="0" t="n">
        <v>1</v>
      </c>
      <c r="U298" s="0" t="n">
        <v>1</v>
      </c>
      <c r="V298" s="0" t="inlineStr">
        <is>
          <t>계단식</t>
        </is>
      </c>
      <c r="W298" s="0" t="n">
        <v>64</v>
      </c>
      <c r="X298" s="0" t="n">
        <v>10</v>
      </c>
      <c r="Y298" s="0" t="n">
        <v>8</v>
      </c>
      <c r="Z298" s="0" t="inlineStr">
        <is>
          <t>https://new.land.naver.com/complexes/112892?tab=detail&amp;rf=Y</t>
        </is>
      </c>
      <c r="AA298" s="0" t="inlineStr">
        <is>
          <t>충청북도 청주시 흥덕구 강서동 522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흥덕구</t>
        </is>
      </c>
      <c r="AE298" s="0" t="inlineStr">
        <is>
          <t>강서동</t>
        </is>
      </c>
      <c r="AG298" s="0" t="inlineStr">
        <is>
          <t>충청북도 청주시 흥덕구 서현동로 16-1</t>
        </is>
      </c>
      <c r="AH298" s="0" t="n">
        <v>0</v>
      </c>
      <c r="AI298" s="0" t="n">
        <v>450</v>
      </c>
      <c r="AJ298" s="0" t="n">
        <v>55</v>
      </c>
      <c r="AK298" s="0" t="n">
        <v>0</v>
      </c>
      <c r="AL298" s="0" t="n">
        <v>0</v>
      </c>
    </row>
    <row r="299">
      <c r="A299" s="0" t="inlineStr">
        <is>
          <t>[강서동]</t>
        </is>
      </c>
      <c r="B299" s="0" t="n">
        <v>112892</v>
      </c>
      <c r="C299" s="0" t="n">
        <v>10</v>
      </c>
      <c r="D299" s="0" t="inlineStr">
        <is>
          <t>레지던스마리2(도시형)</t>
        </is>
      </c>
      <c r="E299" s="0" t="inlineStr">
        <is>
          <t>2013.04.</t>
        </is>
      </c>
      <c r="F299" s="0" t="n">
        <v>29</v>
      </c>
      <c r="G299" s="0" t="n">
        <v>33.19</v>
      </c>
      <c r="H299" s="0" t="n">
        <v>109.72</v>
      </c>
      <c r="I299" s="0" t="n">
        <v>25.53</v>
      </c>
      <c r="J299" s="0" t="n">
        <v>84.40000000000001</v>
      </c>
      <c r="K299" s="0" t="n">
        <v>1</v>
      </c>
      <c r="T299" s="0" t="n">
        <v>3</v>
      </c>
      <c r="U299" s="0" t="n">
        <v>1</v>
      </c>
      <c r="V299" s="0" t="inlineStr">
        <is>
          <t>계단식</t>
        </is>
      </c>
      <c r="W299" s="0" t="n">
        <v>109</v>
      </c>
      <c r="X299" s="0" t="n">
        <v>10</v>
      </c>
      <c r="Y299" s="0" t="n">
        <v>8</v>
      </c>
      <c r="Z299" s="0" t="inlineStr">
        <is>
          <t>https://new.land.naver.com/complexes/112892?tab=detail&amp;rf=Y</t>
        </is>
      </c>
      <c r="AA299" s="0" t="inlineStr">
        <is>
          <t>충청북도 청주시 흥덕구 강서동 522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흥덕구</t>
        </is>
      </c>
      <c r="AE299" s="0" t="inlineStr">
        <is>
          <t>강서동</t>
        </is>
      </c>
      <c r="AG299" s="0" t="inlineStr">
        <is>
          <t>충청북도 청주시 흥덕구 서현동로 16-1</t>
        </is>
      </c>
      <c r="AH299" s="0" t="n">
        <v>0</v>
      </c>
      <c r="AI299" s="0" t="n">
        <v>450</v>
      </c>
      <c r="AJ299" s="0" t="n">
        <v>55</v>
      </c>
      <c r="AK299" s="0" t="n">
        <v>0</v>
      </c>
      <c r="AL299" s="0" t="n">
        <v>0</v>
      </c>
    </row>
    <row r="300">
      <c r="A300" s="0" t="inlineStr">
        <is>
          <t>[강서동]</t>
        </is>
      </c>
      <c r="B300" s="0" t="n">
        <v>113036</v>
      </c>
      <c r="C300" s="0" t="n">
        <v>1</v>
      </c>
      <c r="D300" s="0" t="inlineStr">
        <is>
          <t>강서베리굿3차</t>
        </is>
      </c>
      <c r="E300" s="0" t="inlineStr">
        <is>
          <t>2017.06.</t>
        </is>
      </c>
      <c r="F300" s="0" t="n">
        <v>24</v>
      </c>
      <c r="G300" s="0" t="n">
        <v>29.03</v>
      </c>
      <c r="H300" s="0" t="n">
        <v>95.98999999999999</v>
      </c>
      <c r="I300" s="0" t="n">
        <v>15.13</v>
      </c>
      <c r="J300" s="0" t="n">
        <v>50.03</v>
      </c>
      <c r="K300" s="0" t="n">
        <v>8</v>
      </c>
      <c r="T300" s="0" t="n">
        <v>1</v>
      </c>
      <c r="U300" s="0" t="n">
        <v>1</v>
      </c>
      <c r="V300" s="0" t="inlineStr">
        <is>
          <t>복도식</t>
        </is>
      </c>
      <c r="W300" s="0" t="inlineStr">
        <is>
          <t>95A</t>
        </is>
      </c>
      <c r="X300" s="0" t="n">
        <v>4</v>
      </c>
      <c r="Y300" s="0" t="n">
        <v>4</v>
      </c>
      <c r="Z300" s="0" t="inlineStr">
        <is>
          <t>https://new.land.naver.com/complexes/113036?tab=detail&amp;rf=Y</t>
        </is>
      </c>
      <c r="AA300" s="0" t="inlineStr">
        <is>
          <t>충청북도 청주시 흥덕구 강서동 502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흥덕구</t>
        </is>
      </c>
      <c r="AE300" s="0" t="inlineStr">
        <is>
          <t>강서동</t>
        </is>
      </c>
      <c r="AG300" s="0" t="inlineStr">
        <is>
          <t>충청북도 청주시 흥덕구 서현중로 61</t>
        </is>
      </c>
      <c r="AH300" s="0" t="n">
        <v>0</v>
      </c>
      <c r="AI300" s="0" t="n">
        <v>873</v>
      </c>
      <c r="AJ300" s="0" t="n">
        <v>69</v>
      </c>
      <c r="AK300" s="0" t="n">
        <v>16</v>
      </c>
      <c r="AL300" s="0" t="n">
        <v>0.67</v>
      </c>
    </row>
    <row r="301">
      <c r="A301" s="0" t="inlineStr">
        <is>
          <t>[강서동]</t>
        </is>
      </c>
      <c r="B301" s="0" t="n">
        <v>113036</v>
      </c>
      <c r="C301" s="0" t="n">
        <v>2</v>
      </c>
      <c r="D301" s="0" t="inlineStr">
        <is>
          <t>강서베리굿3차</t>
        </is>
      </c>
      <c r="E301" s="0" t="inlineStr">
        <is>
          <t>2017.06.</t>
        </is>
      </c>
      <c r="F301" s="0" t="n">
        <v>24</v>
      </c>
      <c r="G301" s="0" t="n">
        <v>29.15</v>
      </c>
      <c r="H301" s="0" t="n">
        <v>96.38</v>
      </c>
      <c r="I301" s="0" t="n">
        <v>15.19</v>
      </c>
      <c r="J301" s="0" t="n">
        <v>50.23</v>
      </c>
      <c r="K301" s="0" t="n">
        <v>8</v>
      </c>
      <c r="T301" s="0" t="n">
        <v>1</v>
      </c>
      <c r="U301" s="0" t="n">
        <v>1</v>
      </c>
      <c r="V301" s="0" t="inlineStr">
        <is>
          <t>복도식</t>
        </is>
      </c>
      <c r="W301" s="0" t="inlineStr">
        <is>
          <t>96B</t>
        </is>
      </c>
      <c r="X301" s="0" t="n">
        <v>4</v>
      </c>
      <c r="Y301" s="0" t="n">
        <v>4</v>
      </c>
      <c r="Z301" s="0" t="inlineStr">
        <is>
          <t>https://new.land.naver.com/complexes/113036?tab=detail&amp;rf=Y</t>
        </is>
      </c>
      <c r="AA301" s="0" t="inlineStr">
        <is>
          <t>충청북도 청주시 흥덕구 강서동 502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흥덕구</t>
        </is>
      </c>
      <c r="AE301" s="0" t="inlineStr">
        <is>
          <t>강서동</t>
        </is>
      </c>
      <c r="AG301" s="0" t="inlineStr">
        <is>
          <t>충청북도 청주시 흥덕구 서현중로 61</t>
        </is>
      </c>
      <c r="AH301" s="0" t="n">
        <v>0</v>
      </c>
      <c r="AI301" s="0" t="n">
        <v>873</v>
      </c>
      <c r="AJ301" s="0" t="n">
        <v>69</v>
      </c>
      <c r="AK301" s="0" t="n">
        <v>16</v>
      </c>
      <c r="AL301" s="0" t="n">
        <v>0.67</v>
      </c>
    </row>
    <row r="302">
      <c r="A302" s="0" t="inlineStr">
        <is>
          <t>[강서동]</t>
        </is>
      </c>
      <c r="B302" s="0" t="n">
        <v>113036</v>
      </c>
      <c r="C302" s="0" t="n">
        <v>3</v>
      </c>
      <c r="D302" s="0" t="inlineStr">
        <is>
          <t>강서베리굿3차</t>
        </is>
      </c>
      <c r="E302" s="0" t="inlineStr">
        <is>
          <t>2017.06.</t>
        </is>
      </c>
      <c r="F302" s="0" t="n">
        <v>24</v>
      </c>
      <c r="G302" s="0" t="n">
        <v>29.36</v>
      </c>
      <c r="H302" s="0" t="n">
        <v>97.06</v>
      </c>
      <c r="I302" s="0" t="n">
        <v>15.3</v>
      </c>
      <c r="J302" s="0" t="n">
        <v>50.59</v>
      </c>
      <c r="K302" s="0" t="n">
        <v>8</v>
      </c>
      <c r="T302" s="0" t="n">
        <v>1</v>
      </c>
      <c r="U302" s="0" t="n">
        <v>1</v>
      </c>
      <c r="V302" s="0" t="inlineStr">
        <is>
          <t>복도식</t>
        </is>
      </c>
      <c r="W302" s="0" t="inlineStr">
        <is>
          <t>97A-1</t>
        </is>
      </c>
      <c r="X302" s="0" t="n">
        <v>4</v>
      </c>
      <c r="Y302" s="0" t="n">
        <v>4</v>
      </c>
      <c r="Z302" s="0" t="inlineStr">
        <is>
          <t>https://new.land.naver.com/complexes/113036?tab=detail&amp;rf=Y</t>
        </is>
      </c>
      <c r="AA302" s="0" t="inlineStr">
        <is>
          <t>충청북도 청주시 흥덕구 강서동 502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흥덕구</t>
        </is>
      </c>
      <c r="AE302" s="0" t="inlineStr">
        <is>
          <t>강서동</t>
        </is>
      </c>
      <c r="AG302" s="0" t="inlineStr">
        <is>
          <t>충청북도 청주시 흥덕구 서현중로 61</t>
        </is>
      </c>
      <c r="AH302" s="0" t="n">
        <v>0</v>
      </c>
      <c r="AI302" s="0" t="n">
        <v>873</v>
      </c>
      <c r="AJ302" s="0" t="n">
        <v>69</v>
      </c>
      <c r="AK302" s="0" t="n">
        <v>16</v>
      </c>
      <c r="AL302" s="0" t="n">
        <v>0.67</v>
      </c>
    </row>
    <row r="303">
      <c r="A303" s="0" t="inlineStr">
        <is>
          <t>[강서동]</t>
        </is>
      </c>
      <c r="B303" s="0" t="n">
        <v>127523</v>
      </c>
      <c r="C303" s="0" t="n">
        <v>1</v>
      </c>
      <c r="D303" s="0" t="inlineStr">
        <is>
          <t>미소랑</t>
        </is>
      </c>
      <c r="E303" s="0" t="inlineStr">
        <is>
          <t>2014.09.</t>
        </is>
      </c>
      <c r="F303" s="0" t="n">
        <v>13</v>
      </c>
      <c r="G303" s="0" t="n">
        <v>11.83</v>
      </c>
      <c r="H303" s="0" t="n">
        <v>39.14</v>
      </c>
      <c r="I303" s="0" t="n">
        <v>7.21</v>
      </c>
      <c r="J303" s="0" t="n">
        <v>23.84</v>
      </c>
      <c r="K303" s="0" t="n">
        <v>2</v>
      </c>
      <c r="T303" s="0" t="n">
        <v>1</v>
      </c>
      <c r="U303" s="0" t="n">
        <v>1</v>
      </c>
      <c r="V303" s="0" t="inlineStr">
        <is>
          <t>계단식</t>
        </is>
      </c>
      <c r="W303" s="0" t="n">
        <v>39</v>
      </c>
      <c r="X303" s="0" t="n">
        <v>2</v>
      </c>
      <c r="Y303" s="0" t="n">
        <v>2</v>
      </c>
      <c r="Z303" s="0" t="inlineStr">
        <is>
          <t>https://new.land.naver.com/complexes/127523?tab=detail&amp;rf=Y</t>
        </is>
      </c>
      <c r="AA303" s="0" t="inlineStr">
        <is>
          <t>충청북도 청주시 흥덕구 강서동 466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흥덕구</t>
        </is>
      </c>
      <c r="AE303" s="0" t="inlineStr">
        <is>
          <t>강서동</t>
        </is>
      </c>
      <c r="AG303" s="0" t="inlineStr">
        <is>
          <t>충청북도 청주시 흥덕구 가로수로1164번길 41-8</t>
        </is>
      </c>
      <c r="AH303" s="0" t="n">
        <v>0</v>
      </c>
      <c r="AI303" s="0" t="n">
        <v>749</v>
      </c>
      <c r="AJ303" s="0" t="n">
        <v>69</v>
      </c>
      <c r="AK303" s="0" t="n">
        <v>4</v>
      </c>
      <c r="AL303" s="0" t="n">
        <v>0.31</v>
      </c>
    </row>
    <row r="304">
      <c r="A304" s="0" t="inlineStr">
        <is>
          <t>[강서동]</t>
        </is>
      </c>
      <c r="B304" s="0" t="n">
        <v>127523</v>
      </c>
      <c r="C304" s="0" t="n">
        <v>2</v>
      </c>
      <c r="D304" s="0" t="inlineStr">
        <is>
          <t>미소랑</t>
        </is>
      </c>
      <c r="E304" s="0" t="inlineStr">
        <is>
          <t>2014.09.</t>
        </is>
      </c>
      <c r="F304" s="0" t="n">
        <v>13</v>
      </c>
      <c r="G304" s="0" t="n">
        <v>19.94</v>
      </c>
      <c r="H304" s="0" t="n">
        <v>65.93000000000001</v>
      </c>
      <c r="I304" s="0" t="n">
        <v>12.14</v>
      </c>
      <c r="J304" s="0" t="n">
        <v>40.16</v>
      </c>
      <c r="K304" s="0" t="n">
        <v>1</v>
      </c>
      <c r="T304" s="0" t="n">
        <v>1</v>
      </c>
      <c r="U304" s="0" t="n">
        <v>1</v>
      </c>
      <c r="V304" s="0" t="inlineStr">
        <is>
          <t>계단식</t>
        </is>
      </c>
      <c r="W304" s="0" t="n">
        <v>65</v>
      </c>
      <c r="X304" s="0" t="n">
        <v>2</v>
      </c>
      <c r="Y304" s="0" t="n">
        <v>2</v>
      </c>
      <c r="Z304" s="0" t="inlineStr">
        <is>
          <t>https://new.land.naver.com/complexes/127523?tab=detail&amp;rf=Y</t>
        </is>
      </c>
      <c r="AA304" s="0" t="inlineStr">
        <is>
          <t>충청북도 청주시 흥덕구 강서동 466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흥덕구</t>
        </is>
      </c>
      <c r="AE304" s="0" t="inlineStr">
        <is>
          <t>강서동</t>
        </is>
      </c>
      <c r="AG304" s="0" t="inlineStr">
        <is>
          <t>충청북도 청주시 흥덕구 가로수로1164번길 41-8</t>
        </is>
      </c>
      <c r="AH304" s="0" t="n">
        <v>0</v>
      </c>
      <c r="AI304" s="0" t="n">
        <v>749</v>
      </c>
      <c r="AJ304" s="0" t="n">
        <v>69</v>
      </c>
      <c r="AK304" s="0" t="n">
        <v>4</v>
      </c>
      <c r="AL304" s="0" t="n">
        <v>0.31</v>
      </c>
    </row>
    <row r="305">
      <c r="A305" s="0" t="inlineStr">
        <is>
          <t>[강서동]</t>
        </is>
      </c>
      <c r="B305" s="0" t="n">
        <v>127523</v>
      </c>
      <c r="C305" s="0" t="n">
        <v>3</v>
      </c>
      <c r="D305" s="0" t="inlineStr">
        <is>
          <t>미소랑</t>
        </is>
      </c>
      <c r="E305" s="0" t="inlineStr">
        <is>
          <t>2014.09.</t>
        </is>
      </c>
      <c r="F305" s="0" t="n">
        <v>13</v>
      </c>
      <c r="G305" s="0" t="n">
        <v>21.48</v>
      </c>
      <c r="H305" s="0" t="n">
        <v>71.04000000000001</v>
      </c>
      <c r="I305" s="0" t="n">
        <v>13.08</v>
      </c>
      <c r="J305" s="0" t="n">
        <v>43.27</v>
      </c>
      <c r="K305" s="0" t="n">
        <v>6</v>
      </c>
      <c r="T305" s="0" t="n">
        <v>1</v>
      </c>
      <c r="U305" s="0" t="n">
        <v>1</v>
      </c>
      <c r="V305" s="0" t="inlineStr">
        <is>
          <t>계단식</t>
        </is>
      </c>
      <c r="W305" s="0" t="n">
        <v>71</v>
      </c>
      <c r="X305" s="0" t="n">
        <v>2</v>
      </c>
      <c r="Y305" s="0" t="n">
        <v>2</v>
      </c>
      <c r="Z305" s="0" t="inlineStr">
        <is>
          <t>https://new.land.naver.com/complexes/127523?tab=detail&amp;rf=Y</t>
        </is>
      </c>
      <c r="AA305" s="0" t="inlineStr">
        <is>
          <t>충청북도 청주시 흥덕구 강서동 466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흥덕구</t>
        </is>
      </c>
      <c r="AE305" s="0" t="inlineStr">
        <is>
          <t>강서동</t>
        </is>
      </c>
      <c r="AG305" s="0" t="inlineStr">
        <is>
          <t>충청북도 청주시 흥덕구 가로수로1164번길 41-8</t>
        </is>
      </c>
      <c r="AH305" s="0" t="n">
        <v>0</v>
      </c>
      <c r="AI305" s="0" t="n">
        <v>749</v>
      </c>
      <c r="AJ305" s="0" t="n">
        <v>69</v>
      </c>
      <c r="AK305" s="0" t="n">
        <v>4</v>
      </c>
      <c r="AL305" s="0" t="n">
        <v>0.31</v>
      </c>
    </row>
    <row r="306">
      <c r="A306" s="0" t="inlineStr">
        <is>
          <t>[강서동]</t>
        </is>
      </c>
      <c r="B306" s="0" t="n">
        <v>127523</v>
      </c>
      <c r="C306" s="0" t="n">
        <v>4</v>
      </c>
      <c r="D306" s="0" t="inlineStr">
        <is>
          <t>미소랑</t>
        </is>
      </c>
      <c r="E306" s="0" t="inlineStr">
        <is>
          <t>2014.09.</t>
        </is>
      </c>
      <c r="F306" s="0" t="n">
        <v>13</v>
      </c>
      <c r="G306" s="0" t="n">
        <v>28.12</v>
      </c>
      <c r="H306" s="0" t="n">
        <v>92.98</v>
      </c>
      <c r="I306" s="0" t="n">
        <v>17.13</v>
      </c>
      <c r="J306" s="0" t="n">
        <v>56.63</v>
      </c>
      <c r="K306" s="0" t="n">
        <v>2</v>
      </c>
      <c r="T306" s="0" t="n">
        <v>1</v>
      </c>
      <c r="U306" s="0" t="n">
        <v>1</v>
      </c>
      <c r="V306" s="0" t="inlineStr">
        <is>
          <t>계단식</t>
        </is>
      </c>
      <c r="W306" s="0" t="inlineStr">
        <is>
          <t>92A</t>
        </is>
      </c>
      <c r="X306" s="0" t="n">
        <v>2</v>
      </c>
      <c r="Y306" s="0" t="n">
        <v>2</v>
      </c>
      <c r="Z306" s="0" t="inlineStr">
        <is>
          <t>https://new.land.naver.com/complexes/127523?tab=detail&amp;rf=Y</t>
        </is>
      </c>
      <c r="AA306" s="0" t="inlineStr">
        <is>
          <t>충청북도 청주시 흥덕구 강서동 466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흥덕구</t>
        </is>
      </c>
      <c r="AE306" s="0" t="inlineStr">
        <is>
          <t>강서동</t>
        </is>
      </c>
      <c r="AG306" s="0" t="inlineStr">
        <is>
          <t>충청북도 청주시 흥덕구 가로수로1164번길 41-8</t>
        </is>
      </c>
      <c r="AH306" s="0" t="n">
        <v>0</v>
      </c>
      <c r="AI306" s="0" t="n">
        <v>749</v>
      </c>
      <c r="AJ306" s="0" t="n">
        <v>69</v>
      </c>
      <c r="AK306" s="0" t="n">
        <v>4</v>
      </c>
      <c r="AL306" s="0" t="n">
        <v>0.31</v>
      </c>
    </row>
    <row r="307">
      <c r="A307" s="0" t="inlineStr">
        <is>
          <t>[강서동]</t>
        </is>
      </c>
      <c r="B307" s="0" t="n">
        <v>127523</v>
      </c>
      <c r="C307" s="0" t="n">
        <v>5</v>
      </c>
      <c r="D307" s="0" t="inlineStr">
        <is>
          <t>미소랑</t>
        </is>
      </c>
      <c r="E307" s="0" t="inlineStr">
        <is>
          <t>2014.09.</t>
        </is>
      </c>
      <c r="F307" s="0" t="n">
        <v>13</v>
      </c>
      <c r="G307" s="0" t="n">
        <v>28.14</v>
      </c>
      <c r="H307" s="0" t="n">
        <v>93.03</v>
      </c>
      <c r="I307" s="0" t="n">
        <v>17.14</v>
      </c>
      <c r="J307" s="0" t="n">
        <v>56.67</v>
      </c>
      <c r="K307" s="0" t="n">
        <v>2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93B</t>
        </is>
      </c>
      <c r="X307" s="0" t="n">
        <v>2</v>
      </c>
      <c r="Y307" s="0" t="n">
        <v>2</v>
      </c>
      <c r="Z307" s="0" t="inlineStr">
        <is>
          <t>https://new.land.naver.com/complexes/127523?tab=detail&amp;rf=Y</t>
        </is>
      </c>
      <c r="AA307" s="0" t="inlineStr">
        <is>
          <t>충청북도 청주시 흥덕구 강서동 466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흥덕구</t>
        </is>
      </c>
      <c r="AE307" s="0" t="inlineStr">
        <is>
          <t>강서동</t>
        </is>
      </c>
      <c r="AG307" s="0" t="inlineStr">
        <is>
          <t>충청북도 청주시 흥덕구 가로수로1164번길 41-8</t>
        </is>
      </c>
      <c r="AH307" s="0" t="n">
        <v>0</v>
      </c>
      <c r="AI307" s="0" t="n">
        <v>749</v>
      </c>
      <c r="AJ307" s="0" t="n">
        <v>69</v>
      </c>
      <c r="AK307" s="0" t="n">
        <v>4</v>
      </c>
      <c r="AL307" s="0" t="n">
        <v>0.31</v>
      </c>
    </row>
    <row r="308">
      <c r="A308" s="0" t="inlineStr">
        <is>
          <t>[강서동]</t>
        </is>
      </c>
      <c r="B308" s="0" t="n">
        <v>113038</v>
      </c>
      <c r="C308" s="0" t="n">
        <v>1</v>
      </c>
      <c r="D308" s="0" t="inlineStr">
        <is>
          <t>강서베리굿3차(도시형)</t>
        </is>
      </c>
      <c r="E308" s="0" t="inlineStr">
        <is>
          <t>2017.06.</t>
        </is>
      </c>
      <c r="F308" s="0" t="n">
        <v>144</v>
      </c>
      <c r="G308" s="0" t="n">
        <v>21.93</v>
      </c>
      <c r="H308" s="0" t="n">
        <v>72.52</v>
      </c>
      <c r="I308" s="0" t="n">
        <v>14.41</v>
      </c>
      <c r="J308" s="0" t="n">
        <v>47.66</v>
      </c>
      <c r="K308" s="0" t="n">
        <v>48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72A</t>
        </is>
      </c>
      <c r="X308" s="0" t="n">
        <v>16</v>
      </c>
      <c r="Y308" s="0" t="n">
        <v>16</v>
      </c>
      <c r="Z308" s="0" t="inlineStr">
        <is>
          <t>https://new.land.naver.com/complexes/113038?tab=detail&amp;rf=Y</t>
        </is>
      </c>
      <c r="AA308" s="0" t="inlineStr">
        <is>
          <t>충청북도 청주시 흥덕구 강서동 502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흥덕구</t>
        </is>
      </c>
      <c r="AE308" s="0" t="inlineStr">
        <is>
          <t>강서동</t>
        </is>
      </c>
      <c r="AG308" s="0" t="inlineStr">
        <is>
          <t>충청북도 청주시 흥덕구 서현중로 61</t>
        </is>
      </c>
      <c r="AH308" s="0" t="n">
        <v>0</v>
      </c>
      <c r="AI308" s="0" t="n">
        <v>898</v>
      </c>
      <c r="AJ308" s="0" t="n">
        <v>69</v>
      </c>
      <c r="AK308" s="0" t="n">
        <v>98</v>
      </c>
      <c r="AL308" s="0" t="n">
        <v>0.68</v>
      </c>
    </row>
    <row r="309">
      <c r="A309" s="0" t="inlineStr">
        <is>
          <t>[강서동]</t>
        </is>
      </c>
      <c r="B309" s="0" t="n">
        <v>113038</v>
      </c>
      <c r="C309" s="0" t="n">
        <v>2</v>
      </c>
      <c r="D309" s="0" t="inlineStr">
        <is>
          <t>강서베리굿3차(도시형)</t>
        </is>
      </c>
      <c r="E309" s="0" t="inlineStr">
        <is>
          <t>2017.06.</t>
        </is>
      </c>
      <c r="F309" s="0" t="n">
        <v>144</v>
      </c>
      <c r="G309" s="0" t="n">
        <v>21.93</v>
      </c>
      <c r="H309" s="0" t="n">
        <v>72.52</v>
      </c>
      <c r="I309" s="0" t="n">
        <v>14.41</v>
      </c>
      <c r="J309" s="0" t="n">
        <v>47.66</v>
      </c>
      <c r="K309" s="0" t="n">
        <v>48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72A-1</t>
        </is>
      </c>
      <c r="X309" s="0" t="n">
        <v>16</v>
      </c>
      <c r="Y309" s="0" t="n">
        <v>16</v>
      </c>
      <c r="Z309" s="0" t="inlineStr">
        <is>
          <t>https://new.land.naver.com/complexes/113038?tab=detail&amp;rf=Y</t>
        </is>
      </c>
      <c r="AA309" s="0" t="inlineStr">
        <is>
          <t>충청북도 청주시 흥덕구 강서동 502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흥덕구</t>
        </is>
      </c>
      <c r="AE309" s="0" t="inlineStr">
        <is>
          <t>강서동</t>
        </is>
      </c>
      <c r="AG309" s="0" t="inlineStr">
        <is>
          <t>충청북도 청주시 흥덕구 서현중로 61</t>
        </is>
      </c>
      <c r="AH309" s="0" t="n">
        <v>0</v>
      </c>
      <c r="AI309" s="0" t="n">
        <v>898</v>
      </c>
      <c r="AJ309" s="0" t="n">
        <v>69</v>
      </c>
      <c r="AK309" s="0" t="n">
        <v>98</v>
      </c>
      <c r="AL309" s="0" t="n">
        <v>0.68</v>
      </c>
    </row>
    <row r="310">
      <c r="A310" s="0" t="inlineStr">
        <is>
          <t>[강서동]</t>
        </is>
      </c>
      <c r="B310" s="0" t="n">
        <v>113038</v>
      </c>
      <c r="C310" s="0" t="n">
        <v>3</v>
      </c>
      <c r="D310" s="0" t="inlineStr">
        <is>
          <t>강서베리굿3차(도시형)</t>
        </is>
      </c>
      <c r="E310" s="0" t="inlineStr">
        <is>
          <t>2017.06.</t>
        </is>
      </c>
      <c r="F310" s="0" t="n">
        <v>144</v>
      </c>
      <c r="G310" s="0" t="n">
        <v>22.06</v>
      </c>
      <c r="H310" s="0" t="n">
        <v>72.94</v>
      </c>
      <c r="I310" s="0" t="n">
        <v>14.49</v>
      </c>
      <c r="J310" s="0" t="n">
        <v>47.93</v>
      </c>
      <c r="K310" s="0" t="n">
        <v>48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72B</t>
        </is>
      </c>
      <c r="X310" s="0" t="n">
        <v>16</v>
      </c>
      <c r="Y310" s="0" t="n">
        <v>16</v>
      </c>
      <c r="Z310" s="0" t="inlineStr">
        <is>
          <t>https://new.land.naver.com/complexes/113038?tab=detail&amp;rf=Y</t>
        </is>
      </c>
      <c r="AA310" s="0" t="inlineStr">
        <is>
          <t>충청북도 청주시 흥덕구 강서동 502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흥덕구</t>
        </is>
      </c>
      <c r="AE310" s="0" t="inlineStr">
        <is>
          <t>강서동</t>
        </is>
      </c>
      <c r="AG310" s="0" t="inlineStr">
        <is>
          <t>충청북도 청주시 흥덕구 서현중로 61</t>
        </is>
      </c>
      <c r="AH310" s="0" t="n">
        <v>0</v>
      </c>
      <c r="AI310" s="0" t="n">
        <v>898</v>
      </c>
      <c r="AJ310" s="0" t="n">
        <v>69</v>
      </c>
      <c r="AK310" s="0" t="n">
        <v>98</v>
      </c>
      <c r="AL310" s="0" t="n">
        <v>0.68</v>
      </c>
    </row>
    <row r="311">
      <c r="A311" s="0" t="inlineStr">
        <is>
          <t>[강서동]</t>
        </is>
      </c>
      <c r="B311" s="0" t="n">
        <v>111589</v>
      </c>
      <c r="C311" s="0" t="n">
        <v>1</v>
      </c>
      <c r="D311" s="0" t="inlineStr">
        <is>
          <t>미소랑2차(도시형)</t>
        </is>
      </c>
      <c r="E311" s="0" t="inlineStr">
        <is>
          <t>2015.12.</t>
        </is>
      </c>
      <c r="F311" s="0" t="n">
        <v>112</v>
      </c>
      <c r="G311" s="0" t="n">
        <v>7.15</v>
      </c>
      <c r="H311" s="0" t="n">
        <v>23.66</v>
      </c>
      <c r="I311" s="0" t="n">
        <v>5.27</v>
      </c>
      <c r="J311" s="0" t="n">
        <v>17.43</v>
      </c>
      <c r="K311" s="0" t="n">
        <v>8</v>
      </c>
      <c r="T311" s="0" t="n">
        <v>1</v>
      </c>
      <c r="U311" s="0" t="n">
        <v>1</v>
      </c>
      <c r="V311" s="0" t="inlineStr">
        <is>
          <t>계단식</t>
        </is>
      </c>
      <c r="W311" s="0" t="n">
        <v>23</v>
      </c>
      <c r="X311" s="0" t="n">
        <v>13</v>
      </c>
      <c r="Y311" s="0" t="n">
        <v>11</v>
      </c>
      <c r="Z311" s="0" t="inlineStr">
        <is>
          <t>https://new.land.naver.com/complexes/111589?tab=detail&amp;rf=Y</t>
        </is>
      </c>
      <c r="AA311" s="0" t="inlineStr">
        <is>
          <t>충청북도 청주시 흥덕구 강서동 500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흥덕구</t>
        </is>
      </c>
      <c r="AE311" s="0" t="inlineStr">
        <is>
          <t>강서동</t>
        </is>
      </c>
      <c r="AG311" s="0" t="inlineStr">
        <is>
          <t>충청북도 청주시 흥덕구 서현중로 60-1</t>
        </is>
      </c>
      <c r="AH311" s="0" t="n">
        <v>0</v>
      </c>
      <c r="AI311" s="0" t="n">
        <v>571</v>
      </c>
      <c r="AJ311" s="0" t="n">
        <v>69</v>
      </c>
      <c r="AK311" s="0" t="n">
        <v>64</v>
      </c>
      <c r="AL311" s="0" t="n">
        <v>0.57</v>
      </c>
    </row>
    <row r="312">
      <c r="A312" s="0" t="inlineStr">
        <is>
          <t>[강서동]</t>
        </is>
      </c>
      <c r="B312" s="0" t="n">
        <v>111589</v>
      </c>
      <c r="C312" s="0" t="n">
        <v>2</v>
      </c>
      <c r="D312" s="0" t="inlineStr">
        <is>
          <t>미소랑2차(도시형)</t>
        </is>
      </c>
      <c r="E312" s="0" t="inlineStr">
        <is>
          <t>2015.12.</t>
        </is>
      </c>
      <c r="F312" s="0" t="n">
        <v>112</v>
      </c>
      <c r="G312" s="0" t="n">
        <v>7.5</v>
      </c>
      <c r="H312" s="0" t="n">
        <v>24.82</v>
      </c>
      <c r="I312" s="0" t="n">
        <v>5.53</v>
      </c>
      <c r="J312" s="0" t="n">
        <v>18.29</v>
      </c>
      <c r="K312" s="0" t="n">
        <v>1</v>
      </c>
      <c r="T312" s="0" t="n">
        <v>1</v>
      </c>
      <c r="U312" s="0" t="n">
        <v>1</v>
      </c>
      <c r="V312" s="0" t="inlineStr">
        <is>
          <t>계단식</t>
        </is>
      </c>
      <c r="W312" s="0" t="inlineStr">
        <is>
          <t>24A</t>
        </is>
      </c>
      <c r="X312" s="0" t="n">
        <v>13</v>
      </c>
      <c r="Y312" s="0" t="n">
        <v>11</v>
      </c>
      <c r="Z312" s="0" t="inlineStr">
        <is>
          <t>https://new.land.naver.com/complexes/111589?tab=detail&amp;rf=Y</t>
        </is>
      </c>
      <c r="AA312" s="0" t="inlineStr">
        <is>
          <t>충청북도 청주시 흥덕구 강서동 500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흥덕구</t>
        </is>
      </c>
      <c r="AE312" s="0" t="inlineStr">
        <is>
          <t>강서동</t>
        </is>
      </c>
      <c r="AG312" s="0" t="inlineStr">
        <is>
          <t>충청북도 청주시 흥덕구 서현중로 60-1</t>
        </is>
      </c>
      <c r="AH312" s="0" t="n">
        <v>0</v>
      </c>
      <c r="AI312" s="0" t="n">
        <v>571</v>
      </c>
      <c r="AJ312" s="0" t="n">
        <v>69</v>
      </c>
      <c r="AK312" s="0" t="n">
        <v>64</v>
      </c>
      <c r="AL312" s="0" t="n">
        <v>0.57</v>
      </c>
    </row>
    <row r="313">
      <c r="A313" s="0" t="inlineStr">
        <is>
          <t>[강서동]</t>
        </is>
      </c>
      <c r="B313" s="0" t="n">
        <v>111589</v>
      </c>
      <c r="C313" s="0" t="n">
        <v>3</v>
      </c>
      <c r="D313" s="0" t="inlineStr">
        <is>
          <t>미소랑2차(도시형)</t>
        </is>
      </c>
      <c r="E313" s="0" t="inlineStr">
        <is>
          <t>2015.12.</t>
        </is>
      </c>
      <c r="F313" s="0" t="n">
        <v>112</v>
      </c>
      <c r="G313" s="0" t="n">
        <v>7.56</v>
      </c>
      <c r="H313" s="0" t="n">
        <v>25.01</v>
      </c>
      <c r="I313" s="0" t="n">
        <v>5.57</v>
      </c>
      <c r="J313" s="0" t="n">
        <v>18.42</v>
      </c>
      <c r="K313" s="0" t="n">
        <v>8</v>
      </c>
      <c r="T313" s="0" t="n">
        <v>1</v>
      </c>
      <c r="U313" s="0" t="n">
        <v>1</v>
      </c>
      <c r="V313" s="0" t="inlineStr">
        <is>
          <t>계단식</t>
        </is>
      </c>
      <c r="W313" s="0" t="inlineStr">
        <is>
          <t>25B</t>
        </is>
      </c>
      <c r="X313" s="0" t="n">
        <v>13</v>
      </c>
      <c r="Y313" s="0" t="n">
        <v>11</v>
      </c>
      <c r="Z313" s="0" t="inlineStr">
        <is>
          <t>https://new.land.naver.com/complexes/111589?tab=detail&amp;rf=Y</t>
        </is>
      </c>
      <c r="AA313" s="0" t="inlineStr">
        <is>
          <t>충청북도 청주시 흥덕구 강서동 500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흥덕구</t>
        </is>
      </c>
      <c r="AE313" s="0" t="inlineStr">
        <is>
          <t>강서동</t>
        </is>
      </c>
      <c r="AG313" s="0" t="inlineStr">
        <is>
          <t>충청북도 청주시 흥덕구 서현중로 60-1</t>
        </is>
      </c>
      <c r="AH313" s="0" t="n">
        <v>0</v>
      </c>
      <c r="AI313" s="0" t="n">
        <v>571</v>
      </c>
      <c r="AJ313" s="0" t="n">
        <v>69</v>
      </c>
      <c r="AK313" s="0" t="n">
        <v>64</v>
      </c>
      <c r="AL313" s="0" t="n">
        <v>0.57</v>
      </c>
    </row>
    <row r="314">
      <c r="A314" s="0" t="inlineStr">
        <is>
          <t>[강서동]</t>
        </is>
      </c>
      <c r="B314" s="0" t="n">
        <v>111589</v>
      </c>
      <c r="C314" s="0" t="n">
        <v>4</v>
      </c>
      <c r="D314" s="0" t="inlineStr">
        <is>
          <t>미소랑2차(도시형)</t>
        </is>
      </c>
      <c r="E314" s="0" t="inlineStr">
        <is>
          <t>2015.12.</t>
        </is>
      </c>
      <c r="F314" s="0" t="n">
        <v>112</v>
      </c>
      <c r="G314" s="0" t="n">
        <v>7.94</v>
      </c>
      <c r="H314" s="0" t="n">
        <v>26.26</v>
      </c>
      <c r="I314" s="0" t="n">
        <v>5.85</v>
      </c>
      <c r="J314" s="0" t="n">
        <v>19.35</v>
      </c>
      <c r="K314" s="0" t="n">
        <v>20</v>
      </c>
      <c r="T314" s="0" t="n">
        <v>1</v>
      </c>
      <c r="U314" s="0" t="n">
        <v>1</v>
      </c>
      <c r="V314" s="0" t="inlineStr">
        <is>
          <t>계단식</t>
        </is>
      </c>
      <c r="W314" s="0" t="inlineStr">
        <is>
          <t>26D</t>
        </is>
      </c>
      <c r="X314" s="0" t="n">
        <v>13</v>
      </c>
      <c r="Y314" s="0" t="n">
        <v>11</v>
      </c>
      <c r="Z314" s="0" t="inlineStr">
        <is>
          <t>https://new.land.naver.com/complexes/111589?tab=detail&amp;rf=Y</t>
        </is>
      </c>
      <c r="AA314" s="0" t="inlineStr">
        <is>
          <t>충청북도 청주시 흥덕구 강서동 500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흥덕구</t>
        </is>
      </c>
      <c r="AE314" s="0" t="inlineStr">
        <is>
          <t>강서동</t>
        </is>
      </c>
      <c r="AG314" s="0" t="inlineStr">
        <is>
          <t>충청북도 청주시 흥덕구 서현중로 60-1</t>
        </is>
      </c>
      <c r="AH314" s="0" t="n">
        <v>0</v>
      </c>
      <c r="AI314" s="0" t="n">
        <v>571</v>
      </c>
      <c r="AJ314" s="0" t="n">
        <v>69</v>
      </c>
      <c r="AK314" s="0" t="n">
        <v>64</v>
      </c>
      <c r="AL314" s="0" t="n">
        <v>0.57</v>
      </c>
    </row>
    <row r="315">
      <c r="A315" s="0" t="inlineStr">
        <is>
          <t>[강서동]</t>
        </is>
      </c>
      <c r="B315" s="0" t="n">
        <v>111589</v>
      </c>
      <c r="C315" s="0" t="n">
        <v>5</v>
      </c>
      <c r="D315" s="0" t="inlineStr">
        <is>
          <t>미소랑2차(도시형)</t>
        </is>
      </c>
      <c r="E315" s="0" t="inlineStr">
        <is>
          <t>2015.12.</t>
        </is>
      </c>
      <c r="F315" s="0" t="n">
        <v>112</v>
      </c>
      <c r="G315" s="0" t="n">
        <v>7.91</v>
      </c>
      <c r="H315" s="0" t="n">
        <v>26.17</v>
      </c>
      <c r="I315" s="0" t="n">
        <v>5.83</v>
      </c>
      <c r="J315" s="0" t="n">
        <v>19.28</v>
      </c>
      <c r="K315" s="0" t="n">
        <v>1</v>
      </c>
      <c r="T315" s="0" t="n">
        <v>1</v>
      </c>
      <c r="U315" s="0" t="n">
        <v>1</v>
      </c>
      <c r="V315" s="0" t="inlineStr">
        <is>
          <t>계단식</t>
        </is>
      </c>
      <c r="W315" s="0" t="inlineStr">
        <is>
          <t>26C</t>
        </is>
      </c>
      <c r="X315" s="0" t="n">
        <v>13</v>
      </c>
      <c r="Y315" s="0" t="n">
        <v>11</v>
      </c>
      <c r="Z315" s="0" t="inlineStr">
        <is>
          <t>https://new.land.naver.com/complexes/111589?tab=detail&amp;rf=Y</t>
        </is>
      </c>
      <c r="AA315" s="0" t="inlineStr">
        <is>
          <t>충청북도 청주시 흥덕구 강서동 500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흥덕구</t>
        </is>
      </c>
      <c r="AE315" s="0" t="inlineStr">
        <is>
          <t>강서동</t>
        </is>
      </c>
      <c r="AG315" s="0" t="inlineStr">
        <is>
          <t>충청북도 청주시 흥덕구 서현중로 60-1</t>
        </is>
      </c>
      <c r="AH315" s="0" t="n">
        <v>0</v>
      </c>
      <c r="AI315" s="0" t="n">
        <v>571</v>
      </c>
      <c r="AJ315" s="0" t="n">
        <v>69</v>
      </c>
      <c r="AK315" s="0" t="n">
        <v>64</v>
      </c>
      <c r="AL315" s="0" t="n">
        <v>0.57</v>
      </c>
    </row>
    <row r="316">
      <c r="A316" s="0" t="inlineStr">
        <is>
          <t>[강서동]</t>
        </is>
      </c>
      <c r="B316" s="0" t="n">
        <v>111589</v>
      </c>
      <c r="C316" s="0" t="n">
        <v>6</v>
      </c>
      <c r="D316" s="0" t="inlineStr">
        <is>
          <t>미소랑2차(도시형)</t>
        </is>
      </c>
      <c r="E316" s="0" t="inlineStr">
        <is>
          <t>2015.12.</t>
        </is>
      </c>
      <c r="F316" s="0" t="n">
        <v>112</v>
      </c>
      <c r="G316" s="0" t="n">
        <v>12.13</v>
      </c>
      <c r="H316" s="0" t="n">
        <v>40.1</v>
      </c>
      <c r="I316" s="0" t="n">
        <v>8.93</v>
      </c>
      <c r="J316" s="0" t="n">
        <v>29.54</v>
      </c>
      <c r="K316" s="0" t="n">
        <v>2</v>
      </c>
      <c r="T316" s="0" t="n">
        <v>1</v>
      </c>
      <c r="U316" s="0" t="n">
        <v>1</v>
      </c>
      <c r="V316" s="0" t="inlineStr">
        <is>
          <t>계단식</t>
        </is>
      </c>
      <c r="W316" s="0" t="n">
        <v>40</v>
      </c>
      <c r="X316" s="0" t="n">
        <v>13</v>
      </c>
      <c r="Y316" s="0" t="n">
        <v>11</v>
      </c>
      <c r="Z316" s="0" t="inlineStr">
        <is>
          <t>https://new.land.naver.com/complexes/111589?tab=detail&amp;rf=Y</t>
        </is>
      </c>
      <c r="AA316" s="0" t="inlineStr">
        <is>
          <t>충청북도 청주시 흥덕구 강서동 500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흥덕구</t>
        </is>
      </c>
      <c r="AE316" s="0" t="inlineStr">
        <is>
          <t>강서동</t>
        </is>
      </c>
      <c r="AG316" s="0" t="inlineStr">
        <is>
          <t>충청북도 청주시 흥덕구 서현중로 60-1</t>
        </is>
      </c>
      <c r="AH316" s="0" t="n">
        <v>0</v>
      </c>
      <c r="AI316" s="0" t="n">
        <v>571</v>
      </c>
      <c r="AJ316" s="0" t="n">
        <v>69</v>
      </c>
      <c r="AK316" s="0" t="n">
        <v>64</v>
      </c>
      <c r="AL316" s="0" t="n">
        <v>0.57</v>
      </c>
    </row>
    <row r="317">
      <c r="A317" s="0" t="inlineStr">
        <is>
          <t>[강서동]</t>
        </is>
      </c>
      <c r="B317" s="0" t="n">
        <v>111589</v>
      </c>
      <c r="C317" s="0" t="n">
        <v>7</v>
      </c>
      <c r="D317" s="0" t="inlineStr">
        <is>
          <t>미소랑2차(도시형)</t>
        </is>
      </c>
      <c r="E317" s="0" t="inlineStr">
        <is>
          <t>2015.12.</t>
        </is>
      </c>
      <c r="F317" s="0" t="n">
        <v>112</v>
      </c>
      <c r="G317" s="0" t="n">
        <v>13.48</v>
      </c>
      <c r="H317" s="0" t="n">
        <v>44.59</v>
      </c>
      <c r="I317" s="0" t="n">
        <v>9.93</v>
      </c>
      <c r="J317" s="0" t="n">
        <v>32.85</v>
      </c>
      <c r="K317" s="0" t="n">
        <v>10</v>
      </c>
      <c r="T317" s="0" t="n">
        <v>1</v>
      </c>
      <c r="U317" s="0" t="n">
        <v>1</v>
      </c>
      <c r="V317" s="0" t="inlineStr">
        <is>
          <t>계단식</t>
        </is>
      </c>
      <c r="W317" s="0" t="inlineStr">
        <is>
          <t>44B</t>
        </is>
      </c>
      <c r="X317" s="0" t="n">
        <v>13</v>
      </c>
      <c r="Y317" s="0" t="n">
        <v>11</v>
      </c>
      <c r="Z317" s="0" t="inlineStr">
        <is>
          <t>https://new.land.naver.com/complexes/111589?tab=detail&amp;rf=Y</t>
        </is>
      </c>
      <c r="AA317" s="0" t="inlineStr">
        <is>
          <t>충청북도 청주시 흥덕구 강서동 500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흥덕구</t>
        </is>
      </c>
      <c r="AE317" s="0" t="inlineStr">
        <is>
          <t>강서동</t>
        </is>
      </c>
      <c r="AG317" s="0" t="inlineStr">
        <is>
          <t>충청북도 청주시 흥덕구 서현중로 60-1</t>
        </is>
      </c>
      <c r="AH317" s="0" t="n">
        <v>0</v>
      </c>
      <c r="AI317" s="0" t="n">
        <v>571</v>
      </c>
      <c r="AJ317" s="0" t="n">
        <v>69</v>
      </c>
      <c r="AK317" s="0" t="n">
        <v>64</v>
      </c>
      <c r="AL317" s="0" t="n">
        <v>0.57</v>
      </c>
    </row>
    <row r="318">
      <c r="A318" s="0" t="inlineStr">
        <is>
          <t>[강서동]</t>
        </is>
      </c>
      <c r="B318" s="0" t="n">
        <v>111589</v>
      </c>
      <c r="C318" s="0" t="n">
        <v>8</v>
      </c>
      <c r="D318" s="0" t="inlineStr">
        <is>
          <t>미소랑2차(도시형)</t>
        </is>
      </c>
      <c r="E318" s="0" t="inlineStr">
        <is>
          <t>2015.12.</t>
        </is>
      </c>
      <c r="F318" s="0" t="n">
        <v>112</v>
      </c>
      <c r="G318" s="0" t="n">
        <v>13.41</v>
      </c>
      <c r="H318" s="0" t="n">
        <v>44.35</v>
      </c>
      <c r="I318" s="0" t="n">
        <v>9.880000000000001</v>
      </c>
      <c r="J318" s="0" t="n">
        <v>32.68</v>
      </c>
      <c r="K318" s="0" t="n">
        <v>2</v>
      </c>
      <c r="T318" s="0" t="n">
        <v>1</v>
      </c>
      <c r="U318" s="0" t="n">
        <v>1</v>
      </c>
      <c r="V318" s="0" t="inlineStr">
        <is>
          <t>계단식</t>
        </is>
      </c>
      <c r="W318" s="0" t="inlineStr">
        <is>
          <t>44A</t>
        </is>
      </c>
      <c r="X318" s="0" t="n">
        <v>13</v>
      </c>
      <c r="Y318" s="0" t="n">
        <v>11</v>
      </c>
      <c r="Z318" s="0" t="inlineStr">
        <is>
          <t>https://new.land.naver.com/complexes/111589?tab=detail&amp;rf=Y</t>
        </is>
      </c>
      <c r="AA318" s="0" t="inlineStr">
        <is>
          <t>충청북도 청주시 흥덕구 강서동 500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흥덕구</t>
        </is>
      </c>
      <c r="AE318" s="0" t="inlineStr">
        <is>
          <t>강서동</t>
        </is>
      </c>
      <c r="AG318" s="0" t="inlineStr">
        <is>
          <t>충청북도 청주시 흥덕구 서현중로 60-1</t>
        </is>
      </c>
      <c r="AH318" s="0" t="n">
        <v>0</v>
      </c>
      <c r="AI318" s="0" t="n">
        <v>571</v>
      </c>
      <c r="AJ318" s="0" t="n">
        <v>69</v>
      </c>
      <c r="AK318" s="0" t="n">
        <v>64</v>
      </c>
      <c r="AL318" s="0" t="n">
        <v>0.57</v>
      </c>
    </row>
    <row r="319">
      <c r="A319" s="0" t="inlineStr">
        <is>
          <t>[강서동]</t>
        </is>
      </c>
      <c r="B319" s="0" t="n">
        <v>111589</v>
      </c>
      <c r="C319" s="0" t="n">
        <v>9</v>
      </c>
      <c r="D319" s="0" t="inlineStr">
        <is>
          <t>미소랑2차(도시형)</t>
        </is>
      </c>
      <c r="E319" s="0" t="inlineStr">
        <is>
          <t>2015.12.</t>
        </is>
      </c>
      <c r="F319" s="0" t="n">
        <v>112</v>
      </c>
      <c r="G319" s="0" t="n">
        <v>16.4</v>
      </c>
      <c r="H319" s="0" t="n">
        <v>54.23</v>
      </c>
      <c r="I319" s="0" t="n">
        <v>12.08</v>
      </c>
      <c r="J319" s="0" t="n">
        <v>39.96</v>
      </c>
      <c r="K319" s="0" t="n">
        <v>9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54</v>
      </c>
      <c r="X319" s="0" t="n">
        <v>13</v>
      </c>
      <c r="Y319" s="0" t="n">
        <v>11</v>
      </c>
      <c r="Z319" s="0" t="inlineStr">
        <is>
          <t>https://new.land.naver.com/complexes/111589?tab=detail&amp;rf=Y</t>
        </is>
      </c>
      <c r="AA319" s="0" t="inlineStr">
        <is>
          <t>충청북도 청주시 흥덕구 강서동 500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흥덕구</t>
        </is>
      </c>
      <c r="AE319" s="0" t="inlineStr">
        <is>
          <t>강서동</t>
        </is>
      </c>
      <c r="AG319" s="0" t="inlineStr">
        <is>
          <t>충청북도 청주시 흥덕구 서현중로 60-1</t>
        </is>
      </c>
      <c r="AH319" s="0" t="n">
        <v>0</v>
      </c>
      <c r="AI319" s="0" t="n">
        <v>571</v>
      </c>
      <c r="AJ319" s="0" t="n">
        <v>69</v>
      </c>
      <c r="AK319" s="0" t="n">
        <v>64</v>
      </c>
      <c r="AL319" s="0" t="n">
        <v>0.57</v>
      </c>
    </row>
    <row r="320">
      <c r="A320" s="0" t="inlineStr">
        <is>
          <t>[강서동]</t>
        </is>
      </c>
      <c r="B320" s="0" t="n">
        <v>111589</v>
      </c>
      <c r="C320" s="0" t="n">
        <v>10</v>
      </c>
      <c r="D320" s="0" t="inlineStr">
        <is>
          <t>미소랑2차(도시형)</t>
        </is>
      </c>
      <c r="E320" s="0" t="inlineStr">
        <is>
          <t>2015.12.</t>
        </is>
      </c>
      <c r="F320" s="0" t="n">
        <v>112</v>
      </c>
      <c r="G320" s="0" t="n">
        <v>17.7</v>
      </c>
      <c r="H320" s="0" t="n">
        <v>58.54</v>
      </c>
      <c r="I320" s="0" t="n">
        <v>13.04</v>
      </c>
      <c r="J320" s="0" t="n">
        <v>43.13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n">
        <v>58</v>
      </c>
      <c r="X320" s="0" t="n">
        <v>13</v>
      </c>
      <c r="Y320" s="0" t="n">
        <v>11</v>
      </c>
      <c r="Z320" s="0" t="inlineStr">
        <is>
          <t>https://new.land.naver.com/complexes/111589?tab=detail&amp;rf=Y</t>
        </is>
      </c>
      <c r="AA320" s="0" t="inlineStr">
        <is>
          <t>충청북도 청주시 흥덕구 강서동 500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흥덕구</t>
        </is>
      </c>
      <c r="AE320" s="0" t="inlineStr">
        <is>
          <t>강서동</t>
        </is>
      </c>
      <c r="AG320" s="0" t="inlineStr">
        <is>
          <t>충청북도 청주시 흥덕구 서현중로 60-1</t>
        </is>
      </c>
      <c r="AH320" s="0" t="n">
        <v>0</v>
      </c>
      <c r="AI320" s="0" t="n">
        <v>571</v>
      </c>
      <c r="AJ320" s="0" t="n">
        <v>69</v>
      </c>
      <c r="AK320" s="0" t="n">
        <v>64</v>
      </c>
      <c r="AL320" s="0" t="n">
        <v>0.57</v>
      </c>
    </row>
    <row r="321">
      <c r="A321" s="0" t="inlineStr">
        <is>
          <t>[강서동]</t>
        </is>
      </c>
      <c r="B321" s="0" t="n">
        <v>111589</v>
      </c>
      <c r="C321" s="0" t="n">
        <v>11</v>
      </c>
      <c r="D321" s="0" t="inlineStr">
        <is>
          <t>미소랑2차(도시형)</t>
        </is>
      </c>
      <c r="E321" s="0" t="inlineStr">
        <is>
          <t>2015.12.</t>
        </is>
      </c>
      <c r="F321" s="0" t="n">
        <v>112</v>
      </c>
      <c r="G321" s="0" t="n">
        <v>19.35</v>
      </c>
      <c r="H321" s="0" t="n">
        <v>63.97</v>
      </c>
      <c r="I321" s="0" t="n">
        <v>14.25</v>
      </c>
      <c r="J321" s="0" t="n">
        <v>47.13</v>
      </c>
      <c r="K321" s="0" t="n">
        <v>16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63B</t>
        </is>
      </c>
      <c r="X321" s="0" t="n">
        <v>13</v>
      </c>
      <c r="Y321" s="0" t="n">
        <v>11</v>
      </c>
      <c r="Z321" s="0" t="inlineStr">
        <is>
          <t>https://new.land.naver.com/complexes/111589?tab=detail&amp;rf=Y</t>
        </is>
      </c>
      <c r="AA321" s="0" t="inlineStr">
        <is>
          <t>충청북도 청주시 흥덕구 강서동 500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흥덕구</t>
        </is>
      </c>
      <c r="AE321" s="0" t="inlineStr">
        <is>
          <t>강서동</t>
        </is>
      </c>
      <c r="AG321" s="0" t="inlineStr">
        <is>
          <t>충청북도 청주시 흥덕구 서현중로 60-1</t>
        </is>
      </c>
      <c r="AH321" s="0" t="n">
        <v>0</v>
      </c>
      <c r="AI321" s="0" t="n">
        <v>571</v>
      </c>
      <c r="AJ321" s="0" t="n">
        <v>69</v>
      </c>
      <c r="AK321" s="0" t="n">
        <v>64</v>
      </c>
      <c r="AL321" s="0" t="n">
        <v>0.57</v>
      </c>
    </row>
    <row r="322">
      <c r="A322" s="0" t="inlineStr">
        <is>
          <t>[강서동]</t>
        </is>
      </c>
      <c r="B322" s="0" t="n">
        <v>111589</v>
      </c>
      <c r="C322" s="0" t="n">
        <v>12</v>
      </c>
      <c r="D322" s="0" t="inlineStr">
        <is>
          <t>미소랑2차(도시형)</t>
        </is>
      </c>
      <c r="E322" s="0" t="inlineStr">
        <is>
          <t>2015.12.</t>
        </is>
      </c>
      <c r="F322" s="0" t="n">
        <v>112</v>
      </c>
      <c r="G322" s="0" t="n">
        <v>19.27</v>
      </c>
      <c r="H322" s="0" t="n">
        <v>63.72</v>
      </c>
      <c r="I322" s="0" t="n">
        <v>14.2</v>
      </c>
      <c r="J322" s="0" t="n">
        <v>46.95</v>
      </c>
      <c r="K322" s="0" t="n">
        <v>9</v>
      </c>
      <c r="T322" s="0" t="n">
        <v>1</v>
      </c>
      <c r="U322" s="0" t="n">
        <v>1</v>
      </c>
      <c r="V322" s="0" t="inlineStr">
        <is>
          <t>계단식</t>
        </is>
      </c>
      <c r="W322" s="0" t="inlineStr">
        <is>
          <t>63A</t>
        </is>
      </c>
      <c r="X322" s="0" t="n">
        <v>13</v>
      </c>
      <c r="Y322" s="0" t="n">
        <v>11</v>
      </c>
      <c r="Z322" s="0" t="inlineStr">
        <is>
          <t>https://new.land.naver.com/complexes/111589?tab=detail&amp;rf=Y</t>
        </is>
      </c>
      <c r="AA322" s="0" t="inlineStr">
        <is>
          <t>충청북도 청주시 흥덕구 강서동 500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흥덕구</t>
        </is>
      </c>
      <c r="AE322" s="0" t="inlineStr">
        <is>
          <t>강서동</t>
        </is>
      </c>
      <c r="AG322" s="0" t="inlineStr">
        <is>
          <t>충청북도 청주시 흥덕구 서현중로 60-1</t>
        </is>
      </c>
      <c r="AH322" s="0" t="n">
        <v>0</v>
      </c>
      <c r="AI322" s="0" t="n">
        <v>571</v>
      </c>
      <c r="AJ322" s="0" t="n">
        <v>69</v>
      </c>
      <c r="AK322" s="0" t="n">
        <v>64</v>
      </c>
      <c r="AL322" s="0" t="n">
        <v>0.57</v>
      </c>
    </row>
    <row r="323">
      <c r="A323" s="0" t="inlineStr">
        <is>
          <t>[강서동]</t>
        </is>
      </c>
      <c r="B323" s="0" t="n">
        <v>111589</v>
      </c>
      <c r="C323" s="0" t="n">
        <v>13</v>
      </c>
      <c r="D323" s="0" t="inlineStr">
        <is>
          <t>미소랑2차(도시형)</t>
        </is>
      </c>
      <c r="E323" s="0" t="inlineStr">
        <is>
          <t>2015.12.</t>
        </is>
      </c>
      <c r="F323" s="0" t="n">
        <v>112</v>
      </c>
      <c r="G323" s="0" t="n">
        <v>19.67</v>
      </c>
      <c r="H323" s="0" t="n">
        <v>65.05</v>
      </c>
      <c r="I323" s="0" t="n">
        <v>14.49</v>
      </c>
      <c r="J323" s="0" t="n">
        <v>47.93</v>
      </c>
      <c r="K323" s="0" t="n">
        <v>2</v>
      </c>
      <c r="T323" s="0" t="n">
        <v>1</v>
      </c>
      <c r="U323" s="0" t="n">
        <v>1</v>
      </c>
      <c r="V323" s="0" t="inlineStr">
        <is>
          <t>계단식</t>
        </is>
      </c>
      <c r="W323" s="0" t="inlineStr">
        <is>
          <t>65A</t>
        </is>
      </c>
      <c r="X323" s="0" t="n">
        <v>13</v>
      </c>
      <c r="Y323" s="0" t="n">
        <v>11</v>
      </c>
      <c r="Z323" s="0" t="inlineStr">
        <is>
          <t>https://new.land.naver.com/complexes/111589?tab=detail&amp;rf=Y</t>
        </is>
      </c>
      <c r="AA323" s="0" t="inlineStr">
        <is>
          <t>충청북도 청주시 흥덕구 강서동 500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흥덕구</t>
        </is>
      </c>
      <c r="AE323" s="0" t="inlineStr">
        <is>
          <t>강서동</t>
        </is>
      </c>
      <c r="AG323" s="0" t="inlineStr">
        <is>
          <t>충청북도 청주시 흥덕구 서현중로 60-1</t>
        </is>
      </c>
      <c r="AH323" s="0" t="n">
        <v>0</v>
      </c>
      <c r="AI323" s="0" t="n">
        <v>571</v>
      </c>
      <c r="AJ323" s="0" t="n">
        <v>69</v>
      </c>
      <c r="AK323" s="0" t="n">
        <v>64</v>
      </c>
      <c r="AL323" s="0" t="n">
        <v>0.57</v>
      </c>
    </row>
    <row r="324">
      <c r="A324" s="0" t="inlineStr">
        <is>
          <t>[강서동]</t>
        </is>
      </c>
      <c r="B324" s="0" t="n">
        <v>111589</v>
      </c>
      <c r="C324" s="0" t="n">
        <v>14</v>
      </c>
      <c r="D324" s="0" t="inlineStr">
        <is>
          <t>미소랑2차(도시형)</t>
        </is>
      </c>
      <c r="E324" s="0" t="inlineStr">
        <is>
          <t>2015.12.</t>
        </is>
      </c>
      <c r="F324" s="0" t="n">
        <v>112</v>
      </c>
      <c r="G324" s="0" t="n">
        <v>19.7</v>
      </c>
      <c r="H324" s="0" t="n">
        <v>65.13</v>
      </c>
      <c r="I324" s="0" t="n">
        <v>14.51</v>
      </c>
      <c r="J324" s="0" t="n">
        <v>47.99</v>
      </c>
      <c r="K324" s="0" t="n">
        <v>2</v>
      </c>
      <c r="T324" s="0" t="n">
        <v>1</v>
      </c>
      <c r="U324" s="0" t="n">
        <v>1</v>
      </c>
      <c r="V324" s="0" t="inlineStr">
        <is>
          <t>계단식</t>
        </is>
      </c>
      <c r="W324" s="0" t="inlineStr">
        <is>
          <t>65B</t>
        </is>
      </c>
      <c r="X324" s="0" t="n">
        <v>13</v>
      </c>
      <c r="Y324" s="0" t="n">
        <v>11</v>
      </c>
      <c r="Z324" s="0" t="inlineStr">
        <is>
          <t>https://new.land.naver.com/complexes/111589?tab=detail&amp;rf=Y</t>
        </is>
      </c>
      <c r="AA324" s="0" t="inlineStr">
        <is>
          <t>충청북도 청주시 흥덕구 강서동 500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흥덕구</t>
        </is>
      </c>
      <c r="AE324" s="0" t="inlineStr">
        <is>
          <t>강서동</t>
        </is>
      </c>
      <c r="AG324" s="0" t="inlineStr">
        <is>
          <t>충청북도 청주시 흥덕구 서현중로 60-1</t>
        </is>
      </c>
      <c r="AH324" s="0" t="n">
        <v>0</v>
      </c>
      <c r="AI324" s="0" t="n">
        <v>571</v>
      </c>
      <c r="AJ324" s="0" t="n">
        <v>69</v>
      </c>
      <c r="AK324" s="0" t="n">
        <v>64</v>
      </c>
      <c r="AL324" s="0" t="n">
        <v>0.57</v>
      </c>
    </row>
    <row r="325">
      <c r="A325" s="0" t="inlineStr">
        <is>
          <t>[강서동]</t>
        </is>
      </c>
      <c r="B325" s="0" t="n">
        <v>111589</v>
      </c>
      <c r="C325" s="0" t="n">
        <v>15</v>
      </c>
      <c r="D325" s="0" t="inlineStr">
        <is>
          <t>미소랑2차(도시형)</t>
        </is>
      </c>
      <c r="E325" s="0" t="inlineStr">
        <is>
          <t>2015.12.</t>
        </is>
      </c>
      <c r="F325" s="0" t="n">
        <v>112</v>
      </c>
      <c r="G325" s="0" t="n">
        <v>19.9</v>
      </c>
      <c r="H325" s="0" t="n">
        <v>65.81</v>
      </c>
      <c r="I325" s="0" t="n">
        <v>14.66</v>
      </c>
      <c r="J325" s="0" t="n">
        <v>48.49</v>
      </c>
      <c r="K325" s="0" t="n">
        <v>1</v>
      </c>
      <c r="T325" s="0" t="n">
        <v>1</v>
      </c>
      <c r="U325" s="0" t="n">
        <v>1</v>
      </c>
      <c r="V325" s="0" t="inlineStr">
        <is>
          <t>계단식</t>
        </is>
      </c>
      <c r="W325" s="0" t="inlineStr">
        <is>
          <t>65C</t>
        </is>
      </c>
      <c r="X325" s="0" t="n">
        <v>13</v>
      </c>
      <c r="Y325" s="0" t="n">
        <v>11</v>
      </c>
      <c r="Z325" s="0" t="inlineStr">
        <is>
          <t>https://new.land.naver.com/complexes/111589?tab=detail&amp;rf=Y</t>
        </is>
      </c>
      <c r="AA325" s="0" t="inlineStr">
        <is>
          <t>충청북도 청주시 흥덕구 강서동 500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흥덕구</t>
        </is>
      </c>
      <c r="AE325" s="0" t="inlineStr">
        <is>
          <t>강서동</t>
        </is>
      </c>
      <c r="AG325" s="0" t="inlineStr">
        <is>
          <t>충청북도 청주시 흥덕구 서현중로 60-1</t>
        </is>
      </c>
      <c r="AH325" s="0" t="n">
        <v>0</v>
      </c>
      <c r="AI325" s="0" t="n">
        <v>571</v>
      </c>
      <c r="AJ325" s="0" t="n">
        <v>69</v>
      </c>
      <c r="AK325" s="0" t="n">
        <v>64</v>
      </c>
      <c r="AL325" s="0" t="n">
        <v>0.57</v>
      </c>
    </row>
    <row r="326">
      <c r="A326" s="0" t="inlineStr">
        <is>
          <t>[강서동]</t>
        </is>
      </c>
      <c r="B326" s="0" t="n">
        <v>111589</v>
      </c>
      <c r="C326" s="0" t="n">
        <v>16</v>
      </c>
      <c r="D326" s="0" t="inlineStr">
        <is>
          <t>미소랑2차(도시형)</t>
        </is>
      </c>
      <c r="E326" s="0" t="inlineStr">
        <is>
          <t>2015.12.</t>
        </is>
      </c>
      <c r="F326" s="0" t="n">
        <v>112</v>
      </c>
      <c r="G326" s="0" t="n">
        <v>20.06</v>
      </c>
      <c r="H326" s="0" t="n">
        <v>66.31999999999999</v>
      </c>
      <c r="I326" s="0" t="n">
        <v>14.77</v>
      </c>
      <c r="J326" s="0" t="n">
        <v>48.85</v>
      </c>
      <c r="K326" s="0" t="n">
        <v>1</v>
      </c>
      <c r="T326" s="0" t="n">
        <v>1</v>
      </c>
      <c r="U326" s="0" t="n">
        <v>1</v>
      </c>
      <c r="V326" s="0" t="inlineStr">
        <is>
          <t>계단식</t>
        </is>
      </c>
      <c r="W326" s="0" t="inlineStr">
        <is>
          <t>66D</t>
        </is>
      </c>
      <c r="X326" s="0" t="n">
        <v>13</v>
      </c>
      <c r="Y326" s="0" t="n">
        <v>11</v>
      </c>
      <c r="Z326" s="0" t="inlineStr">
        <is>
          <t>https://new.land.naver.com/complexes/111589?tab=detail&amp;rf=Y</t>
        </is>
      </c>
      <c r="AA326" s="0" t="inlineStr">
        <is>
          <t>충청북도 청주시 흥덕구 강서동 500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흥덕구</t>
        </is>
      </c>
      <c r="AE326" s="0" t="inlineStr">
        <is>
          <t>강서동</t>
        </is>
      </c>
      <c r="AG326" s="0" t="inlineStr">
        <is>
          <t>충청북도 청주시 흥덕구 서현중로 60-1</t>
        </is>
      </c>
      <c r="AH326" s="0" t="n">
        <v>0</v>
      </c>
      <c r="AI326" s="0" t="n">
        <v>571</v>
      </c>
      <c r="AJ326" s="0" t="n">
        <v>69</v>
      </c>
      <c r="AK326" s="0" t="n">
        <v>64</v>
      </c>
      <c r="AL326" s="0" t="n">
        <v>0.57</v>
      </c>
    </row>
    <row r="327">
      <c r="A327" s="0" t="inlineStr">
        <is>
          <t>[강서동]</t>
        </is>
      </c>
      <c r="B327" s="0" t="n">
        <v>111589</v>
      </c>
      <c r="C327" s="0" t="n">
        <v>17</v>
      </c>
      <c r="D327" s="0" t="inlineStr">
        <is>
          <t>미소랑2차(도시형)</t>
        </is>
      </c>
      <c r="E327" s="0" t="inlineStr">
        <is>
          <t>2015.12.</t>
        </is>
      </c>
      <c r="F327" s="0" t="n">
        <v>112</v>
      </c>
      <c r="G327" s="0" t="n">
        <v>20.43</v>
      </c>
      <c r="H327" s="0" t="n">
        <v>67.55</v>
      </c>
      <c r="I327" s="0" t="n">
        <v>15.05</v>
      </c>
      <c r="J327" s="0" t="n">
        <v>49.77</v>
      </c>
      <c r="K327" s="0" t="n">
        <v>16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67F</t>
        </is>
      </c>
      <c r="X327" s="0" t="n">
        <v>13</v>
      </c>
      <c r="Y327" s="0" t="n">
        <v>11</v>
      </c>
      <c r="Z327" s="0" t="inlineStr">
        <is>
          <t>https://new.land.naver.com/complexes/111589?tab=detail&amp;rf=Y</t>
        </is>
      </c>
      <c r="AA327" s="0" t="inlineStr">
        <is>
          <t>충청북도 청주시 흥덕구 강서동 500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흥덕구</t>
        </is>
      </c>
      <c r="AE327" s="0" t="inlineStr">
        <is>
          <t>강서동</t>
        </is>
      </c>
      <c r="AG327" s="0" t="inlineStr">
        <is>
          <t>충청북도 청주시 흥덕구 서현중로 60-1</t>
        </is>
      </c>
      <c r="AH327" s="0" t="n">
        <v>0</v>
      </c>
      <c r="AI327" s="0" t="n">
        <v>571</v>
      </c>
      <c r="AJ327" s="0" t="n">
        <v>69</v>
      </c>
      <c r="AK327" s="0" t="n">
        <v>64</v>
      </c>
      <c r="AL327" s="0" t="n">
        <v>0.57</v>
      </c>
    </row>
    <row r="328">
      <c r="A328" s="0" t="inlineStr">
        <is>
          <t>[강서동]</t>
        </is>
      </c>
      <c r="B328" s="0" t="n">
        <v>111589</v>
      </c>
      <c r="C328" s="0" t="n">
        <v>18</v>
      </c>
      <c r="D328" s="0" t="inlineStr">
        <is>
          <t>미소랑2차(도시형)</t>
        </is>
      </c>
      <c r="E328" s="0" t="inlineStr">
        <is>
          <t>2015.12.</t>
        </is>
      </c>
      <c r="F328" s="0" t="n">
        <v>112</v>
      </c>
      <c r="G328" s="0" t="n">
        <v>20.49</v>
      </c>
      <c r="H328" s="0" t="n">
        <v>67.75</v>
      </c>
      <c r="I328" s="0" t="n">
        <v>15.1</v>
      </c>
      <c r="J328" s="0" t="n">
        <v>49.92</v>
      </c>
      <c r="K328" s="0" t="n">
        <v>1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67A</t>
        </is>
      </c>
      <c r="X328" s="0" t="n">
        <v>13</v>
      </c>
      <c r="Y328" s="0" t="n">
        <v>11</v>
      </c>
      <c r="Z328" s="0" t="inlineStr">
        <is>
          <t>https://new.land.naver.com/complexes/111589?tab=detail&amp;rf=Y</t>
        </is>
      </c>
      <c r="AA328" s="0" t="inlineStr">
        <is>
          <t>충청북도 청주시 흥덕구 강서동 500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흥덕구</t>
        </is>
      </c>
      <c r="AE328" s="0" t="inlineStr">
        <is>
          <t>강서동</t>
        </is>
      </c>
      <c r="AG328" s="0" t="inlineStr">
        <is>
          <t>충청북도 청주시 흥덕구 서현중로 60-1</t>
        </is>
      </c>
      <c r="AH328" s="0" t="n">
        <v>0</v>
      </c>
      <c r="AI328" s="0" t="n">
        <v>571</v>
      </c>
      <c r="AJ328" s="0" t="n">
        <v>69</v>
      </c>
      <c r="AK328" s="0" t="n">
        <v>64</v>
      </c>
      <c r="AL328" s="0" t="n">
        <v>0.57</v>
      </c>
    </row>
    <row r="329">
      <c r="A329" s="0" t="inlineStr">
        <is>
          <t>[강서동]</t>
        </is>
      </c>
      <c r="B329" s="0" t="n">
        <v>111589</v>
      </c>
      <c r="C329" s="0" t="n">
        <v>19</v>
      </c>
      <c r="D329" s="0" t="inlineStr">
        <is>
          <t>미소랑2차(도시형)</t>
        </is>
      </c>
      <c r="E329" s="0" t="inlineStr">
        <is>
          <t>2015.12.</t>
        </is>
      </c>
      <c r="F329" s="0" t="n">
        <v>112</v>
      </c>
      <c r="G329" s="0" t="n">
        <v>20.5</v>
      </c>
      <c r="H329" s="0" t="n">
        <v>67.78</v>
      </c>
      <c r="I329" s="0" t="n">
        <v>15.1</v>
      </c>
      <c r="J329" s="0" t="n">
        <v>49.94</v>
      </c>
      <c r="K329" s="0" t="n">
        <v>1</v>
      </c>
      <c r="T329" s="0" t="n">
        <v>1</v>
      </c>
      <c r="U329" s="0" t="n">
        <v>1</v>
      </c>
      <c r="V329" s="0" t="inlineStr">
        <is>
          <t>계단식</t>
        </is>
      </c>
      <c r="W329" s="0" t="inlineStr">
        <is>
          <t>67B</t>
        </is>
      </c>
      <c r="X329" s="0" t="n">
        <v>13</v>
      </c>
      <c r="Y329" s="0" t="n">
        <v>11</v>
      </c>
      <c r="Z329" s="0" t="inlineStr">
        <is>
          <t>https://new.land.naver.com/complexes/111589?tab=detail&amp;rf=Y</t>
        </is>
      </c>
      <c r="AA329" s="0" t="inlineStr">
        <is>
          <t>충청북도 청주시 흥덕구 강서동 500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흥덕구</t>
        </is>
      </c>
      <c r="AE329" s="0" t="inlineStr">
        <is>
          <t>강서동</t>
        </is>
      </c>
      <c r="AG329" s="0" t="inlineStr">
        <is>
          <t>충청북도 청주시 흥덕구 서현중로 60-1</t>
        </is>
      </c>
      <c r="AH329" s="0" t="n">
        <v>0</v>
      </c>
      <c r="AI329" s="0" t="n">
        <v>571</v>
      </c>
      <c r="AJ329" s="0" t="n">
        <v>69</v>
      </c>
      <c r="AK329" s="0" t="n">
        <v>64</v>
      </c>
      <c r="AL329" s="0" t="n">
        <v>0.57</v>
      </c>
    </row>
    <row r="330">
      <c r="A330" s="0" t="inlineStr">
        <is>
          <t>[강서동]</t>
        </is>
      </c>
      <c r="B330" s="0" t="n">
        <v>111589</v>
      </c>
      <c r="C330" s="0" t="n">
        <v>20</v>
      </c>
      <c r="D330" s="0" t="inlineStr">
        <is>
          <t>미소랑2차(도시형)</t>
        </is>
      </c>
      <c r="E330" s="0" t="inlineStr">
        <is>
          <t>2015.12.</t>
        </is>
      </c>
      <c r="F330" s="0" t="n">
        <v>112</v>
      </c>
      <c r="G330" s="0" t="n">
        <v>20.4</v>
      </c>
      <c r="H330" s="0" t="n">
        <v>67.44</v>
      </c>
      <c r="I330" s="0" t="n">
        <v>15.03</v>
      </c>
      <c r="J330" s="0" t="n">
        <v>49.69</v>
      </c>
      <c r="K330" s="0" t="n">
        <v>1</v>
      </c>
      <c r="T330" s="0" t="n">
        <v>1</v>
      </c>
      <c r="U330" s="0" t="n">
        <v>1</v>
      </c>
      <c r="V330" s="0" t="inlineStr">
        <is>
          <t>계단식</t>
        </is>
      </c>
      <c r="W330" s="0" t="inlineStr">
        <is>
          <t>67E</t>
        </is>
      </c>
      <c r="X330" s="0" t="n">
        <v>13</v>
      </c>
      <c r="Y330" s="0" t="n">
        <v>11</v>
      </c>
      <c r="Z330" s="0" t="inlineStr">
        <is>
          <t>https://new.land.naver.com/complexes/111589?tab=detail&amp;rf=Y</t>
        </is>
      </c>
      <c r="AA330" s="0" t="inlineStr">
        <is>
          <t>충청북도 청주시 흥덕구 강서동 500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흥덕구</t>
        </is>
      </c>
      <c r="AE330" s="0" t="inlineStr">
        <is>
          <t>강서동</t>
        </is>
      </c>
      <c r="AG330" s="0" t="inlineStr">
        <is>
          <t>충청북도 청주시 흥덕구 서현중로 60-1</t>
        </is>
      </c>
      <c r="AH330" s="0" t="n">
        <v>0</v>
      </c>
      <c r="AI330" s="0" t="n">
        <v>571</v>
      </c>
      <c r="AJ330" s="0" t="n">
        <v>69</v>
      </c>
      <c r="AK330" s="0" t="n">
        <v>64</v>
      </c>
      <c r="AL330" s="0" t="n">
        <v>0.57</v>
      </c>
    </row>
    <row r="331">
      <c r="A331" s="0" t="inlineStr">
        <is>
          <t>[문암동]</t>
        </is>
      </c>
      <c r="B331" s="0" t="n">
        <v>127720</v>
      </c>
      <c r="C331" s="0" t="n">
        <v>1</v>
      </c>
      <c r="D331" s="0" t="inlineStr">
        <is>
          <t>청주테크노폴리스지웰푸르지오</t>
        </is>
      </c>
      <c r="E331" s="0" t="inlineStr">
        <is>
          <t>2022.05.</t>
        </is>
      </c>
      <c r="F331" s="0" t="n">
        <v>1148</v>
      </c>
      <c r="G331" s="0" t="n">
        <v>23.91</v>
      </c>
      <c r="H331" s="0" t="n">
        <v>79.05</v>
      </c>
      <c r="I331" s="0" t="n">
        <v>18.14</v>
      </c>
      <c r="J331" s="0" t="n">
        <v>59.97</v>
      </c>
      <c r="K331" s="0" t="n">
        <v>246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79A</t>
        </is>
      </c>
      <c r="X331" s="0" t="n">
        <v>29</v>
      </c>
      <c r="Y331" s="0" t="n">
        <v>16</v>
      </c>
      <c r="Z331" s="0" t="inlineStr">
        <is>
          <t>https://new.land.naver.com/complexes/127720?tab=detail&amp;rf=Y</t>
        </is>
      </c>
      <c r="AA331" s="0" t="inlineStr">
        <is>
          <t>충청북도 청주시 흥덕구 문암동 청주테크노폴리스 일반산업단지 A6BL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흥덕구</t>
        </is>
      </c>
      <c r="AE331" s="0" t="inlineStr">
        <is>
          <t>문암동</t>
        </is>
      </c>
      <c r="AG331" s="0" t="inlineStr">
        <is>
          <t>충청북도 청주시 흥덕구</t>
        </is>
      </c>
      <c r="AH331" s="0" t="n">
        <v>0</v>
      </c>
      <c r="AI331" s="0" t="n">
        <v>0</v>
      </c>
      <c r="AJ331" s="0" t="n">
        <v>0</v>
      </c>
      <c r="AK331" s="0" t="n">
        <v>1520</v>
      </c>
      <c r="AL331" s="0" t="n">
        <v>1.32</v>
      </c>
    </row>
    <row r="332">
      <c r="A332" s="0" t="inlineStr">
        <is>
          <t>[문암동]</t>
        </is>
      </c>
      <c r="B332" s="0" t="n">
        <v>127720</v>
      </c>
      <c r="C332" s="0" t="n">
        <v>2</v>
      </c>
      <c r="D332" s="0" t="inlineStr">
        <is>
          <t>청주테크노폴리스지웰푸르지오</t>
        </is>
      </c>
      <c r="E332" s="0" t="inlineStr">
        <is>
          <t>2022.05.</t>
        </is>
      </c>
      <c r="F332" s="0" t="n">
        <v>1148</v>
      </c>
      <c r="G332" s="0" t="n">
        <v>23.98</v>
      </c>
      <c r="H332" s="0" t="n">
        <v>79.29000000000001</v>
      </c>
      <c r="I332" s="0" t="n">
        <v>18.11</v>
      </c>
      <c r="J332" s="0" t="n">
        <v>59.88</v>
      </c>
      <c r="K332" s="0" t="n">
        <v>154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79B</t>
        </is>
      </c>
      <c r="X332" s="0" t="n">
        <v>29</v>
      </c>
      <c r="Y332" s="0" t="n">
        <v>16</v>
      </c>
      <c r="Z332" s="0" t="inlineStr">
        <is>
          <t>https://new.land.naver.com/complexes/127720?tab=detail&amp;rf=Y</t>
        </is>
      </c>
      <c r="AA332" s="0" t="inlineStr">
        <is>
          <t>충청북도 청주시 흥덕구 문암동 청주테크노폴리스 일반산업단지 A6BL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흥덕구</t>
        </is>
      </c>
      <c r="AE332" s="0" t="inlineStr">
        <is>
          <t>문암동</t>
        </is>
      </c>
      <c r="AG332" s="0" t="inlineStr">
        <is>
          <t>충청북도 청주시 흥덕구</t>
        </is>
      </c>
      <c r="AH332" s="0" t="n">
        <v>0</v>
      </c>
      <c r="AI332" s="0" t="n">
        <v>0</v>
      </c>
      <c r="AJ332" s="0" t="n">
        <v>0</v>
      </c>
      <c r="AK332" s="0" t="n">
        <v>1520</v>
      </c>
      <c r="AL332" s="0" t="n">
        <v>1.32</v>
      </c>
    </row>
    <row r="333">
      <c r="A333" s="0" t="inlineStr">
        <is>
          <t>[문암동]</t>
        </is>
      </c>
      <c r="B333" s="0" t="n">
        <v>127720</v>
      </c>
      <c r="C333" s="0" t="n">
        <v>3</v>
      </c>
      <c r="D333" s="0" t="inlineStr">
        <is>
          <t>청주테크노폴리스지웰푸르지오</t>
        </is>
      </c>
      <c r="E333" s="0" t="inlineStr">
        <is>
          <t>2022.05.</t>
        </is>
      </c>
      <c r="F333" s="0" t="n">
        <v>1148</v>
      </c>
      <c r="G333" s="0" t="n">
        <v>33.56</v>
      </c>
      <c r="H333" s="0" t="n">
        <v>110.96</v>
      </c>
      <c r="I333" s="0" t="n">
        <v>25.7</v>
      </c>
      <c r="J333" s="0" t="n">
        <v>84.95999999999999</v>
      </c>
      <c r="K333" s="0" t="n">
        <v>573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110A</t>
        </is>
      </c>
      <c r="X333" s="0" t="n">
        <v>29</v>
      </c>
      <c r="Y333" s="0" t="n">
        <v>16</v>
      </c>
      <c r="Z333" s="0" t="inlineStr">
        <is>
          <t>https://new.land.naver.com/complexes/127720?tab=detail&amp;rf=Y</t>
        </is>
      </c>
      <c r="AA333" s="0" t="inlineStr">
        <is>
          <t>충청북도 청주시 흥덕구 문암동 청주테크노폴리스 일반산업단지 A6BL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흥덕구</t>
        </is>
      </c>
      <c r="AE333" s="0" t="inlineStr">
        <is>
          <t>문암동</t>
        </is>
      </c>
      <c r="AG333" s="0" t="inlineStr">
        <is>
          <t>충청북도 청주시 흥덕구</t>
        </is>
      </c>
      <c r="AH333" s="0" t="n">
        <v>0</v>
      </c>
      <c r="AI333" s="0" t="n">
        <v>0</v>
      </c>
      <c r="AJ333" s="0" t="n">
        <v>0</v>
      </c>
      <c r="AK333" s="0" t="n">
        <v>1520</v>
      </c>
      <c r="AL333" s="0" t="n">
        <v>1.32</v>
      </c>
    </row>
    <row r="334">
      <c r="A334" s="0" t="inlineStr">
        <is>
          <t>[문암동]</t>
        </is>
      </c>
      <c r="B334" s="0" t="n">
        <v>127720</v>
      </c>
      <c r="C334" s="0" t="n">
        <v>4</v>
      </c>
      <c r="D334" s="0" t="inlineStr">
        <is>
          <t>청주테크노폴리스지웰푸르지오</t>
        </is>
      </c>
      <c r="E334" s="0" t="inlineStr">
        <is>
          <t>2022.05.</t>
        </is>
      </c>
      <c r="F334" s="0" t="n">
        <v>1148</v>
      </c>
      <c r="G334" s="0" t="n">
        <v>33.46</v>
      </c>
      <c r="H334" s="0" t="n">
        <v>110.64</v>
      </c>
      <c r="I334" s="0" t="n">
        <v>25.65</v>
      </c>
      <c r="J334" s="0" t="n">
        <v>84.81999999999999</v>
      </c>
      <c r="K334" s="0" t="n">
        <v>84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110B</t>
        </is>
      </c>
      <c r="X334" s="0" t="n">
        <v>29</v>
      </c>
      <c r="Y334" s="0" t="n">
        <v>16</v>
      </c>
      <c r="Z334" s="0" t="inlineStr">
        <is>
          <t>https://new.land.naver.com/complexes/127720?tab=detail&amp;rf=Y</t>
        </is>
      </c>
      <c r="AA334" s="0" t="inlineStr">
        <is>
          <t>충청북도 청주시 흥덕구 문암동 청주테크노폴리스 일반산업단지 A6BL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흥덕구</t>
        </is>
      </c>
      <c r="AE334" s="0" t="inlineStr">
        <is>
          <t>문암동</t>
        </is>
      </c>
      <c r="AG334" s="0" t="inlineStr">
        <is>
          <t>충청북도 청주시 흥덕구</t>
        </is>
      </c>
      <c r="AH334" s="0" t="n">
        <v>0</v>
      </c>
      <c r="AI334" s="0" t="n">
        <v>0</v>
      </c>
      <c r="AJ334" s="0" t="n">
        <v>0</v>
      </c>
      <c r="AK334" s="0" t="n">
        <v>1520</v>
      </c>
      <c r="AL334" s="0" t="n">
        <v>1.32</v>
      </c>
    </row>
    <row r="335">
      <c r="A335" s="0" t="inlineStr">
        <is>
          <t>[문암동]</t>
        </is>
      </c>
      <c r="B335" s="0" t="n">
        <v>127720</v>
      </c>
      <c r="C335" s="0" t="n">
        <v>5</v>
      </c>
      <c r="D335" s="0" t="inlineStr">
        <is>
          <t>청주테크노폴리스지웰푸르지오</t>
        </is>
      </c>
      <c r="E335" s="0" t="inlineStr">
        <is>
          <t>2022.05.</t>
        </is>
      </c>
      <c r="F335" s="0" t="n">
        <v>1148</v>
      </c>
      <c r="G335" s="0" t="n">
        <v>39.27</v>
      </c>
      <c r="H335" s="0" t="n">
        <v>129.83</v>
      </c>
      <c r="I335" s="0" t="n">
        <v>30.24</v>
      </c>
      <c r="J335" s="0" t="n">
        <v>99.97</v>
      </c>
      <c r="K335" s="0" t="n">
        <v>91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129</v>
      </c>
      <c r="X335" s="0" t="n">
        <v>29</v>
      </c>
      <c r="Y335" s="0" t="n">
        <v>16</v>
      </c>
      <c r="Z335" s="0" t="inlineStr">
        <is>
          <t>https://new.land.naver.com/complexes/127720?tab=detail&amp;rf=Y</t>
        </is>
      </c>
      <c r="AA335" s="0" t="inlineStr">
        <is>
          <t>충청북도 청주시 흥덕구 문암동 청주테크노폴리스 일반산업단지 A6BL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흥덕구</t>
        </is>
      </c>
      <c r="AE335" s="0" t="inlineStr">
        <is>
          <t>문암동</t>
        </is>
      </c>
      <c r="AG335" s="0" t="inlineStr">
        <is>
          <t>충청북도 청주시 흥덕구</t>
        </is>
      </c>
      <c r="AH335" s="0" t="n">
        <v>0</v>
      </c>
      <c r="AI335" s="0" t="n">
        <v>0</v>
      </c>
      <c r="AJ335" s="0" t="n">
        <v>0</v>
      </c>
      <c r="AK335" s="0" t="n">
        <v>1520</v>
      </c>
      <c r="AL335" s="0" t="n">
        <v>1.32</v>
      </c>
    </row>
    <row r="336">
      <c r="A336" s="0" t="inlineStr">
        <is>
          <t>[복대동]</t>
        </is>
      </c>
      <c r="B336" s="0" t="n">
        <v>22481</v>
      </c>
      <c r="C336" s="0" t="n">
        <v>1</v>
      </c>
      <c r="D336" s="0" t="inlineStr">
        <is>
          <t>형석(2442)</t>
        </is>
      </c>
      <c r="E336" s="0" t="inlineStr">
        <is>
          <t>1990.10.</t>
        </is>
      </c>
      <c r="F336" s="0" t="n">
        <v>270</v>
      </c>
      <c r="G336" s="0" t="n">
        <v>18.59</v>
      </c>
      <c r="H336" s="0" t="n">
        <v>61.46</v>
      </c>
      <c r="I336" s="0" t="n">
        <v>14.23</v>
      </c>
      <c r="J336" s="0" t="n">
        <v>47.07</v>
      </c>
      <c r="K336" s="0" t="n">
        <v>200</v>
      </c>
      <c r="T336" s="0" t="n">
        <v>2</v>
      </c>
      <c r="U336" s="0" t="n">
        <v>1</v>
      </c>
      <c r="V336" s="0" t="inlineStr">
        <is>
          <t>계단식</t>
        </is>
      </c>
      <c r="W336" s="0" t="n">
        <v>61</v>
      </c>
      <c r="X336" s="0" t="n">
        <v>5</v>
      </c>
      <c r="Y336" s="0" t="n">
        <v>5</v>
      </c>
      <c r="Z336" s="0" t="inlineStr">
        <is>
          <t>https://new.land.naver.com/complexes/22481?tab=detail&amp;rf=Y</t>
        </is>
      </c>
      <c r="AA336" s="0" t="inlineStr">
        <is>
          <t>충청북도 청주시 흥덕구 복대동 2442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흥덕구</t>
        </is>
      </c>
      <c r="AE336" s="0" t="inlineStr">
        <is>
          <t>복대동</t>
        </is>
      </c>
      <c r="AG336" s="0" t="inlineStr">
        <is>
          <t>충청북도 청주시 흥덕구 장구봉로101번길 27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[복대동]</t>
        </is>
      </c>
      <c r="B337" s="0" t="n">
        <v>22481</v>
      </c>
      <c r="C337" s="0" t="n">
        <v>2</v>
      </c>
      <c r="D337" s="0" t="inlineStr">
        <is>
          <t>형석(2442)</t>
        </is>
      </c>
      <c r="E337" s="0" t="inlineStr">
        <is>
          <t>1990.10.</t>
        </is>
      </c>
      <c r="F337" s="0" t="n">
        <v>270</v>
      </c>
      <c r="G337" s="0" t="n">
        <v>22.07</v>
      </c>
      <c r="H337" s="0" t="n">
        <v>72.98999999999999</v>
      </c>
      <c r="I337" s="0" t="n">
        <v>17.33</v>
      </c>
      <c r="J337" s="0" t="n">
        <v>57.29</v>
      </c>
      <c r="K337" s="0" t="n">
        <v>70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72</v>
      </c>
      <c r="X337" s="0" t="n">
        <v>5</v>
      </c>
      <c r="Y337" s="0" t="n">
        <v>5</v>
      </c>
      <c r="Z337" s="0" t="inlineStr">
        <is>
          <t>https://new.land.naver.com/complexes/22481?tab=detail&amp;rf=Y</t>
        </is>
      </c>
      <c r="AA337" s="0" t="inlineStr">
        <is>
          <t>충청북도 청주시 흥덕구 복대동 2442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흥덕구</t>
        </is>
      </c>
      <c r="AE337" s="0" t="inlineStr">
        <is>
          <t>복대동</t>
        </is>
      </c>
      <c r="AG337" s="0" t="inlineStr">
        <is>
          <t>충청북도 청주시 흥덕구 장구봉로101번길 27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[복대동]</t>
        </is>
      </c>
      <c r="B338" s="0" t="n">
        <v>7324</v>
      </c>
      <c r="C338" s="0" t="n">
        <v>1</v>
      </c>
      <c r="D338" s="0" t="inlineStr">
        <is>
          <t>삼일(2008)</t>
        </is>
      </c>
      <c r="E338" s="0" t="inlineStr">
        <is>
          <t>1990.09.</t>
        </is>
      </c>
      <c r="F338" s="0" t="n">
        <v>230</v>
      </c>
      <c r="G338" s="0" t="n">
        <v>27.65</v>
      </c>
      <c r="H338" s="0" t="n">
        <v>91.42</v>
      </c>
      <c r="I338" s="0" t="n">
        <v>21.96</v>
      </c>
      <c r="J338" s="0" t="n">
        <v>72.59999999999999</v>
      </c>
      <c r="K338" s="0" t="n">
        <v>20</v>
      </c>
      <c r="T338" s="0" t="n">
        <v>3</v>
      </c>
      <c r="U338" s="0" t="n">
        <v>1</v>
      </c>
      <c r="V338" s="0" t="inlineStr">
        <is>
          <t>계단식</t>
        </is>
      </c>
      <c r="W338" s="0" t="n">
        <v>91</v>
      </c>
      <c r="X338" s="0" t="n">
        <v>5</v>
      </c>
      <c r="Y338" s="0" t="n">
        <v>5</v>
      </c>
      <c r="Z338" s="0" t="inlineStr">
        <is>
          <t>https://new.land.naver.com/complexes/7324?tab=detail&amp;rf=Y</t>
        </is>
      </c>
      <c r="AA338" s="0" t="inlineStr">
        <is>
          <t>충청북도 청주시 흥덕구 복대동 2008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흥덕구</t>
        </is>
      </c>
      <c r="AE338" s="0" t="inlineStr">
        <is>
          <t>복대동</t>
        </is>
      </c>
      <c r="AG338" s="0" t="inlineStr">
        <is>
          <t>충청북도 청주시 흥덕구 복대로118번길 16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[복대동]</t>
        </is>
      </c>
      <c r="B339" s="0" t="n">
        <v>7324</v>
      </c>
      <c r="C339" s="0" t="n">
        <v>2</v>
      </c>
      <c r="D339" s="0" t="inlineStr">
        <is>
          <t>삼일(2008)</t>
        </is>
      </c>
      <c r="E339" s="0" t="inlineStr">
        <is>
          <t>1990.09.</t>
        </is>
      </c>
      <c r="F339" s="0" t="n">
        <v>230</v>
      </c>
      <c r="G339" s="0" t="n">
        <v>32.04</v>
      </c>
      <c r="H339" s="0" t="n">
        <v>105.93</v>
      </c>
      <c r="I339" s="0" t="n">
        <v>25.44</v>
      </c>
      <c r="J339" s="0" t="n">
        <v>84.12</v>
      </c>
      <c r="K339" s="0" t="n">
        <v>130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105</v>
      </c>
      <c r="X339" s="0" t="n">
        <v>5</v>
      </c>
      <c r="Y339" s="0" t="n">
        <v>5</v>
      </c>
      <c r="Z339" s="0" t="inlineStr">
        <is>
          <t>https://new.land.naver.com/complexes/7324?tab=detail&amp;rf=Y</t>
        </is>
      </c>
      <c r="AA339" s="0" t="inlineStr">
        <is>
          <t>충청북도 청주시 흥덕구 복대동 2008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흥덕구</t>
        </is>
      </c>
      <c r="AE339" s="0" t="inlineStr">
        <is>
          <t>복대동</t>
        </is>
      </c>
      <c r="AG339" s="0" t="inlineStr">
        <is>
          <t>충청북도 청주시 흥덕구 복대로118번길 16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[복대동]</t>
        </is>
      </c>
      <c r="B340" s="0" t="n">
        <v>7324</v>
      </c>
      <c r="C340" s="0" t="n">
        <v>3</v>
      </c>
      <c r="D340" s="0" t="inlineStr">
        <is>
          <t>삼일(2008)</t>
        </is>
      </c>
      <c r="E340" s="0" t="inlineStr">
        <is>
          <t>1990.09.</t>
        </is>
      </c>
      <c r="F340" s="0" t="n">
        <v>230</v>
      </c>
      <c r="G340" s="0" t="n">
        <v>46.57</v>
      </c>
      <c r="H340" s="0" t="n">
        <v>153.96</v>
      </c>
      <c r="I340" s="0" t="n">
        <v>36.98</v>
      </c>
      <c r="J340" s="0" t="n">
        <v>122.26</v>
      </c>
      <c r="K340" s="0" t="n">
        <v>40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153</v>
      </c>
      <c r="X340" s="0" t="n">
        <v>5</v>
      </c>
      <c r="Y340" s="0" t="n">
        <v>5</v>
      </c>
      <c r="Z340" s="0" t="inlineStr">
        <is>
          <t>https://new.land.naver.com/complexes/7324?tab=detail&amp;rf=Y</t>
        </is>
      </c>
      <c r="AA340" s="0" t="inlineStr">
        <is>
          <t>충청북도 청주시 흥덕구 복대동 2008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흥덕구</t>
        </is>
      </c>
      <c r="AE340" s="0" t="inlineStr">
        <is>
          <t>복대동</t>
        </is>
      </c>
      <c r="AG340" s="0" t="inlineStr">
        <is>
          <t>충청북도 청주시 흥덕구 복대로118번길 16</t>
        </is>
      </c>
      <c r="AH340" s="0" t="n">
        <v>0</v>
      </c>
      <c r="AI340" s="0" t="n">
        <v>0</v>
      </c>
      <c r="AJ340" s="0" t="n">
        <v>0</v>
      </c>
      <c r="AK340" s="0" t="n">
        <v>0</v>
      </c>
      <c r="AL340" s="0" t="n">
        <v>0</v>
      </c>
    </row>
    <row r="341">
      <c r="A341" s="0" t="inlineStr">
        <is>
          <t>[복대동]</t>
        </is>
      </c>
      <c r="B341" s="0" t="n">
        <v>7324</v>
      </c>
      <c r="C341" s="0" t="n">
        <v>4</v>
      </c>
      <c r="D341" s="0" t="inlineStr">
        <is>
          <t>삼일(2008)</t>
        </is>
      </c>
      <c r="E341" s="0" t="inlineStr">
        <is>
          <t>1990.09.</t>
        </is>
      </c>
      <c r="F341" s="0" t="n">
        <v>230</v>
      </c>
      <c r="G341" s="0" t="n">
        <v>46.3</v>
      </c>
      <c r="H341" s="0" t="n">
        <v>153.09</v>
      </c>
      <c r="I341" s="0" t="n">
        <v>36.77</v>
      </c>
      <c r="J341" s="0" t="n">
        <v>121.57</v>
      </c>
      <c r="K341" s="0" t="n">
        <v>20</v>
      </c>
      <c r="T341" s="0" t="n">
        <v>4</v>
      </c>
      <c r="U341" s="0" t="n">
        <v>2</v>
      </c>
      <c r="V341" s="0" t="inlineStr">
        <is>
          <t>복도식</t>
        </is>
      </c>
      <c r="W341" s="0" t="n">
        <v>153</v>
      </c>
      <c r="X341" s="0" t="n">
        <v>5</v>
      </c>
      <c r="Y341" s="0" t="n">
        <v>5</v>
      </c>
      <c r="Z341" s="0" t="inlineStr">
        <is>
          <t>https://new.land.naver.com/complexes/7324?tab=detail&amp;rf=Y</t>
        </is>
      </c>
      <c r="AA341" s="0" t="inlineStr">
        <is>
          <t>충청북도 청주시 흥덕구 복대동 2008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흥덕구</t>
        </is>
      </c>
      <c r="AE341" s="0" t="inlineStr">
        <is>
          <t>복대동</t>
        </is>
      </c>
      <c r="AG341" s="0" t="inlineStr">
        <is>
          <t>충청북도 청주시 흥덕구 복대로118번길 16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[복대동]</t>
        </is>
      </c>
      <c r="B342" s="0" t="n">
        <v>7324</v>
      </c>
      <c r="C342" s="0" t="n">
        <v>5</v>
      </c>
      <c r="D342" s="0" t="inlineStr">
        <is>
          <t>삼일(2008)</t>
        </is>
      </c>
      <c r="E342" s="0" t="inlineStr">
        <is>
          <t>1990.09.</t>
        </is>
      </c>
      <c r="F342" s="0" t="n">
        <v>230</v>
      </c>
      <c r="G342" s="0" t="n">
        <v>50.06</v>
      </c>
      <c r="H342" s="0" t="n">
        <v>165.52</v>
      </c>
      <c r="I342" s="0" t="n">
        <v>39.76</v>
      </c>
      <c r="J342" s="0" t="n">
        <v>131.44</v>
      </c>
      <c r="K342" s="0" t="n">
        <v>20</v>
      </c>
      <c r="T342" s="0" t="n">
        <v>4</v>
      </c>
      <c r="U342" s="0" t="n">
        <v>2</v>
      </c>
      <c r="V342" s="0" t="inlineStr">
        <is>
          <t>계단식</t>
        </is>
      </c>
      <c r="W342" s="0" t="n">
        <v>165</v>
      </c>
      <c r="X342" s="0" t="n">
        <v>5</v>
      </c>
      <c r="Y342" s="0" t="n">
        <v>5</v>
      </c>
      <c r="Z342" s="0" t="inlineStr">
        <is>
          <t>https://new.land.naver.com/complexes/7324?tab=detail&amp;rf=Y</t>
        </is>
      </c>
      <c r="AA342" s="0" t="inlineStr">
        <is>
          <t>충청북도 청주시 흥덕구 복대동 2008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흥덕구</t>
        </is>
      </c>
      <c r="AE342" s="0" t="inlineStr">
        <is>
          <t>복대동</t>
        </is>
      </c>
      <c r="AG342" s="0" t="inlineStr">
        <is>
          <t>충청북도 청주시 흥덕구 복대로118번길 16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[복대동]</t>
        </is>
      </c>
      <c r="B343" s="0" t="n">
        <v>7345</v>
      </c>
      <c r="C343" s="0" t="n">
        <v>1</v>
      </c>
      <c r="D343" s="0" t="inlineStr">
        <is>
          <t>현대1차</t>
        </is>
      </c>
      <c r="E343" s="0" t="inlineStr">
        <is>
          <t>1999.05.</t>
        </is>
      </c>
      <c r="F343" s="0" t="n">
        <v>380</v>
      </c>
      <c r="G343" s="0" t="n">
        <v>30.85</v>
      </c>
      <c r="H343" s="0" t="n">
        <v>102.01</v>
      </c>
      <c r="I343" s="0" t="n">
        <v>25.7</v>
      </c>
      <c r="J343" s="0" t="n">
        <v>84.98999999999999</v>
      </c>
      <c r="K343" s="0" t="n">
        <v>86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102</v>
      </c>
      <c r="X343" s="0" t="n">
        <v>15</v>
      </c>
      <c r="Y343" s="0" t="n">
        <v>11</v>
      </c>
      <c r="Z343" s="0" t="inlineStr">
        <is>
          <t>https://new.land.naver.com/complexes/7345?tab=detail&amp;rf=Y</t>
        </is>
      </c>
      <c r="AA343" s="0" t="inlineStr">
        <is>
          <t>충청북도 청주시 흥덕구 복대동 3098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흥덕구</t>
        </is>
      </c>
      <c r="AE343" s="0" t="inlineStr">
        <is>
          <t>복대동</t>
        </is>
      </c>
      <c r="AG343" s="0" t="inlineStr">
        <is>
          <t>충청북도 청주시 흥덕구 대신로10번길 16-3</t>
        </is>
      </c>
      <c r="AH343" s="0" t="n">
        <v>0</v>
      </c>
      <c r="AI343" s="0" t="n">
        <v>219</v>
      </c>
      <c r="AJ343" s="0" t="n">
        <v>20</v>
      </c>
      <c r="AK343" s="0" t="n">
        <v>547</v>
      </c>
      <c r="AL343" s="0" t="n">
        <v>1.44</v>
      </c>
    </row>
    <row r="344">
      <c r="A344" s="0" t="inlineStr">
        <is>
          <t>[복대동]</t>
        </is>
      </c>
      <c r="B344" s="0" t="n">
        <v>7345</v>
      </c>
      <c r="C344" s="0" t="n">
        <v>2</v>
      </c>
      <c r="D344" s="0" t="inlineStr">
        <is>
          <t>현대1차</t>
        </is>
      </c>
      <c r="E344" s="0" t="inlineStr">
        <is>
          <t>1999.05.</t>
        </is>
      </c>
      <c r="F344" s="0" t="n">
        <v>380</v>
      </c>
      <c r="G344" s="0" t="n">
        <v>32.04</v>
      </c>
      <c r="H344" s="0" t="n">
        <v>105.93</v>
      </c>
      <c r="I344" s="0" t="n">
        <v>26.24</v>
      </c>
      <c r="J344" s="0" t="n">
        <v>86.75</v>
      </c>
      <c r="K344" s="0" t="n">
        <v>4</v>
      </c>
      <c r="T344" s="0" t="n">
        <v>2</v>
      </c>
      <c r="U344" s="0" t="n">
        <v>2</v>
      </c>
      <c r="V344" s="0" t="inlineStr">
        <is>
          <t>계단식</t>
        </is>
      </c>
      <c r="W344" s="0" t="n">
        <v>105</v>
      </c>
      <c r="X344" s="0" t="n">
        <v>15</v>
      </c>
      <c r="Y344" s="0" t="n">
        <v>11</v>
      </c>
      <c r="Z344" s="0" t="inlineStr">
        <is>
          <t>https://new.land.naver.com/complexes/7345?tab=detail&amp;rf=Y</t>
        </is>
      </c>
      <c r="AA344" s="0" t="inlineStr">
        <is>
          <t>충청북도 청주시 흥덕구 복대동 3098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흥덕구</t>
        </is>
      </c>
      <c r="AE344" s="0" t="inlineStr">
        <is>
          <t>복대동</t>
        </is>
      </c>
      <c r="AG344" s="0" t="inlineStr">
        <is>
          <t>충청북도 청주시 흥덕구 대신로10번길 16-3</t>
        </is>
      </c>
      <c r="AH344" s="0" t="n">
        <v>0</v>
      </c>
      <c r="AI344" s="0" t="n">
        <v>219</v>
      </c>
      <c r="AJ344" s="0" t="n">
        <v>20</v>
      </c>
      <c r="AK344" s="0" t="n">
        <v>547</v>
      </c>
      <c r="AL344" s="0" t="n">
        <v>1.44</v>
      </c>
    </row>
    <row r="345">
      <c r="A345" s="0" t="inlineStr">
        <is>
          <t>[복대동]</t>
        </is>
      </c>
      <c r="B345" s="0" t="n">
        <v>7345</v>
      </c>
      <c r="C345" s="0" t="n">
        <v>3</v>
      </c>
      <c r="D345" s="0" t="inlineStr">
        <is>
          <t>현대1차</t>
        </is>
      </c>
      <c r="E345" s="0" t="inlineStr">
        <is>
          <t>1999.05.</t>
        </is>
      </c>
      <c r="F345" s="0" t="n">
        <v>380</v>
      </c>
      <c r="G345" s="0" t="n">
        <v>36.21</v>
      </c>
      <c r="H345" s="0" t="n">
        <v>119.71</v>
      </c>
      <c r="I345" s="0" t="n">
        <v>30.18</v>
      </c>
      <c r="J345" s="0" t="n">
        <v>99.78</v>
      </c>
      <c r="K345" s="0" t="n">
        <v>60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119</v>
      </c>
      <c r="X345" s="0" t="n">
        <v>15</v>
      </c>
      <c r="Y345" s="0" t="n">
        <v>11</v>
      </c>
      <c r="Z345" s="0" t="inlineStr">
        <is>
          <t>https://new.land.naver.com/complexes/7345?tab=detail&amp;rf=Y</t>
        </is>
      </c>
      <c r="AA345" s="0" t="inlineStr">
        <is>
          <t>충청북도 청주시 흥덕구 복대동 3098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흥덕구</t>
        </is>
      </c>
      <c r="AE345" s="0" t="inlineStr">
        <is>
          <t>복대동</t>
        </is>
      </c>
      <c r="AG345" s="0" t="inlineStr">
        <is>
          <t>충청북도 청주시 흥덕구 대신로10번길 16-3</t>
        </is>
      </c>
      <c r="AH345" s="0" t="n">
        <v>0</v>
      </c>
      <c r="AI345" s="0" t="n">
        <v>219</v>
      </c>
      <c r="AJ345" s="0" t="n">
        <v>20</v>
      </c>
      <c r="AK345" s="0" t="n">
        <v>547</v>
      </c>
      <c r="AL345" s="0" t="n">
        <v>1.44</v>
      </c>
    </row>
    <row r="346">
      <c r="A346" s="0" t="inlineStr">
        <is>
          <t>[복대동]</t>
        </is>
      </c>
      <c r="B346" s="0" t="n">
        <v>7345</v>
      </c>
      <c r="C346" s="0" t="n">
        <v>4</v>
      </c>
      <c r="D346" s="0" t="inlineStr">
        <is>
          <t>현대1차</t>
        </is>
      </c>
      <c r="E346" s="0" t="inlineStr">
        <is>
          <t>1999.05.</t>
        </is>
      </c>
      <c r="F346" s="0" t="n">
        <v>380</v>
      </c>
      <c r="G346" s="0" t="n">
        <v>36.69</v>
      </c>
      <c r="H346" s="0" t="n">
        <v>121.29</v>
      </c>
      <c r="I346" s="0" t="n">
        <v>30.04</v>
      </c>
      <c r="J346" s="0" t="n">
        <v>99.33</v>
      </c>
      <c r="K346" s="0" t="n">
        <v>110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121</v>
      </c>
      <c r="X346" s="0" t="n">
        <v>15</v>
      </c>
      <c r="Y346" s="0" t="n">
        <v>11</v>
      </c>
      <c r="Z346" s="0" t="inlineStr">
        <is>
          <t>https://new.land.naver.com/complexes/7345?tab=detail&amp;rf=Y</t>
        </is>
      </c>
      <c r="AA346" s="0" t="inlineStr">
        <is>
          <t>충청북도 청주시 흥덕구 복대동 3098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흥덕구</t>
        </is>
      </c>
      <c r="AE346" s="0" t="inlineStr">
        <is>
          <t>복대동</t>
        </is>
      </c>
      <c r="AG346" s="0" t="inlineStr">
        <is>
          <t>충청북도 청주시 흥덕구 대신로10번길 16-3</t>
        </is>
      </c>
      <c r="AH346" s="0" t="n">
        <v>0</v>
      </c>
      <c r="AI346" s="0" t="n">
        <v>219</v>
      </c>
      <c r="AJ346" s="0" t="n">
        <v>20</v>
      </c>
      <c r="AK346" s="0" t="n">
        <v>547</v>
      </c>
      <c r="AL346" s="0" t="n">
        <v>1.44</v>
      </c>
    </row>
    <row r="347">
      <c r="A347" s="0" t="inlineStr">
        <is>
          <t>[복대동]</t>
        </is>
      </c>
      <c r="B347" s="0" t="n">
        <v>7345</v>
      </c>
      <c r="C347" s="0" t="n">
        <v>5</v>
      </c>
      <c r="D347" s="0" t="inlineStr">
        <is>
          <t>현대1차</t>
        </is>
      </c>
      <c r="E347" s="0" t="inlineStr">
        <is>
          <t>1999.05.</t>
        </is>
      </c>
      <c r="F347" s="0" t="n">
        <v>380</v>
      </c>
      <c r="G347" s="0" t="n">
        <v>48.74</v>
      </c>
      <c r="H347" s="0" t="n">
        <v>161.13</v>
      </c>
      <c r="I347" s="0" t="n">
        <v>40.6</v>
      </c>
      <c r="J347" s="0" t="n">
        <v>134.24</v>
      </c>
      <c r="K347" s="0" t="n">
        <v>90</v>
      </c>
      <c r="T347" s="0" t="n">
        <v>4</v>
      </c>
      <c r="U347" s="0" t="n">
        <v>2</v>
      </c>
      <c r="V347" s="0" t="inlineStr">
        <is>
          <t>계단식</t>
        </is>
      </c>
      <c r="W347" s="0" t="n">
        <v>161</v>
      </c>
      <c r="X347" s="0" t="n">
        <v>15</v>
      </c>
      <c r="Y347" s="0" t="n">
        <v>11</v>
      </c>
      <c r="Z347" s="0" t="inlineStr">
        <is>
          <t>https://new.land.naver.com/complexes/7345?tab=detail&amp;rf=Y</t>
        </is>
      </c>
      <c r="AA347" s="0" t="inlineStr">
        <is>
          <t>충청북도 청주시 흥덕구 복대동 3098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흥덕구</t>
        </is>
      </c>
      <c r="AE347" s="0" t="inlineStr">
        <is>
          <t>복대동</t>
        </is>
      </c>
      <c r="AG347" s="0" t="inlineStr">
        <is>
          <t>충청북도 청주시 흥덕구 대신로10번길 16-3</t>
        </is>
      </c>
      <c r="AH347" s="0" t="n">
        <v>0</v>
      </c>
      <c r="AI347" s="0" t="n">
        <v>219</v>
      </c>
      <c r="AJ347" s="0" t="n">
        <v>20</v>
      </c>
      <c r="AK347" s="0" t="n">
        <v>547</v>
      </c>
      <c r="AL347" s="0" t="n">
        <v>1.44</v>
      </c>
    </row>
    <row r="348">
      <c r="A348" s="0" t="inlineStr">
        <is>
          <t>[복대동]</t>
        </is>
      </c>
      <c r="B348" s="0" t="n">
        <v>7345</v>
      </c>
      <c r="C348" s="0" t="n">
        <v>6</v>
      </c>
      <c r="D348" s="0" t="inlineStr">
        <is>
          <t>현대1차</t>
        </is>
      </c>
      <c r="E348" s="0" t="inlineStr">
        <is>
          <t>1999.05.</t>
        </is>
      </c>
      <c r="F348" s="0" t="n">
        <v>380</v>
      </c>
      <c r="G348" s="0" t="n">
        <v>63.31</v>
      </c>
      <c r="H348" s="0" t="n">
        <v>209.3</v>
      </c>
      <c r="I348" s="0" t="n">
        <v>54.77</v>
      </c>
      <c r="J348" s="0" t="n">
        <v>181.09</v>
      </c>
      <c r="K348" s="0" t="n">
        <v>30</v>
      </c>
      <c r="T348" s="0" t="n">
        <v>5</v>
      </c>
      <c r="U348" s="0" t="n">
        <v>2</v>
      </c>
      <c r="V348" s="0" t="inlineStr">
        <is>
          <t>계단식</t>
        </is>
      </c>
      <c r="W348" s="0" t="n">
        <v>209</v>
      </c>
      <c r="X348" s="0" t="n">
        <v>15</v>
      </c>
      <c r="Y348" s="0" t="n">
        <v>11</v>
      </c>
      <c r="Z348" s="0" t="inlineStr">
        <is>
          <t>https://new.land.naver.com/complexes/7345?tab=detail&amp;rf=Y</t>
        </is>
      </c>
      <c r="AA348" s="0" t="inlineStr">
        <is>
          <t>충청북도 청주시 흥덕구 복대동 3098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흥덕구</t>
        </is>
      </c>
      <c r="AE348" s="0" t="inlineStr">
        <is>
          <t>복대동</t>
        </is>
      </c>
      <c r="AG348" s="0" t="inlineStr">
        <is>
          <t>충청북도 청주시 흥덕구 대신로10번길 16-3</t>
        </is>
      </c>
      <c r="AH348" s="0" t="n">
        <v>0</v>
      </c>
      <c r="AI348" s="0" t="n">
        <v>219</v>
      </c>
      <c r="AJ348" s="0" t="n">
        <v>20</v>
      </c>
      <c r="AK348" s="0" t="n">
        <v>547</v>
      </c>
      <c r="AL348" s="0" t="n">
        <v>1.44</v>
      </c>
    </row>
    <row r="349">
      <c r="A349" s="0" t="inlineStr">
        <is>
          <t>[복대동]</t>
        </is>
      </c>
      <c r="B349" s="0" t="n">
        <v>11554</v>
      </c>
      <c r="C349" s="0" t="n">
        <v>1</v>
      </c>
      <c r="D349" s="0" t="inlineStr">
        <is>
          <t>두진하트리움</t>
        </is>
      </c>
      <c r="E349" s="0" t="inlineStr">
        <is>
          <t>1999.08.</t>
        </is>
      </c>
      <c r="F349" s="0" t="n">
        <v>527</v>
      </c>
      <c r="G349" s="0" t="n">
        <v>23.11</v>
      </c>
      <c r="H349" s="0" t="n">
        <v>76.41</v>
      </c>
      <c r="I349" s="0" t="n">
        <v>18.12</v>
      </c>
      <c r="J349" s="0" t="n">
        <v>59.92</v>
      </c>
      <c r="K349" s="0" t="n">
        <v>299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76</v>
      </c>
      <c r="X349" s="0" t="n">
        <v>15</v>
      </c>
      <c r="Y349" s="0" t="n">
        <v>12</v>
      </c>
      <c r="Z349" s="0" t="inlineStr">
        <is>
          <t>https://new.land.naver.com/complexes/11554?tab=detail&amp;rf=Y</t>
        </is>
      </c>
      <c r="AA349" s="0" t="inlineStr">
        <is>
          <t>충청북도 청주시 흥덕구 복대동 2459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흥덕구</t>
        </is>
      </c>
      <c r="AE349" s="0" t="inlineStr">
        <is>
          <t>복대동</t>
        </is>
      </c>
      <c r="AG349" s="0" t="inlineStr">
        <is>
          <t>충청북도 청주시 흥덕구 증안로 33</t>
        </is>
      </c>
      <c r="AH349" s="0" t="n">
        <v>0</v>
      </c>
      <c r="AI349" s="0" t="n">
        <v>209</v>
      </c>
      <c r="AJ349" s="0" t="n">
        <v>22</v>
      </c>
      <c r="AK349" s="0" t="n">
        <v>0</v>
      </c>
      <c r="AL349" s="0" t="n">
        <v>0</v>
      </c>
    </row>
    <row r="350">
      <c r="A350" s="0" t="inlineStr">
        <is>
          <t>[복대동]</t>
        </is>
      </c>
      <c r="B350" s="0" t="n">
        <v>11554</v>
      </c>
      <c r="C350" s="0" t="n">
        <v>2</v>
      </c>
      <c r="D350" s="0" t="inlineStr">
        <is>
          <t>두진하트리움</t>
        </is>
      </c>
      <c r="E350" s="0" t="inlineStr">
        <is>
          <t>1999.08.</t>
        </is>
      </c>
      <c r="F350" s="0" t="n">
        <v>527</v>
      </c>
      <c r="G350" s="0" t="n">
        <v>24.5</v>
      </c>
      <c r="H350" s="0" t="n">
        <v>81.02</v>
      </c>
      <c r="I350" s="0" t="n">
        <v>18.12</v>
      </c>
      <c r="J350" s="0" t="n">
        <v>59.92</v>
      </c>
      <c r="K350" s="0" t="n">
        <v>228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81</v>
      </c>
      <c r="X350" s="0" t="n">
        <v>15</v>
      </c>
      <c r="Y350" s="0" t="n">
        <v>12</v>
      </c>
      <c r="Z350" s="0" t="inlineStr">
        <is>
          <t>https://new.land.naver.com/complexes/11554?tab=detail&amp;rf=Y</t>
        </is>
      </c>
      <c r="AA350" s="0" t="inlineStr">
        <is>
          <t>충청북도 청주시 흥덕구 복대동 2459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흥덕구</t>
        </is>
      </c>
      <c r="AE350" s="0" t="inlineStr">
        <is>
          <t>복대동</t>
        </is>
      </c>
      <c r="AG350" s="0" t="inlineStr">
        <is>
          <t>충청북도 청주시 흥덕구 증안로 33</t>
        </is>
      </c>
      <c r="AH350" s="0" t="n">
        <v>0</v>
      </c>
      <c r="AI350" s="0" t="n">
        <v>209</v>
      </c>
      <c r="AJ350" s="0" t="n">
        <v>22</v>
      </c>
      <c r="AK350" s="0" t="n">
        <v>0</v>
      </c>
      <c r="AL350" s="0" t="n">
        <v>0</v>
      </c>
    </row>
    <row r="351">
      <c r="A351" s="0" t="inlineStr">
        <is>
          <t>[복대동]</t>
        </is>
      </c>
      <c r="B351" s="0" t="n">
        <v>27182</v>
      </c>
      <c r="C351" s="0" t="n">
        <v>1</v>
      </c>
      <c r="D351" s="0" t="inlineStr">
        <is>
          <t>신영지웰시티1차</t>
        </is>
      </c>
      <c r="E351" s="0" t="inlineStr">
        <is>
          <t>2010.06.</t>
        </is>
      </c>
      <c r="F351" s="0" t="n">
        <v>2164</v>
      </c>
      <c r="G351" s="0" t="n">
        <v>38.93</v>
      </c>
      <c r="H351" s="0" t="n">
        <v>128.72</v>
      </c>
      <c r="I351" s="0" t="n">
        <v>29.98</v>
      </c>
      <c r="J351" s="0" t="n">
        <v>99.12</v>
      </c>
      <c r="K351" s="0" t="n">
        <v>688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128</v>
      </c>
      <c r="X351" s="0" t="n">
        <v>45</v>
      </c>
      <c r="Y351" s="0" t="n">
        <v>37</v>
      </c>
      <c r="Z351" s="0" t="inlineStr">
        <is>
          <t>https://new.land.naver.com/complexes/27182?tab=detail&amp;rf=Y</t>
        </is>
      </c>
      <c r="AA351" s="0" t="inlineStr">
        <is>
          <t>충청북도 청주시 흥덕구 복대동 3379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흥덕구</t>
        </is>
      </c>
      <c r="AE351" s="0" t="inlineStr">
        <is>
          <t>복대동</t>
        </is>
      </c>
      <c r="AG351" s="0" t="inlineStr">
        <is>
          <t>충청북도 청주시 흥덕구 대농로 17</t>
        </is>
      </c>
      <c r="AH351" s="0" t="n">
        <v>0</v>
      </c>
      <c r="AI351" s="0" t="n">
        <v>582</v>
      </c>
      <c r="AJ351" s="0" t="n">
        <v>30</v>
      </c>
      <c r="AK351" s="0" t="n">
        <v>4009</v>
      </c>
      <c r="AL351" s="0" t="n">
        <v>1.85</v>
      </c>
    </row>
    <row r="352">
      <c r="A352" s="0" t="inlineStr">
        <is>
          <t>[복대동]</t>
        </is>
      </c>
      <c r="B352" s="0" t="n">
        <v>27182</v>
      </c>
      <c r="C352" s="0" t="n">
        <v>2</v>
      </c>
      <c r="D352" s="0" t="inlineStr">
        <is>
          <t>신영지웰시티1차</t>
        </is>
      </c>
      <c r="E352" s="0" t="inlineStr">
        <is>
          <t>2010.06.</t>
        </is>
      </c>
      <c r="F352" s="0" t="n">
        <v>2164</v>
      </c>
      <c r="G352" s="0" t="n">
        <v>49.02</v>
      </c>
      <c r="H352" s="0" t="n">
        <v>162.08</v>
      </c>
      <c r="I352" s="0" t="n">
        <v>37.75</v>
      </c>
      <c r="J352" s="0" t="n">
        <v>124.81</v>
      </c>
      <c r="K352" s="0" t="n">
        <v>688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162</v>
      </c>
      <c r="X352" s="0" t="n">
        <v>45</v>
      </c>
      <c r="Y352" s="0" t="n">
        <v>37</v>
      </c>
      <c r="Z352" s="0" t="inlineStr">
        <is>
          <t>https://new.land.naver.com/complexes/27182?tab=detail&amp;rf=Y</t>
        </is>
      </c>
      <c r="AA352" s="0" t="inlineStr">
        <is>
          <t>충청북도 청주시 흥덕구 복대동 3379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흥덕구</t>
        </is>
      </c>
      <c r="AE352" s="0" t="inlineStr">
        <is>
          <t>복대동</t>
        </is>
      </c>
      <c r="AG352" s="0" t="inlineStr">
        <is>
          <t>충청북도 청주시 흥덕구 대농로 17</t>
        </is>
      </c>
      <c r="AH352" s="0" t="n">
        <v>0</v>
      </c>
      <c r="AI352" s="0" t="n">
        <v>582</v>
      </c>
      <c r="AJ352" s="0" t="n">
        <v>30</v>
      </c>
      <c r="AK352" s="0" t="n">
        <v>4009</v>
      </c>
      <c r="AL352" s="0" t="n">
        <v>1.85</v>
      </c>
    </row>
    <row r="353">
      <c r="A353" s="0" t="inlineStr">
        <is>
          <t>[복대동]</t>
        </is>
      </c>
      <c r="B353" s="0" t="n">
        <v>27182</v>
      </c>
      <c r="C353" s="0" t="n">
        <v>3</v>
      </c>
      <c r="D353" s="0" t="inlineStr">
        <is>
          <t>신영지웰시티1차</t>
        </is>
      </c>
      <c r="E353" s="0" t="inlineStr">
        <is>
          <t>2010.06.</t>
        </is>
      </c>
      <c r="F353" s="0" t="n">
        <v>2164</v>
      </c>
      <c r="G353" s="0" t="n">
        <v>59.96</v>
      </c>
      <c r="H353" s="0" t="n">
        <v>198.23</v>
      </c>
      <c r="I353" s="0" t="n">
        <v>46.17</v>
      </c>
      <c r="J353" s="0" t="n">
        <v>152.65</v>
      </c>
      <c r="K353" s="0" t="n">
        <v>688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198</v>
      </c>
      <c r="X353" s="0" t="n">
        <v>45</v>
      </c>
      <c r="Y353" s="0" t="n">
        <v>37</v>
      </c>
      <c r="Z353" s="0" t="inlineStr">
        <is>
          <t>https://new.land.naver.com/complexes/27182?tab=detail&amp;rf=Y</t>
        </is>
      </c>
      <c r="AA353" s="0" t="inlineStr">
        <is>
          <t>충청북도 청주시 흥덕구 복대동 3379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흥덕구</t>
        </is>
      </c>
      <c r="AE353" s="0" t="inlineStr">
        <is>
          <t>복대동</t>
        </is>
      </c>
      <c r="AG353" s="0" t="inlineStr">
        <is>
          <t>충청북도 청주시 흥덕구 대농로 17</t>
        </is>
      </c>
      <c r="AH353" s="0" t="n">
        <v>0</v>
      </c>
      <c r="AI353" s="0" t="n">
        <v>582</v>
      </c>
      <c r="AJ353" s="0" t="n">
        <v>30</v>
      </c>
      <c r="AK353" s="0" t="n">
        <v>4009</v>
      </c>
      <c r="AL353" s="0" t="n">
        <v>1.85</v>
      </c>
    </row>
    <row r="354">
      <c r="A354" s="0" t="inlineStr">
        <is>
          <t>[복대동]</t>
        </is>
      </c>
      <c r="B354" s="0" t="n">
        <v>27182</v>
      </c>
      <c r="C354" s="0" t="n">
        <v>4</v>
      </c>
      <c r="D354" s="0" t="inlineStr">
        <is>
          <t>신영지웰시티1차</t>
        </is>
      </c>
      <c r="E354" s="0" t="inlineStr">
        <is>
          <t>2010.06.</t>
        </is>
      </c>
      <c r="F354" s="0" t="n">
        <v>2164</v>
      </c>
      <c r="G354" s="0" t="n">
        <v>63.88</v>
      </c>
      <c r="H354" s="0" t="n">
        <v>211.19</v>
      </c>
      <c r="I354" s="0" t="n">
        <v>49.19</v>
      </c>
      <c r="J354" s="0" t="n">
        <v>162.62</v>
      </c>
      <c r="K354" s="0" t="n">
        <v>50</v>
      </c>
      <c r="T354" s="0" t="n">
        <v>5</v>
      </c>
      <c r="U354" s="0" t="n">
        <v>3</v>
      </c>
      <c r="V354" s="0" t="inlineStr">
        <is>
          <t>계단식</t>
        </is>
      </c>
      <c r="W354" s="0" t="n">
        <v>211</v>
      </c>
      <c r="X354" s="0" t="n">
        <v>45</v>
      </c>
      <c r="Y354" s="0" t="n">
        <v>37</v>
      </c>
      <c r="Z354" s="0" t="inlineStr">
        <is>
          <t>https://new.land.naver.com/complexes/27182?tab=detail&amp;rf=Y</t>
        </is>
      </c>
      <c r="AA354" s="0" t="inlineStr">
        <is>
          <t>충청북도 청주시 흥덕구 복대동 3379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흥덕구</t>
        </is>
      </c>
      <c r="AE354" s="0" t="inlineStr">
        <is>
          <t>복대동</t>
        </is>
      </c>
      <c r="AG354" s="0" t="inlineStr">
        <is>
          <t>충청북도 청주시 흥덕구 대농로 17</t>
        </is>
      </c>
      <c r="AH354" s="0" t="n">
        <v>0</v>
      </c>
      <c r="AI354" s="0" t="n">
        <v>582</v>
      </c>
      <c r="AJ354" s="0" t="n">
        <v>30</v>
      </c>
      <c r="AK354" s="0" t="n">
        <v>4009</v>
      </c>
      <c r="AL354" s="0" t="n">
        <v>1.85</v>
      </c>
    </row>
    <row r="355">
      <c r="A355" s="0" t="inlineStr">
        <is>
          <t>[복대동]</t>
        </is>
      </c>
      <c r="B355" s="0" t="n">
        <v>27182</v>
      </c>
      <c r="C355" s="0" t="n">
        <v>5</v>
      </c>
      <c r="D355" s="0" t="inlineStr">
        <is>
          <t>신영지웰시티1차</t>
        </is>
      </c>
      <c r="E355" s="0" t="inlineStr">
        <is>
          <t>2010.06.</t>
        </is>
      </c>
      <c r="F355" s="0" t="n">
        <v>2164</v>
      </c>
      <c r="G355" s="0" t="n">
        <v>77.37</v>
      </c>
      <c r="H355" s="0" t="n">
        <v>255.79</v>
      </c>
      <c r="I355" s="0" t="n">
        <v>59.58</v>
      </c>
      <c r="J355" s="0" t="n">
        <v>196.97</v>
      </c>
      <c r="K355" s="0" t="n">
        <v>50</v>
      </c>
      <c r="T355" s="0" t="n">
        <v>5</v>
      </c>
      <c r="U355" s="0" t="n">
        <v>3</v>
      </c>
      <c r="V355" s="0" t="inlineStr">
        <is>
          <t>계단식</t>
        </is>
      </c>
      <c r="W355" s="0" t="n">
        <v>255</v>
      </c>
      <c r="X355" s="0" t="n">
        <v>45</v>
      </c>
      <c r="Y355" s="0" t="n">
        <v>37</v>
      </c>
      <c r="Z355" s="0" t="inlineStr">
        <is>
          <t>https://new.land.naver.com/complexes/27182?tab=detail&amp;rf=Y</t>
        </is>
      </c>
      <c r="AA355" s="0" t="inlineStr">
        <is>
          <t>충청북도 청주시 흥덕구 복대동 3379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흥덕구</t>
        </is>
      </c>
      <c r="AE355" s="0" t="inlineStr">
        <is>
          <t>복대동</t>
        </is>
      </c>
      <c r="AG355" s="0" t="inlineStr">
        <is>
          <t>충청북도 청주시 흥덕구 대농로 17</t>
        </is>
      </c>
      <c r="AH355" s="0" t="n">
        <v>0</v>
      </c>
      <c r="AI355" s="0" t="n">
        <v>582</v>
      </c>
      <c r="AJ355" s="0" t="n">
        <v>30</v>
      </c>
      <c r="AK355" s="0" t="n">
        <v>4009</v>
      </c>
      <c r="AL355" s="0" t="n">
        <v>1.85</v>
      </c>
    </row>
    <row r="356">
      <c r="A356" s="0" t="inlineStr">
        <is>
          <t>[복대동]</t>
        </is>
      </c>
      <c r="B356" s="0" t="n">
        <v>141131</v>
      </c>
      <c r="C356" s="0" t="n">
        <v>1</v>
      </c>
      <c r="D356" s="0" t="inlineStr">
        <is>
          <t>재원</t>
        </is>
      </c>
      <c r="E356" s="0" t="inlineStr">
        <is>
          <t>1994.05.</t>
        </is>
      </c>
      <c r="F356" s="0" t="n">
        <v>24</v>
      </c>
      <c r="G356" s="0" t="n">
        <v>23.31</v>
      </c>
      <c r="H356" s="0" t="n">
        <v>77.09</v>
      </c>
      <c r="I356" s="0" t="n">
        <v>18.07</v>
      </c>
      <c r="J356" s="0" t="n">
        <v>59.76</v>
      </c>
      <c r="K356" s="0" t="n">
        <v>24</v>
      </c>
      <c r="T356" s="0" t="n">
        <v>3</v>
      </c>
      <c r="U356" s="0" t="n">
        <v>1</v>
      </c>
      <c r="V356" s="0" t="inlineStr">
        <is>
          <t>계단식</t>
        </is>
      </c>
      <c r="W356" s="0" t="n">
        <v>77</v>
      </c>
      <c r="X356" s="0" t="n">
        <v>6</v>
      </c>
      <c r="Y356" s="0" t="n">
        <v>6</v>
      </c>
      <c r="Z356" s="0" t="inlineStr">
        <is>
          <t>https://new.land.naver.com/complexes/141131?tab=detail&amp;rf=Y</t>
        </is>
      </c>
      <c r="AA356" s="0" t="inlineStr">
        <is>
          <t>충청북도 청주시 흥덕구 복대동 208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흥덕구</t>
        </is>
      </c>
      <c r="AE356" s="0" t="inlineStr">
        <is>
          <t>복대동</t>
        </is>
      </c>
      <c r="AG356" s="0" t="inlineStr">
        <is>
          <t>충청북도 청주시 흥덕구 죽천로146번길 49</t>
        </is>
      </c>
      <c r="AH356" s="0" t="n">
        <v>0</v>
      </c>
      <c r="AI356" s="0" t="n">
        <v>110</v>
      </c>
      <c r="AJ356" s="0" t="n">
        <v>24</v>
      </c>
      <c r="AK356" s="0" t="n">
        <v>14</v>
      </c>
      <c r="AL356" s="0" t="n">
        <v>0.58</v>
      </c>
    </row>
    <row r="357">
      <c r="A357" s="0" t="inlineStr">
        <is>
          <t>[복대동]</t>
        </is>
      </c>
      <c r="B357" s="0" t="n">
        <v>15441</v>
      </c>
      <c r="C357" s="0" t="n">
        <v>1</v>
      </c>
      <c r="D357" s="0" t="inlineStr">
        <is>
          <t>성광</t>
        </is>
      </c>
      <c r="E357" s="0" t="inlineStr">
        <is>
          <t>1982.06.</t>
        </is>
      </c>
      <c r="F357" s="0" t="n">
        <v>140</v>
      </c>
      <c r="G357" s="0" t="n">
        <v>20.1</v>
      </c>
      <c r="H357" s="0" t="n">
        <v>66.45</v>
      </c>
      <c r="I357" s="0" t="n">
        <v>16.9</v>
      </c>
      <c r="J357" s="0" t="n">
        <v>55.87</v>
      </c>
      <c r="K357" s="0" t="n">
        <v>53</v>
      </c>
      <c r="T357" s="0" t="n">
        <v>3</v>
      </c>
      <c r="U357" s="0" t="n">
        <v>1</v>
      </c>
      <c r="V357" s="0" t="inlineStr">
        <is>
          <t>계단식</t>
        </is>
      </c>
      <c r="W357" s="0" t="inlineStr">
        <is>
          <t>66A</t>
        </is>
      </c>
      <c r="X357" s="0" t="n">
        <v>5</v>
      </c>
      <c r="Y357" s="0" t="n">
        <v>5</v>
      </c>
      <c r="Z357" s="0" t="inlineStr">
        <is>
          <t>https://new.land.naver.com/complexes/15441?tab=detail&amp;rf=Y</t>
        </is>
      </c>
      <c r="AA357" s="0" t="inlineStr">
        <is>
          <t>충청북도 청주시 흥덕구 복대동 824-4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흥덕구</t>
        </is>
      </c>
      <c r="AE357" s="0" t="inlineStr">
        <is>
          <t>복대동</t>
        </is>
      </c>
      <c r="AG357" s="0" t="inlineStr">
        <is>
          <t>충청북도 청주시 흥덕구 신율로 174</t>
        </is>
      </c>
      <c r="AH357" s="0" t="n">
        <v>0</v>
      </c>
      <c r="AI357" s="0" t="n">
        <v>140</v>
      </c>
      <c r="AJ357" s="0" t="n">
        <v>29</v>
      </c>
      <c r="AK357" s="0" t="n">
        <v>0</v>
      </c>
      <c r="AL357" s="0" t="n">
        <v>0</v>
      </c>
    </row>
    <row r="358">
      <c r="A358" s="0" t="inlineStr">
        <is>
          <t>[복대동]</t>
        </is>
      </c>
      <c r="B358" s="0" t="n">
        <v>15441</v>
      </c>
      <c r="C358" s="0" t="n">
        <v>2</v>
      </c>
      <c r="D358" s="0" t="inlineStr">
        <is>
          <t>성광</t>
        </is>
      </c>
      <c r="E358" s="0" t="inlineStr">
        <is>
          <t>1982.06.</t>
        </is>
      </c>
      <c r="F358" s="0" t="n">
        <v>140</v>
      </c>
      <c r="G358" s="0" t="n">
        <v>19.98</v>
      </c>
      <c r="H358" s="0" t="n">
        <v>66.06</v>
      </c>
      <c r="I358" s="0" t="n">
        <v>16.9</v>
      </c>
      <c r="J358" s="0" t="n">
        <v>55.89</v>
      </c>
      <c r="K358" s="0" t="n">
        <v>37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66B</t>
        </is>
      </c>
      <c r="X358" s="0" t="n">
        <v>5</v>
      </c>
      <c r="Y358" s="0" t="n">
        <v>5</v>
      </c>
      <c r="Z358" s="0" t="inlineStr">
        <is>
          <t>https://new.land.naver.com/complexes/15441?tab=detail&amp;rf=Y</t>
        </is>
      </c>
      <c r="AA358" s="0" t="inlineStr">
        <is>
          <t>충청북도 청주시 흥덕구 복대동 824-4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흥덕구</t>
        </is>
      </c>
      <c r="AE358" s="0" t="inlineStr">
        <is>
          <t>복대동</t>
        </is>
      </c>
      <c r="AG358" s="0" t="inlineStr">
        <is>
          <t>충청북도 청주시 흥덕구 신율로 174</t>
        </is>
      </c>
      <c r="AH358" s="0" t="n">
        <v>0</v>
      </c>
      <c r="AI358" s="0" t="n">
        <v>140</v>
      </c>
      <c r="AJ358" s="0" t="n">
        <v>29</v>
      </c>
      <c r="AK358" s="0" t="n">
        <v>0</v>
      </c>
      <c r="AL358" s="0" t="n">
        <v>0</v>
      </c>
    </row>
    <row r="359">
      <c r="A359" s="0" t="inlineStr">
        <is>
          <t>[복대동]</t>
        </is>
      </c>
      <c r="B359" s="0" t="n">
        <v>15441</v>
      </c>
      <c r="C359" s="0" t="n">
        <v>3</v>
      </c>
      <c r="D359" s="0" t="inlineStr">
        <is>
          <t>성광</t>
        </is>
      </c>
      <c r="E359" s="0" t="inlineStr">
        <is>
          <t>1982.06.</t>
        </is>
      </c>
      <c r="F359" s="0" t="n">
        <v>140</v>
      </c>
      <c r="G359" s="0" t="n">
        <v>24.03</v>
      </c>
      <c r="H359" s="0" t="n">
        <v>79.45</v>
      </c>
      <c r="I359" s="0" t="n">
        <v>20.9</v>
      </c>
      <c r="J359" s="0" t="n">
        <v>69.09999999999999</v>
      </c>
      <c r="K359" s="0" t="n">
        <v>45</v>
      </c>
      <c r="T359" s="0" t="n">
        <v>3</v>
      </c>
      <c r="U359" s="0" t="n">
        <v>2</v>
      </c>
      <c r="V359" s="0" t="inlineStr">
        <is>
          <t>계단식</t>
        </is>
      </c>
      <c r="W359" s="0" t="n">
        <v>79</v>
      </c>
      <c r="X359" s="0" t="n">
        <v>5</v>
      </c>
      <c r="Y359" s="0" t="n">
        <v>5</v>
      </c>
      <c r="Z359" s="0" t="inlineStr">
        <is>
          <t>https://new.land.naver.com/complexes/15441?tab=detail&amp;rf=Y</t>
        </is>
      </c>
      <c r="AA359" s="0" t="inlineStr">
        <is>
          <t>충청북도 청주시 흥덕구 복대동 824-4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흥덕구</t>
        </is>
      </c>
      <c r="AE359" s="0" t="inlineStr">
        <is>
          <t>복대동</t>
        </is>
      </c>
      <c r="AG359" s="0" t="inlineStr">
        <is>
          <t>충청북도 청주시 흥덕구 신율로 174</t>
        </is>
      </c>
      <c r="AH359" s="0" t="n">
        <v>0</v>
      </c>
      <c r="AI359" s="0" t="n">
        <v>140</v>
      </c>
      <c r="AJ359" s="0" t="n">
        <v>29</v>
      </c>
      <c r="AK359" s="0" t="n">
        <v>0</v>
      </c>
      <c r="AL359" s="0" t="n">
        <v>0</v>
      </c>
    </row>
    <row r="360">
      <c r="A360" s="0" t="inlineStr">
        <is>
          <t>[복대동]</t>
        </is>
      </c>
      <c r="B360" s="0" t="n">
        <v>15441</v>
      </c>
      <c r="C360" s="0" t="n">
        <v>4</v>
      </c>
      <c r="D360" s="0" t="inlineStr">
        <is>
          <t>성광</t>
        </is>
      </c>
      <c r="E360" s="0" t="inlineStr">
        <is>
          <t>1982.06.</t>
        </is>
      </c>
      <c r="F360" s="0" t="n">
        <v>140</v>
      </c>
      <c r="G360" s="0" t="n">
        <v>27.07</v>
      </c>
      <c r="H360" s="0" t="n">
        <v>89.48999999999999</v>
      </c>
      <c r="I360" s="0" t="n">
        <v>23.93</v>
      </c>
      <c r="J360" s="0" t="n">
        <v>79.14</v>
      </c>
      <c r="K360" s="0" t="n">
        <v>5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89</v>
      </c>
      <c r="X360" s="0" t="n">
        <v>5</v>
      </c>
      <c r="Y360" s="0" t="n">
        <v>5</v>
      </c>
      <c r="Z360" s="0" t="inlineStr">
        <is>
          <t>https://new.land.naver.com/complexes/15441?tab=detail&amp;rf=Y</t>
        </is>
      </c>
      <c r="AA360" s="0" t="inlineStr">
        <is>
          <t>충청북도 청주시 흥덕구 복대동 824-4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흥덕구</t>
        </is>
      </c>
      <c r="AE360" s="0" t="inlineStr">
        <is>
          <t>복대동</t>
        </is>
      </c>
      <c r="AG360" s="0" t="inlineStr">
        <is>
          <t>충청북도 청주시 흥덕구 신율로 174</t>
        </is>
      </c>
      <c r="AH360" s="0" t="n">
        <v>0</v>
      </c>
      <c r="AI360" s="0" t="n">
        <v>140</v>
      </c>
      <c r="AJ360" s="0" t="n">
        <v>29</v>
      </c>
      <c r="AK360" s="0" t="n">
        <v>0</v>
      </c>
      <c r="AL360" s="0" t="n">
        <v>0</v>
      </c>
    </row>
    <row r="361">
      <c r="A361" s="0" t="inlineStr">
        <is>
          <t>[복대동]</t>
        </is>
      </c>
      <c r="B361" s="0" t="n">
        <v>120755</v>
      </c>
      <c r="C361" s="0" t="n">
        <v>1</v>
      </c>
      <c r="D361" s="0" t="inlineStr">
        <is>
          <t>보성</t>
        </is>
      </c>
      <c r="E361" s="0" t="inlineStr">
        <is>
          <t>1992.01.</t>
        </is>
      </c>
      <c r="F361" s="0" t="n">
        <v>80</v>
      </c>
      <c r="G361" s="0" t="n">
        <v>33.99</v>
      </c>
      <c r="H361" s="0" t="n">
        <v>112.39</v>
      </c>
      <c r="I361" s="0" t="n">
        <v>25.5</v>
      </c>
      <c r="J361" s="0" t="n">
        <v>84.3</v>
      </c>
      <c r="K361" s="0" t="n">
        <v>56</v>
      </c>
      <c r="T361" s="0" t="n">
        <v>3</v>
      </c>
      <c r="U361" s="0" t="n">
        <v>2</v>
      </c>
      <c r="V361" s="0" t="inlineStr">
        <is>
          <t>복도식</t>
        </is>
      </c>
      <c r="W361" s="0" t="n">
        <v>112</v>
      </c>
      <c r="X361" s="0" t="n">
        <v>4</v>
      </c>
      <c r="Y361" s="0" t="n">
        <v>4</v>
      </c>
      <c r="Z361" s="0" t="inlineStr">
        <is>
          <t>https://new.land.naver.com/complexes/120755?tab=detail&amp;rf=Y</t>
        </is>
      </c>
      <c r="AA361" s="0" t="inlineStr">
        <is>
          <t>충청북도 청주시 흥덕구 복대동 2448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흥덕구</t>
        </is>
      </c>
      <c r="AE361" s="0" t="inlineStr">
        <is>
          <t>복대동</t>
        </is>
      </c>
      <c r="AG361" s="0" t="inlineStr">
        <is>
          <t>충청북도 청주시 흥덕구 신율로 77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[복대동]</t>
        </is>
      </c>
      <c r="B362" s="0" t="n">
        <v>120755</v>
      </c>
      <c r="C362" s="0" t="n">
        <v>2</v>
      </c>
      <c r="D362" s="0" t="inlineStr">
        <is>
          <t>보성</t>
        </is>
      </c>
      <c r="E362" s="0" t="inlineStr">
        <is>
          <t>1992.01.</t>
        </is>
      </c>
      <c r="F362" s="0" t="n">
        <v>80</v>
      </c>
      <c r="G362" s="0" t="n">
        <v>42.99</v>
      </c>
      <c r="H362" s="0" t="n">
        <v>142.14</v>
      </c>
      <c r="I362" s="0" t="n">
        <v>32.67</v>
      </c>
      <c r="J362" s="0" t="n">
        <v>108.03</v>
      </c>
      <c r="K362" s="0" t="n">
        <v>24</v>
      </c>
      <c r="T362" s="0" t="n">
        <v>4</v>
      </c>
      <c r="U362" s="0" t="n">
        <v>2</v>
      </c>
      <c r="V362" s="0" t="inlineStr">
        <is>
          <t>복도식</t>
        </is>
      </c>
      <c r="W362" s="0" t="n">
        <v>142</v>
      </c>
      <c r="X362" s="0" t="n">
        <v>4</v>
      </c>
      <c r="Y362" s="0" t="n">
        <v>4</v>
      </c>
      <c r="Z362" s="0" t="inlineStr">
        <is>
          <t>https://new.land.naver.com/complexes/120755?tab=detail&amp;rf=Y</t>
        </is>
      </c>
      <c r="AA362" s="0" t="inlineStr">
        <is>
          <t>충청북도 청주시 흥덕구 복대동 2448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흥덕구</t>
        </is>
      </c>
      <c r="AE362" s="0" t="inlineStr">
        <is>
          <t>복대동</t>
        </is>
      </c>
      <c r="AG362" s="0" t="inlineStr">
        <is>
          <t>충청북도 청주시 흥덕구 신율로 77</t>
        </is>
      </c>
      <c r="AH362" s="0" t="n">
        <v>0</v>
      </c>
      <c r="AI362" s="0" t="n">
        <v>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[복대동]</t>
        </is>
      </c>
      <c r="B363" s="0" t="n">
        <v>11206</v>
      </c>
      <c r="C363" s="0" t="n">
        <v>1</v>
      </c>
      <c r="D363" s="0" t="inlineStr">
        <is>
          <t>세원테마빌</t>
        </is>
      </c>
      <c r="E363" s="0" t="inlineStr">
        <is>
          <t>2001.12.</t>
        </is>
      </c>
      <c r="F363" s="0" t="n">
        <v>388</v>
      </c>
      <c r="G363" s="0" t="n">
        <v>31.34</v>
      </c>
      <c r="H363" s="0" t="n">
        <v>103.62</v>
      </c>
      <c r="I363" s="0" t="n">
        <v>22.68</v>
      </c>
      <c r="J363" s="0" t="n">
        <v>74.98</v>
      </c>
      <c r="K363" s="0" t="n">
        <v>288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103</v>
      </c>
      <c r="X363" s="0" t="n">
        <v>12</v>
      </c>
      <c r="Y363" s="0" t="n">
        <v>10</v>
      </c>
      <c r="Z363" s="0" t="inlineStr">
        <is>
          <t>https://new.land.naver.com/complexes/11206?tab=detail&amp;rf=Y</t>
        </is>
      </c>
      <c r="AA363" s="0" t="inlineStr">
        <is>
          <t>충청북도 청주시 흥덕구 복대동 2607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흥덕구</t>
        </is>
      </c>
      <c r="AE363" s="0" t="inlineStr">
        <is>
          <t>복대동</t>
        </is>
      </c>
      <c r="AG363" s="0" t="inlineStr">
        <is>
          <t>충청북도 청주시 흥덕구 짐대로 14</t>
        </is>
      </c>
      <c r="AH363" s="0" t="n">
        <v>0</v>
      </c>
      <c r="AI363" s="0" t="n">
        <v>212</v>
      </c>
      <c r="AJ363" s="0" t="n">
        <v>25</v>
      </c>
      <c r="AK363" s="0" t="n">
        <v>416</v>
      </c>
      <c r="AL363" s="0" t="n">
        <v>1.07</v>
      </c>
    </row>
    <row r="364">
      <c r="A364" s="0" t="inlineStr">
        <is>
          <t>[복대동]</t>
        </is>
      </c>
      <c r="B364" s="0" t="n">
        <v>11206</v>
      </c>
      <c r="C364" s="0" t="n">
        <v>2</v>
      </c>
      <c r="D364" s="0" t="inlineStr">
        <is>
          <t>세원테마빌</t>
        </is>
      </c>
      <c r="E364" s="0" t="inlineStr">
        <is>
          <t>2001.12.</t>
        </is>
      </c>
      <c r="F364" s="0" t="n">
        <v>388</v>
      </c>
      <c r="G364" s="0" t="n">
        <v>35.74</v>
      </c>
      <c r="H364" s="0" t="n">
        <v>118.15</v>
      </c>
      <c r="I364" s="0" t="n">
        <v>25.7</v>
      </c>
      <c r="J364" s="0" t="n">
        <v>84.95999999999999</v>
      </c>
      <c r="K364" s="0" t="n">
        <v>100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118</v>
      </c>
      <c r="X364" s="0" t="n">
        <v>12</v>
      </c>
      <c r="Y364" s="0" t="n">
        <v>10</v>
      </c>
      <c r="Z364" s="0" t="inlineStr">
        <is>
          <t>https://new.land.naver.com/complexes/11206?tab=detail&amp;rf=Y</t>
        </is>
      </c>
      <c r="AA364" s="0" t="inlineStr">
        <is>
          <t>충청북도 청주시 흥덕구 복대동 2607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흥덕구</t>
        </is>
      </c>
      <c r="AE364" s="0" t="inlineStr">
        <is>
          <t>복대동</t>
        </is>
      </c>
      <c r="AG364" s="0" t="inlineStr">
        <is>
          <t>충청북도 청주시 흥덕구 짐대로 14</t>
        </is>
      </c>
      <c r="AH364" s="0" t="n">
        <v>0</v>
      </c>
      <c r="AI364" s="0" t="n">
        <v>212</v>
      </c>
      <c r="AJ364" s="0" t="n">
        <v>25</v>
      </c>
      <c r="AK364" s="0" t="n">
        <v>416</v>
      </c>
      <c r="AL364" s="0" t="n">
        <v>1.07</v>
      </c>
    </row>
    <row r="365">
      <c r="A365" s="0" t="inlineStr">
        <is>
          <t>[복대동]</t>
        </is>
      </c>
      <c r="B365" s="0" t="n">
        <v>119493</v>
      </c>
      <c r="C365" s="0" t="n">
        <v>1</v>
      </c>
      <c r="D365" s="0" t="inlineStr">
        <is>
          <t>현대(169-1)</t>
        </is>
      </c>
      <c r="E365" s="0" t="inlineStr">
        <is>
          <t>1986.12.</t>
        </is>
      </c>
      <c r="F365" s="0" t="n">
        <v>40</v>
      </c>
      <c r="G365" s="0" t="n">
        <v>22.89</v>
      </c>
      <c r="H365" s="0" t="n">
        <v>75.7</v>
      </c>
      <c r="I365" s="0" t="n">
        <v>19.11</v>
      </c>
      <c r="J365" s="0" t="n">
        <v>63.18</v>
      </c>
      <c r="K365" s="0" t="n">
        <v>20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75</v>
      </c>
      <c r="X365" s="0" t="n">
        <v>5</v>
      </c>
      <c r="Y365" s="0" t="n">
        <v>5</v>
      </c>
      <c r="Z365" s="0" t="inlineStr">
        <is>
          <t>https://new.land.naver.com/complexes/119493?tab=detail&amp;rf=Y</t>
        </is>
      </c>
      <c r="AA365" s="0" t="inlineStr">
        <is>
          <t>충청북도 청주시 흥덕구 복대동 169-1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흥덕구</t>
        </is>
      </c>
      <c r="AE365" s="0" t="inlineStr">
        <is>
          <t>복대동</t>
        </is>
      </c>
      <c r="AG365" s="0" t="inlineStr">
        <is>
          <t>충청북도 청주시 흥덕구 내수동로12번길 5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[복대동]</t>
        </is>
      </c>
      <c r="B366" s="0" t="n">
        <v>119493</v>
      </c>
      <c r="C366" s="0" t="n">
        <v>2</v>
      </c>
      <c r="D366" s="0" t="inlineStr">
        <is>
          <t>현대(169-1)</t>
        </is>
      </c>
      <c r="E366" s="0" t="inlineStr">
        <is>
          <t>1986.12.</t>
        </is>
      </c>
      <c r="F366" s="0" t="n">
        <v>40</v>
      </c>
      <c r="G366" s="0" t="n">
        <v>23.71</v>
      </c>
      <c r="H366" s="0" t="n">
        <v>78.40000000000001</v>
      </c>
      <c r="I366" s="0" t="n">
        <v>19.92</v>
      </c>
      <c r="J366" s="0" t="n">
        <v>65.88</v>
      </c>
      <c r="K366" s="0" t="n">
        <v>20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78</v>
      </c>
      <c r="X366" s="0" t="n">
        <v>5</v>
      </c>
      <c r="Y366" s="0" t="n">
        <v>5</v>
      </c>
      <c r="Z366" s="0" t="inlineStr">
        <is>
          <t>https://new.land.naver.com/complexes/119493?tab=detail&amp;rf=Y</t>
        </is>
      </c>
      <c r="AA366" s="0" t="inlineStr">
        <is>
          <t>충청북도 청주시 흥덕구 복대동 169-1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흥덕구</t>
        </is>
      </c>
      <c r="AE366" s="0" t="inlineStr">
        <is>
          <t>복대동</t>
        </is>
      </c>
      <c r="AG366" s="0" t="inlineStr">
        <is>
          <t>충청북도 청주시 흥덕구 내수동로12번길 5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[복대동]</t>
        </is>
      </c>
      <c r="B367" s="0" t="n">
        <v>144187</v>
      </c>
      <c r="C367" s="0" t="n">
        <v>1</v>
      </c>
      <c r="D367" s="0" t="inlineStr">
        <is>
          <t>더샵청주센트럴</t>
        </is>
      </c>
      <c r="E367" s="0" t="inlineStr">
        <is>
          <t>2024.03.</t>
        </is>
      </c>
      <c r="F367" s="0" t="n">
        <v>986</v>
      </c>
      <c r="G367" s="0" t="n">
        <v>17.77</v>
      </c>
      <c r="H367" s="0" t="n">
        <v>58.77</v>
      </c>
      <c r="I367" s="0" t="n">
        <v>11.87</v>
      </c>
      <c r="J367" s="0" t="n">
        <v>39.25</v>
      </c>
      <c r="K367" s="0" t="n">
        <v>90</v>
      </c>
      <c r="T367" s="0" t="n">
        <v>2</v>
      </c>
      <c r="U367" s="0" t="n">
        <v>1</v>
      </c>
      <c r="V367" s="0" t="inlineStr">
        <is>
          <t>계단식</t>
        </is>
      </c>
      <c r="W367" s="0" t="n">
        <v>58</v>
      </c>
      <c r="X367" s="0" t="n">
        <v>25</v>
      </c>
      <c r="Y367" s="0" t="n">
        <v>16</v>
      </c>
      <c r="Z367" s="0" t="inlineStr">
        <is>
          <t>https://new.land.naver.com/complexes/144187?tab=detail&amp;rf=Y</t>
        </is>
      </c>
      <c r="AA367" s="0" t="inlineStr">
        <is>
          <t>충청북도 청주시 흥덕구 복대동 229-20번지 일원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흥덕구</t>
        </is>
      </c>
      <c r="AE367" s="0" t="inlineStr">
        <is>
          <t>복대동</t>
        </is>
      </c>
      <c r="AG367" s="0" t="inlineStr">
        <is>
          <t>충청북도 청주시 흥덕구 복대로220번길 13</t>
        </is>
      </c>
      <c r="AH367" s="0" t="n">
        <v>60</v>
      </c>
      <c r="AI367" s="0" t="n">
        <v>241</v>
      </c>
      <c r="AJ367" s="0" t="n">
        <v>15</v>
      </c>
      <c r="AK367" s="0" t="n">
        <v>1284</v>
      </c>
      <c r="AL367" s="0" t="n">
        <v>1.3</v>
      </c>
    </row>
    <row r="368">
      <c r="A368" s="0" t="inlineStr">
        <is>
          <t>[복대동]</t>
        </is>
      </c>
      <c r="B368" s="0" t="n">
        <v>144187</v>
      </c>
      <c r="C368" s="0" t="n">
        <v>2</v>
      </c>
      <c r="D368" s="0" t="inlineStr">
        <is>
          <t>더샵청주센트럴</t>
        </is>
      </c>
      <c r="E368" s="0" t="inlineStr">
        <is>
          <t>2024.03.</t>
        </is>
      </c>
      <c r="F368" s="0" t="n">
        <v>986</v>
      </c>
      <c r="G368" s="0" t="n">
        <v>24.82</v>
      </c>
      <c r="H368" s="0" t="n">
        <v>82.08</v>
      </c>
      <c r="I368" s="0" t="n">
        <v>18.13</v>
      </c>
      <c r="J368" s="0" t="n">
        <v>59.94</v>
      </c>
      <c r="K368" s="0" t="n">
        <v>48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82A</t>
        </is>
      </c>
      <c r="X368" s="0" t="n">
        <v>25</v>
      </c>
      <c r="Y368" s="0" t="n">
        <v>16</v>
      </c>
      <c r="Z368" s="0" t="inlineStr">
        <is>
          <t>https://new.land.naver.com/complexes/144187?tab=detail&amp;rf=Y</t>
        </is>
      </c>
      <c r="AA368" s="0" t="inlineStr">
        <is>
          <t>충청북도 청주시 흥덕구 복대동 229-20번지 일원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흥덕구</t>
        </is>
      </c>
      <c r="AE368" s="0" t="inlineStr">
        <is>
          <t>복대동</t>
        </is>
      </c>
      <c r="AG368" s="0" t="inlineStr">
        <is>
          <t>충청북도 청주시 흥덕구 복대로220번길 13</t>
        </is>
      </c>
      <c r="AH368" s="0" t="n">
        <v>60</v>
      </c>
      <c r="AI368" s="0" t="n">
        <v>241</v>
      </c>
      <c r="AJ368" s="0" t="n">
        <v>15</v>
      </c>
      <c r="AK368" s="0" t="n">
        <v>1284</v>
      </c>
      <c r="AL368" s="0" t="n">
        <v>1.3</v>
      </c>
    </row>
    <row r="369">
      <c r="A369" s="0" t="inlineStr">
        <is>
          <t>[복대동]</t>
        </is>
      </c>
      <c r="B369" s="0" t="n">
        <v>144187</v>
      </c>
      <c r="C369" s="0" t="n">
        <v>3</v>
      </c>
      <c r="D369" s="0" t="inlineStr">
        <is>
          <t>더샵청주센트럴</t>
        </is>
      </c>
      <c r="E369" s="0" t="inlineStr">
        <is>
          <t>2024.03.</t>
        </is>
      </c>
      <c r="F369" s="0" t="n">
        <v>986</v>
      </c>
      <c r="G369" s="0" t="n">
        <v>25</v>
      </c>
      <c r="H369" s="0" t="n">
        <v>82.65000000000001</v>
      </c>
      <c r="I369" s="0" t="n">
        <v>18.14</v>
      </c>
      <c r="J369" s="0" t="n">
        <v>59.98</v>
      </c>
      <c r="K369" s="0" t="n">
        <v>16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82B</t>
        </is>
      </c>
      <c r="X369" s="0" t="n">
        <v>25</v>
      </c>
      <c r="Y369" s="0" t="n">
        <v>16</v>
      </c>
      <c r="Z369" s="0" t="inlineStr">
        <is>
          <t>https://new.land.naver.com/complexes/144187?tab=detail&amp;rf=Y</t>
        </is>
      </c>
      <c r="AA369" s="0" t="inlineStr">
        <is>
          <t>충청북도 청주시 흥덕구 복대동 229-20번지 일원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흥덕구</t>
        </is>
      </c>
      <c r="AE369" s="0" t="inlineStr">
        <is>
          <t>복대동</t>
        </is>
      </c>
      <c r="AG369" s="0" t="inlineStr">
        <is>
          <t>충청북도 청주시 흥덕구 복대로220번길 13</t>
        </is>
      </c>
      <c r="AH369" s="0" t="n">
        <v>60</v>
      </c>
      <c r="AI369" s="0" t="n">
        <v>241</v>
      </c>
      <c r="AJ369" s="0" t="n">
        <v>15</v>
      </c>
      <c r="AK369" s="0" t="n">
        <v>1284</v>
      </c>
      <c r="AL369" s="0" t="n">
        <v>1.3</v>
      </c>
    </row>
    <row r="370">
      <c r="A370" s="0" t="inlineStr">
        <is>
          <t>[복대동]</t>
        </is>
      </c>
      <c r="B370" s="0" t="n">
        <v>144187</v>
      </c>
      <c r="C370" s="0" t="n">
        <v>4</v>
      </c>
      <c r="D370" s="0" t="inlineStr">
        <is>
          <t>더샵청주센트럴</t>
        </is>
      </c>
      <c r="E370" s="0" t="inlineStr">
        <is>
          <t>2024.03.</t>
        </is>
      </c>
      <c r="F370" s="0" t="n">
        <v>986</v>
      </c>
      <c r="G370" s="0" t="n">
        <v>30.64</v>
      </c>
      <c r="H370" s="0" t="n">
        <v>101.31</v>
      </c>
      <c r="I370" s="0" t="n">
        <v>22.68</v>
      </c>
      <c r="J370" s="0" t="n">
        <v>74.98999999999999</v>
      </c>
      <c r="K370" s="0" t="n">
        <v>186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101</v>
      </c>
      <c r="X370" s="0" t="n">
        <v>25</v>
      </c>
      <c r="Y370" s="0" t="n">
        <v>16</v>
      </c>
      <c r="Z370" s="0" t="inlineStr">
        <is>
          <t>https://new.land.naver.com/complexes/144187?tab=detail&amp;rf=Y</t>
        </is>
      </c>
      <c r="AA370" s="0" t="inlineStr">
        <is>
          <t>충청북도 청주시 흥덕구 복대동 229-20번지 일원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흥덕구</t>
        </is>
      </c>
      <c r="AE370" s="0" t="inlineStr">
        <is>
          <t>복대동</t>
        </is>
      </c>
      <c r="AG370" s="0" t="inlineStr">
        <is>
          <t>충청북도 청주시 흥덕구 복대로220번길 13</t>
        </is>
      </c>
      <c r="AH370" s="0" t="n">
        <v>60</v>
      </c>
      <c r="AI370" s="0" t="n">
        <v>241</v>
      </c>
      <c r="AJ370" s="0" t="n">
        <v>15</v>
      </c>
      <c r="AK370" s="0" t="n">
        <v>1284</v>
      </c>
      <c r="AL370" s="0" t="n">
        <v>1.3</v>
      </c>
    </row>
    <row r="371">
      <c r="A371" s="0" t="inlineStr">
        <is>
          <t>[복대동]</t>
        </is>
      </c>
      <c r="B371" s="0" t="n">
        <v>144187</v>
      </c>
      <c r="C371" s="0" t="n">
        <v>5</v>
      </c>
      <c r="D371" s="0" t="inlineStr">
        <is>
          <t>더샵청주센트럴</t>
        </is>
      </c>
      <c r="E371" s="0" t="inlineStr">
        <is>
          <t>2024.03.</t>
        </is>
      </c>
      <c r="F371" s="0" t="n">
        <v>986</v>
      </c>
      <c r="G371" s="0" t="n">
        <v>33.77</v>
      </c>
      <c r="H371" s="0" t="n">
        <v>111.65</v>
      </c>
      <c r="I371" s="0" t="n">
        <v>25.7</v>
      </c>
      <c r="J371" s="0" t="n">
        <v>84.98</v>
      </c>
      <c r="K371" s="0" t="n">
        <v>407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111A</t>
        </is>
      </c>
      <c r="X371" s="0" t="n">
        <v>25</v>
      </c>
      <c r="Y371" s="0" t="n">
        <v>16</v>
      </c>
      <c r="Z371" s="0" t="inlineStr">
        <is>
          <t>https://new.land.naver.com/complexes/144187?tab=detail&amp;rf=Y</t>
        </is>
      </c>
      <c r="AA371" s="0" t="inlineStr">
        <is>
          <t>충청북도 청주시 흥덕구 복대동 229-20번지 일원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흥덕구</t>
        </is>
      </c>
      <c r="AE371" s="0" t="inlineStr">
        <is>
          <t>복대동</t>
        </is>
      </c>
      <c r="AG371" s="0" t="inlineStr">
        <is>
          <t>충청북도 청주시 흥덕구 복대로220번길 13</t>
        </is>
      </c>
      <c r="AH371" s="0" t="n">
        <v>60</v>
      </c>
      <c r="AI371" s="0" t="n">
        <v>241</v>
      </c>
      <c r="AJ371" s="0" t="n">
        <v>15</v>
      </c>
      <c r="AK371" s="0" t="n">
        <v>1284</v>
      </c>
      <c r="AL371" s="0" t="n">
        <v>1.3</v>
      </c>
    </row>
    <row r="372">
      <c r="A372" s="0" t="inlineStr">
        <is>
          <t>[복대동]</t>
        </is>
      </c>
      <c r="B372" s="0" t="n">
        <v>144187</v>
      </c>
      <c r="C372" s="0" t="n">
        <v>6</v>
      </c>
      <c r="D372" s="0" t="inlineStr">
        <is>
          <t>더샵청주센트럴</t>
        </is>
      </c>
      <c r="E372" s="0" t="inlineStr">
        <is>
          <t>2024.03.</t>
        </is>
      </c>
      <c r="F372" s="0" t="n">
        <v>986</v>
      </c>
      <c r="G372" s="0" t="n">
        <v>34.16</v>
      </c>
      <c r="H372" s="0" t="n">
        <v>112.94</v>
      </c>
      <c r="I372" s="0" t="n">
        <v>25.7</v>
      </c>
      <c r="J372" s="0" t="n">
        <v>84.98</v>
      </c>
      <c r="K372" s="0" t="n">
        <v>86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112B</t>
        </is>
      </c>
      <c r="X372" s="0" t="n">
        <v>25</v>
      </c>
      <c r="Y372" s="0" t="n">
        <v>16</v>
      </c>
      <c r="Z372" s="0" t="inlineStr">
        <is>
          <t>https://new.land.naver.com/complexes/144187?tab=detail&amp;rf=Y</t>
        </is>
      </c>
      <c r="AA372" s="0" t="inlineStr">
        <is>
          <t>충청북도 청주시 흥덕구 복대동 229-20번지 일원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흥덕구</t>
        </is>
      </c>
      <c r="AE372" s="0" t="inlineStr">
        <is>
          <t>복대동</t>
        </is>
      </c>
      <c r="AG372" s="0" t="inlineStr">
        <is>
          <t>충청북도 청주시 흥덕구 복대로220번길 13</t>
        </is>
      </c>
      <c r="AH372" s="0" t="n">
        <v>60</v>
      </c>
      <c r="AI372" s="0" t="n">
        <v>241</v>
      </c>
      <c r="AJ372" s="0" t="n">
        <v>15</v>
      </c>
      <c r="AK372" s="0" t="n">
        <v>1284</v>
      </c>
      <c r="AL372" s="0" t="n">
        <v>1.3</v>
      </c>
    </row>
    <row r="373">
      <c r="A373" s="0" t="inlineStr">
        <is>
          <t>[복대동]</t>
        </is>
      </c>
      <c r="B373" s="0" t="n">
        <v>144187</v>
      </c>
      <c r="C373" s="0" t="n">
        <v>7</v>
      </c>
      <c r="D373" s="0" t="inlineStr">
        <is>
          <t>더샵청주센트럴</t>
        </is>
      </c>
      <c r="E373" s="0" t="inlineStr">
        <is>
          <t>2024.03.</t>
        </is>
      </c>
      <c r="F373" s="0" t="n">
        <v>986</v>
      </c>
      <c r="G373" s="0" t="n">
        <v>34.12</v>
      </c>
      <c r="H373" s="0" t="n">
        <v>112.81</v>
      </c>
      <c r="I373" s="0" t="n">
        <v>25.7</v>
      </c>
      <c r="J373" s="0" t="n">
        <v>84.95999999999999</v>
      </c>
      <c r="K373" s="0" t="n">
        <v>50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112C</t>
        </is>
      </c>
      <c r="X373" s="0" t="n">
        <v>25</v>
      </c>
      <c r="Y373" s="0" t="n">
        <v>16</v>
      </c>
      <c r="Z373" s="0" t="inlineStr">
        <is>
          <t>https://new.land.naver.com/complexes/144187?tab=detail&amp;rf=Y</t>
        </is>
      </c>
      <c r="AA373" s="0" t="inlineStr">
        <is>
          <t>충청북도 청주시 흥덕구 복대동 229-20번지 일원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흥덕구</t>
        </is>
      </c>
      <c r="AE373" s="0" t="inlineStr">
        <is>
          <t>복대동</t>
        </is>
      </c>
      <c r="AG373" s="0" t="inlineStr">
        <is>
          <t>충청북도 청주시 흥덕구 복대로220번길 13</t>
        </is>
      </c>
      <c r="AH373" s="0" t="n">
        <v>60</v>
      </c>
      <c r="AI373" s="0" t="n">
        <v>241</v>
      </c>
      <c r="AJ373" s="0" t="n">
        <v>15</v>
      </c>
      <c r="AK373" s="0" t="n">
        <v>1284</v>
      </c>
      <c r="AL373" s="0" t="n">
        <v>1.3</v>
      </c>
    </row>
    <row r="374">
      <c r="A374" s="0" t="inlineStr">
        <is>
          <t>[복대동]</t>
        </is>
      </c>
      <c r="B374" s="0" t="n">
        <v>144187</v>
      </c>
      <c r="C374" s="0" t="n">
        <v>8</v>
      </c>
      <c r="D374" s="0" t="inlineStr">
        <is>
          <t>더샵청주센트럴</t>
        </is>
      </c>
      <c r="E374" s="0" t="inlineStr">
        <is>
          <t>2024.03.</t>
        </is>
      </c>
      <c r="F374" s="0" t="n">
        <v>986</v>
      </c>
      <c r="G374" s="0" t="n">
        <v>34.12</v>
      </c>
      <c r="H374" s="0" t="n">
        <v>112.81</v>
      </c>
      <c r="I374" s="0" t="n">
        <v>25.7</v>
      </c>
      <c r="J374" s="0" t="n">
        <v>84.95999999999999</v>
      </c>
      <c r="K374" s="0" t="n">
        <v>43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112D</t>
        </is>
      </c>
      <c r="X374" s="0" t="n">
        <v>25</v>
      </c>
      <c r="Y374" s="0" t="n">
        <v>16</v>
      </c>
      <c r="Z374" s="0" t="inlineStr">
        <is>
          <t>https://new.land.naver.com/complexes/144187?tab=detail&amp;rf=Y</t>
        </is>
      </c>
      <c r="AA374" s="0" t="inlineStr">
        <is>
          <t>충청북도 청주시 흥덕구 복대동 229-20번지 일원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흥덕구</t>
        </is>
      </c>
      <c r="AE374" s="0" t="inlineStr">
        <is>
          <t>복대동</t>
        </is>
      </c>
      <c r="AG374" s="0" t="inlineStr">
        <is>
          <t>충청북도 청주시 흥덕구 복대로220번길 13</t>
        </is>
      </c>
      <c r="AH374" s="0" t="n">
        <v>60</v>
      </c>
      <c r="AI374" s="0" t="n">
        <v>241</v>
      </c>
      <c r="AJ374" s="0" t="n">
        <v>15</v>
      </c>
      <c r="AK374" s="0" t="n">
        <v>1284</v>
      </c>
      <c r="AL374" s="0" t="n">
        <v>1.3</v>
      </c>
    </row>
    <row r="375">
      <c r="A375" s="0" t="inlineStr">
        <is>
          <t>[복대동]</t>
        </is>
      </c>
      <c r="B375" s="0" t="n">
        <v>120757</v>
      </c>
      <c r="C375" s="0" t="n">
        <v>1</v>
      </c>
      <c r="D375" s="0" t="inlineStr">
        <is>
          <t>신라가경</t>
        </is>
      </c>
      <c r="E375" s="0" t="inlineStr">
        <is>
          <t>1993.01.</t>
        </is>
      </c>
      <c r="F375" s="0" t="n">
        <v>92</v>
      </c>
      <c r="G375" s="0" t="n">
        <v>28.48</v>
      </c>
      <c r="H375" s="0" t="n">
        <v>94.16</v>
      </c>
      <c r="I375" s="0" t="n">
        <v>24.29</v>
      </c>
      <c r="J375" s="0" t="n">
        <v>80.31999999999999</v>
      </c>
      <c r="K375" s="0" t="n">
        <v>4</v>
      </c>
      <c r="T375" s="0" t="n">
        <v>3</v>
      </c>
      <c r="U375" s="0" t="n">
        <v>2</v>
      </c>
      <c r="V375" s="0" t="inlineStr">
        <is>
          <t>복도식</t>
        </is>
      </c>
      <c r="W375" s="0" t="n">
        <v>94</v>
      </c>
      <c r="X375" s="0" t="n">
        <v>4</v>
      </c>
      <c r="Y375" s="0" t="n">
        <v>4</v>
      </c>
      <c r="Z375" s="0" t="inlineStr">
        <is>
          <t>https://new.land.naver.com/complexes/120757?tab=detail&amp;rf=Y</t>
        </is>
      </c>
      <c r="AA375" s="0" t="inlineStr">
        <is>
          <t>충청북도 청주시 흥덕구 복대동 2447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흥덕구</t>
        </is>
      </c>
      <c r="AE375" s="0" t="inlineStr">
        <is>
          <t>복대동</t>
        </is>
      </c>
      <c r="AG375" s="0" t="inlineStr">
        <is>
          <t>충청북도 청주시 흥덕구 신율로 87</t>
        </is>
      </c>
      <c r="AH375" s="0" t="n">
        <v>0</v>
      </c>
      <c r="AI375" s="0" t="n">
        <v>121</v>
      </c>
      <c r="AJ375" s="0" t="n">
        <v>33</v>
      </c>
      <c r="AK375" s="0" t="n">
        <v>65</v>
      </c>
      <c r="AL375" s="0" t="n">
        <v>0.71</v>
      </c>
    </row>
    <row r="376">
      <c r="A376" s="0" t="inlineStr">
        <is>
          <t>[복대동]</t>
        </is>
      </c>
      <c r="B376" s="0" t="n">
        <v>120757</v>
      </c>
      <c r="C376" s="0" t="n">
        <v>2</v>
      </c>
      <c r="D376" s="0" t="inlineStr">
        <is>
          <t>신라가경</t>
        </is>
      </c>
      <c r="E376" s="0" t="inlineStr">
        <is>
          <t>1993.01.</t>
        </is>
      </c>
      <c r="F376" s="0" t="n">
        <v>92</v>
      </c>
      <c r="G376" s="0" t="n">
        <v>29.79</v>
      </c>
      <c r="H376" s="0" t="n">
        <v>98.48999999999999</v>
      </c>
      <c r="I376" s="0" t="n">
        <v>25.51</v>
      </c>
      <c r="J376" s="0" t="n">
        <v>84.36</v>
      </c>
      <c r="K376" s="0" t="n">
        <v>32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98A</t>
        </is>
      </c>
      <c r="X376" s="0" t="n">
        <v>4</v>
      </c>
      <c r="Y376" s="0" t="n">
        <v>4</v>
      </c>
      <c r="Z376" s="0" t="inlineStr">
        <is>
          <t>https://new.land.naver.com/complexes/120757?tab=detail&amp;rf=Y</t>
        </is>
      </c>
      <c r="AA376" s="0" t="inlineStr">
        <is>
          <t>충청북도 청주시 흥덕구 복대동 2447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흥덕구</t>
        </is>
      </c>
      <c r="AE376" s="0" t="inlineStr">
        <is>
          <t>복대동</t>
        </is>
      </c>
      <c r="AG376" s="0" t="inlineStr">
        <is>
          <t>충청북도 청주시 흥덕구 신율로 87</t>
        </is>
      </c>
      <c r="AH376" s="0" t="n">
        <v>0</v>
      </c>
      <c r="AI376" s="0" t="n">
        <v>121</v>
      </c>
      <c r="AJ376" s="0" t="n">
        <v>33</v>
      </c>
      <c r="AK376" s="0" t="n">
        <v>65</v>
      </c>
      <c r="AL376" s="0" t="n">
        <v>0.71</v>
      </c>
    </row>
    <row r="377">
      <c r="A377" s="0" t="inlineStr">
        <is>
          <t>[복대동]</t>
        </is>
      </c>
      <c r="B377" s="0" t="n">
        <v>120757</v>
      </c>
      <c r="C377" s="0" t="n">
        <v>3</v>
      </c>
      <c r="D377" s="0" t="inlineStr">
        <is>
          <t>신라가경</t>
        </is>
      </c>
      <c r="E377" s="0" t="inlineStr">
        <is>
          <t>1993.01.</t>
        </is>
      </c>
      <c r="F377" s="0" t="n">
        <v>92</v>
      </c>
      <c r="G377" s="0" t="n">
        <v>29.98</v>
      </c>
      <c r="H377" s="0" t="n">
        <v>99.14</v>
      </c>
      <c r="I377" s="0" t="n">
        <v>25.7</v>
      </c>
      <c r="J377" s="0" t="n">
        <v>84.95999999999999</v>
      </c>
      <c r="K377" s="0" t="n">
        <v>36</v>
      </c>
      <c r="T377" s="0" t="n">
        <v>3</v>
      </c>
      <c r="U377" s="0" t="n">
        <v>2</v>
      </c>
      <c r="V377" s="0" t="inlineStr">
        <is>
          <t>복도식</t>
        </is>
      </c>
      <c r="W377" s="0" t="inlineStr">
        <is>
          <t>99D</t>
        </is>
      </c>
      <c r="X377" s="0" t="n">
        <v>4</v>
      </c>
      <c r="Y377" s="0" t="n">
        <v>4</v>
      </c>
      <c r="Z377" s="0" t="inlineStr">
        <is>
          <t>https://new.land.naver.com/complexes/120757?tab=detail&amp;rf=Y</t>
        </is>
      </c>
      <c r="AA377" s="0" t="inlineStr">
        <is>
          <t>충청북도 청주시 흥덕구 복대동 2447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흥덕구</t>
        </is>
      </c>
      <c r="AE377" s="0" t="inlineStr">
        <is>
          <t>복대동</t>
        </is>
      </c>
      <c r="AG377" s="0" t="inlineStr">
        <is>
          <t>충청북도 청주시 흥덕구 신율로 87</t>
        </is>
      </c>
      <c r="AH377" s="0" t="n">
        <v>0</v>
      </c>
      <c r="AI377" s="0" t="n">
        <v>121</v>
      </c>
      <c r="AJ377" s="0" t="n">
        <v>33</v>
      </c>
      <c r="AK377" s="0" t="n">
        <v>65</v>
      </c>
      <c r="AL377" s="0" t="n">
        <v>0.71</v>
      </c>
    </row>
    <row r="378">
      <c r="A378" s="0" t="inlineStr">
        <is>
          <t>[복대동]</t>
        </is>
      </c>
      <c r="B378" s="0" t="n">
        <v>120757</v>
      </c>
      <c r="C378" s="0" t="n">
        <v>4</v>
      </c>
      <c r="D378" s="0" t="inlineStr">
        <is>
          <t>신라가경</t>
        </is>
      </c>
      <c r="E378" s="0" t="inlineStr">
        <is>
          <t>1993.01.</t>
        </is>
      </c>
      <c r="F378" s="0" t="n">
        <v>92</v>
      </c>
      <c r="G378" s="0" t="n">
        <v>30.38</v>
      </c>
      <c r="H378" s="0" t="n">
        <v>100.43</v>
      </c>
      <c r="I378" s="0" t="n">
        <v>25.68</v>
      </c>
      <c r="J378" s="0" t="n">
        <v>84.90000000000001</v>
      </c>
      <c r="K378" s="0" t="n">
        <v>8</v>
      </c>
      <c r="T378" s="0" t="n">
        <v>3</v>
      </c>
      <c r="U378" s="0" t="n">
        <v>2</v>
      </c>
      <c r="V378" s="0" t="inlineStr">
        <is>
          <t>복도식</t>
        </is>
      </c>
      <c r="W378" s="0" t="inlineStr">
        <is>
          <t>100C</t>
        </is>
      </c>
      <c r="X378" s="0" t="n">
        <v>4</v>
      </c>
      <c r="Y378" s="0" t="n">
        <v>4</v>
      </c>
      <c r="Z378" s="0" t="inlineStr">
        <is>
          <t>https://new.land.naver.com/complexes/120757?tab=detail&amp;rf=Y</t>
        </is>
      </c>
      <c r="AA378" s="0" t="inlineStr">
        <is>
          <t>충청북도 청주시 흥덕구 복대동 2447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흥덕구</t>
        </is>
      </c>
      <c r="AE378" s="0" t="inlineStr">
        <is>
          <t>복대동</t>
        </is>
      </c>
      <c r="AG378" s="0" t="inlineStr">
        <is>
          <t>충청북도 청주시 흥덕구 신율로 87</t>
        </is>
      </c>
      <c r="AH378" s="0" t="n">
        <v>0</v>
      </c>
      <c r="AI378" s="0" t="n">
        <v>121</v>
      </c>
      <c r="AJ378" s="0" t="n">
        <v>33</v>
      </c>
      <c r="AK378" s="0" t="n">
        <v>65</v>
      </c>
      <c r="AL378" s="0" t="n">
        <v>0.71</v>
      </c>
    </row>
    <row r="379">
      <c r="A379" s="0" t="inlineStr">
        <is>
          <t>[복대동]</t>
        </is>
      </c>
      <c r="B379" s="0" t="n">
        <v>120757</v>
      </c>
      <c r="C379" s="0" t="n">
        <v>5</v>
      </c>
      <c r="D379" s="0" t="inlineStr">
        <is>
          <t>신라가경</t>
        </is>
      </c>
      <c r="E379" s="0" t="inlineStr">
        <is>
          <t>1993.01.</t>
        </is>
      </c>
      <c r="F379" s="0" t="n">
        <v>92</v>
      </c>
      <c r="G379" s="0" t="n">
        <v>30.53</v>
      </c>
      <c r="H379" s="0" t="n">
        <v>100.95</v>
      </c>
      <c r="I379" s="0" t="n">
        <v>25.7</v>
      </c>
      <c r="J379" s="0" t="n">
        <v>84.95999999999999</v>
      </c>
      <c r="K379" s="0" t="n">
        <v>4</v>
      </c>
      <c r="T379" s="0" t="n">
        <v>3</v>
      </c>
      <c r="U379" s="0" t="n">
        <v>2</v>
      </c>
      <c r="V379" s="0" t="inlineStr">
        <is>
          <t>복도식</t>
        </is>
      </c>
      <c r="W379" s="0" t="n">
        <v>100</v>
      </c>
      <c r="X379" s="0" t="n">
        <v>4</v>
      </c>
      <c r="Y379" s="0" t="n">
        <v>4</v>
      </c>
      <c r="Z379" s="0" t="inlineStr">
        <is>
          <t>https://new.land.naver.com/complexes/120757?tab=detail&amp;rf=Y</t>
        </is>
      </c>
      <c r="AA379" s="0" t="inlineStr">
        <is>
          <t>충청북도 청주시 흥덕구 복대동 2447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흥덕구</t>
        </is>
      </c>
      <c r="AE379" s="0" t="inlineStr">
        <is>
          <t>복대동</t>
        </is>
      </c>
      <c r="AG379" s="0" t="inlineStr">
        <is>
          <t>충청북도 청주시 흥덕구 신율로 87</t>
        </is>
      </c>
      <c r="AH379" s="0" t="n">
        <v>0</v>
      </c>
      <c r="AI379" s="0" t="n">
        <v>121</v>
      </c>
      <c r="AJ379" s="0" t="n">
        <v>33</v>
      </c>
      <c r="AK379" s="0" t="n">
        <v>65</v>
      </c>
      <c r="AL379" s="0" t="n">
        <v>0.71</v>
      </c>
    </row>
    <row r="380">
      <c r="A380" s="0" t="inlineStr">
        <is>
          <t>[복대동]</t>
        </is>
      </c>
      <c r="B380" s="0" t="n">
        <v>120757</v>
      </c>
      <c r="C380" s="0" t="n">
        <v>6</v>
      </c>
      <c r="D380" s="0" t="inlineStr">
        <is>
          <t>신라가경</t>
        </is>
      </c>
      <c r="E380" s="0" t="inlineStr">
        <is>
          <t>1993.01.</t>
        </is>
      </c>
      <c r="F380" s="0" t="n">
        <v>92</v>
      </c>
      <c r="G380" s="0" t="n">
        <v>30.48</v>
      </c>
      <c r="H380" s="0" t="n">
        <v>100.77</v>
      </c>
      <c r="I380" s="0" t="n">
        <v>25.64</v>
      </c>
      <c r="J380" s="0" t="n">
        <v>84.79000000000001</v>
      </c>
      <c r="K380" s="0" t="n">
        <v>4</v>
      </c>
      <c r="T380" s="0" t="n">
        <v>3</v>
      </c>
      <c r="U380" s="0" t="n">
        <v>2</v>
      </c>
      <c r="V380" s="0" t="inlineStr">
        <is>
          <t>복도식</t>
        </is>
      </c>
      <c r="W380" s="0" t="inlineStr">
        <is>
          <t>100B</t>
        </is>
      </c>
      <c r="X380" s="0" t="n">
        <v>4</v>
      </c>
      <c r="Y380" s="0" t="n">
        <v>4</v>
      </c>
      <c r="Z380" s="0" t="inlineStr">
        <is>
          <t>https://new.land.naver.com/complexes/120757?tab=detail&amp;rf=Y</t>
        </is>
      </c>
      <c r="AA380" s="0" t="inlineStr">
        <is>
          <t>충청북도 청주시 흥덕구 복대동 2447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흥덕구</t>
        </is>
      </c>
      <c r="AE380" s="0" t="inlineStr">
        <is>
          <t>복대동</t>
        </is>
      </c>
      <c r="AG380" s="0" t="inlineStr">
        <is>
          <t>충청북도 청주시 흥덕구 신율로 87</t>
        </is>
      </c>
      <c r="AH380" s="0" t="n">
        <v>0</v>
      </c>
      <c r="AI380" s="0" t="n">
        <v>121</v>
      </c>
      <c r="AJ380" s="0" t="n">
        <v>33</v>
      </c>
      <c r="AK380" s="0" t="n">
        <v>65</v>
      </c>
      <c r="AL380" s="0" t="n">
        <v>0.71</v>
      </c>
    </row>
    <row r="381">
      <c r="A381" s="0" t="inlineStr">
        <is>
          <t>[복대동]</t>
        </is>
      </c>
      <c r="B381" s="0" t="n">
        <v>120757</v>
      </c>
      <c r="C381" s="0" t="n">
        <v>7</v>
      </c>
      <c r="D381" s="0" t="inlineStr">
        <is>
          <t>신라가경</t>
        </is>
      </c>
      <c r="E381" s="0" t="inlineStr">
        <is>
          <t>1993.01.</t>
        </is>
      </c>
      <c r="F381" s="0" t="n">
        <v>92</v>
      </c>
      <c r="G381" s="0" t="n">
        <v>31.79</v>
      </c>
      <c r="H381" s="0" t="n">
        <v>105.11</v>
      </c>
      <c r="I381" s="0" t="n">
        <v>25.59</v>
      </c>
      <c r="J381" s="0" t="n">
        <v>84.59999999999999</v>
      </c>
      <c r="K381" s="0" t="n">
        <v>4</v>
      </c>
      <c r="T381" s="0" t="n">
        <v>3</v>
      </c>
      <c r="U381" s="0" t="n">
        <v>2</v>
      </c>
      <c r="V381" s="0" t="inlineStr">
        <is>
          <t>복도식</t>
        </is>
      </c>
      <c r="W381" s="0" t="n">
        <v>105</v>
      </c>
      <c r="X381" s="0" t="n">
        <v>4</v>
      </c>
      <c r="Y381" s="0" t="n">
        <v>4</v>
      </c>
      <c r="Z381" s="0" t="inlineStr">
        <is>
          <t>https://new.land.naver.com/complexes/120757?tab=detail&amp;rf=Y</t>
        </is>
      </c>
      <c r="AA381" s="0" t="inlineStr">
        <is>
          <t>충청북도 청주시 흥덕구 복대동 2447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흥덕구</t>
        </is>
      </c>
      <c r="AE381" s="0" t="inlineStr">
        <is>
          <t>복대동</t>
        </is>
      </c>
      <c r="AG381" s="0" t="inlineStr">
        <is>
          <t>충청북도 청주시 흥덕구 신율로 87</t>
        </is>
      </c>
      <c r="AH381" s="0" t="n">
        <v>0</v>
      </c>
      <c r="AI381" s="0" t="n">
        <v>121</v>
      </c>
      <c r="AJ381" s="0" t="n">
        <v>33</v>
      </c>
      <c r="AK381" s="0" t="n">
        <v>65</v>
      </c>
      <c r="AL381" s="0" t="n">
        <v>0.71</v>
      </c>
    </row>
    <row r="382">
      <c r="A382" s="0" t="inlineStr">
        <is>
          <t>[복대동]</t>
        </is>
      </c>
      <c r="B382" s="0" t="n">
        <v>106972</v>
      </c>
      <c r="C382" s="0" t="n">
        <v>1</v>
      </c>
      <c r="D382" s="0" t="inlineStr">
        <is>
          <t>복대두진하트리움</t>
        </is>
      </c>
      <c r="E382" s="0" t="inlineStr">
        <is>
          <t>2015.11.</t>
        </is>
      </c>
      <c r="F382" s="0" t="n">
        <v>356</v>
      </c>
      <c r="G382" s="0" t="n">
        <v>25.97</v>
      </c>
      <c r="H382" s="0" t="n">
        <v>85.86</v>
      </c>
      <c r="I382" s="0" t="n">
        <v>18.11</v>
      </c>
      <c r="J382" s="0" t="n">
        <v>59.89</v>
      </c>
      <c r="K382" s="0" t="n">
        <v>92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85</v>
      </c>
      <c r="X382" s="0" t="n">
        <v>25</v>
      </c>
      <c r="Y382" s="0" t="n">
        <v>10</v>
      </c>
      <c r="Z382" s="0" t="inlineStr">
        <is>
          <t>https://new.land.naver.com/complexes/106972?tab=detail&amp;rf=Y</t>
        </is>
      </c>
      <c r="AA382" s="0" t="inlineStr">
        <is>
          <t>충청북도 청주시 흥덕구 복대동 3382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흥덕구</t>
        </is>
      </c>
      <c r="AE382" s="0" t="inlineStr">
        <is>
          <t>복대동</t>
        </is>
      </c>
      <c r="AG382" s="0" t="inlineStr">
        <is>
          <t>충청북도 청주시 흥덕구 죽천로 27</t>
        </is>
      </c>
      <c r="AH382" s="0" t="n">
        <v>0</v>
      </c>
      <c r="AI382" s="0" t="n">
        <v>228</v>
      </c>
      <c r="AJ382" s="0" t="n">
        <v>18</v>
      </c>
      <c r="AK382" s="0" t="n">
        <v>449</v>
      </c>
      <c r="AL382" s="0" t="n">
        <v>1.26</v>
      </c>
    </row>
    <row r="383">
      <c r="A383" s="0" t="inlineStr">
        <is>
          <t>[복대동]</t>
        </is>
      </c>
      <c r="B383" s="0" t="n">
        <v>106972</v>
      </c>
      <c r="C383" s="0" t="n">
        <v>2</v>
      </c>
      <c r="D383" s="0" t="inlineStr">
        <is>
          <t>복대두진하트리움</t>
        </is>
      </c>
      <c r="E383" s="0" t="inlineStr">
        <is>
          <t>2015.11.</t>
        </is>
      </c>
      <c r="F383" s="0" t="n">
        <v>356</v>
      </c>
      <c r="G383" s="0" t="n">
        <v>33.15</v>
      </c>
      <c r="H383" s="0" t="n">
        <v>109.59</v>
      </c>
      <c r="I383" s="0" t="n">
        <v>25.69</v>
      </c>
      <c r="J383" s="0" t="n">
        <v>84.93000000000001</v>
      </c>
      <c r="K383" s="0" t="n">
        <v>136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109A</t>
        </is>
      </c>
      <c r="X383" s="0" t="n">
        <v>25</v>
      </c>
      <c r="Y383" s="0" t="n">
        <v>10</v>
      </c>
      <c r="Z383" s="0" t="inlineStr">
        <is>
          <t>https://new.land.naver.com/complexes/106972?tab=detail&amp;rf=Y</t>
        </is>
      </c>
      <c r="AA383" s="0" t="inlineStr">
        <is>
          <t>충청북도 청주시 흥덕구 복대동 3382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흥덕구</t>
        </is>
      </c>
      <c r="AE383" s="0" t="inlineStr">
        <is>
          <t>복대동</t>
        </is>
      </c>
      <c r="AG383" s="0" t="inlineStr">
        <is>
          <t>충청북도 청주시 흥덕구 죽천로 27</t>
        </is>
      </c>
      <c r="AH383" s="0" t="n">
        <v>0</v>
      </c>
      <c r="AI383" s="0" t="n">
        <v>228</v>
      </c>
      <c r="AJ383" s="0" t="n">
        <v>18</v>
      </c>
      <c r="AK383" s="0" t="n">
        <v>449</v>
      </c>
      <c r="AL383" s="0" t="n">
        <v>1.26</v>
      </c>
    </row>
    <row r="384">
      <c r="A384" s="0" t="inlineStr">
        <is>
          <t>[복대동]</t>
        </is>
      </c>
      <c r="B384" s="0" t="n">
        <v>106972</v>
      </c>
      <c r="C384" s="0" t="n">
        <v>3</v>
      </c>
      <c r="D384" s="0" t="inlineStr">
        <is>
          <t>복대두진하트리움</t>
        </is>
      </c>
      <c r="E384" s="0" t="inlineStr">
        <is>
          <t>2015.11.</t>
        </is>
      </c>
      <c r="F384" s="0" t="n">
        <v>356</v>
      </c>
      <c r="G384" s="0" t="n">
        <v>33.09</v>
      </c>
      <c r="H384" s="0" t="n">
        <v>109.42</v>
      </c>
      <c r="I384" s="0" t="n">
        <v>25.68</v>
      </c>
      <c r="J384" s="0" t="n">
        <v>84.92</v>
      </c>
      <c r="K384" s="0" t="n">
        <v>68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109B</t>
        </is>
      </c>
      <c r="X384" s="0" t="n">
        <v>25</v>
      </c>
      <c r="Y384" s="0" t="n">
        <v>10</v>
      </c>
      <c r="Z384" s="0" t="inlineStr">
        <is>
          <t>https://new.land.naver.com/complexes/106972?tab=detail&amp;rf=Y</t>
        </is>
      </c>
      <c r="AA384" s="0" t="inlineStr">
        <is>
          <t>충청북도 청주시 흥덕구 복대동 3382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흥덕구</t>
        </is>
      </c>
      <c r="AE384" s="0" t="inlineStr">
        <is>
          <t>복대동</t>
        </is>
      </c>
      <c r="AG384" s="0" t="inlineStr">
        <is>
          <t>충청북도 청주시 흥덕구 죽천로 27</t>
        </is>
      </c>
      <c r="AH384" s="0" t="n">
        <v>0</v>
      </c>
      <c r="AI384" s="0" t="n">
        <v>228</v>
      </c>
      <c r="AJ384" s="0" t="n">
        <v>18</v>
      </c>
      <c r="AK384" s="0" t="n">
        <v>449</v>
      </c>
      <c r="AL384" s="0" t="n">
        <v>1.26</v>
      </c>
    </row>
    <row r="385">
      <c r="A385" s="0" t="inlineStr">
        <is>
          <t>[복대동]</t>
        </is>
      </c>
      <c r="B385" s="0" t="n">
        <v>106972</v>
      </c>
      <c r="C385" s="0" t="n">
        <v>4</v>
      </c>
      <c r="D385" s="0" t="inlineStr">
        <is>
          <t>복대두진하트리움</t>
        </is>
      </c>
      <c r="E385" s="0" t="inlineStr">
        <is>
          <t>2015.11.</t>
        </is>
      </c>
      <c r="F385" s="0" t="n">
        <v>356</v>
      </c>
      <c r="G385" s="0" t="n">
        <v>33.04</v>
      </c>
      <c r="H385" s="0" t="n">
        <v>109.23</v>
      </c>
      <c r="I385" s="0" t="n">
        <v>25.69</v>
      </c>
      <c r="J385" s="0" t="n">
        <v>84.94</v>
      </c>
      <c r="K385" s="0" t="n">
        <v>60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109C</t>
        </is>
      </c>
      <c r="X385" s="0" t="n">
        <v>25</v>
      </c>
      <c r="Y385" s="0" t="n">
        <v>10</v>
      </c>
      <c r="Z385" s="0" t="inlineStr">
        <is>
          <t>https://new.land.naver.com/complexes/106972?tab=detail&amp;rf=Y</t>
        </is>
      </c>
      <c r="AA385" s="0" t="inlineStr">
        <is>
          <t>충청북도 청주시 흥덕구 복대동 3382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흥덕구</t>
        </is>
      </c>
      <c r="AE385" s="0" t="inlineStr">
        <is>
          <t>복대동</t>
        </is>
      </c>
      <c r="AG385" s="0" t="inlineStr">
        <is>
          <t>충청북도 청주시 흥덕구 죽천로 27</t>
        </is>
      </c>
      <c r="AH385" s="0" t="n">
        <v>0</v>
      </c>
      <c r="AI385" s="0" t="n">
        <v>228</v>
      </c>
      <c r="AJ385" s="0" t="n">
        <v>18</v>
      </c>
      <c r="AK385" s="0" t="n">
        <v>449</v>
      </c>
      <c r="AL385" s="0" t="n">
        <v>1.26</v>
      </c>
    </row>
    <row r="386">
      <c r="A386" s="0" t="inlineStr">
        <is>
          <t>[복대동]</t>
        </is>
      </c>
      <c r="B386" s="0" t="n">
        <v>26190</v>
      </c>
      <c r="C386" s="0" t="n">
        <v>1</v>
      </c>
      <c r="D386" s="0" t="inlineStr">
        <is>
          <t>금호어울림2단지</t>
        </is>
      </c>
      <c r="E386" s="0" t="inlineStr">
        <is>
          <t>2009.02.</t>
        </is>
      </c>
      <c r="F386" s="0" t="n">
        <v>586</v>
      </c>
      <c r="G386" s="0" t="n">
        <v>34.39</v>
      </c>
      <c r="H386" s="0" t="n">
        <v>113.7</v>
      </c>
      <c r="I386" s="0" t="n">
        <v>25.59</v>
      </c>
      <c r="J386" s="0" t="n">
        <v>84.62</v>
      </c>
      <c r="K386" s="0" t="n">
        <v>268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113</v>
      </c>
      <c r="X386" s="0" t="n">
        <v>20</v>
      </c>
      <c r="Y386" s="0" t="n">
        <v>16</v>
      </c>
      <c r="Z386" s="0" t="inlineStr">
        <is>
          <t>https://new.land.naver.com/complexes/26190?tab=detail&amp;rf=Y</t>
        </is>
      </c>
      <c r="AA386" s="0" t="inlineStr">
        <is>
          <t>충청북도 청주시 흥덕구 복대동 3367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흥덕구</t>
        </is>
      </c>
      <c r="AE386" s="0" t="inlineStr">
        <is>
          <t>복대동</t>
        </is>
      </c>
      <c r="AG386" s="0" t="inlineStr">
        <is>
          <t>충청북도 청주시 흥덕구 대신로74번길 21</t>
        </is>
      </c>
      <c r="AH386" s="0" t="n">
        <v>0</v>
      </c>
      <c r="AI386" s="0" t="n">
        <v>229</v>
      </c>
      <c r="AJ386" s="0" t="n">
        <v>18</v>
      </c>
      <c r="AK386" s="0" t="n">
        <v>1003</v>
      </c>
      <c r="AL386" s="0" t="n">
        <v>1.71</v>
      </c>
    </row>
    <row r="387">
      <c r="A387" s="0" t="inlineStr">
        <is>
          <t>[복대동]</t>
        </is>
      </c>
      <c r="B387" s="0" t="n">
        <v>26190</v>
      </c>
      <c r="C387" s="0" t="n">
        <v>2</v>
      </c>
      <c r="D387" s="0" t="inlineStr">
        <is>
          <t>금호어울림2단지</t>
        </is>
      </c>
      <c r="E387" s="0" t="inlineStr">
        <is>
          <t>2009.02.</t>
        </is>
      </c>
      <c r="F387" s="0" t="n">
        <v>586</v>
      </c>
      <c r="G387" s="0" t="n">
        <v>37.95</v>
      </c>
      <c r="H387" s="0" t="n">
        <v>125.48</v>
      </c>
      <c r="I387" s="0" t="n">
        <v>30.15</v>
      </c>
      <c r="J387" s="0" t="n">
        <v>99.69</v>
      </c>
      <c r="K387" s="0" t="n">
        <v>56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125A</t>
        </is>
      </c>
      <c r="X387" s="0" t="n">
        <v>20</v>
      </c>
      <c r="Y387" s="0" t="n">
        <v>16</v>
      </c>
      <c r="Z387" s="0" t="inlineStr">
        <is>
          <t>https://new.land.naver.com/complexes/26190?tab=detail&amp;rf=Y</t>
        </is>
      </c>
      <c r="AA387" s="0" t="inlineStr">
        <is>
          <t>충청북도 청주시 흥덕구 복대동 3367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흥덕구</t>
        </is>
      </c>
      <c r="AE387" s="0" t="inlineStr">
        <is>
          <t>복대동</t>
        </is>
      </c>
      <c r="AG387" s="0" t="inlineStr">
        <is>
          <t>충청북도 청주시 흥덕구 대신로74번길 21</t>
        </is>
      </c>
      <c r="AH387" s="0" t="n">
        <v>0</v>
      </c>
      <c r="AI387" s="0" t="n">
        <v>229</v>
      </c>
      <c r="AJ387" s="0" t="n">
        <v>18</v>
      </c>
      <c r="AK387" s="0" t="n">
        <v>1003</v>
      </c>
      <c r="AL387" s="0" t="n">
        <v>1.71</v>
      </c>
    </row>
    <row r="388">
      <c r="A388" s="0" t="inlineStr">
        <is>
          <t>[복대동]</t>
        </is>
      </c>
      <c r="B388" s="0" t="n">
        <v>26190</v>
      </c>
      <c r="C388" s="0" t="n">
        <v>3</v>
      </c>
      <c r="D388" s="0" t="inlineStr">
        <is>
          <t>금호어울림2단지</t>
        </is>
      </c>
      <c r="E388" s="0" t="inlineStr">
        <is>
          <t>2009.02.</t>
        </is>
      </c>
      <c r="F388" s="0" t="n">
        <v>586</v>
      </c>
      <c r="G388" s="0" t="n">
        <v>46.6</v>
      </c>
      <c r="H388" s="0" t="n">
        <v>154.06</v>
      </c>
      <c r="I388" s="0" t="n">
        <v>37.39</v>
      </c>
      <c r="J388" s="0" t="n">
        <v>123.61</v>
      </c>
      <c r="K388" s="0" t="n">
        <v>89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154</v>
      </c>
      <c r="X388" s="0" t="n">
        <v>20</v>
      </c>
      <c r="Y388" s="0" t="n">
        <v>16</v>
      </c>
      <c r="Z388" s="0" t="inlineStr">
        <is>
          <t>https://new.land.naver.com/complexes/26190?tab=detail&amp;rf=Y</t>
        </is>
      </c>
      <c r="AA388" s="0" t="inlineStr">
        <is>
          <t>충청북도 청주시 흥덕구 복대동 3367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흥덕구</t>
        </is>
      </c>
      <c r="AE388" s="0" t="inlineStr">
        <is>
          <t>복대동</t>
        </is>
      </c>
      <c r="AG388" s="0" t="inlineStr">
        <is>
          <t>충청북도 청주시 흥덕구 대신로74번길 21</t>
        </is>
      </c>
      <c r="AH388" s="0" t="n">
        <v>0</v>
      </c>
      <c r="AI388" s="0" t="n">
        <v>229</v>
      </c>
      <c r="AJ388" s="0" t="n">
        <v>18</v>
      </c>
      <c r="AK388" s="0" t="n">
        <v>1003</v>
      </c>
      <c r="AL388" s="0" t="n">
        <v>1.71</v>
      </c>
    </row>
    <row r="389">
      <c r="A389" s="0" t="inlineStr">
        <is>
          <t>[복대동]</t>
        </is>
      </c>
      <c r="B389" s="0" t="n">
        <v>26190</v>
      </c>
      <c r="C389" s="0" t="n">
        <v>4</v>
      </c>
      <c r="D389" s="0" t="inlineStr">
        <is>
          <t>금호어울림2단지</t>
        </is>
      </c>
      <c r="E389" s="0" t="inlineStr">
        <is>
          <t>2009.02.</t>
        </is>
      </c>
      <c r="F389" s="0" t="n">
        <v>586</v>
      </c>
      <c r="G389" s="0" t="n">
        <v>49.82</v>
      </c>
      <c r="H389" s="0" t="n">
        <v>164.71</v>
      </c>
      <c r="I389" s="0" t="n">
        <v>39.71</v>
      </c>
      <c r="J389" s="0" t="n">
        <v>131.3</v>
      </c>
      <c r="K389" s="0" t="n">
        <v>56</v>
      </c>
      <c r="T389" s="0" t="n">
        <v>4</v>
      </c>
      <c r="U389" s="0" t="n">
        <v>2</v>
      </c>
      <c r="V389" s="0" t="inlineStr">
        <is>
          <t>계단식</t>
        </is>
      </c>
      <c r="W389" s="0" t="inlineStr">
        <is>
          <t>164A</t>
        </is>
      </c>
      <c r="X389" s="0" t="n">
        <v>20</v>
      </c>
      <c r="Y389" s="0" t="n">
        <v>16</v>
      </c>
      <c r="Z389" s="0" t="inlineStr">
        <is>
          <t>https://new.land.naver.com/complexes/26190?tab=detail&amp;rf=Y</t>
        </is>
      </c>
      <c r="AA389" s="0" t="inlineStr">
        <is>
          <t>충청북도 청주시 흥덕구 복대동 3367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흥덕구</t>
        </is>
      </c>
      <c r="AE389" s="0" t="inlineStr">
        <is>
          <t>복대동</t>
        </is>
      </c>
      <c r="AG389" s="0" t="inlineStr">
        <is>
          <t>충청북도 청주시 흥덕구 대신로74번길 21</t>
        </is>
      </c>
      <c r="AH389" s="0" t="n">
        <v>0</v>
      </c>
      <c r="AI389" s="0" t="n">
        <v>229</v>
      </c>
      <c r="AJ389" s="0" t="n">
        <v>18</v>
      </c>
      <c r="AK389" s="0" t="n">
        <v>1003</v>
      </c>
      <c r="AL389" s="0" t="n">
        <v>1.71</v>
      </c>
    </row>
    <row r="390">
      <c r="A390" s="0" t="inlineStr">
        <is>
          <t>[복대동]</t>
        </is>
      </c>
      <c r="B390" s="0" t="n">
        <v>26190</v>
      </c>
      <c r="C390" s="0" t="n">
        <v>5</v>
      </c>
      <c r="D390" s="0" t="inlineStr">
        <is>
          <t>금호어울림2단지</t>
        </is>
      </c>
      <c r="E390" s="0" t="inlineStr">
        <is>
          <t>2009.02.</t>
        </is>
      </c>
      <c r="F390" s="0" t="n">
        <v>586</v>
      </c>
      <c r="G390" s="0" t="n">
        <v>59.58</v>
      </c>
      <c r="H390" s="0" t="n">
        <v>196.98</v>
      </c>
      <c r="I390" s="0" t="n">
        <v>49.56</v>
      </c>
      <c r="J390" s="0" t="n">
        <v>163.84</v>
      </c>
      <c r="K390" s="0" t="n">
        <v>114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196</v>
      </c>
      <c r="X390" s="0" t="n">
        <v>20</v>
      </c>
      <c r="Y390" s="0" t="n">
        <v>16</v>
      </c>
      <c r="Z390" s="0" t="inlineStr">
        <is>
          <t>https://new.land.naver.com/complexes/26190?tab=detail&amp;rf=Y</t>
        </is>
      </c>
      <c r="AA390" s="0" t="inlineStr">
        <is>
          <t>충청북도 청주시 흥덕구 복대동 3367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흥덕구</t>
        </is>
      </c>
      <c r="AE390" s="0" t="inlineStr">
        <is>
          <t>복대동</t>
        </is>
      </c>
      <c r="AG390" s="0" t="inlineStr">
        <is>
          <t>충청북도 청주시 흥덕구 대신로74번길 21</t>
        </is>
      </c>
      <c r="AH390" s="0" t="n">
        <v>0</v>
      </c>
      <c r="AI390" s="0" t="n">
        <v>229</v>
      </c>
      <c r="AJ390" s="0" t="n">
        <v>18</v>
      </c>
      <c r="AK390" s="0" t="n">
        <v>1003</v>
      </c>
      <c r="AL390" s="0" t="n">
        <v>1.71</v>
      </c>
    </row>
    <row r="391">
      <c r="A391" s="0" t="inlineStr">
        <is>
          <t>[복대동]</t>
        </is>
      </c>
      <c r="B391" s="0" t="n">
        <v>26190</v>
      </c>
      <c r="C391" s="0" t="n">
        <v>6</v>
      </c>
      <c r="D391" s="0" t="inlineStr">
        <is>
          <t>금호어울림2단지</t>
        </is>
      </c>
      <c r="E391" s="0" t="inlineStr">
        <is>
          <t>2009.02.</t>
        </is>
      </c>
      <c r="F391" s="0" t="n">
        <v>586</v>
      </c>
      <c r="G391" s="0" t="n">
        <v>78.15000000000001</v>
      </c>
      <c r="H391" s="0" t="n">
        <v>258.36</v>
      </c>
      <c r="I391" s="0" t="n">
        <v>64.13</v>
      </c>
      <c r="J391" s="0" t="n">
        <v>212</v>
      </c>
      <c r="K391" s="0" t="n">
        <v>3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258</v>
      </c>
      <c r="X391" s="0" t="n">
        <v>20</v>
      </c>
      <c r="Y391" s="0" t="n">
        <v>16</v>
      </c>
      <c r="Z391" s="0" t="inlineStr">
        <is>
          <t>https://new.land.naver.com/complexes/26190?tab=detail&amp;rf=Y</t>
        </is>
      </c>
      <c r="AA391" s="0" t="inlineStr">
        <is>
          <t>충청북도 청주시 흥덕구 복대동 3367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흥덕구</t>
        </is>
      </c>
      <c r="AE391" s="0" t="inlineStr">
        <is>
          <t>복대동</t>
        </is>
      </c>
      <c r="AG391" s="0" t="inlineStr">
        <is>
          <t>충청북도 청주시 흥덕구 대신로74번길 21</t>
        </is>
      </c>
      <c r="AH391" s="0" t="n">
        <v>0</v>
      </c>
      <c r="AI391" s="0" t="n">
        <v>229</v>
      </c>
      <c r="AJ391" s="0" t="n">
        <v>18</v>
      </c>
      <c r="AK391" s="0" t="n">
        <v>1003</v>
      </c>
      <c r="AL391" s="0" t="n">
        <v>1.71</v>
      </c>
    </row>
    <row r="392">
      <c r="A392" s="0" t="inlineStr">
        <is>
          <t>[복대동]</t>
        </is>
      </c>
      <c r="B392" s="0" t="n">
        <v>108584</v>
      </c>
      <c r="C392" s="0" t="n">
        <v>1</v>
      </c>
      <c r="D392" s="0" t="inlineStr">
        <is>
          <t>명성</t>
        </is>
      </c>
      <c r="E392" s="0" t="inlineStr">
        <is>
          <t>1988..</t>
        </is>
      </c>
      <c r="F392" s="0" t="n">
        <v>100</v>
      </c>
      <c r="G392" s="0" t="n">
        <v>15.25</v>
      </c>
      <c r="H392" s="0" t="n">
        <v>50.43</v>
      </c>
      <c r="I392" s="0" t="n">
        <v>13.34</v>
      </c>
      <c r="J392" s="0" t="n">
        <v>44.1</v>
      </c>
      <c r="K392" s="0" t="n">
        <v>100</v>
      </c>
      <c r="T392" s="0" t="n">
        <v>2</v>
      </c>
      <c r="U392" s="0" t="n">
        <v>1</v>
      </c>
      <c r="V392" s="0" t="inlineStr">
        <is>
          <t>복도식</t>
        </is>
      </c>
      <c r="W392" s="0" t="n">
        <v>50</v>
      </c>
      <c r="X392" s="0" t="n">
        <v>5</v>
      </c>
      <c r="Y392" s="0" t="n">
        <v>5</v>
      </c>
      <c r="Z392" s="0" t="inlineStr">
        <is>
          <t>https://new.land.naver.com/complexes/108584?tab=detail&amp;rf=Y</t>
        </is>
      </c>
      <c r="AA392" s="0" t="inlineStr">
        <is>
          <t>충청북도 청주시 흥덕구 복대동 168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흥덕구</t>
        </is>
      </c>
      <c r="AE392" s="0" t="inlineStr">
        <is>
          <t>복대동</t>
        </is>
      </c>
      <c r="AG392" s="0" t="inlineStr">
        <is>
          <t>충청북도 청주시 흥덕구 신율로180번길 22</t>
        </is>
      </c>
      <c r="AH392" s="0" t="n">
        <v>0</v>
      </c>
      <c r="AI392" s="0" t="n">
        <v>0</v>
      </c>
      <c r="AJ392" s="0" t="n">
        <v>0</v>
      </c>
      <c r="AK392" s="0" t="n">
        <v>0</v>
      </c>
      <c r="AL392" s="0" t="n">
        <v>0</v>
      </c>
    </row>
    <row r="393">
      <c r="A393" s="0" t="inlineStr">
        <is>
          <t>[복대동]</t>
        </is>
      </c>
      <c r="B393" s="0" t="n">
        <v>109146</v>
      </c>
      <c r="C393" s="0" t="n">
        <v>1</v>
      </c>
      <c r="D393" s="0" t="inlineStr">
        <is>
          <t>청주</t>
        </is>
      </c>
      <c r="E393" s="0" t="inlineStr">
        <is>
          <t>1991.04.</t>
        </is>
      </c>
      <c r="F393" s="0" t="n">
        <v>60</v>
      </c>
      <c r="G393" s="0" t="n">
        <v>21.54</v>
      </c>
      <c r="H393" s="0" t="n">
        <v>71.20999999999999</v>
      </c>
      <c r="I393" s="0" t="n">
        <v>17.88</v>
      </c>
      <c r="J393" s="0" t="n">
        <v>59.14</v>
      </c>
      <c r="K393" s="0" t="n">
        <v>60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71</v>
      </c>
      <c r="X393" s="0" t="n">
        <v>6</v>
      </c>
      <c r="Y393" s="0" t="n">
        <v>6</v>
      </c>
      <c r="Z393" s="0" t="inlineStr">
        <is>
          <t>https://new.land.naver.com/complexes/109146?tab=detail&amp;rf=Y</t>
        </is>
      </c>
      <c r="AA393" s="0" t="inlineStr">
        <is>
          <t>충청북도 청주시 흥덕구 복대동 2446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흥덕구</t>
        </is>
      </c>
      <c r="AE393" s="0" t="inlineStr">
        <is>
          <t>복대동</t>
        </is>
      </c>
      <c r="AG393" s="0" t="inlineStr">
        <is>
          <t>충청북도 청주시 흥덕구 신율로103번길 9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[복대동]</t>
        </is>
      </c>
      <c r="B394" s="0" t="n">
        <v>15438</v>
      </c>
      <c r="C394" s="0" t="n">
        <v>1</v>
      </c>
      <c r="D394" s="0" t="inlineStr">
        <is>
          <t>삼일(3034)</t>
        </is>
      </c>
      <c r="E394" s="0" t="inlineStr">
        <is>
          <t>1998.11.</t>
        </is>
      </c>
      <c r="F394" s="0" t="n">
        <v>478</v>
      </c>
      <c r="G394" s="0" t="n">
        <v>31.9</v>
      </c>
      <c r="H394" s="0" t="n">
        <v>105.46</v>
      </c>
      <c r="I394" s="0" t="n">
        <v>25.67</v>
      </c>
      <c r="J394" s="0" t="n">
        <v>84.88</v>
      </c>
      <c r="K394" s="0" t="n">
        <v>328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105</v>
      </c>
      <c r="X394" s="0" t="n">
        <v>15</v>
      </c>
      <c r="Y394" s="0" t="n">
        <v>14</v>
      </c>
      <c r="Z394" s="0" t="inlineStr">
        <is>
          <t>https://new.land.naver.com/complexes/15438?tab=detail&amp;rf=Y</t>
        </is>
      </c>
      <c r="AA394" s="0" t="inlineStr">
        <is>
          <t>충청북도 청주시 흥덕구 복대동 3034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흥덕구</t>
        </is>
      </c>
      <c r="AE394" s="0" t="inlineStr">
        <is>
          <t>복대동</t>
        </is>
      </c>
      <c r="AG394" s="0" t="inlineStr">
        <is>
          <t>충청북도 청주시 흥덕구 증안로 108</t>
        </is>
      </c>
      <c r="AH394" s="0" t="n">
        <v>0</v>
      </c>
      <c r="AI394" s="0" t="n">
        <v>211</v>
      </c>
      <c r="AJ394" s="0" t="n">
        <v>22</v>
      </c>
      <c r="AK394" s="0" t="n">
        <v>0</v>
      </c>
      <c r="AL394" s="0" t="n">
        <v>0</v>
      </c>
    </row>
    <row r="395">
      <c r="A395" s="0" t="inlineStr">
        <is>
          <t>[복대동]</t>
        </is>
      </c>
      <c r="B395" s="0" t="n">
        <v>15438</v>
      </c>
      <c r="C395" s="0" t="n">
        <v>2</v>
      </c>
      <c r="D395" s="0" t="inlineStr">
        <is>
          <t>삼일(3034)</t>
        </is>
      </c>
      <c r="E395" s="0" t="inlineStr">
        <is>
          <t>1998.11.</t>
        </is>
      </c>
      <c r="F395" s="0" t="n">
        <v>478</v>
      </c>
      <c r="G395" s="0" t="n">
        <v>32.67</v>
      </c>
      <c r="H395" s="0" t="n">
        <v>108.03</v>
      </c>
      <c r="I395" s="0" t="n">
        <v>25.68</v>
      </c>
      <c r="J395" s="0" t="n">
        <v>84.90000000000001</v>
      </c>
      <c r="K395" s="0" t="n">
        <v>150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108</v>
      </c>
      <c r="X395" s="0" t="n">
        <v>15</v>
      </c>
      <c r="Y395" s="0" t="n">
        <v>14</v>
      </c>
      <c r="Z395" s="0" t="inlineStr">
        <is>
          <t>https://new.land.naver.com/complexes/15438?tab=detail&amp;rf=Y</t>
        </is>
      </c>
      <c r="AA395" s="0" t="inlineStr">
        <is>
          <t>충청북도 청주시 흥덕구 복대동 3034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흥덕구</t>
        </is>
      </c>
      <c r="AE395" s="0" t="inlineStr">
        <is>
          <t>복대동</t>
        </is>
      </c>
      <c r="AG395" s="0" t="inlineStr">
        <is>
          <t>충청북도 청주시 흥덕구 증안로 108</t>
        </is>
      </c>
      <c r="AH395" s="0" t="n">
        <v>0</v>
      </c>
      <c r="AI395" s="0" t="n">
        <v>211</v>
      </c>
      <c r="AJ395" s="0" t="n">
        <v>22</v>
      </c>
      <c r="AK395" s="0" t="n">
        <v>0</v>
      </c>
      <c r="AL395" s="0" t="n">
        <v>0</v>
      </c>
    </row>
    <row r="396">
      <c r="A396" s="0" t="inlineStr">
        <is>
          <t>[복대동]</t>
        </is>
      </c>
      <c r="B396" s="0" t="n">
        <v>23706</v>
      </c>
      <c r="C396" s="0" t="n">
        <v>1</v>
      </c>
      <c r="D396" s="0" t="inlineStr">
        <is>
          <t>주은</t>
        </is>
      </c>
      <c r="E396" s="0" t="inlineStr">
        <is>
          <t>2002.12.</t>
        </is>
      </c>
      <c r="F396" s="0" t="n">
        <v>220</v>
      </c>
      <c r="G396" s="0" t="n">
        <v>23.6</v>
      </c>
      <c r="H396" s="0" t="n">
        <v>78.04000000000001</v>
      </c>
      <c r="I396" s="0" t="n">
        <v>18.04</v>
      </c>
      <c r="J396" s="0" t="n">
        <v>59.64</v>
      </c>
      <c r="K396" s="0" t="n">
        <v>220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78</v>
      </c>
      <c r="X396" s="0" t="n">
        <v>15</v>
      </c>
      <c r="Y396" s="0" t="n">
        <v>9</v>
      </c>
      <c r="Z396" s="0" t="inlineStr">
        <is>
          <t>https://new.land.naver.com/complexes/23706?tab=detail&amp;rf=Y</t>
        </is>
      </c>
      <c r="AA396" s="0" t="inlineStr">
        <is>
          <t>충청북도 청주시 흥덕구 복대동 221-12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흥덕구</t>
        </is>
      </c>
      <c r="AE396" s="0" t="inlineStr">
        <is>
          <t>복대동</t>
        </is>
      </c>
      <c r="AG396" s="0" t="inlineStr">
        <is>
          <t>충청북도 청주시 흥덕구 죽천로143번길 19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[복대동]</t>
        </is>
      </c>
      <c r="B397" s="0" t="n">
        <v>112420</v>
      </c>
      <c r="C397" s="0" t="n">
        <v>1</v>
      </c>
      <c r="D397" s="0" t="inlineStr">
        <is>
          <t>청주지웰시티푸르지오</t>
        </is>
      </c>
      <c r="E397" s="0" t="inlineStr">
        <is>
          <t>2019.10.</t>
        </is>
      </c>
      <c r="F397" s="0" t="n">
        <v>466</v>
      </c>
      <c r="G397" s="0" t="n">
        <v>32.09</v>
      </c>
      <c r="H397" s="0" t="n">
        <v>106.1</v>
      </c>
      <c r="I397" s="0" t="n">
        <v>21.37</v>
      </c>
      <c r="J397" s="0" t="n">
        <v>70.67</v>
      </c>
      <c r="K397" s="0" t="n">
        <v>47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106B</t>
        </is>
      </c>
      <c r="X397" s="0" t="n">
        <v>49</v>
      </c>
      <c r="Y397" s="0" t="n">
        <v>49</v>
      </c>
      <c r="Z397" s="0" t="inlineStr">
        <is>
          <t>https://new.land.naver.com/complexes/112420?tab=detail&amp;rf=Y</t>
        </is>
      </c>
      <c r="AA397" s="0" t="inlineStr">
        <is>
          <t>충청북도 청주시 흥덕구 복대동 3404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흥덕구</t>
        </is>
      </c>
      <c r="AE397" s="0" t="inlineStr">
        <is>
          <t>복대동</t>
        </is>
      </c>
      <c r="AG397" s="0" t="inlineStr">
        <is>
          <t>충청북도 청주시 흥덕구 대농로 45</t>
        </is>
      </c>
      <c r="AH397" s="0" t="n">
        <v>0</v>
      </c>
      <c r="AI397" s="0" t="n">
        <v>794</v>
      </c>
      <c r="AJ397" s="0" t="n">
        <v>67</v>
      </c>
      <c r="AK397" s="0" t="n">
        <v>689</v>
      </c>
      <c r="AL397" s="0" t="n">
        <v>1.48</v>
      </c>
    </row>
    <row r="398">
      <c r="A398" s="0" t="inlineStr">
        <is>
          <t>[복대동]</t>
        </is>
      </c>
      <c r="B398" s="0" t="n">
        <v>112420</v>
      </c>
      <c r="C398" s="0" t="n">
        <v>2</v>
      </c>
      <c r="D398" s="0" t="inlineStr">
        <is>
          <t>청주지웰시티푸르지오</t>
        </is>
      </c>
      <c r="E398" s="0" t="inlineStr">
        <is>
          <t>2019.10.</t>
        </is>
      </c>
      <c r="F398" s="0" t="n">
        <v>466</v>
      </c>
      <c r="G398" s="0" t="n">
        <v>32.45</v>
      </c>
      <c r="H398" s="0" t="n">
        <v>107.29</v>
      </c>
      <c r="I398" s="0" t="n">
        <v>21.45</v>
      </c>
      <c r="J398" s="0" t="n">
        <v>70.93000000000001</v>
      </c>
      <c r="K398" s="0" t="n">
        <v>47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107A</t>
        </is>
      </c>
      <c r="X398" s="0" t="n">
        <v>49</v>
      </c>
      <c r="Y398" s="0" t="n">
        <v>49</v>
      </c>
      <c r="Z398" s="0" t="inlineStr">
        <is>
          <t>https://new.land.naver.com/complexes/112420?tab=detail&amp;rf=Y</t>
        </is>
      </c>
      <c r="AA398" s="0" t="inlineStr">
        <is>
          <t>충청북도 청주시 흥덕구 복대동 3404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흥덕구</t>
        </is>
      </c>
      <c r="AE398" s="0" t="inlineStr">
        <is>
          <t>복대동</t>
        </is>
      </c>
      <c r="AG398" s="0" t="inlineStr">
        <is>
          <t>충청북도 청주시 흥덕구 대농로 45</t>
        </is>
      </c>
      <c r="AH398" s="0" t="n">
        <v>0</v>
      </c>
      <c r="AI398" s="0" t="n">
        <v>794</v>
      </c>
      <c r="AJ398" s="0" t="n">
        <v>67</v>
      </c>
      <c r="AK398" s="0" t="n">
        <v>689</v>
      </c>
      <c r="AL398" s="0" t="n">
        <v>1.48</v>
      </c>
    </row>
    <row r="399">
      <c r="A399" s="0" t="inlineStr">
        <is>
          <t>[복대동]</t>
        </is>
      </c>
      <c r="B399" s="0" t="n">
        <v>112420</v>
      </c>
      <c r="C399" s="0" t="n">
        <v>3</v>
      </c>
      <c r="D399" s="0" t="inlineStr">
        <is>
          <t>청주지웰시티푸르지오</t>
        </is>
      </c>
      <c r="E399" s="0" t="inlineStr">
        <is>
          <t>2019.10.</t>
        </is>
      </c>
      <c r="F399" s="0" t="n">
        <v>466</v>
      </c>
      <c r="G399" s="0" t="n">
        <v>37.9</v>
      </c>
      <c r="H399" s="0" t="n">
        <v>125.29</v>
      </c>
      <c r="I399" s="0" t="n">
        <v>25.64</v>
      </c>
      <c r="J399" s="0" t="n">
        <v>84.78</v>
      </c>
      <c r="K399" s="0" t="n">
        <v>47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125E</t>
        </is>
      </c>
      <c r="X399" s="0" t="n">
        <v>49</v>
      </c>
      <c r="Y399" s="0" t="n">
        <v>49</v>
      </c>
      <c r="Z399" s="0" t="inlineStr">
        <is>
          <t>https://new.land.naver.com/complexes/112420?tab=detail&amp;rf=Y</t>
        </is>
      </c>
      <c r="AA399" s="0" t="inlineStr">
        <is>
          <t>충청북도 청주시 흥덕구 복대동 3404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흥덕구</t>
        </is>
      </c>
      <c r="AE399" s="0" t="inlineStr">
        <is>
          <t>복대동</t>
        </is>
      </c>
      <c r="AG399" s="0" t="inlineStr">
        <is>
          <t>충청북도 청주시 흥덕구 대농로 45</t>
        </is>
      </c>
      <c r="AH399" s="0" t="n">
        <v>0</v>
      </c>
      <c r="AI399" s="0" t="n">
        <v>794</v>
      </c>
      <c r="AJ399" s="0" t="n">
        <v>67</v>
      </c>
      <c r="AK399" s="0" t="n">
        <v>689</v>
      </c>
      <c r="AL399" s="0" t="n">
        <v>1.48</v>
      </c>
    </row>
    <row r="400">
      <c r="A400" s="0" t="inlineStr">
        <is>
          <t>[복대동]</t>
        </is>
      </c>
      <c r="B400" s="0" t="n">
        <v>112420</v>
      </c>
      <c r="C400" s="0" t="n">
        <v>4</v>
      </c>
      <c r="D400" s="0" t="inlineStr">
        <is>
          <t>청주지웰시티푸르지오</t>
        </is>
      </c>
      <c r="E400" s="0" t="inlineStr">
        <is>
          <t>2019.10.</t>
        </is>
      </c>
      <c r="F400" s="0" t="n">
        <v>466</v>
      </c>
      <c r="G400" s="0" t="n">
        <v>38.24</v>
      </c>
      <c r="H400" s="0" t="n">
        <v>126.44</v>
      </c>
      <c r="I400" s="0" t="n">
        <v>25.61</v>
      </c>
      <c r="J400" s="0" t="n">
        <v>84.69</v>
      </c>
      <c r="K400" s="0" t="n">
        <v>94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126B</t>
        </is>
      </c>
      <c r="X400" s="0" t="n">
        <v>49</v>
      </c>
      <c r="Y400" s="0" t="n">
        <v>49</v>
      </c>
      <c r="Z400" s="0" t="inlineStr">
        <is>
          <t>https://new.land.naver.com/complexes/112420?tab=detail&amp;rf=Y</t>
        </is>
      </c>
      <c r="AA400" s="0" t="inlineStr">
        <is>
          <t>충청북도 청주시 흥덕구 복대동 3404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흥덕구</t>
        </is>
      </c>
      <c r="AE400" s="0" t="inlineStr">
        <is>
          <t>복대동</t>
        </is>
      </c>
      <c r="AG400" s="0" t="inlineStr">
        <is>
          <t>충청북도 청주시 흥덕구 대농로 45</t>
        </is>
      </c>
      <c r="AH400" s="0" t="n">
        <v>0</v>
      </c>
      <c r="AI400" s="0" t="n">
        <v>794</v>
      </c>
      <c r="AJ400" s="0" t="n">
        <v>67</v>
      </c>
      <c r="AK400" s="0" t="n">
        <v>689</v>
      </c>
      <c r="AL400" s="0" t="n">
        <v>1.48</v>
      </c>
    </row>
    <row r="401">
      <c r="A401" s="0" t="inlineStr">
        <is>
          <t>[복대동]</t>
        </is>
      </c>
      <c r="B401" s="0" t="n">
        <v>112420</v>
      </c>
      <c r="C401" s="0" t="n">
        <v>5</v>
      </c>
      <c r="D401" s="0" t="inlineStr">
        <is>
          <t>청주지웰시티푸르지오</t>
        </is>
      </c>
      <c r="E401" s="0" t="inlineStr">
        <is>
          <t>2019.10.</t>
        </is>
      </c>
      <c r="F401" s="0" t="n">
        <v>466</v>
      </c>
      <c r="G401" s="0" t="n">
        <v>38.24</v>
      </c>
      <c r="H401" s="0" t="n">
        <v>126.44</v>
      </c>
      <c r="I401" s="0" t="n">
        <v>25.61</v>
      </c>
      <c r="J401" s="0" t="n">
        <v>84.69</v>
      </c>
      <c r="K401" s="0" t="n">
        <v>92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126A</t>
        </is>
      </c>
      <c r="X401" s="0" t="n">
        <v>49</v>
      </c>
      <c r="Y401" s="0" t="n">
        <v>49</v>
      </c>
      <c r="Z401" s="0" t="inlineStr">
        <is>
          <t>https://new.land.naver.com/complexes/112420?tab=detail&amp;rf=Y</t>
        </is>
      </c>
      <c r="AA401" s="0" t="inlineStr">
        <is>
          <t>충청북도 청주시 흥덕구 복대동 3404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흥덕구</t>
        </is>
      </c>
      <c r="AE401" s="0" t="inlineStr">
        <is>
          <t>복대동</t>
        </is>
      </c>
      <c r="AG401" s="0" t="inlineStr">
        <is>
          <t>충청북도 청주시 흥덕구 대농로 45</t>
        </is>
      </c>
      <c r="AH401" s="0" t="n">
        <v>0</v>
      </c>
      <c r="AI401" s="0" t="n">
        <v>794</v>
      </c>
      <c r="AJ401" s="0" t="n">
        <v>67</v>
      </c>
      <c r="AK401" s="0" t="n">
        <v>689</v>
      </c>
      <c r="AL401" s="0" t="n">
        <v>1.48</v>
      </c>
    </row>
    <row r="402">
      <c r="A402" s="0" t="inlineStr">
        <is>
          <t>[복대동]</t>
        </is>
      </c>
      <c r="B402" s="0" t="n">
        <v>112420</v>
      </c>
      <c r="C402" s="0" t="n">
        <v>6</v>
      </c>
      <c r="D402" s="0" t="inlineStr">
        <is>
          <t>청주지웰시티푸르지오</t>
        </is>
      </c>
      <c r="E402" s="0" t="inlineStr">
        <is>
          <t>2019.10.</t>
        </is>
      </c>
      <c r="F402" s="0" t="n">
        <v>466</v>
      </c>
      <c r="G402" s="0" t="n">
        <v>38.15</v>
      </c>
      <c r="H402" s="0" t="n">
        <v>126.13</v>
      </c>
      <c r="I402" s="0" t="n">
        <v>25.61</v>
      </c>
      <c r="J402" s="0" t="n">
        <v>84.67</v>
      </c>
      <c r="K402" s="0" t="n">
        <v>92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126C</t>
        </is>
      </c>
      <c r="X402" s="0" t="n">
        <v>49</v>
      </c>
      <c r="Y402" s="0" t="n">
        <v>49</v>
      </c>
      <c r="Z402" s="0" t="inlineStr">
        <is>
          <t>https://new.land.naver.com/complexes/112420?tab=detail&amp;rf=Y</t>
        </is>
      </c>
      <c r="AA402" s="0" t="inlineStr">
        <is>
          <t>충청북도 청주시 흥덕구 복대동 3404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흥덕구</t>
        </is>
      </c>
      <c r="AE402" s="0" t="inlineStr">
        <is>
          <t>복대동</t>
        </is>
      </c>
      <c r="AG402" s="0" t="inlineStr">
        <is>
          <t>충청북도 청주시 흥덕구 대농로 45</t>
        </is>
      </c>
      <c r="AH402" s="0" t="n">
        <v>0</v>
      </c>
      <c r="AI402" s="0" t="n">
        <v>794</v>
      </c>
      <c r="AJ402" s="0" t="n">
        <v>67</v>
      </c>
      <c r="AK402" s="0" t="n">
        <v>689</v>
      </c>
      <c r="AL402" s="0" t="n">
        <v>1.48</v>
      </c>
    </row>
    <row r="403">
      <c r="A403" s="0" t="inlineStr">
        <is>
          <t>[복대동]</t>
        </is>
      </c>
      <c r="B403" s="0" t="n">
        <v>112420</v>
      </c>
      <c r="C403" s="0" t="n">
        <v>7</v>
      </c>
      <c r="D403" s="0" t="inlineStr">
        <is>
          <t>청주지웰시티푸르지오</t>
        </is>
      </c>
      <c r="E403" s="0" t="inlineStr">
        <is>
          <t>2019.10.</t>
        </is>
      </c>
      <c r="F403" s="0" t="n">
        <v>466</v>
      </c>
      <c r="G403" s="0" t="n">
        <v>38.15</v>
      </c>
      <c r="H403" s="0" t="n">
        <v>126.12</v>
      </c>
      <c r="I403" s="0" t="n">
        <v>25.61</v>
      </c>
      <c r="J403" s="0" t="n">
        <v>84.67</v>
      </c>
      <c r="K403" s="0" t="n">
        <v>47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126D</t>
        </is>
      </c>
      <c r="X403" s="0" t="n">
        <v>49</v>
      </c>
      <c r="Y403" s="0" t="n">
        <v>49</v>
      </c>
      <c r="Z403" s="0" t="inlineStr">
        <is>
          <t>https://new.land.naver.com/complexes/112420?tab=detail&amp;rf=Y</t>
        </is>
      </c>
      <c r="AA403" s="0" t="inlineStr">
        <is>
          <t>충청북도 청주시 흥덕구 복대동 3404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흥덕구</t>
        </is>
      </c>
      <c r="AE403" s="0" t="inlineStr">
        <is>
          <t>복대동</t>
        </is>
      </c>
      <c r="AG403" s="0" t="inlineStr">
        <is>
          <t>충청북도 청주시 흥덕구 대농로 45</t>
        </is>
      </c>
      <c r="AH403" s="0" t="n">
        <v>0</v>
      </c>
      <c r="AI403" s="0" t="n">
        <v>794</v>
      </c>
      <c r="AJ403" s="0" t="n">
        <v>67</v>
      </c>
      <c r="AK403" s="0" t="n">
        <v>689</v>
      </c>
      <c r="AL403" s="0" t="n">
        <v>1.48</v>
      </c>
    </row>
    <row r="404">
      <c r="A404" s="0" t="inlineStr">
        <is>
          <t>[복대동]</t>
        </is>
      </c>
      <c r="B404" s="0" t="n">
        <v>7350</v>
      </c>
      <c r="C404" s="0" t="n">
        <v>1</v>
      </c>
      <c r="D404" s="0" t="inlineStr">
        <is>
          <t>형석(992)</t>
        </is>
      </c>
      <c r="E404" s="0" t="inlineStr">
        <is>
          <t>1990.01.</t>
        </is>
      </c>
      <c r="F404" s="0" t="n">
        <v>355</v>
      </c>
      <c r="G404" s="0" t="n">
        <v>10.69</v>
      </c>
      <c r="H404" s="0" t="n">
        <v>35.37</v>
      </c>
      <c r="I404" s="0" t="n">
        <v>6.86</v>
      </c>
      <c r="J404" s="0" t="n">
        <v>22.68</v>
      </c>
      <c r="K404" s="0" t="n">
        <v>95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35</v>
      </c>
      <c r="X404" s="0" t="n">
        <v>5</v>
      </c>
      <c r="Y404" s="0" t="n">
        <v>5</v>
      </c>
      <c r="Z404" s="0" t="inlineStr">
        <is>
          <t>https://new.land.naver.com/complexes/7350?tab=detail&amp;rf=Y</t>
        </is>
      </c>
      <c r="AA404" s="0" t="inlineStr">
        <is>
          <t>충청북도 청주시 흥덕구 복대동 992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흥덕구</t>
        </is>
      </c>
      <c r="AE404" s="0" t="inlineStr">
        <is>
          <t>복대동</t>
        </is>
      </c>
      <c r="AG404" s="0" t="inlineStr">
        <is>
          <t>충청북도 청주시 흥덕구 복대로 159</t>
        </is>
      </c>
      <c r="AH404" s="0" t="n">
        <v>0</v>
      </c>
      <c r="AI404" s="0" t="n">
        <v>0</v>
      </c>
      <c r="AJ404" s="0" t="n">
        <v>0</v>
      </c>
      <c r="AK404" s="0" t="n">
        <v>0</v>
      </c>
      <c r="AL404" s="0" t="n">
        <v>0</v>
      </c>
    </row>
    <row r="405">
      <c r="A405" s="0" t="inlineStr">
        <is>
          <t>[복대동]</t>
        </is>
      </c>
      <c r="B405" s="0" t="n">
        <v>7350</v>
      </c>
      <c r="C405" s="0" t="n">
        <v>2</v>
      </c>
      <c r="D405" s="0" t="inlineStr">
        <is>
          <t>형석(992)</t>
        </is>
      </c>
      <c r="E405" s="0" t="inlineStr">
        <is>
          <t>1990.01.</t>
        </is>
      </c>
      <c r="F405" s="0" t="n">
        <v>355</v>
      </c>
      <c r="G405" s="0" t="n">
        <v>15.4</v>
      </c>
      <c r="H405" s="0" t="n">
        <v>50.91</v>
      </c>
      <c r="I405" s="0" t="n">
        <v>12.04</v>
      </c>
      <c r="J405" s="0" t="n">
        <v>39.82</v>
      </c>
      <c r="K405" s="0" t="n">
        <v>100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50</v>
      </c>
      <c r="X405" s="0" t="n">
        <v>5</v>
      </c>
      <c r="Y405" s="0" t="n">
        <v>5</v>
      </c>
      <c r="Z405" s="0" t="inlineStr">
        <is>
          <t>https://new.land.naver.com/complexes/7350?tab=detail&amp;rf=Y</t>
        </is>
      </c>
      <c r="AA405" s="0" t="inlineStr">
        <is>
          <t>충청북도 청주시 흥덕구 복대동 992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흥덕구</t>
        </is>
      </c>
      <c r="AE405" s="0" t="inlineStr">
        <is>
          <t>복대동</t>
        </is>
      </c>
      <c r="AG405" s="0" t="inlineStr">
        <is>
          <t>충청북도 청주시 흥덕구 복대로 159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[복대동]</t>
        </is>
      </c>
      <c r="B406" s="0" t="n">
        <v>7350</v>
      </c>
      <c r="C406" s="0" t="n">
        <v>3</v>
      </c>
      <c r="D406" s="0" t="inlineStr">
        <is>
          <t>형석(992)</t>
        </is>
      </c>
      <c r="E406" s="0" t="inlineStr">
        <is>
          <t>1990.01.</t>
        </is>
      </c>
      <c r="F406" s="0" t="n">
        <v>355</v>
      </c>
      <c r="G406" s="0" t="n">
        <v>22.11</v>
      </c>
      <c r="H406" s="0" t="n">
        <v>73.11</v>
      </c>
      <c r="I406" s="0" t="n">
        <v>18.12</v>
      </c>
      <c r="J406" s="0" t="n">
        <v>59.92</v>
      </c>
      <c r="K406" s="0" t="n">
        <v>80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73</v>
      </c>
      <c r="X406" s="0" t="n">
        <v>5</v>
      </c>
      <c r="Y406" s="0" t="n">
        <v>5</v>
      </c>
      <c r="Z406" s="0" t="inlineStr">
        <is>
          <t>https://new.land.naver.com/complexes/7350?tab=detail&amp;rf=Y</t>
        </is>
      </c>
      <c r="AA406" s="0" t="inlineStr">
        <is>
          <t>충청북도 청주시 흥덕구 복대동 992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흥덕구</t>
        </is>
      </c>
      <c r="AE406" s="0" t="inlineStr">
        <is>
          <t>복대동</t>
        </is>
      </c>
      <c r="AG406" s="0" t="inlineStr">
        <is>
          <t>충청북도 청주시 흥덕구 복대로 159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[복대동]</t>
        </is>
      </c>
      <c r="B407" s="0" t="n">
        <v>7350</v>
      </c>
      <c r="C407" s="0" t="n">
        <v>4</v>
      </c>
      <c r="D407" s="0" t="inlineStr">
        <is>
          <t>형석(992)</t>
        </is>
      </c>
      <c r="E407" s="0" t="inlineStr">
        <is>
          <t>1990.01.</t>
        </is>
      </c>
      <c r="F407" s="0" t="n">
        <v>355</v>
      </c>
      <c r="G407" s="0" t="n">
        <v>30.05</v>
      </c>
      <c r="H407" s="0" t="n">
        <v>99.37</v>
      </c>
      <c r="I407" s="0" t="n">
        <v>25.69</v>
      </c>
      <c r="J407" s="0" t="n">
        <v>84.93000000000001</v>
      </c>
      <c r="K407" s="0" t="n">
        <v>80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99</v>
      </c>
      <c r="X407" s="0" t="n">
        <v>5</v>
      </c>
      <c r="Y407" s="0" t="n">
        <v>5</v>
      </c>
      <c r="Z407" s="0" t="inlineStr">
        <is>
          <t>https://new.land.naver.com/complexes/7350?tab=detail&amp;rf=Y</t>
        </is>
      </c>
      <c r="AA407" s="0" t="inlineStr">
        <is>
          <t>충청북도 청주시 흥덕구 복대동 992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흥덕구</t>
        </is>
      </c>
      <c r="AE407" s="0" t="inlineStr">
        <is>
          <t>복대동</t>
        </is>
      </c>
      <c r="AG407" s="0" t="inlineStr">
        <is>
          <t>충청북도 청주시 흥덕구 복대로 159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[복대동]</t>
        </is>
      </c>
      <c r="B408" s="0" t="n">
        <v>117869</v>
      </c>
      <c r="C408" s="0" t="n">
        <v>1</v>
      </c>
      <c r="D408" s="0" t="inlineStr">
        <is>
          <t>충대풀하우스(도시형)</t>
        </is>
      </c>
      <c r="E408" s="0" t="inlineStr">
        <is>
          <t>2014.02.</t>
        </is>
      </c>
      <c r="F408" s="0" t="n">
        <v>32</v>
      </c>
      <c r="G408" s="0" t="n">
        <v>8.82</v>
      </c>
      <c r="H408" s="0" t="n">
        <v>29.17</v>
      </c>
      <c r="I408" s="0" t="n">
        <v>4.64</v>
      </c>
      <c r="J408" s="0" t="n">
        <v>15.36</v>
      </c>
      <c r="K408" s="0" t="n">
        <v>4</v>
      </c>
      <c r="T408" s="0" t="n">
        <v>1</v>
      </c>
      <c r="U408" s="0" t="n">
        <v>1</v>
      </c>
      <c r="V408" s="0" t="inlineStr">
        <is>
          <t>복도식</t>
        </is>
      </c>
      <c r="W408" s="0" t="inlineStr">
        <is>
          <t>29A</t>
        </is>
      </c>
      <c r="X408" s="0" t="n">
        <v>7</v>
      </c>
      <c r="Y408" s="0" t="n">
        <v>7</v>
      </c>
      <c r="Z408" s="0" t="inlineStr">
        <is>
          <t>https://new.land.naver.com/complexes/117869?tab=detail&amp;rf=Y</t>
        </is>
      </c>
      <c r="AA408" s="0" t="inlineStr">
        <is>
          <t>충청북도 청주시 흥덕구 복대동 870-5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흥덕구</t>
        </is>
      </c>
      <c r="AE408" s="0" t="inlineStr">
        <is>
          <t>복대동</t>
        </is>
      </c>
      <c r="AG408" s="0" t="inlineStr">
        <is>
          <t>충청북도 청주시 흥덕구 사직대로 62</t>
        </is>
      </c>
      <c r="AH408" s="0" t="n">
        <v>0</v>
      </c>
      <c r="AI408" s="0" t="n">
        <v>436</v>
      </c>
      <c r="AJ408" s="0" t="n">
        <v>72</v>
      </c>
      <c r="AK408" s="0" t="n">
        <v>10</v>
      </c>
      <c r="AL408" s="0" t="n">
        <v>0.31</v>
      </c>
    </row>
    <row r="409">
      <c r="A409" s="0" t="inlineStr">
        <is>
          <t>[복대동]</t>
        </is>
      </c>
      <c r="B409" s="0" t="n">
        <v>117869</v>
      </c>
      <c r="C409" s="0" t="n">
        <v>2</v>
      </c>
      <c r="D409" s="0" t="inlineStr">
        <is>
          <t>충대풀하우스(도시형)</t>
        </is>
      </c>
      <c r="E409" s="0" t="inlineStr">
        <is>
          <t>2014.02.</t>
        </is>
      </c>
      <c r="F409" s="0" t="n">
        <v>32</v>
      </c>
      <c r="G409" s="0" t="n">
        <v>9.16</v>
      </c>
      <c r="H409" s="0" t="n">
        <v>30.31</v>
      </c>
      <c r="I409" s="0" t="n">
        <v>4.82</v>
      </c>
      <c r="J409" s="0" t="n">
        <v>15.96</v>
      </c>
      <c r="K409" s="0" t="n">
        <v>4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30B</t>
        </is>
      </c>
      <c r="X409" s="0" t="n">
        <v>7</v>
      </c>
      <c r="Y409" s="0" t="n">
        <v>7</v>
      </c>
      <c r="Z409" s="0" t="inlineStr">
        <is>
          <t>https://new.land.naver.com/complexes/117869?tab=detail&amp;rf=Y</t>
        </is>
      </c>
      <c r="AA409" s="0" t="inlineStr">
        <is>
          <t>충청북도 청주시 흥덕구 복대동 870-5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흥덕구</t>
        </is>
      </c>
      <c r="AE409" s="0" t="inlineStr">
        <is>
          <t>복대동</t>
        </is>
      </c>
      <c r="AG409" s="0" t="inlineStr">
        <is>
          <t>충청북도 청주시 흥덕구 사직대로 62</t>
        </is>
      </c>
      <c r="AH409" s="0" t="n">
        <v>0</v>
      </c>
      <c r="AI409" s="0" t="n">
        <v>436</v>
      </c>
      <c r="AJ409" s="0" t="n">
        <v>72</v>
      </c>
      <c r="AK409" s="0" t="n">
        <v>10</v>
      </c>
      <c r="AL409" s="0" t="n">
        <v>0.31</v>
      </c>
    </row>
    <row r="410">
      <c r="A410" s="0" t="inlineStr">
        <is>
          <t>[복대동]</t>
        </is>
      </c>
      <c r="B410" s="0" t="n">
        <v>117869</v>
      </c>
      <c r="C410" s="0" t="n">
        <v>3</v>
      </c>
      <c r="D410" s="0" t="inlineStr">
        <is>
          <t>충대풀하우스(도시형)</t>
        </is>
      </c>
      <c r="E410" s="0" t="inlineStr">
        <is>
          <t>2014.02.</t>
        </is>
      </c>
      <c r="F410" s="0" t="n">
        <v>32</v>
      </c>
      <c r="G410" s="0" t="n">
        <v>9.92</v>
      </c>
      <c r="H410" s="0" t="n">
        <v>32.82</v>
      </c>
      <c r="I410" s="0" t="n">
        <v>5.22</v>
      </c>
      <c r="J410" s="0" t="n">
        <v>17.28</v>
      </c>
      <c r="K410" s="0" t="n">
        <v>4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32A</t>
        </is>
      </c>
      <c r="X410" s="0" t="n">
        <v>7</v>
      </c>
      <c r="Y410" s="0" t="n">
        <v>7</v>
      </c>
      <c r="Z410" s="0" t="inlineStr">
        <is>
          <t>https://new.land.naver.com/complexes/117869?tab=detail&amp;rf=Y</t>
        </is>
      </c>
      <c r="AA410" s="0" t="inlineStr">
        <is>
          <t>충청북도 청주시 흥덕구 복대동 870-5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흥덕구</t>
        </is>
      </c>
      <c r="AE410" s="0" t="inlineStr">
        <is>
          <t>복대동</t>
        </is>
      </c>
      <c r="AG410" s="0" t="inlineStr">
        <is>
          <t>충청북도 청주시 흥덕구 사직대로 62</t>
        </is>
      </c>
      <c r="AH410" s="0" t="n">
        <v>0</v>
      </c>
      <c r="AI410" s="0" t="n">
        <v>436</v>
      </c>
      <c r="AJ410" s="0" t="n">
        <v>72</v>
      </c>
      <c r="AK410" s="0" t="n">
        <v>10</v>
      </c>
      <c r="AL410" s="0" t="n">
        <v>0.31</v>
      </c>
    </row>
    <row r="411">
      <c r="A411" s="0" t="inlineStr">
        <is>
          <t>[복대동]</t>
        </is>
      </c>
      <c r="B411" s="0" t="n">
        <v>117869</v>
      </c>
      <c r="C411" s="0" t="n">
        <v>4</v>
      </c>
      <c r="D411" s="0" t="inlineStr">
        <is>
          <t>충대풀하우스(도시형)</t>
        </is>
      </c>
      <c r="E411" s="0" t="inlineStr">
        <is>
          <t>2014.02.</t>
        </is>
      </c>
      <c r="F411" s="0" t="n">
        <v>32</v>
      </c>
      <c r="G411" s="0" t="n">
        <v>10.13</v>
      </c>
      <c r="H411" s="0" t="n">
        <v>33.5</v>
      </c>
      <c r="I411" s="0" t="n">
        <v>5.33</v>
      </c>
      <c r="J411" s="0" t="n">
        <v>17.64</v>
      </c>
      <c r="K411" s="0" t="n">
        <v>12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33B</t>
        </is>
      </c>
      <c r="X411" s="0" t="n">
        <v>7</v>
      </c>
      <c r="Y411" s="0" t="n">
        <v>7</v>
      </c>
      <c r="Z411" s="0" t="inlineStr">
        <is>
          <t>https://new.land.naver.com/complexes/117869?tab=detail&amp;rf=Y</t>
        </is>
      </c>
      <c r="AA411" s="0" t="inlineStr">
        <is>
          <t>충청북도 청주시 흥덕구 복대동 870-5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흥덕구</t>
        </is>
      </c>
      <c r="AE411" s="0" t="inlineStr">
        <is>
          <t>복대동</t>
        </is>
      </c>
      <c r="AG411" s="0" t="inlineStr">
        <is>
          <t>충청북도 청주시 흥덕구 사직대로 62</t>
        </is>
      </c>
      <c r="AH411" s="0" t="n">
        <v>0</v>
      </c>
      <c r="AI411" s="0" t="n">
        <v>436</v>
      </c>
      <c r="AJ411" s="0" t="n">
        <v>72</v>
      </c>
      <c r="AK411" s="0" t="n">
        <v>10</v>
      </c>
      <c r="AL411" s="0" t="n">
        <v>0.31</v>
      </c>
    </row>
    <row r="412">
      <c r="A412" s="0" t="inlineStr">
        <is>
          <t>[복대동]</t>
        </is>
      </c>
      <c r="B412" s="0" t="n">
        <v>117869</v>
      </c>
      <c r="C412" s="0" t="n">
        <v>5</v>
      </c>
      <c r="D412" s="0" t="inlineStr">
        <is>
          <t>충대풀하우스(도시형)</t>
        </is>
      </c>
      <c r="E412" s="0" t="inlineStr">
        <is>
          <t>2014.02.</t>
        </is>
      </c>
      <c r="F412" s="0" t="n">
        <v>32</v>
      </c>
      <c r="G412" s="0" t="n">
        <v>10.13</v>
      </c>
      <c r="H412" s="0" t="n">
        <v>33.51</v>
      </c>
      <c r="I412" s="0" t="n">
        <v>5.33</v>
      </c>
      <c r="J412" s="0" t="n">
        <v>17.64</v>
      </c>
      <c r="K412" s="0" t="n">
        <v>4</v>
      </c>
      <c r="T412" s="0" t="n">
        <v>1</v>
      </c>
      <c r="U412" s="0" t="n">
        <v>1</v>
      </c>
      <c r="V412" s="0" t="inlineStr">
        <is>
          <t>복도식</t>
        </is>
      </c>
      <c r="W412" s="0" t="inlineStr">
        <is>
          <t>33C</t>
        </is>
      </c>
      <c r="X412" s="0" t="n">
        <v>7</v>
      </c>
      <c r="Y412" s="0" t="n">
        <v>7</v>
      </c>
      <c r="Z412" s="0" t="inlineStr">
        <is>
          <t>https://new.land.naver.com/complexes/117869?tab=detail&amp;rf=Y</t>
        </is>
      </c>
      <c r="AA412" s="0" t="inlineStr">
        <is>
          <t>충청북도 청주시 흥덕구 복대동 870-5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흥덕구</t>
        </is>
      </c>
      <c r="AE412" s="0" t="inlineStr">
        <is>
          <t>복대동</t>
        </is>
      </c>
      <c r="AG412" s="0" t="inlineStr">
        <is>
          <t>충청북도 청주시 흥덕구 사직대로 62</t>
        </is>
      </c>
      <c r="AH412" s="0" t="n">
        <v>0</v>
      </c>
      <c r="AI412" s="0" t="n">
        <v>436</v>
      </c>
      <c r="AJ412" s="0" t="n">
        <v>72</v>
      </c>
      <c r="AK412" s="0" t="n">
        <v>10</v>
      </c>
      <c r="AL412" s="0" t="n">
        <v>0.31</v>
      </c>
    </row>
    <row r="413">
      <c r="A413" s="0" t="inlineStr">
        <is>
          <t>[복대동]</t>
        </is>
      </c>
      <c r="B413" s="0" t="n">
        <v>117869</v>
      </c>
      <c r="C413" s="0" t="n">
        <v>6</v>
      </c>
      <c r="D413" s="0" t="inlineStr">
        <is>
          <t>충대풀하우스(도시형)</t>
        </is>
      </c>
      <c r="E413" s="0" t="inlineStr">
        <is>
          <t>2014.02.</t>
        </is>
      </c>
      <c r="F413" s="0" t="n">
        <v>32</v>
      </c>
      <c r="G413" s="0" t="n">
        <v>15.2</v>
      </c>
      <c r="H413" s="0" t="n">
        <v>50.25</v>
      </c>
      <c r="I413" s="0" t="n">
        <v>8</v>
      </c>
      <c r="J413" s="0" t="n">
        <v>26.46</v>
      </c>
      <c r="K413" s="0" t="n">
        <v>4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50</v>
      </c>
      <c r="X413" s="0" t="n">
        <v>7</v>
      </c>
      <c r="Y413" s="0" t="n">
        <v>7</v>
      </c>
      <c r="Z413" s="0" t="inlineStr">
        <is>
          <t>https://new.land.naver.com/complexes/117869?tab=detail&amp;rf=Y</t>
        </is>
      </c>
      <c r="AA413" s="0" t="inlineStr">
        <is>
          <t>충청북도 청주시 흥덕구 복대동 870-5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흥덕구</t>
        </is>
      </c>
      <c r="AE413" s="0" t="inlineStr">
        <is>
          <t>복대동</t>
        </is>
      </c>
      <c r="AG413" s="0" t="inlineStr">
        <is>
          <t>충청북도 청주시 흥덕구 사직대로 62</t>
        </is>
      </c>
      <c r="AH413" s="0" t="n">
        <v>0</v>
      </c>
      <c r="AI413" s="0" t="n">
        <v>436</v>
      </c>
      <c r="AJ413" s="0" t="n">
        <v>72</v>
      </c>
      <c r="AK413" s="0" t="n">
        <v>10</v>
      </c>
      <c r="AL413" s="0" t="n">
        <v>0.31</v>
      </c>
    </row>
    <row r="414">
      <c r="A414" s="0" t="inlineStr">
        <is>
          <t>[복대동]</t>
        </is>
      </c>
      <c r="B414" s="0" t="n">
        <v>11555</v>
      </c>
      <c r="C414" s="0" t="n">
        <v>1</v>
      </c>
      <c r="D414" s="0" t="inlineStr">
        <is>
          <t>벽산</t>
        </is>
      </c>
      <c r="E414" s="0" t="inlineStr">
        <is>
          <t>1999.06.</t>
        </is>
      </c>
      <c r="F414" s="0" t="n">
        <v>274</v>
      </c>
      <c r="G414" s="0" t="n">
        <v>37.66</v>
      </c>
      <c r="H414" s="0" t="n">
        <v>124.51</v>
      </c>
      <c r="I414" s="0" t="n">
        <v>30.17</v>
      </c>
      <c r="J414" s="0" t="n">
        <v>99.73999999999999</v>
      </c>
      <c r="K414" s="0" t="n">
        <v>26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124</v>
      </c>
      <c r="X414" s="0" t="n">
        <v>15</v>
      </c>
      <c r="Y414" s="0" t="n">
        <v>12</v>
      </c>
      <c r="Z414" s="0" t="inlineStr">
        <is>
          <t>https://new.land.naver.com/complexes/11555?tab=detail&amp;rf=Y</t>
        </is>
      </c>
      <c r="AA414" s="0" t="inlineStr">
        <is>
          <t>충청북도 청주시 흥덕구 복대동 2606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흥덕구</t>
        </is>
      </c>
      <c r="AE414" s="0" t="inlineStr">
        <is>
          <t>복대동</t>
        </is>
      </c>
      <c r="AG414" s="0" t="inlineStr">
        <is>
          <t>충청북도 청주시 흥덕구 짐대로 6</t>
        </is>
      </c>
      <c r="AH414" s="0" t="n">
        <v>0</v>
      </c>
      <c r="AI414" s="0" t="n">
        <v>217</v>
      </c>
      <c r="AJ414" s="0" t="n">
        <v>22</v>
      </c>
      <c r="AK414" s="0" t="n">
        <v>474</v>
      </c>
      <c r="AL414" s="0" t="n">
        <v>1.73</v>
      </c>
    </row>
    <row r="415">
      <c r="A415" s="0" t="inlineStr">
        <is>
          <t>[복대동]</t>
        </is>
      </c>
      <c r="B415" s="0" t="n">
        <v>11555</v>
      </c>
      <c r="C415" s="0" t="n">
        <v>2</v>
      </c>
      <c r="D415" s="0" t="inlineStr">
        <is>
          <t>벽산</t>
        </is>
      </c>
      <c r="E415" s="0" t="inlineStr">
        <is>
          <t>1999.06.</t>
        </is>
      </c>
      <c r="F415" s="0" t="n">
        <v>274</v>
      </c>
      <c r="G415" s="0" t="n">
        <v>38.21</v>
      </c>
      <c r="H415" s="0" t="n">
        <v>126.32</v>
      </c>
      <c r="I415" s="0" t="n">
        <v>30.5</v>
      </c>
      <c r="J415" s="0" t="n">
        <v>100.85</v>
      </c>
      <c r="K415" s="0" t="n">
        <v>102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126</v>
      </c>
      <c r="X415" s="0" t="n">
        <v>15</v>
      </c>
      <c r="Y415" s="0" t="n">
        <v>12</v>
      </c>
      <c r="Z415" s="0" t="inlineStr">
        <is>
          <t>https://new.land.naver.com/complexes/11555?tab=detail&amp;rf=Y</t>
        </is>
      </c>
      <c r="AA415" s="0" t="inlineStr">
        <is>
          <t>충청북도 청주시 흥덕구 복대동 2606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흥덕구</t>
        </is>
      </c>
      <c r="AE415" s="0" t="inlineStr">
        <is>
          <t>복대동</t>
        </is>
      </c>
      <c r="AG415" s="0" t="inlineStr">
        <is>
          <t>충청북도 청주시 흥덕구 짐대로 6</t>
        </is>
      </c>
      <c r="AH415" s="0" t="n">
        <v>0</v>
      </c>
      <c r="AI415" s="0" t="n">
        <v>217</v>
      </c>
      <c r="AJ415" s="0" t="n">
        <v>22</v>
      </c>
      <c r="AK415" s="0" t="n">
        <v>474</v>
      </c>
      <c r="AL415" s="0" t="n">
        <v>1.73</v>
      </c>
    </row>
    <row r="416">
      <c r="A416" s="0" t="inlineStr">
        <is>
          <t>[복대동]</t>
        </is>
      </c>
      <c r="B416" s="0" t="n">
        <v>11555</v>
      </c>
      <c r="C416" s="0" t="n">
        <v>3</v>
      </c>
      <c r="D416" s="0" t="inlineStr">
        <is>
          <t>벽산</t>
        </is>
      </c>
      <c r="E416" s="0" t="inlineStr">
        <is>
          <t>1999.06.</t>
        </is>
      </c>
      <c r="F416" s="0" t="n">
        <v>274</v>
      </c>
      <c r="G416" s="0" t="n">
        <v>48.13</v>
      </c>
      <c r="H416" s="0" t="n">
        <v>159.11</v>
      </c>
      <c r="I416" s="0" t="n">
        <v>40.6</v>
      </c>
      <c r="J416" s="0" t="n">
        <v>134.24</v>
      </c>
      <c r="K416" s="0" t="n">
        <v>116</v>
      </c>
      <c r="T416" s="0" t="n">
        <v>4</v>
      </c>
      <c r="U416" s="0" t="n">
        <v>2</v>
      </c>
      <c r="V416" s="0" t="inlineStr">
        <is>
          <t>계단식</t>
        </is>
      </c>
      <c r="W416" s="0" t="n">
        <v>159</v>
      </c>
      <c r="X416" s="0" t="n">
        <v>15</v>
      </c>
      <c r="Y416" s="0" t="n">
        <v>12</v>
      </c>
      <c r="Z416" s="0" t="inlineStr">
        <is>
          <t>https://new.land.naver.com/complexes/11555?tab=detail&amp;rf=Y</t>
        </is>
      </c>
      <c r="AA416" s="0" t="inlineStr">
        <is>
          <t>충청북도 청주시 흥덕구 복대동 2606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흥덕구</t>
        </is>
      </c>
      <c r="AE416" s="0" t="inlineStr">
        <is>
          <t>복대동</t>
        </is>
      </c>
      <c r="AG416" s="0" t="inlineStr">
        <is>
          <t>충청북도 청주시 흥덕구 짐대로 6</t>
        </is>
      </c>
      <c r="AH416" s="0" t="n">
        <v>0</v>
      </c>
      <c r="AI416" s="0" t="n">
        <v>217</v>
      </c>
      <c r="AJ416" s="0" t="n">
        <v>22</v>
      </c>
      <c r="AK416" s="0" t="n">
        <v>474</v>
      </c>
      <c r="AL416" s="0" t="n">
        <v>1.73</v>
      </c>
    </row>
    <row r="417">
      <c r="A417" s="0" t="inlineStr">
        <is>
          <t>[복대동]</t>
        </is>
      </c>
      <c r="B417" s="0" t="n">
        <v>11555</v>
      </c>
      <c r="C417" s="0" t="n">
        <v>4</v>
      </c>
      <c r="D417" s="0" t="inlineStr">
        <is>
          <t>벽산</t>
        </is>
      </c>
      <c r="E417" s="0" t="inlineStr">
        <is>
          <t>1999.06.</t>
        </is>
      </c>
      <c r="F417" s="0" t="n">
        <v>274</v>
      </c>
      <c r="G417" s="0" t="n">
        <v>62.56</v>
      </c>
      <c r="H417" s="0" t="n">
        <v>206.82</v>
      </c>
      <c r="I417" s="0" t="n">
        <v>53.17</v>
      </c>
      <c r="J417" s="0" t="n">
        <v>175.77</v>
      </c>
      <c r="K417" s="0" t="n">
        <v>30</v>
      </c>
      <c r="T417" s="0" t="n">
        <v>5</v>
      </c>
      <c r="U417" s="0" t="n">
        <v>2</v>
      </c>
      <c r="V417" s="0" t="inlineStr">
        <is>
          <t>계단식</t>
        </is>
      </c>
      <c r="W417" s="0" t="n">
        <v>206</v>
      </c>
      <c r="X417" s="0" t="n">
        <v>15</v>
      </c>
      <c r="Y417" s="0" t="n">
        <v>12</v>
      </c>
      <c r="Z417" s="0" t="inlineStr">
        <is>
          <t>https://new.land.naver.com/complexes/11555?tab=detail&amp;rf=Y</t>
        </is>
      </c>
      <c r="AA417" s="0" t="inlineStr">
        <is>
          <t>충청북도 청주시 흥덕구 복대동 2606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흥덕구</t>
        </is>
      </c>
      <c r="AE417" s="0" t="inlineStr">
        <is>
          <t>복대동</t>
        </is>
      </c>
      <c r="AG417" s="0" t="inlineStr">
        <is>
          <t>충청북도 청주시 흥덕구 짐대로 6</t>
        </is>
      </c>
      <c r="AH417" s="0" t="n">
        <v>0</v>
      </c>
      <c r="AI417" s="0" t="n">
        <v>217</v>
      </c>
      <c r="AJ417" s="0" t="n">
        <v>22</v>
      </c>
      <c r="AK417" s="0" t="n">
        <v>474</v>
      </c>
      <c r="AL417" s="0" t="n">
        <v>1.73</v>
      </c>
    </row>
    <row r="418">
      <c r="A418" s="0" t="inlineStr">
        <is>
          <t>[복대동]</t>
        </is>
      </c>
      <c r="B418" s="0" t="n">
        <v>125616</v>
      </c>
      <c r="C418" s="0" t="n">
        <v>1</v>
      </c>
      <c r="D418" s="0" t="inlineStr">
        <is>
          <t>삼보맨션</t>
        </is>
      </c>
      <c r="E418" s="0" t="inlineStr">
        <is>
          <t>1987.07.</t>
        </is>
      </c>
      <c r="F418" s="0" t="n">
        <v>35</v>
      </c>
      <c r="G418" s="0" t="n">
        <v>26.44</v>
      </c>
      <c r="H418" s="0" t="n">
        <v>87.43000000000001</v>
      </c>
      <c r="I418" s="0" t="n">
        <v>21.83</v>
      </c>
      <c r="J418" s="0" t="n">
        <v>72.18000000000001</v>
      </c>
      <c r="K418" s="0" t="n">
        <v>5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87</v>
      </c>
      <c r="X418" s="0" t="n">
        <v>5</v>
      </c>
      <c r="Y418" s="0" t="n">
        <v>5</v>
      </c>
      <c r="Z418" s="0" t="inlineStr">
        <is>
          <t>https://new.land.naver.com/complexes/125616?tab=detail&amp;rf=Y</t>
        </is>
      </c>
      <c r="AA418" s="0" t="inlineStr">
        <is>
          <t>충청북도 청주시 흥덕구 복대동 857-1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흥덕구</t>
        </is>
      </c>
      <c r="AE418" s="0" t="inlineStr">
        <is>
          <t>복대동</t>
        </is>
      </c>
      <c r="AG418" s="0" t="inlineStr">
        <is>
          <t>충청북도 청주시 흥덕구 내수동로33번길 6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[복대동]</t>
        </is>
      </c>
      <c r="B419" s="0" t="n">
        <v>125616</v>
      </c>
      <c r="C419" s="0" t="n">
        <v>2</v>
      </c>
      <c r="D419" s="0" t="inlineStr">
        <is>
          <t>삼보맨션</t>
        </is>
      </c>
      <c r="E419" s="0" t="inlineStr">
        <is>
          <t>1987.07.</t>
        </is>
      </c>
      <c r="F419" s="0" t="n">
        <v>35</v>
      </c>
      <c r="G419" s="0" t="n">
        <v>27.07</v>
      </c>
      <c r="H419" s="0" t="n">
        <v>89.5</v>
      </c>
      <c r="I419" s="0" t="n">
        <v>22.46</v>
      </c>
      <c r="J419" s="0" t="n">
        <v>74.25</v>
      </c>
      <c r="K419" s="0" t="n">
        <v>1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89</v>
      </c>
      <c r="X419" s="0" t="n">
        <v>5</v>
      </c>
      <c r="Y419" s="0" t="n">
        <v>5</v>
      </c>
      <c r="Z419" s="0" t="inlineStr">
        <is>
          <t>https://new.land.naver.com/complexes/125616?tab=detail&amp;rf=Y</t>
        </is>
      </c>
      <c r="AA419" s="0" t="inlineStr">
        <is>
          <t>충청북도 청주시 흥덕구 복대동 857-1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흥덕구</t>
        </is>
      </c>
      <c r="AE419" s="0" t="inlineStr">
        <is>
          <t>복대동</t>
        </is>
      </c>
      <c r="AG419" s="0" t="inlineStr">
        <is>
          <t>충청북도 청주시 흥덕구 내수동로33번길 6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[복대동]</t>
        </is>
      </c>
      <c r="B420" s="0" t="n">
        <v>125616</v>
      </c>
      <c r="C420" s="0" t="n">
        <v>3</v>
      </c>
      <c r="D420" s="0" t="inlineStr">
        <is>
          <t>삼보맨션</t>
        </is>
      </c>
      <c r="E420" s="0" t="inlineStr">
        <is>
          <t>1987.07.</t>
        </is>
      </c>
      <c r="F420" s="0" t="n">
        <v>35</v>
      </c>
      <c r="G420" s="0" t="n">
        <v>29.14</v>
      </c>
      <c r="H420" s="0" t="n">
        <v>96.34</v>
      </c>
      <c r="I420" s="0" t="n">
        <v>24.52</v>
      </c>
      <c r="J420" s="0" t="n">
        <v>81.09</v>
      </c>
      <c r="K420" s="0" t="n">
        <v>29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96</v>
      </c>
      <c r="X420" s="0" t="n">
        <v>5</v>
      </c>
      <c r="Y420" s="0" t="n">
        <v>5</v>
      </c>
      <c r="Z420" s="0" t="inlineStr">
        <is>
          <t>https://new.land.naver.com/complexes/125616?tab=detail&amp;rf=Y</t>
        </is>
      </c>
      <c r="AA420" s="0" t="inlineStr">
        <is>
          <t>충청북도 청주시 흥덕구 복대동 857-1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흥덕구</t>
        </is>
      </c>
      <c r="AE420" s="0" t="inlineStr">
        <is>
          <t>복대동</t>
        </is>
      </c>
      <c r="AG420" s="0" t="inlineStr">
        <is>
          <t>충청북도 청주시 흥덕구 내수동로33번길 6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[복대동]</t>
        </is>
      </c>
      <c r="B421" s="0" t="n">
        <v>7318</v>
      </c>
      <c r="C421" s="0" t="n">
        <v>1</v>
      </c>
      <c r="D421" s="0" t="inlineStr">
        <is>
          <t>복대대원</t>
        </is>
      </c>
      <c r="E421" s="0" t="inlineStr">
        <is>
          <t>1999.10.</t>
        </is>
      </c>
      <c r="F421" s="0" t="n">
        <v>812</v>
      </c>
      <c r="G421" s="0" t="n">
        <v>23.04</v>
      </c>
      <c r="H421" s="0" t="n">
        <v>76.17</v>
      </c>
      <c r="I421" s="0" t="n">
        <v>18.11</v>
      </c>
      <c r="J421" s="0" t="n">
        <v>59.89</v>
      </c>
      <c r="K421" s="0" t="n">
        <v>169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76A</t>
        </is>
      </c>
      <c r="X421" s="0" t="n">
        <v>15</v>
      </c>
      <c r="Y421" s="0" t="n">
        <v>5</v>
      </c>
      <c r="Z421" s="0" t="inlineStr">
        <is>
          <t>https://new.land.naver.com/complexes/7318?tab=detail&amp;rf=Y</t>
        </is>
      </c>
      <c r="AA421" s="0" t="inlineStr">
        <is>
          <t>충청북도 청주시 흥덕구 복대동 221-7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흥덕구</t>
        </is>
      </c>
      <c r="AE421" s="0" t="inlineStr">
        <is>
          <t>복대동</t>
        </is>
      </c>
      <c r="AG421" s="0" t="inlineStr">
        <is>
          <t>충청북도 청주시 흥덕구 죽천로118번길 23</t>
        </is>
      </c>
      <c r="AH421" s="0" t="n">
        <v>0</v>
      </c>
      <c r="AI421" s="0" t="n">
        <v>246</v>
      </c>
      <c r="AJ421" s="0" t="n">
        <v>26</v>
      </c>
      <c r="AK421" s="0" t="n">
        <v>766</v>
      </c>
      <c r="AL421" s="0" t="n">
        <v>0.9399999999999999</v>
      </c>
    </row>
    <row r="422">
      <c r="A422" s="0" t="inlineStr">
        <is>
          <t>[복대동]</t>
        </is>
      </c>
      <c r="B422" s="0" t="n">
        <v>7318</v>
      </c>
      <c r="C422" s="0" t="n">
        <v>2</v>
      </c>
      <c r="D422" s="0" t="inlineStr">
        <is>
          <t>복대대원</t>
        </is>
      </c>
      <c r="E422" s="0" t="inlineStr">
        <is>
          <t>1999.10.</t>
        </is>
      </c>
      <c r="F422" s="0" t="n">
        <v>812</v>
      </c>
      <c r="G422" s="0" t="n">
        <v>23.22</v>
      </c>
      <c r="H422" s="0" t="n">
        <v>76.77</v>
      </c>
      <c r="I422" s="0" t="n">
        <v>18.14</v>
      </c>
      <c r="J422" s="0" t="n">
        <v>59.98</v>
      </c>
      <c r="K422" s="0" t="n">
        <v>69</v>
      </c>
      <c r="T422" s="0" t="n">
        <v>2</v>
      </c>
      <c r="U422" s="0" t="n">
        <v>1</v>
      </c>
      <c r="V422" s="0" t="inlineStr">
        <is>
          <t>계단식</t>
        </is>
      </c>
      <c r="W422" s="0" t="inlineStr">
        <is>
          <t>76B</t>
        </is>
      </c>
      <c r="X422" s="0" t="n">
        <v>15</v>
      </c>
      <c r="Y422" s="0" t="n">
        <v>5</v>
      </c>
      <c r="Z422" s="0" t="inlineStr">
        <is>
          <t>https://new.land.naver.com/complexes/7318?tab=detail&amp;rf=Y</t>
        </is>
      </c>
      <c r="AA422" s="0" t="inlineStr">
        <is>
          <t>충청북도 청주시 흥덕구 복대동 221-7</t>
        </is>
      </c>
      <c r="AB422" s="0" t="inlineStr">
        <is>
          <t>충청북도</t>
        </is>
      </c>
      <c r="AC422" s="0" t="inlineStr">
        <is>
          <t>청주시</t>
        </is>
      </c>
      <c r="AD422" s="0" t="inlineStr">
        <is>
          <t>흥덕구</t>
        </is>
      </c>
      <c r="AE422" s="0" t="inlineStr">
        <is>
          <t>복대동</t>
        </is>
      </c>
      <c r="AG422" s="0" t="inlineStr">
        <is>
          <t>충청북도 청주시 흥덕구 죽천로118번길 23</t>
        </is>
      </c>
      <c r="AH422" s="0" t="n">
        <v>0</v>
      </c>
      <c r="AI422" s="0" t="n">
        <v>246</v>
      </c>
      <c r="AJ422" s="0" t="n">
        <v>26</v>
      </c>
      <c r="AK422" s="0" t="n">
        <v>766</v>
      </c>
      <c r="AL422" s="0" t="n">
        <v>0.9399999999999999</v>
      </c>
    </row>
    <row r="423">
      <c r="A423" s="0" t="inlineStr">
        <is>
          <t>[복대동]</t>
        </is>
      </c>
      <c r="B423" s="0" t="n">
        <v>7318</v>
      </c>
      <c r="C423" s="0" t="n">
        <v>3</v>
      </c>
      <c r="D423" s="0" t="inlineStr">
        <is>
          <t>복대대원</t>
        </is>
      </c>
      <c r="E423" s="0" t="inlineStr">
        <is>
          <t>1999.10.</t>
        </is>
      </c>
      <c r="F423" s="0" t="n">
        <v>812</v>
      </c>
      <c r="G423" s="0" t="n">
        <v>25.12</v>
      </c>
      <c r="H423" s="0" t="n">
        <v>83.05</v>
      </c>
      <c r="I423" s="0" t="n">
        <v>21.14</v>
      </c>
      <c r="J423" s="0" t="n">
        <v>69.90000000000001</v>
      </c>
      <c r="K423" s="0" t="n">
        <v>12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83</v>
      </c>
      <c r="X423" s="0" t="n">
        <v>15</v>
      </c>
      <c r="Y423" s="0" t="n">
        <v>5</v>
      </c>
      <c r="Z423" s="0" t="inlineStr">
        <is>
          <t>https://new.land.naver.com/complexes/7318?tab=detail&amp;rf=Y</t>
        </is>
      </c>
      <c r="AA423" s="0" t="inlineStr">
        <is>
          <t>충청북도 청주시 흥덕구 복대동 221-7</t>
        </is>
      </c>
      <c r="AB423" s="0" t="inlineStr">
        <is>
          <t>충청북도</t>
        </is>
      </c>
      <c r="AC423" s="0" t="inlineStr">
        <is>
          <t>청주시</t>
        </is>
      </c>
      <c r="AD423" s="0" t="inlineStr">
        <is>
          <t>흥덕구</t>
        </is>
      </c>
      <c r="AE423" s="0" t="inlineStr">
        <is>
          <t>복대동</t>
        </is>
      </c>
      <c r="AG423" s="0" t="inlineStr">
        <is>
          <t>충청북도 청주시 흥덕구 죽천로118번길 23</t>
        </is>
      </c>
      <c r="AH423" s="0" t="n">
        <v>0</v>
      </c>
      <c r="AI423" s="0" t="n">
        <v>246</v>
      </c>
      <c r="AJ423" s="0" t="n">
        <v>26</v>
      </c>
      <c r="AK423" s="0" t="n">
        <v>766</v>
      </c>
      <c r="AL423" s="0" t="n">
        <v>0.9399999999999999</v>
      </c>
    </row>
    <row r="424">
      <c r="A424" s="0" t="inlineStr">
        <is>
          <t>[복대동]</t>
        </is>
      </c>
      <c r="B424" s="0" t="n">
        <v>7318</v>
      </c>
      <c r="C424" s="0" t="n">
        <v>4</v>
      </c>
      <c r="D424" s="0" t="inlineStr">
        <is>
          <t>복대대원</t>
        </is>
      </c>
      <c r="E424" s="0" t="inlineStr">
        <is>
          <t>1999.10.</t>
        </is>
      </c>
      <c r="F424" s="0" t="n">
        <v>812</v>
      </c>
      <c r="G424" s="0" t="n">
        <v>29.62</v>
      </c>
      <c r="H424" s="0" t="n">
        <v>97.94</v>
      </c>
      <c r="I424" s="0" t="n">
        <v>24.29</v>
      </c>
      <c r="J424" s="0" t="n">
        <v>80.31999999999999</v>
      </c>
      <c r="K424" s="0" t="n">
        <v>298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97</v>
      </c>
      <c r="X424" s="0" t="n">
        <v>15</v>
      </c>
      <c r="Y424" s="0" t="n">
        <v>5</v>
      </c>
      <c r="Z424" s="0" t="inlineStr">
        <is>
          <t>https://new.land.naver.com/complexes/7318?tab=detail&amp;rf=Y</t>
        </is>
      </c>
      <c r="AA424" s="0" t="inlineStr">
        <is>
          <t>충청북도 청주시 흥덕구 복대동 221-7</t>
        </is>
      </c>
      <c r="AB424" s="0" t="inlineStr">
        <is>
          <t>충청북도</t>
        </is>
      </c>
      <c r="AC424" s="0" t="inlineStr">
        <is>
          <t>청주시</t>
        </is>
      </c>
      <c r="AD424" s="0" t="inlineStr">
        <is>
          <t>흥덕구</t>
        </is>
      </c>
      <c r="AE424" s="0" t="inlineStr">
        <is>
          <t>복대동</t>
        </is>
      </c>
      <c r="AG424" s="0" t="inlineStr">
        <is>
          <t>충청북도 청주시 흥덕구 죽천로118번길 23</t>
        </is>
      </c>
      <c r="AH424" s="0" t="n">
        <v>0</v>
      </c>
      <c r="AI424" s="0" t="n">
        <v>246</v>
      </c>
      <c r="AJ424" s="0" t="n">
        <v>26</v>
      </c>
      <c r="AK424" s="0" t="n">
        <v>766</v>
      </c>
      <c r="AL424" s="0" t="n">
        <v>0.9399999999999999</v>
      </c>
    </row>
    <row r="425">
      <c r="A425" s="0" t="inlineStr">
        <is>
          <t>[복대동]</t>
        </is>
      </c>
      <c r="B425" s="0" t="n">
        <v>7318</v>
      </c>
      <c r="C425" s="0" t="n">
        <v>5</v>
      </c>
      <c r="D425" s="0" t="inlineStr">
        <is>
          <t>복대대원</t>
        </is>
      </c>
      <c r="E425" s="0" t="inlineStr">
        <is>
          <t>1999.10.</t>
        </is>
      </c>
      <c r="F425" s="0" t="n">
        <v>812</v>
      </c>
      <c r="G425" s="0" t="n">
        <v>32.53</v>
      </c>
      <c r="H425" s="0" t="n">
        <v>107.56</v>
      </c>
      <c r="I425" s="0" t="n">
        <v>25.7</v>
      </c>
      <c r="J425" s="0" t="n">
        <v>84.97</v>
      </c>
      <c r="K425" s="0" t="n">
        <v>264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107</v>
      </c>
      <c r="X425" s="0" t="n">
        <v>15</v>
      </c>
      <c r="Y425" s="0" t="n">
        <v>5</v>
      </c>
      <c r="Z425" s="0" t="inlineStr">
        <is>
          <t>https://new.land.naver.com/complexes/7318?tab=detail&amp;rf=Y</t>
        </is>
      </c>
      <c r="AA425" s="0" t="inlineStr">
        <is>
          <t>충청북도 청주시 흥덕구 복대동 221-7</t>
        </is>
      </c>
      <c r="AB425" s="0" t="inlineStr">
        <is>
          <t>충청북도</t>
        </is>
      </c>
      <c r="AC425" s="0" t="inlineStr">
        <is>
          <t>청주시</t>
        </is>
      </c>
      <c r="AD425" s="0" t="inlineStr">
        <is>
          <t>흥덕구</t>
        </is>
      </c>
      <c r="AE425" s="0" t="inlineStr">
        <is>
          <t>복대동</t>
        </is>
      </c>
      <c r="AG425" s="0" t="inlineStr">
        <is>
          <t>충청북도 청주시 흥덕구 죽천로118번길 23</t>
        </is>
      </c>
      <c r="AH425" s="0" t="n">
        <v>0</v>
      </c>
      <c r="AI425" s="0" t="n">
        <v>246</v>
      </c>
      <c r="AJ425" s="0" t="n">
        <v>26</v>
      </c>
      <c r="AK425" s="0" t="n">
        <v>766</v>
      </c>
      <c r="AL425" s="0" t="n">
        <v>0.9399999999999999</v>
      </c>
    </row>
    <row r="426">
      <c r="A426" s="0" t="inlineStr">
        <is>
          <t>[복대동]</t>
        </is>
      </c>
      <c r="B426" s="0" t="n">
        <v>26493</v>
      </c>
      <c r="C426" s="0" t="n">
        <v>1</v>
      </c>
      <c r="D426" s="0" t="inlineStr">
        <is>
          <t>신영지웰홈스</t>
        </is>
      </c>
      <c r="E426" s="0" t="inlineStr">
        <is>
          <t>2009.12.</t>
        </is>
      </c>
      <c r="F426" s="0" t="n">
        <v>452</v>
      </c>
      <c r="G426" s="0" t="n">
        <v>33.52</v>
      </c>
      <c r="H426" s="0" t="n">
        <v>110.81</v>
      </c>
      <c r="I426" s="0" t="n">
        <v>25.64</v>
      </c>
      <c r="J426" s="0" t="n">
        <v>84.78</v>
      </c>
      <c r="K426" s="0" t="n">
        <v>129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110B</t>
        </is>
      </c>
      <c r="X426" s="0" t="n">
        <v>15</v>
      </c>
      <c r="Y426" s="0" t="n">
        <v>10</v>
      </c>
      <c r="Z426" s="0" t="inlineStr">
        <is>
          <t>https://new.land.naver.com/complexes/26493?tab=detail&amp;rf=Y</t>
        </is>
      </c>
      <c r="AA426" s="0" t="inlineStr">
        <is>
          <t>충청북도 청주시 흥덕구 복대동 3377</t>
        </is>
      </c>
      <c r="AB426" s="0" t="inlineStr">
        <is>
          <t>충청북도</t>
        </is>
      </c>
      <c r="AC426" s="0" t="inlineStr">
        <is>
          <t>청주시</t>
        </is>
      </c>
      <c r="AD426" s="0" t="inlineStr">
        <is>
          <t>흥덕구</t>
        </is>
      </c>
      <c r="AE426" s="0" t="inlineStr">
        <is>
          <t>복대동</t>
        </is>
      </c>
      <c r="AG426" s="0" t="inlineStr">
        <is>
          <t>충청북도 청주시 흥덕구 진재로103번길 37</t>
        </is>
      </c>
      <c r="AH426" s="0" t="n">
        <v>0</v>
      </c>
      <c r="AI426" s="0" t="n">
        <v>221</v>
      </c>
      <c r="AJ426" s="0" t="n">
        <v>24</v>
      </c>
      <c r="AK426" s="0" t="n">
        <v>726</v>
      </c>
      <c r="AL426" s="0" t="n">
        <v>1.61</v>
      </c>
    </row>
    <row r="427">
      <c r="A427" s="0" t="inlineStr">
        <is>
          <t>[복대동]</t>
        </is>
      </c>
      <c r="B427" s="0" t="n">
        <v>26493</v>
      </c>
      <c r="C427" s="0" t="n">
        <v>2</v>
      </c>
      <c r="D427" s="0" t="inlineStr">
        <is>
          <t>신영지웰홈스</t>
        </is>
      </c>
      <c r="E427" s="0" t="inlineStr">
        <is>
          <t>2009.12.</t>
        </is>
      </c>
      <c r="F427" s="0" t="n">
        <v>452</v>
      </c>
      <c r="G427" s="0" t="n">
        <v>33.5</v>
      </c>
      <c r="H427" s="0" t="n">
        <v>110.75</v>
      </c>
      <c r="I427" s="0" t="n">
        <v>25.66</v>
      </c>
      <c r="J427" s="0" t="n">
        <v>84.84</v>
      </c>
      <c r="K427" s="0" t="n">
        <v>115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110C</t>
        </is>
      </c>
      <c r="X427" s="0" t="n">
        <v>15</v>
      </c>
      <c r="Y427" s="0" t="n">
        <v>10</v>
      </c>
      <c r="Z427" s="0" t="inlineStr">
        <is>
          <t>https://new.land.naver.com/complexes/26493?tab=detail&amp;rf=Y</t>
        </is>
      </c>
      <c r="AA427" s="0" t="inlineStr">
        <is>
          <t>충청북도 청주시 흥덕구 복대동 3377</t>
        </is>
      </c>
      <c r="AB427" s="0" t="inlineStr">
        <is>
          <t>충청북도</t>
        </is>
      </c>
      <c r="AC427" s="0" t="inlineStr">
        <is>
          <t>청주시</t>
        </is>
      </c>
      <c r="AD427" s="0" t="inlineStr">
        <is>
          <t>흥덕구</t>
        </is>
      </c>
      <c r="AE427" s="0" t="inlineStr">
        <is>
          <t>복대동</t>
        </is>
      </c>
      <c r="AG427" s="0" t="inlineStr">
        <is>
          <t>충청북도 청주시 흥덕구 진재로103번길 37</t>
        </is>
      </c>
      <c r="AH427" s="0" t="n">
        <v>0</v>
      </c>
      <c r="AI427" s="0" t="n">
        <v>221</v>
      </c>
      <c r="AJ427" s="0" t="n">
        <v>24</v>
      </c>
      <c r="AK427" s="0" t="n">
        <v>726</v>
      </c>
      <c r="AL427" s="0" t="n">
        <v>1.61</v>
      </c>
    </row>
    <row r="428">
      <c r="A428" s="0" t="inlineStr">
        <is>
          <t>[복대동]</t>
        </is>
      </c>
      <c r="B428" s="0" t="n">
        <v>26493</v>
      </c>
      <c r="C428" s="0" t="n">
        <v>3</v>
      </c>
      <c r="D428" s="0" t="inlineStr">
        <is>
          <t>신영지웰홈스</t>
        </is>
      </c>
      <c r="E428" s="0" t="inlineStr">
        <is>
          <t>2009.12.</t>
        </is>
      </c>
      <c r="F428" s="0" t="n">
        <v>452</v>
      </c>
      <c r="G428" s="0" t="n">
        <v>33.72</v>
      </c>
      <c r="H428" s="0" t="n">
        <v>111.49</v>
      </c>
      <c r="I428" s="0" t="n">
        <v>25.66</v>
      </c>
      <c r="J428" s="0" t="n">
        <v>84.84999999999999</v>
      </c>
      <c r="K428" s="0" t="n">
        <v>127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111A</t>
        </is>
      </c>
      <c r="X428" s="0" t="n">
        <v>15</v>
      </c>
      <c r="Y428" s="0" t="n">
        <v>10</v>
      </c>
      <c r="Z428" s="0" t="inlineStr">
        <is>
          <t>https://new.land.naver.com/complexes/26493?tab=detail&amp;rf=Y</t>
        </is>
      </c>
      <c r="AA428" s="0" t="inlineStr">
        <is>
          <t>충청북도 청주시 흥덕구 복대동 3377</t>
        </is>
      </c>
      <c r="AB428" s="0" t="inlineStr">
        <is>
          <t>충청북도</t>
        </is>
      </c>
      <c r="AC428" s="0" t="inlineStr">
        <is>
          <t>청주시</t>
        </is>
      </c>
      <c r="AD428" s="0" t="inlineStr">
        <is>
          <t>흥덕구</t>
        </is>
      </c>
      <c r="AE428" s="0" t="inlineStr">
        <is>
          <t>복대동</t>
        </is>
      </c>
      <c r="AG428" s="0" t="inlineStr">
        <is>
          <t>충청북도 청주시 흥덕구 진재로103번길 37</t>
        </is>
      </c>
      <c r="AH428" s="0" t="n">
        <v>0</v>
      </c>
      <c r="AI428" s="0" t="n">
        <v>221</v>
      </c>
      <c r="AJ428" s="0" t="n">
        <v>24</v>
      </c>
      <c r="AK428" s="0" t="n">
        <v>726</v>
      </c>
      <c r="AL428" s="0" t="n">
        <v>1.61</v>
      </c>
    </row>
    <row r="429">
      <c r="A429" s="0" t="inlineStr">
        <is>
          <t>[복대동]</t>
        </is>
      </c>
      <c r="B429" s="0" t="n">
        <v>26493</v>
      </c>
      <c r="C429" s="0" t="n">
        <v>4</v>
      </c>
      <c r="D429" s="0" t="inlineStr">
        <is>
          <t>신영지웰홈스</t>
        </is>
      </c>
      <c r="E429" s="0" t="inlineStr">
        <is>
          <t>2009.12.</t>
        </is>
      </c>
      <c r="F429" s="0" t="n">
        <v>452</v>
      </c>
      <c r="G429" s="0" t="n">
        <v>47.43</v>
      </c>
      <c r="H429" s="0" t="n">
        <v>156.81</v>
      </c>
      <c r="I429" s="0" t="n">
        <v>37.77</v>
      </c>
      <c r="J429" s="0" t="n">
        <v>124.87</v>
      </c>
      <c r="K429" s="0" t="n">
        <v>78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156</v>
      </c>
      <c r="X429" s="0" t="n">
        <v>15</v>
      </c>
      <c r="Y429" s="0" t="n">
        <v>10</v>
      </c>
      <c r="Z429" s="0" t="inlineStr">
        <is>
          <t>https://new.land.naver.com/complexes/26493?tab=detail&amp;rf=Y</t>
        </is>
      </c>
      <c r="AA429" s="0" t="inlineStr">
        <is>
          <t>충청북도 청주시 흥덕구 복대동 3377</t>
        </is>
      </c>
      <c r="AB429" s="0" t="inlineStr">
        <is>
          <t>충청북도</t>
        </is>
      </c>
      <c r="AC429" s="0" t="inlineStr">
        <is>
          <t>청주시</t>
        </is>
      </c>
      <c r="AD429" s="0" t="inlineStr">
        <is>
          <t>흥덕구</t>
        </is>
      </c>
      <c r="AE429" s="0" t="inlineStr">
        <is>
          <t>복대동</t>
        </is>
      </c>
      <c r="AG429" s="0" t="inlineStr">
        <is>
          <t>충청북도 청주시 흥덕구 진재로103번길 37</t>
        </is>
      </c>
      <c r="AH429" s="0" t="n">
        <v>0</v>
      </c>
      <c r="AI429" s="0" t="n">
        <v>221</v>
      </c>
      <c r="AJ429" s="0" t="n">
        <v>24</v>
      </c>
      <c r="AK429" s="0" t="n">
        <v>726</v>
      </c>
      <c r="AL429" s="0" t="n">
        <v>1.61</v>
      </c>
    </row>
    <row r="430">
      <c r="A430" s="0" t="inlineStr">
        <is>
          <t>[복대동]</t>
        </is>
      </c>
      <c r="B430" s="0" t="n">
        <v>26493</v>
      </c>
      <c r="C430" s="0" t="n">
        <v>5</v>
      </c>
      <c r="D430" s="0" t="inlineStr">
        <is>
          <t>신영지웰홈스</t>
        </is>
      </c>
      <c r="E430" s="0" t="inlineStr">
        <is>
          <t>2009.12.</t>
        </is>
      </c>
      <c r="F430" s="0" t="n">
        <v>452</v>
      </c>
      <c r="G430" s="0" t="n">
        <v>68.23</v>
      </c>
      <c r="H430" s="0" t="n">
        <v>225.57</v>
      </c>
      <c r="I430" s="0" t="n">
        <v>53.5</v>
      </c>
      <c r="J430" s="0" t="n">
        <v>176.88</v>
      </c>
      <c r="K430" s="0" t="n">
        <v>3</v>
      </c>
      <c r="T430" s="0" t="n">
        <v>4</v>
      </c>
      <c r="U430" s="0" t="n">
        <v>3</v>
      </c>
      <c r="V430" s="0" t="inlineStr">
        <is>
          <t>계단식</t>
        </is>
      </c>
      <c r="W430" s="0" t="n">
        <v>225</v>
      </c>
      <c r="X430" s="0" t="n">
        <v>15</v>
      </c>
      <c r="Y430" s="0" t="n">
        <v>10</v>
      </c>
      <c r="Z430" s="0" t="inlineStr">
        <is>
          <t>https://new.land.naver.com/complexes/26493?tab=detail&amp;rf=Y</t>
        </is>
      </c>
      <c r="AA430" s="0" t="inlineStr">
        <is>
          <t>충청북도 청주시 흥덕구 복대동 3377</t>
        </is>
      </c>
      <c r="AB430" s="0" t="inlineStr">
        <is>
          <t>충청북도</t>
        </is>
      </c>
      <c r="AC430" s="0" t="inlineStr">
        <is>
          <t>청주시</t>
        </is>
      </c>
      <c r="AD430" s="0" t="inlineStr">
        <is>
          <t>흥덕구</t>
        </is>
      </c>
      <c r="AE430" s="0" t="inlineStr">
        <is>
          <t>복대동</t>
        </is>
      </c>
      <c r="AG430" s="0" t="inlineStr">
        <is>
          <t>충청북도 청주시 흥덕구 진재로103번길 37</t>
        </is>
      </c>
      <c r="AH430" s="0" t="n">
        <v>0</v>
      </c>
      <c r="AI430" s="0" t="n">
        <v>221</v>
      </c>
      <c r="AJ430" s="0" t="n">
        <v>24</v>
      </c>
      <c r="AK430" s="0" t="n">
        <v>726</v>
      </c>
      <c r="AL430" s="0" t="n">
        <v>1.61</v>
      </c>
    </row>
    <row r="431">
      <c r="A431" s="0" t="inlineStr">
        <is>
          <t>[복대동]</t>
        </is>
      </c>
      <c r="B431" s="0" t="n">
        <v>12832</v>
      </c>
      <c r="C431" s="0" t="n">
        <v>1</v>
      </c>
      <c r="D431" s="0" t="inlineStr">
        <is>
          <t>영조아름다운나날1차</t>
        </is>
      </c>
      <c r="E431" s="0" t="inlineStr">
        <is>
          <t>2003.10.</t>
        </is>
      </c>
      <c r="F431" s="0" t="n">
        <v>952</v>
      </c>
      <c r="G431" s="0" t="n">
        <v>23.06</v>
      </c>
      <c r="H431" s="0" t="n">
        <v>76.26000000000001</v>
      </c>
      <c r="I431" s="0" t="n">
        <v>17.94</v>
      </c>
      <c r="J431" s="0" t="n">
        <v>59.32</v>
      </c>
      <c r="K431" s="0" t="n">
        <v>734</v>
      </c>
      <c r="T431" s="0" t="n">
        <v>3</v>
      </c>
      <c r="U431" s="0" t="n">
        <v>1</v>
      </c>
      <c r="V431" s="0" t="inlineStr">
        <is>
          <t>계단식</t>
        </is>
      </c>
      <c r="W431" s="0" t="inlineStr">
        <is>
          <t>76A</t>
        </is>
      </c>
      <c r="X431" s="0" t="n">
        <v>15</v>
      </c>
      <c r="Y431" s="0" t="n">
        <v>12</v>
      </c>
      <c r="Z431" s="0" t="inlineStr">
        <is>
          <t>https://new.land.naver.com/complexes/12832?tab=detail&amp;rf=Y</t>
        </is>
      </c>
      <c r="AA431" s="0" t="inlineStr">
        <is>
          <t>충청북도 청주시 흥덕구 복대동 2456</t>
        </is>
      </c>
      <c r="AB431" s="0" t="inlineStr">
        <is>
          <t>충청북도</t>
        </is>
      </c>
      <c r="AC431" s="0" t="inlineStr">
        <is>
          <t>청주시</t>
        </is>
      </c>
      <c r="AD431" s="0" t="inlineStr">
        <is>
          <t>흥덕구</t>
        </is>
      </c>
      <c r="AE431" s="0" t="inlineStr">
        <is>
          <t>복대동</t>
        </is>
      </c>
      <c r="AG431" s="0" t="inlineStr">
        <is>
          <t>충청북도 청주시 흥덕구 증안로 21</t>
        </is>
      </c>
      <c r="AH431" s="0" t="n">
        <v>0</v>
      </c>
      <c r="AI431" s="0" t="n">
        <v>219</v>
      </c>
      <c r="AJ431" s="0" t="n">
        <v>19</v>
      </c>
      <c r="AK431" s="0" t="n">
        <v>898</v>
      </c>
      <c r="AL431" s="0" t="n">
        <v>0.9399999999999999</v>
      </c>
    </row>
    <row r="432">
      <c r="A432" s="0" t="inlineStr">
        <is>
          <t>[복대동]</t>
        </is>
      </c>
      <c r="B432" s="0" t="n">
        <v>12832</v>
      </c>
      <c r="C432" s="0" t="n">
        <v>2</v>
      </c>
      <c r="D432" s="0" t="inlineStr">
        <is>
          <t>영조아름다운나날1차</t>
        </is>
      </c>
      <c r="E432" s="0" t="inlineStr">
        <is>
          <t>2003.10.</t>
        </is>
      </c>
      <c r="F432" s="0" t="n">
        <v>952</v>
      </c>
      <c r="G432" s="0" t="n">
        <v>23.09</v>
      </c>
      <c r="H432" s="0" t="n">
        <v>76.36</v>
      </c>
      <c r="I432" s="0" t="n">
        <v>17.93</v>
      </c>
      <c r="J432" s="0" t="n">
        <v>59.29</v>
      </c>
      <c r="K432" s="0" t="n">
        <v>218</v>
      </c>
      <c r="T432" s="0" t="n">
        <v>3</v>
      </c>
      <c r="U432" s="0" t="n">
        <v>1</v>
      </c>
      <c r="V432" s="0" t="inlineStr">
        <is>
          <t>계단식</t>
        </is>
      </c>
      <c r="W432" s="0" t="inlineStr">
        <is>
          <t>76B</t>
        </is>
      </c>
      <c r="X432" s="0" t="n">
        <v>15</v>
      </c>
      <c r="Y432" s="0" t="n">
        <v>12</v>
      </c>
      <c r="Z432" s="0" t="inlineStr">
        <is>
          <t>https://new.land.naver.com/complexes/12832?tab=detail&amp;rf=Y</t>
        </is>
      </c>
      <c r="AA432" s="0" t="inlineStr">
        <is>
          <t>충청북도 청주시 흥덕구 복대동 2456</t>
        </is>
      </c>
      <c r="AB432" s="0" t="inlineStr">
        <is>
          <t>충청북도</t>
        </is>
      </c>
      <c r="AC432" s="0" t="inlineStr">
        <is>
          <t>청주시</t>
        </is>
      </c>
      <c r="AD432" s="0" t="inlineStr">
        <is>
          <t>흥덕구</t>
        </is>
      </c>
      <c r="AE432" s="0" t="inlineStr">
        <is>
          <t>복대동</t>
        </is>
      </c>
      <c r="AG432" s="0" t="inlineStr">
        <is>
          <t>충청북도 청주시 흥덕구 증안로 21</t>
        </is>
      </c>
      <c r="AH432" s="0" t="n">
        <v>0</v>
      </c>
      <c r="AI432" s="0" t="n">
        <v>219</v>
      </c>
      <c r="AJ432" s="0" t="n">
        <v>19</v>
      </c>
      <c r="AK432" s="0" t="n">
        <v>898</v>
      </c>
      <c r="AL432" s="0" t="n">
        <v>0.9399999999999999</v>
      </c>
    </row>
    <row r="433">
      <c r="A433" s="0" t="inlineStr">
        <is>
          <t>[복대동]</t>
        </is>
      </c>
      <c r="B433" s="0" t="n">
        <v>7372</v>
      </c>
      <c r="C433" s="0" t="n">
        <v>1</v>
      </c>
      <c r="D433" s="0" t="inlineStr">
        <is>
          <t>현대2차</t>
        </is>
      </c>
      <c r="E433" s="0" t="inlineStr">
        <is>
          <t>1999.05.</t>
        </is>
      </c>
      <c r="F433" s="0" t="n">
        <v>1464</v>
      </c>
      <c r="G433" s="0" t="n">
        <v>23.4</v>
      </c>
      <c r="H433" s="0" t="n">
        <v>77.38</v>
      </c>
      <c r="I433" s="0" t="n">
        <v>18.15</v>
      </c>
      <c r="J433" s="0" t="n">
        <v>60</v>
      </c>
      <c r="K433" s="0" t="n">
        <v>1158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77B</t>
        </is>
      </c>
      <c r="X433" s="0" t="n">
        <v>15</v>
      </c>
      <c r="Y433" s="0" t="n">
        <v>13</v>
      </c>
      <c r="Z433" s="0" t="inlineStr">
        <is>
          <t>https://new.land.naver.com/complexes/7372?tab=detail&amp;rf=Y</t>
        </is>
      </c>
      <c r="AA433" s="0" t="inlineStr">
        <is>
          <t>충청북도 청주시 흥덕구 복대동 3029</t>
        </is>
      </c>
      <c r="AB433" s="0" t="inlineStr">
        <is>
          <t>충청북도</t>
        </is>
      </c>
      <c r="AC433" s="0" t="inlineStr">
        <is>
          <t>청주시</t>
        </is>
      </c>
      <c r="AD433" s="0" t="inlineStr">
        <is>
          <t>흥덕구</t>
        </is>
      </c>
      <c r="AE433" s="0" t="inlineStr">
        <is>
          <t>복대동</t>
        </is>
      </c>
      <c r="AG433" s="0" t="inlineStr">
        <is>
          <t>충청북도 청주시 흥덕구 증안로 77</t>
        </is>
      </c>
      <c r="AH433" s="0" t="n">
        <v>0</v>
      </c>
      <c r="AI433" s="0" t="n">
        <v>203</v>
      </c>
      <c r="AJ433" s="0" t="n">
        <v>20</v>
      </c>
      <c r="AK433" s="0" t="n">
        <v>1473</v>
      </c>
      <c r="AL433" s="0" t="n">
        <v>1.01</v>
      </c>
    </row>
    <row r="434">
      <c r="A434" s="0" t="inlineStr">
        <is>
          <t>[복대동]</t>
        </is>
      </c>
      <c r="B434" s="0" t="n">
        <v>7372</v>
      </c>
      <c r="C434" s="0" t="n">
        <v>2</v>
      </c>
      <c r="D434" s="0" t="inlineStr">
        <is>
          <t>현대2차</t>
        </is>
      </c>
      <c r="E434" s="0" t="inlineStr">
        <is>
          <t>1999.05.</t>
        </is>
      </c>
      <c r="F434" s="0" t="n">
        <v>1464</v>
      </c>
      <c r="G434" s="0" t="n">
        <v>23.45</v>
      </c>
      <c r="H434" s="0" t="n">
        <v>77.53</v>
      </c>
      <c r="I434" s="0" t="n">
        <v>18.11</v>
      </c>
      <c r="J434" s="0" t="n">
        <v>59.88</v>
      </c>
      <c r="K434" s="0" t="n">
        <v>306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77A</t>
        </is>
      </c>
      <c r="X434" s="0" t="n">
        <v>15</v>
      </c>
      <c r="Y434" s="0" t="n">
        <v>13</v>
      </c>
      <c r="Z434" s="0" t="inlineStr">
        <is>
          <t>https://new.land.naver.com/complexes/7372?tab=detail&amp;rf=Y</t>
        </is>
      </c>
      <c r="AA434" s="0" t="inlineStr">
        <is>
          <t>충청북도 청주시 흥덕구 복대동 3029</t>
        </is>
      </c>
      <c r="AB434" s="0" t="inlineStr">
        <is>
          <t>충청북도</t>
        </is>
      </c>
      <c r="AC434" s="0" t="inlineStr">
        <is>
          <t>청주시</t>
        </is>
      </c>
      <c r="AD434" s="0" t="inlineStr">
        <is>
          <t>흥덕구</t>
        </is>
      </c>
      <c r="AE434" s="0" t="inlineStr">
        <is>
          <t>복대동</t>
        </is>
      </c>
      <c r="AG434" s="0" t="inlineStr">
        <is>
          <t>충청북도 청주시 흥덕구 증안로 77</t>
        </is>
      </c>
      <c r="AH434" s="0" t="n">
        <v>0</v>
      </c>
      <c r="AI434" s="0" t="n">
        <v>203</v>
      </c>
      <c r="AJ434" s="0" t="n">
        <v>20</v>
      </c>
      <c r="AK434" s="0" t="n">
        <v>1473</v>
      </c>
      <c r="AL434" s="0" t="n">
        <v>1.01</v>
      </c>
    </row>
    <row r="435">
      <c r="A435" s="0" t="inlineStr">
        <is>
          <t>[복대동]</t>
        </is>
      </c>
      <c r="B435" s="0" t="n">
        <v>113572</v>
      </c>
      <c r="C435" s="0" t="n">
        <v>1</v>
      </c>
      <c r="D435" s="0" t="inlineStr">
        <is>
          <t>청주복대두진하트리움2차</t>
        </is>
      </c>
      <c r="E435" s="0" t="inlineStr">
        <is>
          <t>2018.11.</t>
        </is>
      </c>
      <c r="F435" s="0" t="n">
        <v>293</v>
      </c>
      <c r="G435" s="0" t="n">
        <v>30.66</v>
      </c>
      <c r="H435" s="0" t="n">
        <v>101.36</v>
      </c>
      <c r="I435" s="0" t="n">
        <v>22.65</v>
      </c>
      <c r="J435" s="0" t="n">
        <v>74.90000000000001</v>
      </c>
      <c r="K435" s="0" t="n">
        <v>126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101B</t>
        </is>
      </c>
      <c r="X435" s="0" t="n">
        <v>20</v>
      </c>
      <c r="Y435" s="0" t="n">
        <v>14</v>
      </c>
      <c r="Z435" s="0" t="inlineStr">
        <is>
          <t>https://new.land.naver.com/complexes/113572?tab=detail&amp;rf=Y</t>
        </is>
      </c>
      <c r="AA435" s="0" t="inlineStr">
        <is>
          <t>충청북도 청주시 흥덕구 복대동 3403</t>
        </is>
      </c>
      <c r="AB435" s="0" t="inlineStr">
        <is>
          <t>충청북도</t>
        </is>
      </c>
      <c r="AC435" s="0" t="inlineStr">
        <is>
          <t>청주시</t>
        </is>
      </c>
      <c r="AD435" s="0" t="inlineStr">
        <is>
          <t>흥덕구</t>
        </is>
      </c>
      <c r="AE435" s="0" t="inlineStr">
        <is>
          <t>복대동</t>
        </is>
      </c>
      <c r="AG435" s="0" t="inlineStr">
        <is>
          <t>충청북도 청주시 흥덕구 대신로73번길 50</t>
        </is>
      </c>
      <c r="AH435" s="0" t="n">
        <v>0</v>
      </c>
      <c r="AI435" s="0" t="n">
        <v>229</v>
      </c>
      <c r="AJ435" s="0" t="n">
        <v>31</v>
      </c>
      <c r="AK435" s="0" t="n">
        <v>400</v>
      </c>
      <c r="AL435" s="0" t="n">
        <v>1.37</v>
      </c>
    </row>
    <row r="436">
      <c r="A436" s="0" t="inlineStr">
        <is>
          <t>[복대동]</t>
        </is>
      </c>
      <c r="B436" s="0" t="n">
        <v>113572</v>
      </c>
      <c r="C436" s="0" t="n">
        <v>2</v>
      </c>
      <c r="D436" s="0" t="inlineStr">
        <is>
          <t>청주복대두진하트리움2차</t>
        </is>
      </c>
      <c r="E436" s="0" t="inlineStr">
        <is>
          <t>2018.11.</t>
        </is>
      </c>
      <c r="F436" s="0" t="n">
        <v>293</v>
      </c>
      <c r="G436" s="0" t="n">
        <v>30.85</v>
      </c>
      <c r="H436" s="0" t="n">
        <v>102</v>
      </c>
      <c r="I436" s="0" t="n">
        <v>22.65</v>
      </c>
      <c r="J436" s="0" t="n">
        <v>74.89</v>
      </c>
      <c r="K436" s="0" t="n">
        <v>137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102A</t>
        </is>
      </c>
      <c r="X436" s="0" t="n">
        <v>20</v>
      </c>
      <c r="Y436" s="0" t="n">
        <v>14</v>
      </c>
      <c r="Z436" s="0" t="inlineStr">
        <is>
          <t>https://new.land.naver.com/complexes/113572?tab=detail&amp;rf=Y</t>
        </is>
      </c>
      <c r="AA436" s="0" t="inlineStr">
        <is>
          <t>충청북도 청주시 흥덕구 복대동 3403</t>
        </is>
      </c>
      <c r="AB436" s="0" t="inlineStr">
        <is>
          <t>충청북도</t>
        </is>
      </c>
      <c r="AC436" s="0" t="inlineStr">
        <is>
          <t>청주시</t>
        </is>
      </c>
      <c r="AD436" s="0" t="inlineStr">
        <is>
          <t>흥덕구</t>
        </is>
      </c>
      <c r="AE436" s="0" t="inlineStr">
        <is>
          <t>복대동</t>
        </is>
      </c>
      <c r="AG436" s="0" t="inlineStr">
        <is>
          <t>충청북도 청주시 흥덕구 대신로73번길 50</t>
        </is>
      </c>
      <c r="AH436" s="0" t="n">
        <v>0</v>
      </c>
      <c r="AI436" s="0" t="n">
        <v>229</v>
      </c>
      <c r="AJ436" s="0" t="n">
        <v>31</v>
      </c>
      <c r="AK436" s="0" t="n">
        <v>400</v>
      </c>
      <c r="AL436" s="0" t="n">
        <v>1.37</v>
      </c>
    </row>
    <row r="437">
      <c r="A437" s="0" t="inlineStr">
        <is>
          <t>[복대동]</t>
        </is>
      </c>
      <c r="B437" s="0" t="n">
        <v>113572</v>
      </c>
      <c r="C437" s="0" t="n">
        <v>3</v>
      </c>
      <c r="D437" s="0" t="inlineStr">
        <is>
          <t>청주복대두진하트리움2차</t>
        </is>
      </c>
      <c r="E437" s="0" t="inlineStr">
        <is>
          <t>2018.11.</t>
        </is>
      </c>
      <c r="F437" s="0" t="n">
        <v>293</v>
      </c>
      <c r="G437" s="0" t="n">
        <v>30.87</v>
      </c>
      <c r="H437" s="0" t="n">
        <v>102.06</v>
      </c>
      <c r="I437" s="0" t="n">
        <v>22.62</v>
      </c>
      <c r="J437" s="0" t="n">
        <v>74.79000000000001</v>
      </c>
      <c r="K437" s="0" t="n">
        <v>30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102C</t>
        </is>
      </c>
      <c r="X437" s="0" t="n">
        <v>20</v>
      </c>
      <c r="Y437" s="0" t="n">
        <v>14</v>
      </c>
      <c r="Z437" s="0" t="inlineStr">
        <is>
          <t>https://new.land.naver.com/complexes/113572?tab=detail&amp;rf=Y</t>
        </is>
      </c>
      <c r="AA437" s="0" t="inlineStr">
        <is>
          <t>충청북도 청주시 흥덕구 복대동 3403</t>
        </is>
      </c>
      <c r="AB437" s="0" t="inlineStr">
        <is>
          <t>충청북도</t>
        </is>
      </c>
      <c r="AC437" s="0" t="inlineStr">
        <is>
          <t>청주시</t>
        </is>
      </c>
      <c r="AD437" s="0" t="inlineStr">
        <is>
          <t>흥덕구</t>
        </is>
      </c>
      <c r="AE437" s="0" t="inlineStr">
        <is>
          <t>복대동</t>
        </is>
      </c>
      <c r="AG437" s="0" t="inlineStr">
        <is>
          <t>충청북도 청주시 흥덕구 대신로73번길 50</t>
        </is>
      </c>
      <c r="AH437" s="0" t="n">
        <v>0</v>
      </c>
      <c r="AI437" s="0" t="n">
        <v>229</v>
      </c>
      <c r="AJ437" s="0" t="n">
        <v>31</v>
      </c>
      <c r="AK437" s="0" t="n">
        <v>400</v>
      </c>
      <c r="AL437" s="0" t="n">
        <v>1.37</v>
      </c>
    </row>
    <row r="438">
      <c r="A438" s="0" t="inlineStr">
        <is>
          <t>[복대동]</t>
        </is>
      </c>
      <c r="B438" s="0" t="n">
        <v>104637</v>
      </c>
      <c r="C438" s="0" t="n">
        <v>1</v>
      </c>
      <c r="D438" s="0" t="inlineStr">
        <is>
          <t>두산위브지웰시티2차</t>
        </is>
      </c>
      <c r="E438" s="0" t="inlineStr">
        <is>
          <t>2015.06.</t>
        </is>
      </c>
      <c r="F438" s="0" t="n">
        <v>1956</v>
      </c>
      <c r="G438" s="0" t="n">
        <v>34.14</v>
      </c>
      <c r="H438" s="0" t="n">
        <v>112.88</v>
      </c>
      <c r="I438" s="0" t="n">
        <v>24.34</v>
      </c>
      <c r="J438" s="0" t="n">
        <v>80.48999999999999</v>
      </c>
      <c r="K438" s="0" t="n">
        <v>652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112B</t>
        </is>
      </c>
      <c r="X438" s="0" t="n">
        <v>45</v>
      </c>
      <c r="Y438" s="0" t="n">
        <v>39</v>
      </c>
      <c r="Z438" s="0" t="inlineStr">
        <is>
          <t>https://new.land.naver.com/complexes/104637?tab=detail&amp;rf=Y</t>
        </is>
      </c>
      <c r="AA438" s="0" t="inlineStr">
        <is>
          <t>충청북도 청주시 흥덕구 복대동 3381</t>
        </is>
      </c>
      <c r="AB438" s="0" t="inlineStr">
        <is>
          <t>충청북도</t>
        </is>
      </c>
      <c r="AC438" s="0" t="inlineStr">
        <is>
          <t>청주시</t>
        </is>
      </c>
      <c r="AD438" s="0" t="inlineStr">
        <is>
          <t>흥덕구</t>
        </is>
      </c>
      <c r="AE438" s="0" t="inlineStr">
        <is>
          <t>복대동</t>
        </is>
      </c>
      <c r="AG438" s="0" t="inlineStr">
        <is>
          <t>충청북도 청주시 흥덕구 대농로 55</t>
        </is>
      </c>
      <c r="AH438" s="0" t="n">
        <v>0</v>
      </c>
      <c r="AI438" s="0" t="n">
        <v>420</v>
      </c>
      <c r="AJ438" s="0" t="n">
        <v>29</v>
      </c>
      <c r="AK438" s="0" t="n">
        <v>3265</v>
      </c>
      <c r="AL438" s="0" t="n">
        <v>1.67</v>
      </c>
    </row>
    <row r="439">
      <c r="A439" s="0" t="inlineStr">
        <is>
          <t>[복대동]</t>
        </is>
      </c>
      <c r="B439" s="0" t="n">
        <v>104637</v>
      </c>
      <c r="C439" s="0" t="n">
        <v>2</v>
      </c>
      <c r="D439" s="0" t="inlineStr">
        <is>
          <t>두산위브지웰시티2차</t>
        </is>
      </c>
      <c r="E439" s="0" t="inlineStr">
        <is>
          <t>2015.06.</t>
        </is>
      </c>
      <c r="F439" s="0" t="n">
        <v>1956</v>
      </c>
      <c r="G439" s="0" t="n">
        <v>34.19</v>
      </c>
      <c r="H439" s="0" t="n">
        <v>113.05</v>
      </c>
      <c r="I439" s="0" t="n">
        <v>24.23</v>
      </c>
      <c r="J439" s="0" t="n">
        <v>80.13</v>
      </c>
      <c r="K439" s="0" t="n">
        <v>652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113A</t>
        </is>
      </c>
      <c r="X439" s="0" t="n">
        <v>45</v>
      </c>
      <c r="Y439" s="0" t="n">
        <v>39</v>
      </c>
      <c r="Z439" s="0" t="inlineStr">
        <is>
          <t>https://new.land.naver.com/complexes/104637?tab=detail&amp;rf=Y</t>
        </is>
      </c>
      <c r="AA439" s="0" t="inlineStr">
        <is>
          <t>충청북도 청주시 흥덕구 복대동 3381</t>
        </is>
      </c>
      <c r="AB439" s="0" t="inlineStr">
        <is>
          <t>충청북도</t>
        </is>
      </c>
      <c r="AC439" s="0" t="inlineStr">
        <is>
          <t>청주시</t>
        </is>
      </c>
      <c r="AD439" s="0" t="inlineStr">
        <is>
          <t>흥덕구</t>
        </is>
      </c>
      <c r="AE439" s="0" t="inlineStr">
        <is>
          <t>복대동</t>
        </is>
      </c>
      <c r="AG439" s="0" t="inlineStr">
        <is>
          <t>충청북도 청주시 흥덕구 대농로 55</t>
        </is>
      </c>
      <c r="AH439" s="0" t="n">
        <v>0</v>
      </c>
      <c r="AI439" s="0" t="n">
        <v>420</v>
      </c>
      <c r="AJ439" s="0" t="n">
        <v>29</v>
      </c>
      <c r="AK439" s="0" t="n">
        <v>3265</v>
      </c>
      <c r="AL439" s="0" t="n">
        <v>1.67</v>
      </c>
    </row>
    <row r="440">
      <c r="A440" s="0" t="inlineStr">
        <is>
          <t>[복대동]</t>
        </is>
      </c>
      <c r="B440" s="0" t="n">
        <v>104637</v>
      </c>
      <c r="C440" s="0" t="n">
        <v>3</v>
      </c>
      <c r="D440" s="0" t="inlineStr">
        <is>
          <t>두산위브지웰시티2차</t>
        </is>
      </c>
      <c r="E440" s="0" t="inlineStr">
        <is>
          <t>2015.06.</t>
        </is>
      </c>
      <c r="F440" s="0" t="n">
        <v>1956</v>
      </c>
      <c r="G440" s="0" t="n">
        <v>34.31</v>
      </c>
      <c r="H440" s="0" t="n">
        <v>113.43</v>
      </c>
      <c r="I440" s="0" t="n">
        <v>24.2</v>
      </c>
      <c r="J440" s="0" t="n">
        <v>80</v>
      </c>
      <c r="K440" s="0" t="n">
        <v>652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113C</t>
        </is>
      </c>
      <c r="X440" s="0" t="n">
        <v>45</v>
      </c>
      <c r="Y440" s="0" t="n">
        <v>39</v>
      </c>
      <c r="Z440" s="0" t="inlineStr">
        <is>
          <t>https://new.land.naver.com/complexes/104637?tab=detail&amp;rf=Y</t>
        </is>
      </c>
      <c r="AA440" s="0" t="inlineStr">
        <is>
          <t>충청북도 청주시 흥덕구 복대동 3381</t>
        </is>
      </c>
      <c r="AB440" s="0" t="inlineStr">
        <is>
          <t>충청북도</t>
        </is>
      </c>
      <c r="AC440" s="0" t="inlineStr">
        <is>
          <t>청주시</t>
        </is>
      </c>
      <c r="AD440" s="0" t="inlineStr">
        <is>
          <t>흥덕구</t>
        </is>
      </c>
      <c r="AE440" s="0" t="inlineStr">
        <is>
          <t>복대동</t>
        </is>
      </c>
      <c r="AG440" s="0" t="inlineStr">
        <is>
          <t>충청북도 청주시 흥덕구 대농로 55</t>
        </is>
      </c>
      <c r="AH440" s="0" t="n">
        <v>0</v>
      </c>
      <c r="AI440" s="0" t="n">
        <v>420</v>
      </c>
      <c r="AJ440" s="0" t="n">
        <v>29</v>
      </c>
      <c r="AK440" s="0" t="n">
        <v>3265</v>
      </c>
      <c r="AL440" s="0" t="n">
        <v>1.67</v>
      </c>
    </row>
    <row r="441">
      <c r="A441" s="0" t="inlineStr">
        <is>
          <t>[복대동]</t>
        </is>
      </c>
      <c r="B441" s="0" t="n">
        <v>114806</v>
      </c>
      <c r="C441" s="0" t="n">
        <v>1</v>
      </c>
      <c r="D441" s="0" t="inlineStr">
        <is>
          <t>효성</t>
        </is>
      </c>
      <c r="E441" s="0" t="inlineStr">
        <is>
          <t>1985.08.</t>
        </is>
      </c>
      <c r="F441" s="0" t="n">
        <v>49</v>
      </c>
      <c r="G441" s="0" t="n">
        <v>13.27</v>
      </c>
      <c r="H441" s="0" t="n">
        <v>43.88</v>
      </c>
      <c r="I441" s="0" t="n">
        <v>11.33</v>
      </c>
      <c r="J441" s="0" t="n">
        <v>37.48</v>
      </c>
      <c r="K441" s="0" t="n">
        <v>48</v>
      </c>
      <c r="T441" s="0" t="n">
        <v>2</v>
      </c>
      <c r="U441" s="0" t="n">
        <v>1</v>
      </c>
      <c r="V441" s="0" t="inlineStr">
        <is>
          <t>복도식</t>
        </is>
      </c>
      <c r="W441" s="0" t="n">
        <v>43</v>
      </c>
      <c r="X441" s="0" t="n">
        <v>5</v>
      </c>
      <c r="Y441" s="0" t="n">
        <v>5</v>
      </c>
      <c r="Z441" s="0" t="inlineStr">
        <is>
          <t>https://new.land.naver.com/complexes/114806?tab=detail&amp;rf=Y</t>
        </is>
      </c>
      <c r="AA441" s="0" t="inlineStr">
        <is>
          <t>충청북도 청주시 흥덕구 복대동 162-4</t>
        </is>
      </c>
      <c r="AB441" s="0" t="inlineStr">
        <is>
          <t>충청북도</t>
        </is>
      </c>
      <c r="AC441" s="0" t="inlineStr">
        <is>
          <t>청주시</t>
        </is>
      </c>
      <c r="AD441" s="0" t="inlineStr">
        <is>
          <t>흥덕구</t>
        </is>
      </c>
      <c r="AE441" s="0" t="inlineStr">
        <is>
          <t>복대동</t>
        </is>
      </c>
      <c r="AG441" s="0" t="inlineStr">
        <is>
          <t>충청북도 청주시 흥덕구 내수동로12번길 6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[복대동]</t>
        </is>
      </c>
      <c r="B442" s="0" t="n">
        <v>114806</v>
      </c>
      <c r="C442" s="0" t="n">
        <v>2</v>
      </c>
      <c r="D442" s="0" t="inlineStr">
        <is>
          <t>효성</t>
        </is>
      </c>
      <c r="E442" s="0" t="inlineStr">
        <is>
          <t>1985.08.</t>
        </is>
      </c>
      <c r="F442" s="0" t="n">
        <v>49</v>
      </c>
      <c r="G442" s="0" t="n">
        <v>26.48</v>
      </c>
      <c r="H442" s="0" t="n">
        <v>87.56</v>
      </c>
      <c r="I442" s="0" t="n">
        <v>22.67</v>
      </c>
      <c r="J442" s="0" t="n">
        <v>74.95999999999999</v>
      </c>
      <c r="K442" s="0" t="n">
        <v>1</v>
      </c>
      <c r="T442" s="0" t="n">
        <v>3</v>
      </c>
      <c r="U442" s="0" t="n">
        <v>2</v>
      </c>
      <c r="V442" s="0" t="inlineStr">
        <is>
          <t>복도식</t>
        </is>
      </c>
      <c r="W442" s="0" t="n">
        <v>87</v>
      </c>
      <c r="X442" s="0" t="n">
        <v>5</v>
      </c>
      <c r="Y442" s="0" t="n">
        <v>5</v>
      </c>
      <c r="Z442" s="0" t="inlineStr">
        <is>
          <t>https://new.land.naver.com/complexes/114806?tab=detail&amp;rf=Y</t>
        </is>
      </c>
      <c r="AA442" s="0" t="inlineStr">
        <is>
          <t>충청북도 청주시 흥덕구 복대동 162-4</t>
        </is>
      </c>
      <c r="AB442" s="0" t="inlineStr">
        <is>
          <t>충청북도</t>
        </is>
      </c>
      <c r="AC442" s="0" t="inlineStr">
        <is>
          <t>청주시</t>
        </is>
      </c>
      <c r="AD442" s="0" t="inlineStr">
        <is>
          <t>흥덕구</t>
        </is>
      </c>
      <c r="AE442" s="0" t="inlineStr">
        <is>
          <t>복대동</t>
        </is>
      </c>
      <c r="AG442" s="0" t="inlineStr">
        <is>
          <t>충청북도 청주시 흥덕구 내수동로12번길 6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[복대동]</t>
        </is>
      </c>
      <c r="B443" s="0" t="n">
        <v>105262</v>
      </c>
      <c r="C443" s="0" t="n">
        <v>1</v>
      </c>
      <c r="D443" s="0" t="inlineStr">
        <is>
          <t>덕성</t>
        </is>
      </c>
      <c r="E443" s="0" t="inlineStr">
        <is>
          <t>1991.12.</t>
        </is>
      </c>
      <c r="F443" s="0" t="n">
        <v>498</v>
      </c>
      <c r="G443" s="0" t="n">
        <v>10.6</v>
      </c>
      <c r="H443" s="0" t="n">
        <v>35.05</v>
      </c>
      <c r="I443" s="0" t="n">
        <v>6.86</v>
      </c>
      <c r="J443" s="0" t="n">
        <v>22.68</v>
      </c>
      <c r="K443" s="0" t="n">
        <v>456</v>
      </c>
      <c r="T443" s="0" t="n">
        <v>1</v>
      </c>
      <c r="U443" s="0" t="n">
        <v>1</v>
      </c>
      <c r="V443" s="0" t="inlineStr">
        <is>
          <t>복도식</t>
        </is>
      </c>
      <c r="W443" s="0" t="n">
        <v>35</v>
      </c>
      <c r="X443" s="0" t="n">
        <v>15</v>
      </c>
      <c r="Y443" s="0" t="n">
        <v>10</v>
      </c>
      <c r="Z443" s="0" t="inlineStr">
        <is>
          <t>https://new.land.naver.com/complexes/105262?tab=detail&amp;rf=Y</t>
        </is>
      </c>
      <c r="AA443" s="0" t="inlineStr">
        <is>
          <t>충청북도 청주시 흥덕구 복대동 95-1</t>
        </is>
      </c>
      <c r="AB443" s="0" t="inlineStr">
        <is>
          <t>충청북도</t>
        </is>
      </c>
      <c r="AC443" s="0" t="inlineStr">
        <is>
          <t>청주시</t>
        </is>
      </c>
      <c r="AD443" s="0" t="inlineStr">
        <is>
          <t>흥덕구</t>
        </is>
      </c>
      <c r="AE443" s="0" t="inlineStr">
        <is>
          <t>복대동</t>
        </is>
      </c>
      <c r="AG443" s="0" t="inlineStr">
        <is>
          <t>충청북도 청주시 흥덕구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[복대동]</t>
        </is>
      </c>
      <c r="B444" s="0" t="n">
        <v>105262</v>
      </c>
      <c r="C444" s="0" t="n">
        <v>2</v>
      </c>
      <c r="D444" s="0" t="inlineStr">
        <is>
          <t>덕성</t>
        </is>
      </c>
      <c r="E444" s="0" t="inlineStr">
        <is>
          <t>1991.12.</t>
        </is>
      </c>
      <c r="F444" s="0" t="n">
        <v>498</v>
      </c>
      <c r="G444" s="0" t="n">
        <v>24.36</v>
      </c>
      <c r="H444" s="0" t="n">
        <v>80.53</v>
      </c>
      <c r="I444" s="0" t="n">
        <v>15.76</v>
      </c>
      <c r="J444" s="0" t="n">
        <v>52.11</v>
      </c>
      <c r="K444" s="0" t="n">
        <v>42</v>
      </c>
      <c r="T444" s="0" t="n">
        <v>3</v>
      </c>
      <c r="U444" s="0" t="n">
        <v>2</v>
      </c>
      <c r="V444" s="0" t="inlineStr">
        <is>
          <t>복도식</t>
        </is>
      </c>
      <c r="W444" s="0" t="n">
        <v>80</v>
      </c>
      <c r="X444" s="0" t="n">
        <v>15</v>
      </c>
      <c r="Y444" s="0" t="n">
        <v>10</v>
      </c>
      <c r="Z444" s="0" t="inlineStr">
        <is>
          <t>https://new.land.naver.com/complexes/105262?tab=detail&amp;rf=Y</t>
        </is>
      </c>
      <c r="AA444" s="0" t="inlineStr">
        <is>
          <t>충청북도 청주시 흥덕구 복대동 95-1</t>
        </is>
      </c>
      <c r="AB444" s="0" t="inlineStr">
        <is>
          <t>충청북도</t>
        </is>
      </c>
      <c r="AC444" s="0" t="inlineStr">
        <is>
          <t>청주시</t>
        </is>
      </c>
      <c r="AD444" s="0" t="inlineStr">
        <is>
          <t>흥덕구</t>
        </is>
      </c>
      <c r="AE444" s="0" t="inlineStr">
        <is>
          <t>복대동</t>
        </is>
      </c>
      <c r="AG444" s="0" t="inlineStr">
        <is>
          <t>충청북도 청주시 흥덕구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[복대동]</t>
        </is>
      </c>
      <c r="B445" s="0" t="n">
        <v>7330</v>
      </c>
      <c r="C445" s="0" t="n">
        <v>1</v>
      </c>
      <c r="D445" s="0" t="inlineStr">
        <is>
          <t>세원</t>
        </is>
      </c>
      <c r="E445" s="0" t="inlineStr">
        <is>
          <t>1990.08.</t>
        </is>
      </c>
      <c r="F445" s="0" t="n">
        <v>200</v>
      </c>
      <c r="G445" s="0" t="n">
        <v>18.35</v>
      </c>
      <c r="H445" s="0" t="n">
        <v>60.68</v>
      </c>
      <c r="I445" s="0" t="n">
        <v>14.64</v>
      </c>
      <c r="J445" s="0" t="n">
        <v>48.42</v>
      </c>
      <c r="K445" s="0" t="n">
        <v>5</v>
      </c>
      <c r="T445" s="0" t="n">
        <v>2</v>
      </c>
      <c r="U445" s="0" t="n">
        <v>1</v>
      </c>
      <c r="V445" s="0" t="inlineStr">
        <is>
          <t>계단식</t>
        </is>
      </c>
      <c r="W445" s="0" t="n">
        <v>60</v>
      </c>
      <c r="X445" s="0" t="n">
        <v>5</v>
      </c>
      <c r="Y445" s="0" t="n">
        <v>5</v>
      </c>
      <c r="Z445" s="0" t="inlineStr">
        <is>
          <t>https://new.land.naver.com/complexes/7330?tab=detail&amp;rf=Y</t>
        </is>
      </c>
      <c r="AA445" s="0" t="inlineStr">
        <is>
          <t>충청북도 청주시 흥덕구 복대동 2009</t>
        </is>
      </c>
      <c r="AB445" s="0" t="inlineStr">
        <is>
          <t>충청북도</t>
        </is>
      </c>
      <c r="AC445" s="0" t="inlineStr">
        <is>
          <t>청주시</t>
        </is>
      </c>
      <c r="AD445" s="0" t="inlineStr">
        <is>
          <t>흥덕구</t>
        </is>
      </c>
      <c r="AE445" s="0" t="inlineStr">
        <is>
          <t>복대동</t>
        </is>
      </c>
      <c r="AG445" s="0" t="inlineStr">
        <is>
          <t>충청북도 청주시 흥덕구 장구봉로101번길 45</t>
        </is>
      </c>
      <c r="AH445" s="0" t="n">
        <v>0</v>
      </c>
      <c r="AI445" s="0" t="n">
        <v>0</v>
      </c>
      <c r="AJ445" s="0" t="n">
        <v>0</v>
      </c>
      <c r="AK445" s="0" t="n">
        <v>160</v>
      </c>
      <c r="AL445" s="0" t="n">
        <v>0.8</v>
      </c>
    </row>
    <row r="446">
      <c r="A446" s="0" t="inlineStr">
        <is>
          <t>[복대동]</t>
        </is>
      </c>
      <c r="B446" s="0" t="n">
        <v>7330</v>
      </c>
      <c r="C446" s="0" t="n">
        <v>2</v>
      </c>
      <c r="D446" s="0" t="inlineStr">
        <is>
          <t>세원</t>
        </is>
      </c>
      <c r="E446" s="0" t="inlineStr">
        <is>
          <t>1990.08.</t>
        </is>
      </c>
      <c r="F446" s="0" t="n">
        <v>200</v>
      </c>
      <c r="G446" s="0" t="n">
        <v>22.05</v>
      </c>
      <c r="H446" s="0" t="n">
        <v>72.91</v>
      </c>
      <c r="I446" s="0" t="n">
        <v>17.95</v>
      </c>
      <c r="J446" s="0" t="n">
        <v>59.37</v>
      </c>
      <c r="K446" s="0" t="n">
        <v>75</v>
      </c>
      <c r="T446" s="0" t="n">
        <v>3</v>
      </c>
      <c r="U446" s="0" t="n">
        <v>1</v>
      </c>
      <c r="V446" s="0" t="inlineStr">
        <is>
          <t>계단식</t>
        </is>
      </c>
      <c r="W446" s="0" t="n">
        <v>72</v>
      </c>
      <c r="X446" s="0" t="n">
        <v>5</v>
      </c>
      <c r="Y446" s="0" t="n">
        <v>5</v>
      </c>
      <c r="Z446" s="0" t="inlineStr">
        <is>
          <t>https://new.land.naver.com/complexes/7330?tab=detail&amp;rf=Y</t>
        </is>
      </c>
      <c r="AA446" s="0" t="inlineStr">
        <is>
          <t>충청북도 청주시 흥덕구 복대동 2009</t>
        </is>
      </c>
      <c r="AB446" s="0" t="inlineStr">
        <is>
          <t>충청북도</t>
        </is>
      </c>
      <c r="AC446" s="0" t="inlineStr">
        <is>
          <t>청주시</t>
        </is>
      </c>
      <c r="AD446" s="0" t="inlineStr">
        <is>
          <t>흥덕구</t>
        </is>
      </c>
      <c r="AE446" s="0" t="inlineStr">
        <is>
          <t>복대동</t>
        </is>
      </c>
      <c r="AG446" s="0" t="inlineStr">
        <is>
          <t>충청북도 청주시 흥덕구 장구봉로101번길 45</t>
        </is>
      </c>
      <c r="AH446" s="0" t="n">
        <v>0</v>
      </c>
      <c r="AI446" s="0" t="n">
        <v>0</v>
      </c>
      <c r="AJ446" s="0" t="n">
        <v>0</v>
      </c>
      <c r="AK446" s="0" t="n">
        <v>160</v>
      </c>
      <c r="AL446" s="0" t="n">
        <v>0.8</v>
      </c>
    </row>
    <row r="447">
      <c r="A447" s="0" t="inlineStr">
        <is>
          <t>[복대동]</t>
        </is>
      </c>
      <c r="B447" s="0" t="n">
        <v>7330</v>
      </c>
      <c r="C447" s="0" t="n">
        <v>3</v>
      </c>
      <c r="D447" s="0" t="inlineStr">
        <is>
          <t>세원</t>
        </is>
      </c>
      <c r="E447" s="0" t="inlineStr">
        <is>
          <t>1990.08.</t>
        </is>
      </c>
      <c r="F447" s="0" t="n">
        <v>200</v>
      </c>
      <c r="G447" s="0" t="n">
        <v>30.82</v>
      </c>
      <c r="H447" s="0" t="n">
        <v>101.91</v>
      </c>
      <c r="I447" s="0" t="n">
        <v>25.67</v>
      </c>
      <c r="J447" s="0" t="n">
        <v>84.89</v>
      </c>
      <c r="K447" s="0" t="n">
        <v>120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101</v>
      </c>
      <c r="X447" s="0" t="n">
        <v>5</v>
      </c>
      <c r="Y447" s="0" t="n">
        <v>5</v>
      </c>
      <c r="Z447" s="0" t="inlineStr">
        <is>
          <t>https://new.land.naver.com/complexes/7330?tab=detail&amp;rf=Y</t>
        </is>
      </c>
      <c r="AA447" s="0" t="inlineStr">
        <is>
          <t>충청북도 청주시 흥덕구 복대동 2009</t>
        </is>
      </c>
      <c r="AB447" s="0" t="inlineStr">
        <is>
          <t>충청북도</t>
        </is>
      </c>
      <c r="AC447" s="0" t="inlineStr">
        <is>
          <t>청주시</t>
        </is>
      </c>
      <c r="AD447" s="0" t="inlineStr">
        <is>
          <t>흥덕구</t>
        </is>
      </c>
      <c r="AE447" s="0" t="inlineStr">
        <is>
          <t>복대동</t>
        </is>
      </c>
      <c r="AG447" s="0" t="inlineStr">
        <is>
          <t>충청북도 청주시 흥덕구 장구봉로101번길 45</t>
        </is>
      </c>
      <c r="AH447" s="0" t="n">
        <v>0</v>
      </c>
      <c r="AI447" s="0" t="n">
        <v>0</v>
      </c>
      <c r="AJ447" s="0" t="n">
        <v>0</v>
      </c>
      <c r="AK447" s="0" t="n">
        <v>160</v>
      </c>
      <c r="AL447" s="0" t="n">
        <v>0.8</v>
      </c>
    </row>
    <row r="448">
      <c r="A448" s="0" t="inlineStr">
        <is>
          <t>[복대동]</t>
        </is>
      </c>
      <c r="B448" s="0" t="n">
        <v>120407</v>
      </c>
      <c r="C448" s="0" t="n">
        <v>1</v>
      </c>
      <c r="D448" s="0" t="inlineStr">
        <is>
          <t>덕성그린</t>
        </is>
      </c>
      <c r="E448" s="0" t="inlineStr">
        <is>
          <t>1996.12.</t>
        </is>
      </c>
      <c r="F448" s="0" t="n">
        <v>86</v>
      </c>
      <c r="G448" s="0" t="n">
        <v>11.69</v>
      </c>
      <c r="H448" s="0" t="n">
        <v>38.67</v>
      </c>
      <c r="I448" s="0" t="n">
        <v>9</v>
      </c>
      <c r="J448" s="0" t="n">
        <v>29.76</v>
      </c>
      <c r="K448" s="0" t="n">
        <v>86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38</v>
      </c>
      <c r="X448" s="0" t="n">
        <v>6</v>
      </c>
      <c r="Y448" s="0" t="n">
        <v>5</v>
      </c>
      <c r="Z448" s="0" t="inlineStr">
        <is>
          <t>https://new.land.naver.com/complexes/120407?tab=detail&amp;rf=Y</t>
        </is>
      </c>
      <c r="AA448" s="0" t="inlineStr">
        <is>
          <t>충청북도 청주시 흥덕구 복대동 171-1</t>
        </is>
      </c>
      <c r="AB448" s="0" t="inlineStr">
        <is>
          <t>충청북도</t>
        </is>
      </c>
      <c r="AC448" s="0" t="inlineStr">
        <is>
          <t>청주시</t>
        </is>
      </c>
      <c r="AD448" s="0" t="inlineStr">
        <is>
          <t>흥덕구</t>
        </is>
      </c>
      <c r="AE448" s="0" t="inlineStr">
        <is>
          <t>복대동</t>
        </is>
      </c>
      <c r="AG448" s="0" t="inlineStr">
        <is>
          <t>충청북도 청주시 흥덕구 신율로180번길 34</t>
        </is>
      </c>
      <c r="AH448" s="0" t="n">
        <v>0</v>
      </c>
      <c r="AI448" s="0" t="n">
        <v>211</v>
      </c>
      <c r="AJ448" s="0" t="n">
        <v>38</v>
      </c>
      <c r="AK448" s="0" t="n">
        <v>46</v>
      </c>
      <c r="AL448" s="0" t="n">
        <v>0.53</v>
      </c>
    </row>
    <row r="449">
      <c r="A449" s="0" t="inlineStr">
        <is>
          <t>[복대동]</t>
        </is>
      </c>
      <c r="B449" s="0" t="n">
        <v>13149</v>
      </c>
      <c r="C449" s="0" t="n">
        <v>1</v>
      </c>
      <c r="D449" s="0" t="inlineStr">
        <is>
          <t>덕일</t>
        </is>
      </c>
      <c r="E449" s="0" t="inlineStr">
        <is>
          <t>1989.12.</t>
        </is>
      </c>
      <c r="F449" s="0" t="n">
        <v>350</v>
      </c>
      <c r="G449" s="0" t="n">
        <v>17.75</v>
      </c>
      <c r="H449" s="0" t="n">
        <v>58.7</v>
      </c>
      <c r="I449" s="0" t="n">
        <v>15</v>
      </c>
      <c r="J449" s="0" t="n">
        <v>49.61</v>
      </c>
      <c r="K449" s="0" t="n">
        <v>200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58</v>
      </c>
      <c r="X449" s="0" t="n">
        <v>5</v>
      </c>
      <c r="Y449" s="0" t="n">
        <v>5</v>
      </c>
      <c r="Z449" s="0" t="inlineStr">
        <is>
          <t>https://new.land.naver.com/complexes/13149?tab=detail&amp;rf=Y</t>
        </is>
      </c>
      <c r="AA449" s="0" t="inlineStr">
        <is>
          <t>충청북도 청주시 흥덕구 복대동 993</t>
        </is>
      </c>
      <c r="AB449" s="0" t="inlineStr">
        <is>
          <t>충청북도</t>
        </is>
      </c>
      <c r="AC449" s="0" t="inlineStr">
        <is>
          <t>청주시</t>
        </is>
      </c>
      <c r="AD449" s="0" t="inlineStr">
        <is>
          <t>흥덕구</t>
        </is>
      </c>
      <c r="AE449" s="0" t="inlineStr">
        <is>
          <t>복대동</t>
        </is>
      </c>
      <c r="AG449" s="0" t="inlineStr">
        <is>
          <t>충청북도 청주시 흥덕구 복대로 149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[복대동]</t>
        </is>
      </c>
      <c r="B450" s="0" t="n">
        <v>13149</v>
      </c>
      <c r="C450" s="0" t="n">
        <v>2</v>
      </c>
      <c r="D450" s="0" t="inlineStr">
        <is>
          <t>덕일</t>
        </is>
      </c>
      <c r="E450" s="0" t="inlineStr">
        <is>
          <t>1989.12.</t>
        </is>
      </c>
      <c r="F450" s="0" t="n">
        <v>350</v>
      </c>
      <c r="G450" s="0" t="n">
        <v>19.64</v>
      </c>
      <c r="H450" s="0" t="n">
        <v>64.94</v>
      </c>
      <c r="I450" s="0" t="n">
        <v>15</v>
      </c>
      <c r="J450" s="0" t="n">
        <v>49.61</v>
      </c>
      <c r="K450" s="0" t="n">
        <v>10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64</v>
      </c>
      <c r="X450" s="0" t="n">
        <v>5</v>
      </c>
      <c r="Y450" s="0" t="n">
        <v>5</v>
      </c>
      <c r="Z450" s="0" t="inlineStr">
        <is>
          <t>https://new.land.naver.com/complexes/13149?tab=detail&amp;rf=Y</t>
        </is>
      </c>
      <c r="AA450" s="0" t="inlineStr">
        <is>
          <t>충청북도 청주시 흥덕구 복대동 993</t>
        </is>
      </c>
      <c r="AB450" s="0" t="inlineStr">
        <is>
          <t>충청북도</t>
        </is>
      </c>
      <c r="AC450" s="0" t="inlineStr">
        <is>
          <t>청주시</t>
        </is>
      </c>
      <c r="AD450" s="0" t="inlineStr">
        <is>
          <t>흥덕구</t>
        </is>
      </c>
      <c r="AE450" s="0" t="inlineStr">
        <is>
          <t>복대동</t>
        </is>
      </c>
      <c r="AG450" s="0" t="inlineStr">
        <is>
          <t>충청북도 청주시 흥덕구 복대로 149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[복대동]</t>
        </is>
      </c>
      <c r="B451" s="0" t="n">
        <v>13149</v>
      </c>
      <c r="C451" s="0" t="n">
        <v>3</v>
      </c>
      <c r="D451" s="0" t="inlineStr">
        <is>
          <t>덕일</t>
        </is>
      </c>
      <c r="E451" s="0" t="inlineStr">
        <is>
          <t>1989.12.</t>
        </is>
      </c>
      <c r="F451" s="0" t="n">
        <v>350</v>
      </c>
      <c r="G451" s="0" t="n">
        <v>20.78</v>
      </c>
      <c r="H451" s="0" t="n">
        <v>68.7</v>
      </c>
      <c r="I451" s="0" t="n">
        <v>18.03</v>
      </c>
      <c r="J451" s="0" t="n">
        <v>59.61</v>
      </c>
      <c r="K451" s="0" t="n">
        <v>5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68A</t>
        </is>
      </c>
      <c r="X451" s="0" t="n">
        <v>5</v>
      </c>
      <c r="Y451" s="0" t="n">
        <v>5</v>
      </c>
      <c r="Z451" s="0" t="inlineStr">
        <is>
          <t>https://new.land.naver.com/complexes/13149?tab=detail&amp;rf=Y</t>
        </is>
      </c>
      <c r="AA451" s="0" t="inlineStr">
        <is>
          <t>충청북도 청주시 흥덕구 복대동 993</t>
        </is>
      </c>
      <c r="AB451" s="0" t="inlineStr">
        <is>
          <t>충청북도</t>
        </is>
      </c>
      <c r="AC451" s="0" t="inlineStr">
        <is>
          <t>청주시</t>
        </is>
      </c>
      <c r="AD451" s="0" t="inlineStr">
        <is>
          <t>흥덕구</t>
        </is>
      </c>
      <c r="AE451" s="0" t="inlineStr">
        <is>
          <t>복대동</t>
        </is>
      </c>
      <c r="AG451" s="0" t="inlineStr">
        <is>
          <t>충청북도 청주시 흥덕구 복대로 149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[복대동]</t>
        </is>
      </c>
      <c r="B452" s="0" t="n">
        <v>13149</v>
      </c>
      <c r="C452" s="0" t="n">
        <v>4</v>
      </c>
      <c r="D452" s="0" t="inlineStr">
        <is>
          <t>덕일</t>
        </is>
      </c>
      <c r="E452" s="0" t="inlineStr">
        <is>
          <t>1989.12.</t>
        </is>
      </c>
      <c r="F452" s="0" t="n">
        <v>350</v>
      </c>
      <c r="G452" s="0" t="n">
        <v>20.78</v>
      </c>
      <c r="H452" s="0" t="n">
        <v>68.72</v>
      </c>
      <c r="I452" s="0" t="n">
        <v>18.03</v>
      </c>
      <c r="J452" s="0" t="n">
        <v>59.63</v>
      </c>
      <c r="K452" s="0" t="n">
        <v>5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68B</t>
        </is>
      </c>
      <c r="X452" s="0" t="n">
        <v>5</v>
      </c>
      <c r="Y452" s="0" t="n">
        <v>5</v>
      </c>
      <c r="Z452" s="0" t="inlineStr">
        <is>
          <t>https://new.land.naver.com/complexes/13149?tab=detail&amp;rf=Y</t>
        </is>
      </c>
      <c r="AA452" s="0" t="inlineStr">
        <is>
          <t>충청북도 청주시 흥덕구 복대동 993</t>
        </is>
      </c>
      <c r="AB452" s="0" t="inlineStr">
        <is>
          <t>충청북도</t>
        </is>
      </c>
      <c r="AC452" s="0" t="inlineStr">
        <is>
          <t>청주시</t>
        </is>
      </c>
      <c r="AD452" s="0" t="inlineStr">
        <is>
          <t>흥덕구</t>
        </is>
      </c>
      <c r="AE452" s="0" t="inlineStr">
        <is>
          <t>복대동</t>
        </is>
      </c>
      <c r="AG452" s="0" t="inlineStr">
        <is>
          <t>충청북도 청주시 흥덕구 복대로 149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[복대동]</t>
        </is>
      </c>
      <c r="B453" s="0" t="n">
        <v>13149</v>
      </c>
      <c r="C453" s="0" t="n">
        <v>5</v>
      </c>
      <c r="D453" s="0" t="inlineStr">
        <is>
          <t>덕일</t>
        </is>
      </c>
      <c r="E453" s="0" t="inlineStr">
        <is>
          <t>1989.12.</t>
        </is>
      </c>
      <c r="F453" s="0" t="n">
        <v>350</v>
      </c>
      <c r="G453" s="0" t="n">
        <v>20.87</v>
      </c>
      <c r="H453" s="0" t="n">
        <v>69</v>
      </c>
      <c r="I453" s="0" t="n">
        <v>18.12</v>
      </c>
      <c r="J453" s="0" t="n">
        <v>59.91</v>
      </c>
      <c r="K453" s="0" t="n">
        <v>130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69</v>
      </c>
      <c r="X453" s="0" t="n">
        <v>5</v>
      </c>
      <c r="Y453" s="0" t="n">
        <v>5</v>
      </c>
      <c r="Z453" s="0" t="inlineStr">
        <is>
          <t>https://new.land.naver.com/complexes/13149?tab=detail&amp;rf=Y</t>
        </is>
      </c>
      <c r="AA453" s="0" t="inlineStr">
        <is>
          <t>충청북도 청주시 흥덕구 복대동 993</t>
        </is>
      </c>
      <c r="AB453" s="0" t="inlineStr">
        <is>
          <t>충청북도</t>
        </is>
      </c>
      <c r="AC453" s="0" t="inlineStr">
        <is>
          <t>청주시</t>
        </is>
      </c>
      <c r="AD453" s="0" t="inlineStr">
        <is>
          <t>흥덕구</t>
        </is>
      </c>
      <c r="AE453" s="0" t="inlineStr">
        <is>
          <t>복대동</t>
        </is>
      </c>
      <c r="AG453" s="0" t="inlineStr">
        <is>
          <t>충청북도 청주시 흥덕구 복대로 149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[복대동]</t>
        </is>
      </c>
      <c r="B454" s="0" t="n">
        <v>7335</v>
      </c>
      <c r="C454" s="0" t="n">
        <v>1</v>
      </c>
      <c r="D454" s="0" t="inlineStr">
        <is>
          <t>세원느티마을</t>
        </is>
      </c>
      <c r="E454" s="0" t="inlineStr">
        <is>
          <t>1999.09.</t>
        </is>
      </c>
      <c r="F454" s="0" t="n">
        <v>526</v>
      </c>
      <c r="G454" s="0" t="n">
        <v>23.06</v>
      </c>
      <c r="H454" s="0" t="n">
        <v>76.26000000000001</v>
      </c>
      <c r="I454" s="0" t="n">
        <v>18.14</v>
      </c>
      <c r="J454" s="0" t="n">
        <v>59.98</v>
      </c>
      <c r="K454" s="0" t="n">
        <v>380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76</v>
      </c>
      <c r="X454" s="0" t="n">
        <v>15</v>
      </c>
      <c r="Y454" s="0" t="n">
        <v>10</v>
      </c>
      <c r="Z454" s="0" t="inlineStr">
        <is>
          <t>https://new.land.naver.com/complexes/7335?tab=detail&amp;rf=Y</t>
        </is>
      </c>
      <c r="AA454" s="0" t="inlineStr">
        <is>
          <t>충청북도 청주시 흥덕구 복대동 2461</t>
        </is>
      </c>
      <c r="AB454" s="0" t="inlineStr">
        <is>
          <t>충청북도</t>
        </is>
      </c>
      <c r="AC454" s="0" t="inlineStr">
        <is>
          <t>청주시</t>
        </is>
      </c>
      <c r="AD454" s="0" t="inlineStr">
        <is>
          <t>흥덕구</t>
        </is>
      </c>
      <c r="AE454" s="0" t="inlineStr">
        <is>
          <t>복대동</t>
        </is>
      </c>
      <c r="AG454" s="0" t="inlineStr">
        <is>
          <t>충청북도 청주시 흥덕구 진재로 67</t>
        </is>
      </c>
      <c r="AH454" s="0" t="n">
        <v>0</v>
      </c>
      <c r="AI454" s="0" t="n">
        <v>212</v>
      </c>
      <c r="AJ454" s="0" t="n">
        <v>24</v>
      </c>
      <c r="AK454" s="0" t="n">
        <v>0</v>
      </c>
      <c r="AL454" s="0" t="n">
        <v>0</v>
      </c>
    </row>
    <row r="455">
      <c r="A455" s="0" t="inlineStr">
        <is>
          <t>[복대동]</t>
        </is>
      </c>
      <c r="B455" s="0" t="n">
        <v>7335</v>
      </c>
      <c r="C455" s="0" t="n">
        <v>2</v>
      </c>
      <c r="D455" s="0" t="inlineStr">
        <is>
          <t>세원느티마을</t>
        </is>
      </c>
      <c r="E455" s="0" t="inlineStr">
        <is>
          <t>1999.09.</t>
        </is>
      </c>
      <c r="F455" s="0" t="n">
        <v>526</v>
      </c>
      <c r="G455" s="0" t="n">
        <v>24.69</v>
      </c>
      <c r="H455" s="0" t="n">
        <v>81.62</v>
      </c>
      <c r="I455" s="0" t="n">
        <v>18.14</v>
      </c>
      <c r="J455" s="0" t="n">
        <v>59.99</v>
      </c>
      <c r="K455" s="0" t="n">
        <v>146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81</v>
      </c>
      <c r="X455" s="0" t="n">
        <v>15</v>
      </c>
      <c r="Y455" s="0" t="n">
        <v>10</v>
      </c>
      <c r="Z455" s="0" t="inlineStr">
        <is>
          <t>https://new.land.naver.com/complexes/7335?tab=detail&amp;rf=Y</t>
        </is>
      </c>
      <c r="AA455" s="0" t="inlineStr">
        <is>
          <t>충청북도 청주시 흥덕구 복대동 2461</t>
        </is>
      </c>
      <c r="AB455" s="0" t="inlineStr">
        <is>
          <t>충청북도</t>
        </is>
      </c>
      <c r="AC455" s="0" t="inlineStr">
        <is>
          <t>청주시</t>
        </is>
      </c>
      <c r="AD455" s="0" t="inlineStr">
        <is>
          <t>흥덕구</t>
        </is>
      </c>
      <c r="AE455" s="0" t="inlineStr">
        <is>
          <t>복대동</t>
        </is>
      </c>
      <c r="AG455" s="0" t="inlineStr">
        <is>
          <t>충청북도 청주시 흥덕구 진재로 67</t>
        </is>
      </c>
      <c r="AH455" s="0" t="n">
        <v>0</v>
      </c>
      <c r="AI455" s="0" t="n">
        <v>212</v>
      </c>
      <c r="AJ455" s="0" t="n">
        <v>24</v>
      </c>
      <c r="AK455" s="0" t="n">
        <v>0</v>
      </c>
      <c r="AL455" s="0" t="n">
        <v>0</v>
      </c>
    </row>
    <row r="456">
      <c r="A456" s="0" t="inlineStr">
        <is>
          <t>[복대동]</t>
        </is>
      </c>
      <c r="B456" s="0" t="n">
        <v>7343</v>
      </c>
      <c r="C456" s="0" t="n">
        <v>1</v>
      </c>
      <c r="D456" s="0" t="inlineStr">
        <is>
          <t>청송</t>
        </is>
      </c>
      <c r="E456" s="0" t="inlineStr">
        <is>
          <t>1981.05.</t>
        </is>
      </c>
      <c r="F456" s="0" t="n">
        <v>100</v>
      </c>
      <c r="G456" s="0" t="n">
        <v>24.65</v>
      </c>
      <c r="H456" s="0" t="n">
        <v>81.5</v>
      </c>
      <c r="I456" s="0" t="n">
        <v>21.35</v>
      </c>
      <c r="J456" s="0" t="n">
        <v>70.61</v>
      </c>
      <c r="K456" s="0" t="n">
        <v>100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81</v>
      </c>
      <c r="X456" s="0" t="n">
        <v>5</v>
      </c>
      <c r="Y456" s="0" t="n">
        <v>5</v>
      </c>
      <c r="Z456" s="0" t="inlineStr">
        <is>
          <t>https://new.land.naver.com/complexes/7343?tab=detail&amp;rf=Y</t>
        </is>
      </c>
      <c r="AA456" s="0" t="inlineStr">
        <is>
          <t>충청북도 청주시 흥덕구 복대동 833-1</t>
        </is>
      </c>
      <c r="AB456" s="0" t="inlineStr">
        <is>
          <t>충청북도</t>
        </is>
      </c>
      <c r="AC456" s="0" t="inlineStr">
        <is>
          <t>청주시</t>
        </is>
      </c>
      <c r="AD456" s="0" t="inlineStr">
        <is>
          <t>흥덕구</t>
        </is>
      </c>
      <c r="AE456" s="0" t="inlineStr">
        <is>
          <t>복대동</t>
        </is>
      </c>
      <c r="AG456" s="0" t="inlineStr">
        <is>
          <t>충청북도 청주시 흥덕구 사직대로29번길 14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[복대동]</t>
        </is>
      </c>
      <c r="B457" s="0" t="n">
        <v>114466</v>
      </c>
      <c r="C457" s="0" t="n">
        <v>1</v>
      </c>
      <c r="D457" s="0" t="inlineStr">
        <is>
          <t>포빌(도시형)</t>
        </is>
      </c>
      <c r="E457" s="0" t="inlineStr">
        <is>
          <t>2017.02.</t>
        </is>
      </c>
      <c r="F457" s="0" t="n">
        <v>299</v>
      </c>
      <c r="G457" s="0" t="n">
        <v>9.550000000000001</v>
      </c>
      <c r="H457" s="0" t="n">
        <v>31.59</v>
      </c>
      <c r="I457" s="0" t="n">
        <v>6.93</v>
      </c>
      <c r="J457" s="0" t="n">
        <v>22.91</v>
      </c>
      <c r="K457" s="0" t="n">
        <v>20</v>
      </c>
      <c r="T457" s="0" t="n">
        <v>1</v>
      </c>
      <c r="U457" s="0" t="n">
        <v>1</v>
      </c>
      <c r="V457" s="0" t="inlineStr">
        <is>
          <t>계단식</t>
        </is>
      </c>
      <c r="W457" s="0" t="inlineStr">
        <is>
          <t>31B</t>
        </is>
      </c>
      <c r="X457" s="0" t="n">
        <v>22</v>
      </c>
      <c r="Y457" s="0" t="n">
        <v>21</v>
      </c>
      <c r="Z457" s="0" t="inlineStr">
        <is>
          <t>https://new.land.naver.com/complexes/114466?tab=detail&amp;rf=Y</t>
        </is>
      </c>
      <c r="AA457" s="0" t="inlineStr">
        <is>
          <t>충청북도 청주시 흥덕구 복대동 853-5</t>
        </is>
      </c>
      <c r="AB457" s="0" t="inlineStr">
        <is>
          <t>충청북도</t>
        </is>
      </c>
      <c r="AC457" s="0" t="inlineStr">
        <is>
          <t>청주시</t>
        </is>
      </c>
      <c r="AD457" s="0" t="inlineStr">
        <is>
          <t>흥덕구</t>
        </is>
      </c>
      <c r="AE457" s="0" t="inlineStr">
        <is>
          <t>복대동</t>
        </is>
      </c>
      <c r="AG457" s="0" t="inlineStr">
        <is>
          <t>충청북도 청주시 흥덕구 사직대로 38</t>
        </is>
      </c>
      <c r="AH457" s="0" t="n">
        <v>0</v>
      </c>
      <c r="AI457" s="0" t="n">
        <v>980</v>
      </c>
      <c r="AJ457" s="0" t="n">
        <v>79</v>
      </c>
      <c r="AK457" s="0" t="n">
        <v>204</v>
      </c>
      <c r="AL457" s="0" t="n">
        <v>0.68</v>
      </c>
    </row>
    <row r="458">
      <c r="A458" s="0" t="inlineStr">
        <is>
          <t>[복대동]</t>
        </is>
      </c>
      <c r="B458" s="0" t="n">
        <v>114466</v>
      </c>
      <c r="C458" s="0" t="n">
        <v>2</v>
      </c>
      <c r="D458" s="0" t="inlineStr">
        <is>
          <t>포빌(도시형)</t>
        </is>
      </c>
      <c r="E458" s="0" t="inlineStr">
        <is>
          <t>2017.02.</t>
        </is>
      </c>
      <c r="F458" s="0" t="n">
        <v>299</v>
      </c>
      <c r="G458" s="0" t="n">
        <v>9.51</v>
      </c>
      <c r="H458" s="0" t="n">
        <v>31.46</v>
      </c>
      <c r="I458" s="0" t="n">
        <v>6.9</v>
      </c>
      <c r="J458" s="0" t="n">
        <v>22.82</v>
      </c>
      <c r="K458" s="0" t="n">
        <v>19</v>
      </c>
      <c r="T458" s="0" t="n">
        <v>1</v>
      </c>
      <c r="U458" s="0" t="n">
        <v>1</v>
      </c>
      <c r="V458" s="0" t="inlineStr">
        <is>
          <t>계단식</t>
        </is>
      </c>
      <c r="W458" s="0" t="inlineStr">
        <is>
          <t>31B-1</t>
        </is>
      </c>
      <c r="X458" s="0" t="n">
        <v>22</v>
      </c>
      <c r="Y458" s="0" t="n">
        <v>21</v>
      </c>
      <c r="Z458" s="0" t="inlineStr">
        <is>
          <t>https://new.land.naver.com/complexes/114466?tab=detail&amp;rf=Y</t>
        </is>
      </c>
      <c r="AA458" s="0" t="inlineStr">
        <is>
          <t>충청북도 청주시 흥덕구 복대동 853-5</t>
        </is>
      </c>
      <c r="AB458" s="0" t="inlineStr">
        <is>
          <t>충청북도</t>
        </is>
      </c>
      <c r="AC458" s="0" t="inlineStr">
        <is>
          <t>청주시</t>
        </is>
      </c>
      <c r="AD458" s="0" t="inlineStr">
        <is>
          <t>흥덕구</t>
        </is>
      </c>
      <c r="AE458" s="0" t="inlineStr">
        <is>
          <t>복대동</t>
        </is>
      </c>
      <c r="AG458" s="0" t="inlineStr">
        <is>
          <t>충청북도 청주시 흥덕구 사직대로 38</t>
        </is>
      </c>
      <c r="AH458" s="0" t="n">
        <v>0</v>
      </c>
      <c r="AI458" s="0" t="n">
        <v>980</v>
      </c>
      <c r="AJ458" s="0" t="n">
        <v>79</v>
      </c>
      <c r="AK458" s="0" t="n">
        <v>204</v>
      </c>
      <c r="AL458" s="0" t="n">
        <v>0.68</v>
      </c>
    </row>
    <row r="459">
      <c r="A459" s="0" t="inlineStr">
        <is>
          <t>[복대동]</t>
        </is>
      </c>
      <c r="B459" s="0" t="n">
        <v>114466</v>
      </c>
      <c r="C459" s="0" t="n">
        <v>3</v>
      </c>
      <c r="D459" s="0" t="inlineStr">
        <is>
          <t>포빌(도시형)</t>
        </is>
      </c>
      <c r="E459" s="0" t="inlineStr">
        <is>
          <t>2017.02.</t>
        </is>
      </c>
      <c r="F459" s="0" t="n">
        <v>299</v>
      </c>
      <c r="G459" s="0" t="n">
        <v>9.550000000000001</v>
      </c>
      <c r="H459" s="0" t="n">
        <v>31.59</v>
      </c>
      <c r="I459" s="0" t="n">
        <v>6.93</v>
      </c>
      <c r="J459" s="0" t="n">
        <v>22.91</v>
      </c>
      <c r="K459" s="0" t="n">
        <v>19</v>
      </c>
      <c r="T459" s="0" t="n">
        <v>1</v>
      </c>
      <c r="U459" s="0" t="n">
        <v>1</v>
      </c>
      <c r="V459" s="0" t="inlineStr">
        <is>
          <t>계단식</t>
        </is>
      </c>
      <c r="W459" s="0" t="inlineStr">
        <is>
          <t>31B-2</t>
        </is>
      </c>
      <c r="X459" s="0" t="n">
        <v>22</v>
      </c>
      <c r="Y459" s="0" t="n">
        <v>21</v>
      </c>
      <c r="Z459" s="0" t="inlineStr">
        <is>
          <t>https://new.land.naver.com/complexes/114466?tab=detail&amp;rf=Y</t>
        </is>
      </c>
      <c r="AA459" s="0" t="inlineStr">
        <is>
          <t>충청북도 청주시 흥덕구 복대동 853-5</t>
        </is>
      </c>
      <c r="AB459" s="0" t="inlineStr">
        <is>
          <t>충청북도</t>
        </is>
      </c>
      <c r="AC459" s="0" t="inlineStr">
        <is>
          <t>청주시</t>
        </is>
      </c>
      <c r="AD459" s="0" t="inlineStr">
        <is>
          <t>흥덕구</t>
        </is>
      </c>
      <c r="AE459" s="0" t="inlineStr">
        <is>
          <t>복대동</t>
        </is>
      </c>
      <c r="AG459" s="0" t="inlineStr">
        <is>
          <t>충청북도 청주시 흥덕구 사직대로 38</t>
        </is>
      </c>
      <c r="AH459" s="0" t="n">
        <v>0</v>
      </c>
      <c r="AI459" s="0" t="n">
        <v>980</v>
      </c>
      <c r="AJ459" s="0" t="n">
        <v>79</v>
      </c>
      <c r="AK459" s="0" t="n">
        <v>204</v>
      </c>
      <c r="AL459" s="0" t="n">
        <v>0.68</v>
      </c>
    </row>
    <row r="460">
      <c r="A460" s="0" t="inlineStr">
        <is>
          <t>[복대동]</t>
        </is>
      </c>
      <c r="B460" s="0" t="n">
        <v>114466</v>
      </c>
      <c r="C460" s="0" t="n">
        <v>4</v>
      </c>
      <c r="D460" s="0" t="inlineStr">
        <is>
          <t>포빌(도시형)</t>
        </is>
      </c>
      <c r="E460" s="0" t="inlineStr">
        <is>
          <t>2017.02.</t>
        </is>
      </c>
      <c r="F460" s="0" t="n">
        <v>299</v>
      </c>
      <c r="G460" s="0" t="n">
        <v>12.09</v>
      </c>
      <c r="H460" s="0" t="n">
        <v>39.97</v>
      </c>
      <c r="I460" s="0" t="n">
        <v>8.76</v>
      </c>
      <c r="J460" s="0" t="n">
        <v>28.98</v>
      </c>
      <c r="K460" s="0" t="n">
        <v>1</v>
      </c>
      <c r="T460" s="0" t="n">
        <v>1</v>
      </c>
      <c r="U460" s="0" t="n">
        <v>1</v>
      </c>
      <c r="V460" s="0" t="inlineStr">
        <is>
          <t>계단식</t>
        </is>
      </c>
      <c r="W460" s="0" t="inlineStr">
        <is>
          <t>39D-1</t>
        </is>
      </c>
      <c r="X460" s="0" t="n">
        <v>22</v>
      </c>
      <c r="Y460" s="0" t="n">
        <v>21</v>
      </c>
      <c r="Z460" s="0" t="inlineStr">
        <is>
          <t>https://new.land.naver.com/complexes/114466?tab=detail&amp;rf=Y</t>
        </is>
      </c>
      <c r="AA460" s="0" t="inlineStr">
        <is>
          <t>충청북도 청주시 흥덕구 복대동 853-5</t>
        </is>
      </c>
      <c r="AB460" s="0" t="inlineStr">
        <is>
          <t>충청북도</t>
        </is>
      </c>
      <c r="AC460" s="0" t="inlineStr">
        <is>
          <t>청주시</t>
        </is>
      </c>
      <c r="AD460" s="0" t="inlineStr">
        <is>
          <t>흥덕구</t>
        </is>
      </c>
      <c r="AE460" s="0" t="inlineStr">
        <is>
          <t>복대동</t>
        </is>
      </c>
      <c r="AG460" s="0" t="inlineStr">
        <is>
          <t>충청북도 청주시 흥덕구 사직대로 38</t>
        </is>
      </c>
      <c r="AH460" s="0" t="n">
        <v>0</v>
      </c>
      <c r="AI460" s="0" t="n">
        <v>980</v>
      </c>
      <c r="AJ460" s="0" t="n">
        <v>79</v>
      </c>
      <c r="AK460" s="0" t="n">
        <v>204</v>
      </c>
      <c r="AL460" s="0" t="n">
        <v>0.68</v>
      </c>
    </row>
    <row r="461">
      <c r="A461" s="0" t="inlineStr">
        <is>
          <t>[복대동]</t>
        </is>
      </c>
      <c r="B461" s="0" t="n">
        <v>114466</v>
      </c>
      <c r="C461" s="0" t="n">
        <v>5</v>
      </c>
      <c r="D461" s="0" t="inlineStr">
        <is>
          <t>포빌(도시형)</t>
        </is>
      </c>
      <c r="E461" s="0" t="inlineStr">
        <is>
          <t>2017.02.</t>
        </is>
      </c>
      <c r="F461" s="0" t="n">
        <v>299</v>
      </c>
      <c r="G461" s="0" t="n">
        <v>12.11</v>
      </c>
      <c r="H461" s="0" t="n">
        <v>40.05</v>
      </c>
      <c r="I461" s="0" t="n">
        <v>8.779999999999999</v>
      </c>
      <c r="J461" s="0" t="n">
        <v>29.04</v>
      </c>
      <c r="K461" s="0" t="n">
        <v>1</v>
      </c>
      <c r="T461" s="0" t="n">
        <v>1</v>
      </c>
      <c r="U461" s="0" t="n">
        <v>1</v>
      </c>
      <c r="V461" s="0" t="inlineStr">
        <is>
          <t>계단식</t>
        </is>
      </c>
      <c r="W461" s="0" t="inlineStr">
        <is>
          <t>40D</t>
        </is>
      </c>
      <c r="X461" s="0" t="n">
        <v>22</v>
      </c>
      <c r="Y461" s="0" t="n">
        <v>21</v>
      </c>
      <c r="Z461" s="0" t="inlineStr">
        <is>
          <t>https://new.land.naver.com/complexes/114466?tab=detail&amp;rf=Y</t>
        </is>
      </c>
      <c r="AA461" s="0" t="inlineStr">
        <is>
          <t>충청북도 청주시 흥덕구 복대동 853-5</t>
        </is>
      </c>
      <c r="AB461" s="0" t="inlineStr">
        <is>
          <t>충청북도</t>
        </is>
      </c>
      <c r="AC461" s="0" t="inlineStr">
        <is>
          <t>청주시</t>
        </is>
      </c>
      <c r="AD461" s="0" t="inlineStr">
        <is>
          <t>흥덕구</t>
        </is>
      </c>
      <c r="AE461" s="0" t="inlineStr">
        <is>
          <t>복대동</t>
        </is>
      </c>
      <c r="AG461" s="0" t="inlineStr">
        <is>
          <t>충청북도 청주시 흥덕구 사직대로 38</t>
        </is>
      </c>
      <c r="AH461" s="0" t="n">
        <v>0</v>
      </c>
      <c r="AI461" s="0" t="n">
        <v>980</v>
      </c>
      <c r="AJ461" s="0" t="n">
        <v>79</v>
      </c>
      <c r="AK461" s="0" t="n">
        <v>204</v>
      </c>
      <c r="AL461" s="0" t="n">
        <v>0.68</v>
      </c>
    </row>
    <row r="462">
      <c r="A462" s="0" t="inlineStr">
        <is>
          <t>[복대동]</t>
        </is>
      </c>
      <c r="B462" s="0" t="n">
        <v>114466</v>
      </c>
      <c r="C462" s="0" t="n">
        <v>6</v>
      </c>
      <c r="D462" s="0" t="inlineStr">
        <is>
          <t>포빌(도시형)</t>
        </is>
      </c>
      <c r="E462" s="0" t="inlineStr">
        <is>
          <t>2017.02.</t>
        </is>
      </c>
      <c r="F462" s="0" t="n">
        <v>299</v>
      </c>
      <c r="G462" s="0" t="n">
        <v>19.19</v>
      </c>
      <c r="H462" s="0" t="n">
        <v>63.44</v>
      </c>
      <c r="I462" s="0" t="n">
        <v>13.91</v>
      </c>
      <c r="J462" s="0" t="n">
        <v>46.01</v>
      </c>
      <c r="K462" s="0" t="n">
        <v>1</v>
      </c>
      <c r="T462" s="0" t="n">
        <v>1</v>
      </c>
      <c r="U462" s="0" t="n">
        <v>1</v>
      </c>
      <c r="V462" s="0" t="inlineStr">
        <is>
          <t>계단식</t>
        </is>
      </c>
      <c r="W462" s="0" t="inlineStr">
        <is>
          <t>63C</t>
        </is>
      </c>
      <c r="X462" s="0" t="n">
        <v>22</v>
      </c>
      <c r="Y462" s="0" t="n">
        <v>21</v>
      </c>
      <c r="Z462" s="0" t="inlineStr">
        <is>
          <t>https://new.land.naver.com/complexes/114466?tab=detail&amp;rf=Y</t>
        </is>
      </c>
      <c r="AA462" s="0" t="inlineStr">
        <is>
          <t>충청북도 청주시 흥덕구 복대동 853-5</t>
        </is>
      </c>
      <c r="AB462" s="0" t="inlineStr">
        <is>
          <t>충청북도</t>
        </is>
      </c>
      <c r="AC462" s="0" t="inlineStr">
        <is>
          <t>청주시</t>
        </is>
      </c>
      <c r="AD462" s="0" t="inlineStr">
        <is>
          <t>흥덕구</t>
        </is>
      </c>
      <c r="AE462" s="0" t="inlineStr">
        <is>
          <t>복대동</t>
        </is>
      </c>
      <c r="AG462" s="0" t="inlineStr">
        <is>
          <t>충청북도 청주시 흥덕구 사직대로 38</t>
        </is>
      </c>
      <c r="AH462" s="0" t="n">
        <v>0</v>
      </c>
      <c r="AI462" s="0" t="n">
        <v>980</v>
      </c>
      <c r="AJ462" s="0" t="n">
        <v>79</v>
      </c>
      <c r="AK462" s="0" t="n">
        <v>204</v>
      </c>
      <c r="AL462" s="0" t="n">
        <v>0.68</v>
      </c>
    </row>
    <row r="463">
      <c r="A463" s="0" t="inlineStr">
        <is>
          <t>[복대동]</t>
        </is>
      </c>
      <c r="B463" s="0" t="n">
        <v>114466</v>
      </c>
      <c r="C463" s="0" t="n">
        <v>7</v>
      </c>
      <c r="D463" s="0" t="inlineStr">
        <is>
          <t>포빌(도시형)</t>
        </is>
      </c>
      <c r="E463" s="0" t="inlineStr">
        <is>
          <t>2017.02.</t>
        </is>
      </c>
      <c r="F463" s="0" t="n">
        <v>299</v>
      </c>
      <c r="G463" s="0" t="n">
        <v>19.65</v>
      </c>
      <c r="H463" s="0" t="n">
        <v>64.97</v>
      </c>
      <c r="I463" s="0" t="n">
        <v>14.25</v>
      </c>
      <c r="J463" s="0" t="n">
        <v>47.12</v>
      </c>
      <c r="K463" s="0" t="n">
        <v>20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64A-3</t>
        </is>
      </c>
      <c r="X463" s="0" t="n">
        <v>22</v>
      </c>
      <c r="Y463" s="0" t="n">
        <v>21</v>
      </c>
      <c r="Z463" s="0" t="inlineStr">
        <is>
          <t>https://new.land.naver.com/complexes/114466?tab=detail&amp;rf=Y</t>
        </is>
      </c>
      <c r="AA463" s="0" t="inlineStr">
        <is>
          <t>충청북도 청주시 흥덕구 복대동 853-5</t>
        </is>
      </c>
      <c r="AB463" s="0" t="inlineStr">
        <is>
          <t>충청북도</t>
        </is>
      </c>
      <c r="AC463" s="0" t="inlineStr">
        <is>
          <t>청주시</t>
        </is>
      </c>
      <c r="AD463" s="0" t="inlineStr">
        <is>
          <t>흥덕구</t>
        </is>
      </c>
      <c r="AE463" s="0" t="inlineStr">
        <is>
          <t>복대동</t>
        </is>
      </c>
      <c r="AG463" s="0" t="inlineStr">
        <is>
          <t>충청북도 청주시 흥덕구 사직대로 38</t>
        </is>
      </c>
      <c r="AH463" s="0" t="n">
        <v>0</v>
      </c>
      <c r="AI463" s="0" t="n">
        <v>980</v>
      </c>
      <c r="AJ463" s="0" t="n">
        <v>79</v>
      </c>
      <c r="AK463" s="0" t="n">
        <v>204</v>
      </c>
      <c r="AL463" s="0" t="n">
        <v>0.68</v>
      </c>
    </row>
    <row r="464">
      <c r="A464" s="0" t="inlineStr">
        <is>
          <t>[복대동]</t>
        </is>
      </c>
      <c r="B464" s="0" t="n">
        <v>114466</v>
      </c>
      <c r="C464" s="0" t="n">
        <v>8</v>
      </c>
      <c r="D464" s="0" t="inlineStr">
        <is>
          <t>포빌(도시형)</t>
        </is>
      </c>
      <c r="E464" s="0" t="inlineStr">
        <is>
          <t>2017.02.</t>
        </is>
      </c>
      <c r="F464" s="0" t="n">
        <v>299</v>
      </c>
      <c r="G464" s="0" t="n">
        <v>19.65</v>
      </c>
      <c r="H464" s="0" t="n">
        <v>64.97</v>
      </c>
      <c r="I464" s="0" t="n">
        <v>14.25</v>
      </c>
      <c r="J464" s="0" t="n">
        <v>47.12</v>
      </c>
      <c r="K464" s="0" t="n">
        <v>19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64A-1</t>
        </is>
      </c>
      <c r="X464" s="0" t="n">
        <v>22</v>
      </c>
      <c r="Y464" s="0" t="n">
        <v>21</v>
      </c>
      <c r="Z464" s="0" t="inlineStr">
        <is>
          <t>https://new.land.naver.com/complexes/114466?tab=detail&amp;rf=Y</t>
        </is>
      </c>
      <c r="AA464" s="0" t="inlineStr">
        <is>
          <t>충청북도 청주시 흥덕구 복대동 853-5</t>
        </is>
      </c>
      <c r="AB464" s="0" t="inlineStr">
        <is>
          <t>충청북도</t>
        </is>
      </c>
      <c r="AC464" s="0" t="inlineStr">
        <is>
          <t>청주시</t>
        </is>
      </c>
      <c r="AD464" s="0" t="inlineStr">
        <is>
          <t>흥덕구</t>
        </is>
      </c>
      <c r="AE464" s="0" t="inlineStr">
        <is>
          <t>복대동</t>
        </is>
      </c>
      <c r="AG464" s="0" t="inlineStr">
        <is>
          <t>충청북도 청주시 흥덕구 사직대로 38</t>
        </is>
      </c>
      <c r="AH464" s="0" t="n">
        <v>0</v>
      </c>
      <c r="AI464" s="0" t="n">
        <v>980</v>
      </c>
      <c r="AJ464" s="0" t="n">
        <v>79</v>
      </c>
      <c r="AK464" s="0" t="n">
        <v>204</v>
      </c>
      <c r="AL464" s="0" t="n">
        <v>0.68</v>
      </c>
    </row>
    <row r="465">
      <c r="A465" s="0" t="inlineStr">
        <is>
          <t>[복대동]</t>
        </is>
      </c>
      <c r="B465" s="0" t="n">
        <v>114466</v>
      </c>
      <c r="C465" s="0" t="n">
        <v>9</v>
      </c>
      <c r="D465" s="0" t="inlineStr">
        <is>
          <t>포빌(도시형)</t>
        </is>
      </c>
      <c r="E465" s="0" t="inlineStr">
        <is>
          <t>2017.02.</t>
        </is>
      </c>
      <c r="F465" s="0" t="n">
        <v>299</v>
      </c>
      <c r="G465" s="0" t="n">
        <v>19.69</v>
      </c>
      <c r="H465" s="0" t="n">
        <v>65.09999999999999</v>
      </c>
      <c r="I465" s="0" t="n">
        <v>14.28</v>
      </c>
      <c r="J465" s="0" t="n">
        <v>47.21</v>
      </c>
      <c r="K465" s="0" t="n">
        <v>159</v>
      </c>
      <c r="T465" s="0" t="n">
        <v>2</v>
      </c>
      <c r="U465" s="0" t="n">
        <v>1</v>
      </c>
      <c r="V465" s="0" t="inlineStr">
        <is>
          <t>계단식</t>
        </is>
      </c>
      <c r="W465" s="0" t="inlineStr">
        <is>
          <t>65A</t>
        </is>
      </c>
      <c r="X465" s="0" t="n">
        <v>22</v>
      </c>
      <c r="Y465" s="0" t="n">
        <v>21</v>
      </c>
      <c r="Z465" s="0" t="inlineStr">
        <is>
          <t>https://new.land.naver.com/complexes/114466?tab=detail&amp;rf=Y</t>
        </is>
      </c>
      <c r="AA465" s="0" t="inlineStr">
        <is>
          <t>충청북도 청주시 흥덕구 복대동 853-5</t>
        </is>
      </c>
      <c r="AB465" s="0" t="inlineStr">
        <is>
          <t>충청북도</t>
        </is>
      </c>
      <c r="AC465" s="0" t="inlineStr">
        <is>
          <t>청주시</t>
        </is>
      </c>
      <c r="AD465" s="0" t="inlineStr">
        <is>
          <t>흥덕구</t>
        </is>
      </c>
      <c r="AE465" s="0" t="inlineStr">
        <is>
          <t>복대동</t>
        </is>
      </c>
      <c r="AG465" s="0" t="inlineStr">
        <is>
          <t>충청북도 청주시 흥덕구 사직대로 38</t>
        </is>
      </c>
      <c r="AH465" s="0" t="n">
        <v>0</v>
      </c>
      <c r="AI465" s="0" t="n">
        <v>980</v>
      </c>
      <c r="AJ465" s="0" t="n">
        <v>79</v>
      </c>
      <c r="AK465" s="0" t="n">
        <v>204</v>
      </c>
      <c r="AL465" s="0" t="n">
        <v>0.68</v>
      </c>
    </row>
    <row r="466">
      <c r="A466" s="0" t="inlineStr">
        <is>
          <t>[복대동]</t>
        </is>
      </c>
      <c r="B466" s="0" t="n">
        <v>114466</v>
      </c>
      <c r="C466" s="0" t="n">
        <v>10</v>
      </c>
      <c r="D466" s="0" t="inlineStr">
        <is>
          <t>포빌(도시형)</t>
        </is>
      </c>
      <c r="E466" s="0" t="inlineStr">
        <is>
          <t>2017.02.</t>
        </is>
      </c>
      <c r="F466" s="0" t="n">
        <v>299</v>
      </c>
      <c r="G466" s="0" t="n">
        <v>19.69</v>
      </c>
      <c r="H466" s="0" t="n">
        <v>65.09999999999999</v>
      </c>
      <c r="I466" s="0" t="n">
        <v>14.28</v>
      </c>
      <c r="J466" s="0" t="n">
        <v>47.21</v>
      </c>
      <c r="K466" s="0" t="n">
        <v>40</v>
      </c>
      <c r="T466" s="0" t="n">
        <v>2</v>
      </c>
      <c r="U466" s="0" t="n">
        <v>1</v>
      </c>
      <c r="V466" s="0" t="inlineStr">
        <is>
          <t>계단식</t>
        </is>
      </c>
      <c r="W466" s="0" t="inlineStr">
        <is>
          <t>65A-2</t>
        </is>
      </c>
      <c r="X466" s="0" t="n">
        <v>22</v>
      </c>
      <c r="Y466" s="0" t="n">
        <v>21</v>
      </c>
      <c r="Z466" s="0" t="inlineStr">
        <is>
          <t>https://new.land.naver.com/complexes/114466?tab=detail&amp;rf=Y</t>
        </is>
      </c>
      <c r="AA466" s="0" t="inlineStr">
        <is>
          <t>충청북도 청주시 흥덕구 복대동 853-5</t>
        </is>
      </c>
      <c r="AB466" s="0" t="inlineStr">
        <is>
          <t>충청북도</t>
        </is>
      </c>
      <c r="AC466" s="0" t="inlineStr">
        <is>
          <t>청주시</t>
        </is>
      </c>
      <c r="AD466" s="0" t="inlineStr">
        <is>
          <t>흥덕구</t>
        </is>
      </c>
      <c r="AE466" s="0" t="inlineStr">
        <is>
          <t>복대동</t>
        </is>
      </c>
      <c r="AG466" s="0" t="inlineStr">
        <is>
          <t>충청북도 청주시 흥덕구 사직대로 38</t>
        </is>
      </c>
      <c r="AH466" s="0" t="n">
        <v>0</v>
      </c>
      <c r="AI466" s="0" t="n">
        <v>980</v>
      </c>
      <c r="AJ466" s="0" t="n">
        <v>79</v>
      </c>
      <c r="AK466" s="0" t="n">
        <v>204</v>
      </c>
      <c r="AL466" s="0" t="n">
        <v>0.68</v>
      </c>
    </row>
    <row r="467">
      <c r="A467" s="0" t="inlineStr">
        <is>
          <t>[복대동]</t>
        </is>
      </c>
      <c r="B467" s="0" t="n">
        <v>122998</v>
      </c>
      <c r="C467" s="0" t="n">
        <v>1</v>
      </c>
      <c r="D467" s="0" t="inlineStr">
        <is>
          <t>현대(881-2)</t>
        </is>
      </c>
      <c r="E467" s="0" t="inlineStr">
        <is>
          <t>1985.11.</t>
        </is>
      </c>
      <c r="F467" s="0" t="n">
        <v>24</v>
      </c>
      <c r="G467" s="0" t="n">
        <v>30.9</v>
      </c>
      <c r="H467" s="0" t="n">
        <v>102.16</v>
      </c>
      <c r="I467" s="0" t="n">
        <v>24.85</v>
      </c>
      <c r="J467" s="0" t="n">
        <v>82.17</v>
      </c>
      <c r="K467" s="0" t="n">
        <v>24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102</v>
      </c>
      <c r="X467" s="0" t="n">
        <v>6</v>
      </c>
      <c r="Y467" s="0" t="n">
        <v>6</v>
      </c>
      <c r="Z467" s="0" t="inlineStr">
        <is>
          <t>https://new.land.naver.com/complexes/122998?tab=detail&amp;rf=Y</t>
        </is>
      </c>
      <c r="AA467" s="0" t="inlineStr">
        <is>
          <t>충청북도 청주시 흥덕구 복대동 881-2</t>
        </is>
      </c>
      <c r="AB467" s="0" t="inlineStr">
        <is>
          <t>충청북도</t>
        </is>
      </c>
      <c r="AC467" s="0" t="inlineStr">
        <is>
          <t>청주시</t>
        </is>
      </c>
      <c r="AD467" s="0" t="inlineStr">
        <is>
          <t>흥덕구</t>
        </is>
      </c>
      <c r="AE467" s="0" t="inlineStr">
        <is>
          <t>복대동</t>
        </is>
      </c>
      <c r="AG467" s="0" t="inlineStr">
        <is>
          <t>충청북도 청주시 흥덕구 충대로14번길 28</t>
        </is>
      </c>
      <c r="AH467" s="0" t="n">
        <v>0</v>
      </c>
      <c r="AI467" s="0" t="n">
        <v>0</v>
      </c>
      <c r="AJ467" s="0" t="n">
        <v>0</v>
      </c>
      <c r="AK467" s="0" t="n">
        <v>0</v>
      </c>
      <c r="AL467" s="0" t="n">
        <v>0</v>
      </c>
    </row>
    <row r="468">
      <c r="A468" s="0" t="inlineStr">
        <is>
          <t>[복대동]</t>
        </is>
      </c>
      <c r="B468" s="0" t="n">
        <v>13560</v>
      </c>
      <c r="C468" s="0" t="n">
        <v>1</v>
      </c>
      <c r="D468" s="0" t="inlineStr">
        <is>
          <t>아름다운나날2차</t>
        </is>
      </c>
      <c r="E468" s="0" t="inlineStr">
        <is>
          <t>2004.11.</t>
        </is>
      </c>
      <c r="F468" s="0" t="n">
        <v>539</v>
      </c>
      <c r="G468" s="0" t="n">
        <v>31.22</v>
      </c>
      <c r="H468" s="0" t="n">
        <v>103.21</v>
      </c>
      <c r="I468" s="0" t="n">
        <v>24</v>
      </c>
      <c r="J468" s="0" t="n">
        <v>79.37</v>
      </c>
      <c r="K468" s="0" t="n">
        <v>202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103</v>
      </c>
      <c r="X468" s="0" t="n">
        <v>15</v>
      </c>
      <c r="Y468" s="0" t="n">
        <v>10</v>
      </c>
      <c r="Z468" s="0" t="inlineStr">
        <is>
          <t>https://new.land.naver.com/complexes/13560?tab=detail&amp;rf=Y</t>
        </is>
      </c>
      <c r="AA468" s="0" t="inlineStr">
        <is>
          <t>충청북도 청주시 흥덕구 복대동 3033</t>
        </is>
      </c>
      <c r="AB468" s="0" t="inlineStr">
        <is>
          <t>충청북도</t>
        </is>
      </c>
      <c r="AC468" s="0" t="inlineStr">
        <is>
          <t>청주시</t>
        </is>
      </c>
      <c r="AD468" s="0" t="inlineStr">
        <is>
          <t>흥덕구</t>
        </is>
      </c>
      <c r="AE468" s="0" t="inlineStr">
        <is>
          <t>복대동</t>
        </is>
      </c>
      <c r="AG468" s="0" t="inlineStr">
        <is>
          <t>충청북도 청주시 흥덕구 증안로 100</t>
        </is>
      </c>
      <c r="AH468" s="0" t="n">
        <v>0</v>
      </c>
      <c r="AI468" s="0" t="n">
        <v>215</v>
      </c>
      <c r="AJ468" s="0" t="n">
        <v>20</v>
      </c>
      <c r="AK468" s="0" t="n">
        <v>547</v>
      </c>
      <c r="AL468" s="0" t="n">
        <v>1.01</v>
      </c>
    </row>
    <row r="469">
      <c r="A469" s="0" t="inlineStr">
        <is>
          <t>[복대동]</t>
        </is>
      </c>
      <c r="B469" s="0" t="n">
        <v>13560</v>
      </c>
      <c r="C469" s="0" t="n">
        <v>2</v>
      </c>
      <c r="D469" s="0" t="inlineStr">
        <is>
          <t>아름다운나날2차</t>
        </is>
      </c>
      <c r="E469" s="0" t="inlineStr">
        <is>
          <t>2004.11.</t>
        </is>
      </c>
      <c r="F469" s="0" t="n">
        <v>539</v>
      </c>
      <c r="G469" s="0" t="n">
        <v>34.15</v>
      </c>
      <c r="H469" s="0" t="n">
        <v>112.91</v>
      </c>
      <c r="I469" s="0" t="n">
        <v>25.69</v>
      </c>
      <c r="J469" s="0" t="n">
        <v>84.93000000000001</v>
      </c>
      <c r="K469" s="0" t="n">
        <v>337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112</v>
      </c>
      <c r="X469" s="0" t="n">
        <v>15</v>
      </c>
      <c r="Y469" s="0" t="n">
        <v>10</v>
      </c>
      <c r="Z469" s="0" t="inlineStr">
        <is>
          <t>https://new.land.naver.com/complexes/13560?tab=detail&amp;rf=Y</t>
        </is>
      </c>
      <c r="AA469" s="0" t="inlineStr">
        <is>
          <t>충청북도 청주시 흥덕구 복대동 3033</t>
        </is>
      </c>
      <c r="AB469" s="0" t="inlineStr">
        <is>
          <t>충청북도</t>
        </is>
      </c>
      <c r="AC469" s="0" t="inlineStr">
        <is>
          <t>청주시</t>
        </is>
      </c>
      <c r="AD469" s="0" t="inlineStr">
        <is>
          <t>흥덕구</t>
        </is>
      </c>
      <c r="AE469" s="0" t="inlineStr">
        <is>
          <t>복대동</t>
        </is>
      </c>
      <c r="AG469" s="0" t="inlineStr">
        <is>
          <t>충청북도 청주시 흥덕구 증안로 100</t>
        </is>
      </c>
      <c r="AH469" s="0" t="n">
        <v>0</v>
      </c>
      <c r="AI469" s="0" t="n">
        <v>215</v>
      </c>
      <c r="AJ469" s="0" t="n">
        <v>20</v>
      </c>
      <c r="AK469" s="0" t="n">
        <v>547</v>
      </c>
      <c r="AL469" s="0" t="n">
        <v>1.01</v>
      </c>
    </row>
    <row r="470">
      <c r="A470" s="0" t="inlineStr">
        <is>
          <t>[복대동]</t>
        </is>
      </c>
      <c r="B470" s="0" t="n">
        <v>26189</v>
      </c>
      <c r="C470" s="0" t="n">
        <v>1</v>
      </c>
      <c r="D470" s="0" t="inlineStr">
        <is>
          <t>금호어울림1단지</t>
        </is>
      </c>
      <c r="E470" s="0" t="inlineStr">
        <is>
          <t>2009.02.</t>
        </is>
      </c>
      <c r="F470" s="0" t="n">
        <v>648</v>
      </c>
      <c r="G470" s="0" t="n">
        <v>34.53</v>
      </c>
      <c r="H470" s="0" t="n">
        <v>114.15</v>
      </c>
      <c r="I470" s="0" t="n">
        <v>25.59</v>
      </c>
      <c r="J470" s="0" t="n">
        <v>84.62</v>
      </c>
      <c r="K470" s="0" t="n">
        <v>136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114</v>
      </c>
      <c r="X470" s="0" t="n">
        <v>20</v>
      </c>
      <c r="Y470" s="0" t="n">
        <v>17</v>
      </c>
      <c r="Z470" s="0" t="inlineStr">
        <is>
          <t>https://new.land.naver.com/complexes/26189?tab=detail&amp;rf=Y</t>
        </is>
      </c>
      <c r="AA470" s="0" t="inlineStr">
        <is>
          <t>충청북도 청주시 흥덕구 복대동 3366</t>
        </is>
      </c>
      <c r="AB470" s="0" t="inlineStr">
        <is>
          <t>충청북도</t>
        </is>
      </c>
      <c r="AC470" s="0" t="inlineStr">
        <is>
          <t>청주시</t>
        </is>
      </c>
      <c r="AD470" s="0" t="inlineStr">
        <is>
          <t>흥덕구</t>
        </is>
      </c>
      <c r="AE470" s="0" t="inlineStr">
        <is>
          <t>복대동</t>
        </is>
      </c>
      <c r="AG470" s="0" t="inlineStr">
        <is>
          <t>충청북도 청주시 흥덕구 대신로73번길 14</t>
        </is>
      </c>
      <c r="AH470" s="0" t="n">
        <v>0</v>
      </c>
      <c r="AI470" s="0" t="n">
        <v>229</v>
      </c>
      <c r="AJ470" s="0" t="n">
        <v>20</v>
      </c>
      <c r="AK470" s="0" t="n">
        <v>1144</v>
      </c>
      <c r="AL470" s="0" t="n">
        <v>1.77</v>
      </c>
    </row>
    <row r="471">
      <c r="A471" s="0" t="inlineStr">
        <is>
          <t>[복대동]</t>
        </is>
      </c>
      <c r="B471" s="0" t="n">
        <v>26189</v>
      </c>
      <c r="C471" s="0" t="n">
        <v>2</v>
      </c>
      <c r="D471" s="0" t="inlineStr">
        <is>
          <t>금호어울림1단지</t>
        </is>
      </c>
      <c r="E471" s="0" t="inlineStr">
        <is>
          <t>2009.02.</t>
        </is>
      </c>
      <c r="F471" s="0" t="n">
        <v>648</v>
      </c>
      <c r="G471" s="0" t="n">
        <v>37.85</v>
      </c>
      <c r="H471" s="0" t="n">
        <v>125.13</v>
      </c>
      <c r="I471" s="0" t="n">
        <v>30.14</v>
      </c>
      <c r="J471" s="0" t="n">
        <v>99.66</v>
      </c>
      <c r="K471" s="0" t="n">
        <v>76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125B</t>
        </is>
      </c>
      <c r="X471" s="0" t="n">
        <v>20</v>
      </c>
      <c r="Y471" s="0" t="n">
        <v>17</v>
      </c>
      <c r="Z471" s="0" t="inlineStr">
        <is>
          <t>https://new.land.naver.com/complexes/26189?tab=detail&amp;rf=Y</t>
        </is>
      </c>
      <c r="AA471" s="0" t="inlineStr">
        <is>
          <t>충청북도 청주시 흥덕구 복대동 3366</t>
        </is>
      </c>
      <c r="AB471" s="0" t="inlineStr">
        <is>
          <t>충청북도</t>
        </is>
      </c>
      <c r="AC471" s="0" t="inlineStr">
        <is>
          <t>청주시</t>
        </is>
      </c>
      <c r="AD471" s="0" t="inlineStr">
        <is>
          <t>흥덕구</t>
        </is>
      </c>
      <c r="AE471" s="0" t="inlineStr">
        <is>
          <t>복대동</t>
        </is>
      </c>
      <c r="AG471" s="0" t="inlineStr">
        <is>
          <t>충청북도 청주시 흥덕구 대신로73번길 14</t>
        </is>
      </c>
      <c r="AH471" s="0" t="n">
        <v>0</v>
      </c>
      <c r="AI471" s="0" t="n">
        <v>229</v>
      </c>
      <c r="AJ471" s="0" t="n">
        <v>20</v>
      </c>
      <c r="AK471" s="0" t="n">
        <v>1144</v>
      </c>
      <c r="AL471" s="0" t="n">
        <v>1.77</v>
      </c>
    </row>
    <row r="472">
      <c r="A472" s="0" t="inlineStr">
        <is>
          <t>[복대동]</t>
        </is>
      </c>
      <c r="B472" s="0" t="n">
        <v>26189</v>
      </c>
      <c r="C472" s="0" t="n">
        <v>3</v>
      </c>
      <c r="D472" s="0" t="inlineStr">
        <is>
          <t>금호어울림1단지</t>
        </is>
      </c>
      <c r="E472" s="0" t="inlineStr">
        <is>
          <t>2009.02.</t>
        </is>
      </c>
      <c r="F472" s="0" t="n">
        <v>648</v>
      </c>
      <c r="G472" s="0" t="n">
        <v>37.87</v>
      </c>
      <c r="H472" s="0" t="n">
        <v>125.22</v>
      </c>
      <c r="I472" s="0" t="n">
        <v>30.15</v>
      </c>
      <c r="J472" s="0" t="n">
        <v>99.69</v>
      </c>
      <c r="K472" s="0" t="n">
        <v>73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125A</t>
        </is>
      </c>
      <c r="X472" s="0" t="n">
        <v>20</v>
      </c>
      <c r="Y472" s="0" t="n">
        <v>17</v>
      </c>
      <c r="Z472" s="0" t="inlineStr">
        <is>
          <t>https://new.land.naver.com/complexes/26189?tab=detail&amp;rf=Y</t>
        </is>
      </c>
      <c r="AA472" s="0" t="inlineStr">
        <is>
          <t>충청북도 청주시 흥덕구 복대동 3366</t>
        </is>
      </c>
      <c r="AB472" s="0" t="inlineStr">
        <is>
          <t>충청북도</t>
        </is>
      </c>
      <c r="AC472" s="0" t="inlineStr">
        <is>
          <t>청주시</t>
        </is>
      </c>
      <c r="AD472" s="0" t="inlineStr">
        <is>
          <t>흥덕구</t>
        </is>
      </c>
      <c r="AE472" s="0" t="inlineStr">
        <is>
          <t>복대동</t>
        </is>
      </c>
      <c r="AG472" s="0" t="inlineStr">
        <is>
          <t>충청북도 청주시 흥덕구 대신로73번길 14</t>
        </is>
      </c>
      <c r="AH472" s="0" t="n">
        <v>0</v>
      </c>
      <c r="AI472" s="0" t="n">
        <v>229</v>
      </c>
      <c r="AJ472" s="0" t="n">
        <v>20</v>
      </c>
      <c r="AK472" s="0" t="n">
        <v>1144</v>
      </c>
      <c r="AL472" s="0" t="n">
        <v>1.77</v>
      </c>
    </row>
    <row r="473">
      <c r="A473" s="0" t="inlineStr">
        <is>
          <t>[복대동]</t>
        </is>
      </c>
      <c r="B473" s="0" t="n">
        <v>26189</v>
      </c>
      <c r="C473" s="0" t="n">
        <v>4</v>
      </c>
      <c r="D473" s="0" t="inlineStr">
        <is>
          <t>금호어울림1단지</t>
        </is>
      </c>
      <c r="E473" s="0" t="inlineStr">
        <is>
          <t>2009.02.</t>
        </is>
      </c>
      <c r="F473" s="0" t="n">
        <v>648</v>
      </c>
      <c r="G473" s="0" t="n">
        <v>46.17</v>
      </c>
      <c r="H473" s="0" t="n">
        <v>152.64</v>
      </c>
      <c r="I473" s="0" t="n">
        <v>37.39</v>
      </c>
      <c r="J473" s="0" t="n">
        <v>123.61</v>
      </c>
      <c r="K473" s="0" t="n">
        <v>136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152</v>
      </c>
      <c r="X473" s="0" t="n">
        <v>20</v>
      </c>
      <c r="Y473" s="0" t="n">
        <v>17</v>
      </c>
      <c r="Z473" s="0" t="inlineStr">
        <is>
          <t>https://new.land.naver.com/complexes/26189?tab=detail&amp;rf=Y</t>
        </is>
      </c>
      <c r="AA473" s="0" t="inlineStr">
        <is>
          <t>충청북도 청주시 흥덕구 복대동 3366</t>
        </is>
      </c>
      <c r="AB473" s="0" t="inlineStr">
        <is>
          <t>충청북도</t>
        </is>
      </c>
      <c r="AC473" s="0" t="inlineStr">
        <is>
          <t>청주시</t>
        </is>
      </c>
      <c r="AD473" s="0" t="inlineStr">
        <is>
          <t>흥덕구</t>
        </is>
      </c>
      <c r="AE473" s="0" t="inlineStr">
        <is>
          <t>복대동</t>
        </is>
      </c>
      <c r="AG473" s="0" t="inlineStr">
        <is>
          <t>충청북도 청주시 흥덕구 대신로73번길 14</t>
        </is>
      </c>
      <c r="AH473" s="0" t="n">
        <v>0</v>
      </c>
      <c r="AI473" s="0" t="n">
        <v>229</v>
      </c>
      <c r="AJ473" s="0" t="n">
        <v>20</v>
      </c>
      <c r="AK473" s="0" t="n">
        <v>1144</v>
      </c>
      <c r="AL473" s="0" t="n">
        <v>1.77</v>
      </c>
    </row>
    <row r="474">
      <c r="A474" s="0" t="inlineStr">
        <is>
          <t>[복대동]</t>
        </is>
      </c>
      <c r="B474" s="0" t="n">
        <v>26189</v>
      </c>
      <c r="C474" s="0" t="n">
        <v>5</v>
      </c>
      <c r="D474" s="0" t="inlineStr">
        <is>
          <t>금호어울림1단지</t>
        </is>
      </c>
      <c r="E474" s="0" t="inlineStr">
        <is>
          <t>2009.02.</t>
        </is>
      </c>
      <c r="F474" s="0" t="n">
        <v>648</v>
      </c>
      <c r="G474" s="0" t="n">
        <v>49.83</v>
      </c>
      <c r="H474" s="0" t="n">
        <v>164.73</v>
      </c>
      <c r="I474" s="0" t="n">
        <v>39.8</v>
      </c>
      <c r="J474" s="0" t="n">
        <v>131.6</v>
      </c>
      <c r="K474" s="0" t="n">
        <v>150</v>
      </c>
      <c r="T474" s="0" t="n">
        <v>4</v>
      </c>
      <c r="U474" s="0" t="n">
        <v>2</v>
      </c>
      <c r="V474" s="0" t="inlineStr">
        <is>
          <t>계단식</t>
        </is>
      </c>
      <c r="W474" s="0" t="inlineStr">
        <is>
          <t>164B</t>
        </is>
      </c>
      <c r="X474" s="0" t="n">
        <v>20</v>
      </c>
      <c r="Y474" s="0" t="n">
        <v>17</v>
      </c>
      <c r="Z474" s="0" t="inlineStr">
        <is>
          <t>https://new.land.naver.com/complexes/26189?tab=detail&amp;rf=Y</t>
        </is>
      </c>
      <c r="AA474" s="0" t="inlineStr">
        <is>
          <t>충청북도 청주시 흥덕구 복대동 3366</t>
        </is>
      </c>
      <c r="AB474" s="0" t="inlineStr">
        <is>
          <t>충청북도</t>
        </is>
      </c>
      <c r="AC474" s="0" t="inlineStr">
        <is>
          <t>청주시</t>
        </is>
      </c>
      <c r="AD474" s="0" t="inlineStr">
        <is>
          <t>흥덕구</t>
        </is>
      </c>
      <c r="AE474" s="0" t="inlineStr">
        <is>
          <t>복대동</t>
        </is>
      </c>
      <c r="AG474" s="0" t="inlineStr">
        <is>
          <t>충청북도 청주시 흥덕구 대신로73번길 14</t>
        </is>
      </c>
      <c r="AH474" s="0" t="n">
        <v>0</v>
      </c>
      <c r="AI474" s="0" t="n">
        <v>229</v>
      </c>
      <c r="AJ474" s="0" t="n">
        <v>20</v>
      </c>
      <c r="AK474" s="0" t="n">
        <v>1144</v>
      </c>
      <c r="AL474" s="0" t="n">
        <v>1.77</v>
      </c>
    </row>
    <row r="475">
      <c r="A475" s="0" t="inlineStr">
        <is>
          <t>[복대동]</t>
        </is>
      </c>
      <c r="B475" s="0" t="n">
        <v>26189</v>
      </c>
      <c r="C475" s="0" t="n">
        <v>6</v>
      </c>
      <c r="D475" s="0" t="inlineStr">
        <is>
          <t>금호어울림1단지</t>
        </is>
      </c>
      <c r="E475" s="0" t="inlineStr">
        <is>
          <t>2009.02.</t>
        </is>
      </c>
      <c r="F475" s="0" t="n">
        <v>648</v>
      </c>
      <c r="G475" s="0" t="n">
        <v>49.66</v>
      </c>
      <c r="H475" s="0" t="n">
        <v>164.19</v>
      </c>
      <c r="I475" s="0" t="n">
        <v>39.71</v>
      </c>
      <c r="J475" s="0" t="n">
        <v>131.3</v>
      </c>
      <c r="K475" s="0" t="n">
        <v>73</v>
      </c>
      <c r="T475" s="0" t="n">
        <v>4</v>
      </c>
      <c r="U475" s="0" t="n">
        <v>2</v>
      </c>
      <c r="V475" s="0" t="inlineStr">
        <is>
          <t>계단식</t>
        </is>
      </c>
      <c r="W475" s="0" t="inlineStr">
        <is>
          <t>164A</t>
        </is>
      </c>
      <c r="X475" s="0" t="n">
        <v>20</v>
      </c>
      <c r="Y475" s="0" t="n">
        <v>17</v>
      </c>
      <c r="Z475" s="0" t="inlineStr">
        <is>
          <t>https://new.land.naver.com/complexes/26189?tab=detail&amp;rf=Y</t>
        </is>
      </c>
      <c r="AA475" s="0" t="inlineStr">
        <is>
          <t>충청북도 청주시 흥덕구 복대동 3366</t>
        </is>
      </c>
      <c r="AB475" s="0" t="inlineStr">
        <is>
          <t>충청북도</t>
        </is>
      </c>
      <c r="AC475" s="0" t="inlineStr">
        <is>
          <t>청주시</t>
        </is>
      </c>
      <c r="AD475" s="0" t="inlineStr">
        <is>
          <t>흥덕구</t>
        </is>
      </c>
      <c r="AE475" s="0" t="inlineStr">
        <is>
          <t>복대동</t>
        </is>
      </c>
      <c r="AG475" s="0" t="inlineStr">
        <is>
          <t>충청북도 청주시 흥덕구 대신로73번길 14</t>
        </is>
      </c>
      <c r="AH475" s="0" t="n">
        <v>0</v>
      </c>
      <c r="AI475" s="0" t="n">
        <v>229</v>
      </c>
      <c r="AJ475" s="0" t="n">
        <v>20</v>
      </c>
      <c r="AK475" s="0" t="n">
        <v>1144</v>
      </c>
      <c r="AL475" s="0" t="n">
        <v>1.77</v>
      </c>
    </row>
    <row r="476">
      <c r="A476" s="0" t="inlineStr">
        <is>
          <t>[복대동]</t>
        </is>
      </c>
      <c r="B476" s="0" t="n">
        <v>26189</v>
      </c>
      <c r="C476" s="0" t="n">
        <v>7</v>
      </c>
      <c r="D476" s="0" t="inlineStr">
        <is>
          <t>금호어울림1단지</t>
        </is>
      </c>
      <c r="E476" s="0" t="inlineStr">
        <is>
          <t>2009.02.</t>
        </is>
      </c>
      <c r="F476" s="0" t="n">
        <v>648</v>
      </c>
      <c r="G476" s="0" t="n">
        <v>77.62</v>
      </c>
      <c r="H476" s="0" t="n">
        <v>256.6</v>
      </c>
      <c r="I476" s="0" t="n">
        <v>60.95</v>
      </c>
      <c r="J476" s="0" t="n">
        <v>201.52</v>
      </c>
      <c r="K476" s="0" t="n">
        <v>4</v>
      </c>
      <c r="T476" s="0" t="n">
        <v>4</v>
      </c>
      <c r="U476" s="0" t="n">
        <v>2</v>
      </c>
      <c r="V476" s="0" t="inlineStr">
        <is>
          <t>계단식</t>
        </is>
      </c>
      <c r="W476" s="0" t="n">
        <v>256</v>
      </c>
      <c r="X476" s="0" t="n">
        <v>20</v>
      </c>
      <c r="Y476" s="0" t="n">
        <v>17</v>
      </c>
      <c r="Z476" s="0" t="inlineStr">
        <is>
          <t>https://new.land.naver.com/complexes/26189?tab=detail&amp;rf=Y</t>
        </is>
      </c>
      <c r="AA476" s="0" t="inlineStr">
        <is>
          <t>충청북도 청주시 흥덕구 복대동 3366</t>
        </is>
      </c>
      <c r="AB476" s="0" t="inlineStr">
        <is>
          <t>충청북도</t>
        </is>
      </c>
      <c r="AC476" s="0" t="inlineStr">
        <is>
          <t>청주시</t>
        </is>
      </c>
      <c r="AD476" s="0" t="inlineStr">
        <is>
          <t>흥덕구</t>
        </is>
      </c>
      <c r="AE476" s="0" t="inlineStr">
        <is>
          <t>복대동</t>
        </is>
      </c>
      <c r="AG476" s="0" t="inlineStr">
        <is>
          <t>충청북도 청주시 흥덕구 대신로73번길 14</t>
        </is>
      </c>
      <c r="AH476" s="0" t="n">
        <v>0</v>
      </c>
      <c r="AI476" s="0" t="n">
        <v>229</v>
      </c>
      <c r="AJ476" s="0" t="n">
        <v>20</v>
      </c>
      <c r="AK476" s="0" t="n">
        <v>1144</v>
      </c>
      <c r="AL476" s="0" t="n">
        <v>1.77</v>
      </c>
    </row>
    <row r="477">
      <c r="A477" s="0" t="inlineStr">
        <is>
          <t>[복대동]</t>
        </is>
      </c>
      <c r="B477" s="0" t="n">
        <v>126066</v>
      </c>
      <c r="C477" s="0" t="n">
        <v>1</v>
      </c>
      <c r="D477" s="0" t="inlineStr">
        <is>
          <t>현대(908-2)</t>
        </is>
      </c>
      <c r="E477" s="0" t="inlineStr">
        <is>
          <t>1984.12.</t>
        </is>
      </c>
      <c r="F477" s="0" t="n">
        <v>35</v>
      </c>
      <c r="G477" s="0" t="n">
        <v>20.5</v>
      </c>
      <c r="H477" s="0" t="n">
        <v>67.77</v>
      </c>
      <c r="I477" s="0" t="n">
        <v>18.86</v>
      </c>
      <c r="J477" s="0" t="n">
        <v>62.37</v>
      </c>
      <c r="K477" s="0" t="n">
        <v>10</v>
      </c>
      <c r="T477" s="0" t="n">
        <v>3</v>
      </c>
      <c r="U477" s="0" t="n">
        <v>1</v>
      </c>
      <c r="V477" s="0" t="inlineStr">
        <is>
          <t>계단식</t>
        </is>
      </c>
      <c r="W477" s="0" t="inlineStr">
        <is>
          <t>67A</t>
        </is>
      </c>
      <c r="X477" s="0" t="n">
        <v>5</v>
      </c>
      <c r="Y477" s="0" t="n">
        <v>5</v>
      </c>
      <c r="Z477" s="0" t="inlineStr">
        <is>
          <t>https://new.land.naver.com/complexes/126066?tab=detail&amp;rf=Y</t>
        </is>
      </c>
      <c r="AA477" s="0" t="inlineStr">
        <is>
          <t>충청북도 청주시 흥덕구 복대동 908-2</t>
        </is>
      </c>
      <c r="AB477" s="0" t="inlineStr">
        <is>
          <t>충청북도</t>
        </is>
      </c>
      <c r="AC477" s="0" t="inlineStr">
        <is>
          <t>청주시</t>
        </is>
      </c>
      <c r="AD477" s="0" t="inlineStr">
        <is>
          <t>흥덕구</t>
        </is>
      </c>
      <c r="AE477" s="0" t="inlineStr">
        <is>
          <t>복대동</t>
        </is>
      </c>
      <c r="AG477" s="0" t="inlineStr">
        <is>
          <t>충청북도 청주시 흥덕구 사직대로82번길 20-1</t>
        </is>
      </c>
      <c r="AH477" s="0" t="n">
        <v>0</v>
      </c>
      <c r="AI477" s="0" t="n">
        <v>0</v>
      </c>
      <c r="AJ477" s="0" t="n">
        <v>0</v>
      </c>
      <c r="AK477" s="0" t="n">
        <v>17</v>
      </c>
      <c r="AL477" s="0" t="n">
        <v>0.49</v>
      </c>
    </row>
    <row r="478">
      <c r="A478" s="0" t="inlineStr">
        <is>
          <t>[복대동]</t>
        </is>
      </c>
      <c r="B478" s="0" t="n">
        <v>126066</v>
      </c>
      <c r="C478" s="0" t="n">
        <v>2</v>
      </c>
      <c r="D478" s="0" t="inlineStr">
        <is>
          <t>현대(908-2)</t>
        </is>
      </c>
      <c r="E478" s="0" t="inlineStr">
        <is>
          <t>1984.12.</t>
        </is>
      </c>
      <c r="F478" s="0" t="n">
        <v>35</v>
      </c>
      <c r="G478" s="0" t="n">
        <v>21.28</v>
      </c>
      <c r="H478" s="0" t="n">
        <v>70.38</v>
      </c>
      <c r="I478" s="0" t="n">
        <v>19.65</v>
      </c>
      <c r="J478" s="0" t="n">
        <v>64.98</v>
      </c>
      <c r="K478" s="0" t="n">
        <v>25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70B</t>
        </is>
      </c>
      <c r="X478" s="0" t="n">
        <v>5</v>
      </c>
      <c r="Y478" s="0" t="n">
        <v>5</v>
      </c>
      <c r="Z478" s="0" t="inlineStr">
        <is>
          <t>https://new.land.naver.com/complexes/126066?tab=detail&amp;rf=Y</t>
        </is>
      </c>
      <c r="AA478" s="0" t="inlineStr">
        <is>
          <t>충청북도 청주시 흥덕구 복대동 908-2</t>
        </is>
      </c>
      <c r="AB478" s="0" t="inlineStr">
        <is>
          <t>충청북도</t>
        </is>
      </c>
      <c r="AC478" s="0" t="inlineStr">
        <is>
          <t>청주시</t>
        </is>
      </c>
      <c r="AD478" s="0" t="inlineStr">
        <is>
          <t>흥덕구</t>
        </is>
      </c>
      <c r="AE478" s="0" t="inlineStr">
        <is>
          <t>복대동</t>
        </is>
      </c>
      <c r="AG478" s="0" t="inlineStr">
        <is>
          <t>충청북도 청주시 흥덕구 사직대로82번길 20-1</t>
        </is>
      </c>
      <c r="AH478" s="0" t="n">
        <v>0</v>
      </c>
      <c r="AI478" s="0" t="n">
        <v>0</v>
      </c>
      <c r="AJ478" s="0" t="n">
        <v>0</v>
      </c>
      <c r="AK478" s="0" t="n">
        <v>17</v>
      </c>
      <c r="AL478" s="0" t="n">
        <v>0.49</v>
      </c>
    </row>
    <row r="479">
      <c r="A479" s="0" t="inlineStr">
        <is>
          <t>[봉명동]</t>
        </is>
      </c>
      <c r="B479" s="0" t="n">
        <v>15454</v>
      </c>
      <c r="C479" s="0" t="n">
        <v>1</v>
      </c>
      <c r="D479" s="0" t="inlineStr">
        <is>
          <t>삼정(90-4)</t>
        </is>
      </c>
      <c r="E479" s="0" t="inlineStr">
        <is>
          <t>1987.07.</t>
        </is>
      </c>
      <c r="F479" s="0" t="n">
        <v>80</v>
      </c>
      <c r="G479" s="0" t="n">
        <v>20.14</v>
      </c>
      <c r="H479" s="0" t="n">
        <v>66.61</v>
      </c>
      <c r="I479" s="0" t="n">
        <v>17.56</v>
      </c>
      <c r="J479" s="0" t="n">
        <v>58.05</v>
      </c>
      <c r="K479" s="0" t="n">
        <v>80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66</v>
      </c>
      <c r="X479" s="0" t="n">
        <v>5</v>
      </c>
      <c r="Y479" s="0" t="n">
        <v>5</v>
      </c>
      <c r="Z479" s="0" t="inlineStr">
        <is>
          <t>https://new.land.naver.com/complexes/15454?tab=detail&amp;rf=Y</t>
        </is>
      </c>
      <c r="AA479" s="0" t="inlineStr">
        <is>
          <t>충청북도 청주시 흥덕구 봉명동 90-4</t>
        </is>
      </c>
      <c r="AB479" s="0" t="inlineStr">
        <is>
          <t>충청북도</t>
        </is>
      </c>
      <c r="AC479" s="0" t="inlineStr">
        <is>
          <t>청주시</t>
        </is>
      </c>
      <c r="AD479" s="0" t="inlineStr">
        <is>
          <t>흥덕구</t>
        </is>
      </c>
      <c r="AE479" s="0" t="inlineStr">
        <is>
          <t>봉명동</t>
        </is>
      </c>
      <c r="AG479" s="0" t="inlineStr">
        <is>
          <t>충청북도 청주시 흥덕구 1순환로512번길 34-1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[봉명동]</t>
        </is>
      </c>
      <c r="B480" s="0" t="n">
        <v>15463</v>
      </c>
      <c r="C480" s="0" t="n">
        <v>1</v>
      </c>
      <c r="D480" s="0" t="inlineStr">
        <is>
          <t>초원</t>
        </is>
      </c>
      <c r="E480" s="0" t="inlineStr">
        <is>
          <t>1992.12.</t>
        </is>
      </c>
      <c r="F480" s="0" t="n">
        <v>232</v>
      </c>
      <c r="G480" s="0" t="n">
        <v>21.62</v>
      </c>
      <c r="H480" s="0" t="n">
        <v>71.48</v>
      </c>
      <c r="I480" s="0" t="n">
        <v>15.08</v>
      </c>
      <c r="J480" s="0" t="n">
        <v>49.88</v>
      </c>
      <c r="K480" s="0" t="n">
        <v>232</v>
      </c>
      <c r="T480" s="0" t="n">
        <v>2</v>
      </c>
      <c r="U480" s="0" t="n">
        <v>1</v>
      </c>
      <c r="V480" s="0" t="inlineStr">
        <is>
          <t>복도식</t>
        </is>
      </c>
      <c r="W480" s="0" t="n">
        <v>71</v>
      </c>
      <c r="X480" s="0" t="n">
        <v>8</v>
      </c>
      <c r="Y480" s="0" t="n">
        <v>8</v>
      </c>
      <c r="Z480" s="0" t="inlineStr">
        <is>
          <t>https://new.land.naver.com/complexes/15463?tab=detail&amp;rf=Y</t>
        </is>
      </c>
      <c r="AA480" s="0" t="inlineStr">
        <is>
          <t>충청북도 청주시 흥덕구 봉명동 2044</t>
        </is>
      </c>
      <c r="AB480" s="0" t="inlineStr">
        <is>
          <t>충청북도</t>
        </is>
      </c>
      <c r="AC480" s="0" t="inlineStr">
        <is>
          <t>청주시</t>
        </is>
      </c>
      <c r="AD480" s="0" t="inlineStr">
        <is>
          <t>흥덕구</t>
        </is>
      </c>
      <c r="AE480" s="0" t="inlineStr">
        <is>
          <t>봉명동</t>
        </is>
      </c>
      <c r="AG480" s="0" t="inlineStr">
        <is>
          <t>충청북도 청주시 흥덕구 백봉로224번길 21</t>
        </is>
      </c>
      <c r="AH480" s="0" t="n">
        <v>0</v>
      </c>
      <c r="AI480" s="0" t="n">
        <v>0</v>
      </c>
      <c r="AJ480" s="0" t="n">
        <v>0</v>
      </c>
      <c r="AK480" s="0" t="n">
        <v>248</v>
      </c>
      <c r="AL480" s="0" t="n">
        <v>1.07</v>
      </c>
    </row>
    <row r="481">
      <c r="A481" s="0" t="inlineStr">
        <is>
          <t>[봉명동]</t>
        </is>
      </c>
      <c r="B481" s="0" t="n">
        <v>12057</v>
      </c>
      <c r="C481" s="0" t="n">
        <v>1</v>
      </c>
      <c r="D481" s="0" t="inlineStr">
        <is>
          <t>두진하트리움</t>
        </is>
      </c>
      <c r="E481" s="0" t="inlineStr">
        <is>
          <t>2003.05.</t>
        </is>
      </c>
      <c r="F481" s="0" t="n">
        <v>204</v>
      </c>
      <c r="G481" s="0" t="n">
        <v>31.65</v>
      </c>
      <c r="H481" s="0" t="n">
        <v>104.64</v>
      </c>
      <c r="I481" s="0" t="n">
        <v>25.65</v>
      </c>
      <c r="J481" s="0" t="n">
        <v>84.81</v>
      </c>
      <c r="K481" s="0" t="n">
        <v>200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104</v>
      </c>
      <c r="X481" s="0" t="n">
        <v>15</v>
      </c>
      <c r="Y481" s="0" t="n">
        <v>11</v>
      </c>
      <c r="Z481" s="0" t="inlineStr">
        <is>
          <t>https://new.land.naver.com/complexes/12057?tab=detail&amp;rf=Y</t>
        </is>
      </c>
      <c r="AA481" s="0" t="inlineStr">
        <is>
          <t>충청북도 청주시 흥덕구 봉명동 2758</t>
        </is>
      </c>
      <c r="AB481" s="0" t="inlineStr">
        <is>
          <t>충청북도</t>
        </is>
      </c>
      <c r="AC481" s="0" t="inlineStr">
        <is>
          <t>청주시</t>
        </is>
      </c>
      <c r="AD481" s="0" t="inlineStr">
        <is>
          <t>흥덕구</t>
        </is>
      </c>
      <c r="AE481" s="0" t="inlineStr">
        <is>
          <t>봉명동</t>
        </is>
      </c>
      <c r="AG481" s="0" t="inlineStr">
        <is>
          <t>충청북도 청주시 흥덕구 덕암로30번길 19</t>
        </is>
      </c>
      <c r="AH481" s="0" t="n">
        <v>0</v>
      </c>
      <c r="AI481" s="0" t="n">
        <v>193</v>
      </c>
      <c r="AJ481" s="0" t="n">
        <v>20</v>
      </c>
      <c r="AK481" s="0" t="n">
        <v>236</v>
      </c>
      <c r="AL481" s="0" t="n">
        <v>1.16</v>
      </c>
    </row>
    <row r="482">
      <c r="A482" s="0" t="inlineStr">
        <is>
          <t>[봉명동]</t>
        </is>
      </c>
      <c r="B482" s="0" t="n">
        <v>12057</v>
      </c>
      <c r="C482" s="0" t="n">
        <v>2</v>
      </c>
      <c r="D482" s="0" t="inlineStr">
        <is>
          <t>두진하트리움</t>
        </is>
      </c>
      <c r="E482" s="0" t="inlineStr">
        <is>
          <t>2003.05.</t>
        </is>
      </c>
      <c r="F482" s="0" t="n">
        <v>204</v>
      </c>
      <c r="G482" s="0" t="n">
        <v>51.08</v>
      </c>
      <c r="H482" s="0" t="n">
        <v>168.87</v>
      </c>
      <c r="I482" s="0" t="n">
        <v>41.28</v>
      </c>
      <c r="J482" s="0" t="n">
        <v>136.49</v>
      </c>
      <c r="K482" s="0" t="n">
        <v>4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168</v>
      </c>
      <c r="X482" s="0" t="n">
        <v>15</v>
      </c>
      <c r="Y482" s="0" t="n">
        <v>11</v>
      </c>
      <c r="Z482" s="0" t="inlineStr">
        <is>
          <t>https://new.land.naver.com/complexes/12057?tab=detail&amp;rf=Y</t>
        </is>
      </c>
      <c r="AA482" s="0" t="inlineStr">
        <is>
          <t>충청북도 청주시 흥덕구 봉명동 2758</t>
        </is>
      </c>
      <c r="AB482" s="0" t="inlineStr">
        <is>
          <t>충청북도</t>
        </is>
      </c>
      <c r="AC482" s="0" t="inlineStr">
        <is>
          <t>청주시</t>
        </is>
      </c>
      <c r="AD482" s="0" t="inlineStr">
        <is>
          <t>흥덕구</t>
        </is>
      </c>
      <c r="AE482" s="0" t="inlineStr">
        <is>
          <t>봉명동</t>
        </is>
      </c>
      <c r="AG482" s="0" t="inlineStr">
        <is>
          <t>충청북도 청주시 흥덕구 덕암로30번길 19</t>
        </is>
      </c>
      <c r="AH482" s="0" t="n">
        <v>0</v>
      </c>
      <c r="AI482" s="0" t="n">
        <v>193</v>
      </c>
      <c r="AJ482" s="0" t="n">
        <v>20</v>
      </c>
      <c r="AK482" s="0" t="n">
        <v>236</v>
      </c>
      <c r="AL482" s="0" t="n">
        <v>1.16</v>
      </c>
    </row>
    <row r="483">
      <c r="A483" s="0" t="inlineStr">
        <is>
          <t>[봉명동]</t>
        </is>
      </c>
      <c r="B483" s="0" t="n">
        <v>135332</v>
      </c>
      <c r="C483" s="0" t="n">
        <v>1</v>
      </c>
      <c r="D483" s="0" t="inlineStr">
        <is>
          <t>공영한솔빌리지</t>
        </is>
      </c>
      <c r="E483" s="0" t="inlineStr">
        <is>
          <t>1993.12.</t>
        </is>
      </c>
      <c r="F483" s="0" t="n">
        <v>16</v>
      </c>
      <c r="G483" s="0" t="n">
        <v>41.04</v>
      </c>
      <c r="H483" s="0" t="n">
        <v>135.67</v>
      </c>
      <c r="I483" s="0" t="n">
        <v>28.58</v>
      </c>
      <c r="J483" s="0" t="n">
        <v>94.5</v>
      </c>
      <c r="K483" s="0" t="n">
        <v>2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135</v>
      </c>
      <c r="X483" s="0" t="n">
        <v>8</v>
      </c>
      <c r="Y483" s="0" t="n">
        <v>8</v>
      </c>
      <c r="Z483" s="0" t="inlineStr">
        <is>
          <t>https://new.land.naver.com/complexes/135332?tab=detail&amp;rf=Y</t>
        </is>
      </c>
      <c r="AA483" s="0" t="inlineStr">
        <is>
          <t>충청북도 청주시 흥덕구 봉명동 810-2</t>
        </is>
      </c>
      <c r="AB483" s="0" t="inlineStr">
        <is>
          <t>충청북도</t>
        </is>
      </c>
      <c r="AC483" s="0" t="inlineStr">
        <is>
          <t>청주시</t>
        </is>
      </c>
      <c r="AD483" s="0" t="inlineStr">
        <is>
          <t>흥덕구</t>
        </is>
      </c>
      <c r="AE483" s="0" t="inlineStr">
        <is>
          <t>봉명동</t>
        </is>
      </c>
      <c r="AG483" s="0" t="inlineStr">
        <is>
          <t>충청북도 청주시 흥덕구 봉명로177번길 80</t>
        </is>
      </c>
      <c r="AH483" s="0" t="n">
        <v>0</v>
      </c>
      <c r="AI483" s="0" t="n">
        <v>262</v>
      </c>
      <c r="AJ483" s="0" t="n">
        <v>39</v>
      </c>
      <c r="AK483" s="0" t="n">
        <v>16</v>
      </c>
      <c r="AL483" s="0" t="n">
        <v>1</v>
      </c>
    </row>
    <row r="484">
      <c r="A484" s="0" t="inlineStr">
        <is>
          <t>[봉명동]</t>
        </is>
      </c>
      <c r="B484" s="0" t="n">
        <v>135332</v>
      </c>
      <c r="C484" s="0" t="n">
        <v>2</v>
      </c>
      <c r="D484" s="0" t="inlineStr">
        <is>
          <t>공영한솔빌리지</t>
        </is>
      </c>
      <c r="E484" s="0" t="inlineStr">
        <is>
          <t>1993.12.</t>
        </is>
      </c>
      <c r="F484" s="0" t="n">
        <v>16</v>
      </c>
      <c r="G484" s="0" t="n">
        <v>49.09</v>
      </c>
      <c r="H484" s="0" t="n">
        <v>162.29</v>
      </c>
      <c r="I484" s="0" t="n">
        <v>34.19</v>
      </c>
      <c r="J484" s="0" t="n">
        <v>113.04</v>
      </c>
      <c r="K484" s="0" t="n">
        <v>2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162</v>
      </c>
      <c r="X484" s="0" t="n">
        <v>8</v>
      </c>
      <c r="Y484" s="0" t="n">
        <v>8</v>
      </c>
      <c r="Z484" s="0" t="inlineStr">
        <is>
          <t>https://new.land.naver.com/complexes/135332?tab=detail&amp;rf=Y</t>
        </is>
      </c>
      <c r="AA484" s="0" t="inlineStr">
        <is>
          <t>충청북도 청주시 흥덕구 봉명동 810-2</t>
        </is>
      </c>
      <c r="AB484" s="0" t="inlineStr">
        <is>
          <t>충청북도</t>
        </is>
      </c>
      <c r="AC484" s="0" t="inlineStr">
        <is>
          <t>청주시</t>
        </is>
      </c>
      <c r="AD484" s="0" t="inlineStr">
        <is>
          <t>흥덕구</t>
        </is>
      </c>
      <c r="AE484" s="0" t="inlineStr">
        <is>
          <t>봉명동</t>
        </is>
      </c>
      <c r="AG484" s="0" t="inlineStr">
        <is>
          <t>충청북도 청주시 흥덕구 봉명로177번길 80</t>
        </is>
      </c>
      <c r="AH484" s="0" t="n">
        <v>0</v>
      </c>
      <c r="AI484" s="0" t="n">
        <v>262</v>
      </c>
      <c r="AJ484" s="0" t="n">
        <v>39</v>
      </c>
      <c r="AK484" s="0" t="n">
        <v>16</v>
      </c>
      <c r="AL484" s="0" t="n">
        <v>1</v>
      </c>
    </row>
    <row r="485">
      <c r="A485" s="0" t="inlineStr">
        <is>
          <t>[봉명동]</t>
        </is>
      </c>
      <c r="B485" s="0" t="n">
        <v>135332</v>
      </c>
      <c r="C485" s="0" t="n">
        <v>3</v>
      </c>
      <c r="D485" s="0" t="inlineStr">
        <is>
          <t>공영한솔빌리지</t>
        </is>
      </c>
      <c r="E485" s="0" t="inlineStr">
        <is>
          <t>1993.12.</t>
        </is>
      </c>
      <c r="F485" s="0" t="n">
        <v>16</v>
      </c>
      <c r="G485" s="0" t="n">
        <v>55.62</v>
      </c>
      <c r="H485" s="0" t="n">
        <v>183.87</v>
      </c>
      <c r="I485" s="0" t="n">
        <v>38.74</v>
      </c>
      <c r="J485" s="0" t="n">
        <v>128.07</v>
      </c>
      <c r="K485" s="0" t="n">
        <v>1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183</v>
      </c>
      <c r="X485" s="0" t="n">
        <v>8</v>
      </c>
      <c r="Y485" s="0" t="n">
        <v>8</v>
      </c>
      <c r="Z485" s="0" t="inlineStr">
        <is>
          <t>https://new.land.naver.com/complexes/135332?tab=detail&amp;rf=Y</t>
        </is>
      </c>
      <c r="AA485" s="0" t="inlineStr">
        <is>
          <t>충청북도 청주시 흥덕구 봉명동 810-2</t>
        </is>
      </c>
      <c r="AB485" s="0" t="inlineStr">
        <is>
          <t>충청북도</t>
        </is>
      </c>
      <c r="AC485" s="0" t="inlineStr">
        <is>
          <t>청주시</t>
        </is>
      </c>
      <c r="AD485" s="0" t="inlineStr">
        <is>
          <t>흥덕구</t>
        </is>
      </c>
      <c r="AE485" s="0" t="inlineStr">
        <is>
          <t>봉명동</t>
        </is>
      </c>
      <c r="AG485" s="0" t="inlineStr">
        <is>
          <t>충청북도 청주시 흥덕구 봉명로177번길 80</t>
        </is>
      </c>
      <c r="AH485" s="0" t="n">
        <v>0</v>
      </c>
      <c r="AI485" s="0" t="n">
        <v>262</v>
      </c>
      <c r="AJ485" s="0" t="n">
        <v>39</v>
      </c>
      <c r="AK485" s="0" t="n">
        <v>16</v>
      </c>
      <c r="AL485" s="0" t="n">
        <v>1</v>
      </c>
    </row>
    <row r="486">
      <c r="A486" s="0" t="inlineStr">
        <is>
          <t>[봉명동]</t>
        </is>
      </c>
      <c r="B486" s="0" t="n">
        <v>135332</v>
      </c>
      <c r="C486" s="0" t="n">
        <v>4</v>
      </c>
      <c r="D486" s="0" t="inlineStr">
        <is>
          <t>공영한솔빌리지</t>
        </is>
      </c>
      <c r="E486" s="0" t="inlineStr">
        <is>
          <t>1993.12.</t>
        </is>
      </c>
      <c r="F486" s="0" t="n">
        <v>16</v>
      </c>
      <c r="G486" s="0" t="n">
        <v>59.41</v>
      </c>
      <c r="H486" s="0" t="n">
        <v>196.4</v>
      </c>
      <c r="I486" s="0" t="n">
        <v>41.38</v>
      </c>
      <c r="J486" s="0" t="n">
        <v>136.8</v>
      </c>
      <c r="K486" s="0" t="n">
        <v>2</v>
      </c>
      <c r="T486" s="0" t="n">
        <v>4</v>
      </c>
      <c r="U486" s="0" t="n">
        <v>2</v>
      </c>
      <c r="V486" s="0" t="inlineStr">
        <is>
          <t>계단식</t>
        </is>
      </c>
      <c r="W486" s="0" t="n">
        <v>196</v>
      </c>
      <c r="X486" s="0" t="n">
        <v>8</v>
      </c>
      <c r="Y486" s="0" t="n">
        <v>8</v>
      </c>
      <c r="Z486" s="0" t="inlineStr">
        <is>
          <t>https://new.land.naver.com/complexes/135332?tab=detail&amp;rf=Y</t>
        </is>
      </c>
      <c r="AA486" s="0" t="inlineStr">
        <is>
          <t>충청북도 청주시 흥덕구 봉명동 810-2</t>
        </is>
      </c>
      <c r="AB486" s="0" t="inlineStr">
        <is>
          <t>충청북도</t>
        </is>
      </c>
      <c r="AC486" s="0" t="inlineStr">
        <is>
          <t>청주시</t>
        </is>
      </c>
      <c r="AD486" s="0" t="inlineStr">
        <is>
          <t>흥덕구</t>
        </is>
      </c>
      <c r="AE486" s="0" t="inlineStr">
        <is>
          <t>봉명동</t>
        </is>
      </c>
      <c r="AG486" s="0" t="inlineStr">
        <is>
          <t>충청북도 청주시 흥덕구 봉명로177번길 80</t>
        </is>
      </c>
      <c r="AH486" s="0" t="n">
        <v>0</v>
      </c>
      <c r="AI486" s="0" t="n">
        <v>262</v>
      </c>
      <c r="AJ486" s="0" t="n">
        <v>39</v>
      </c>
      <c r="AK486" s="0" t="n">
        <v>16</v>
      </c>
      <c r="AL486" s="0" t="n">
        <v>1</v>
      </c>
    </row>
    <row r="487">
      <c r="A487" s="0" t="inlineStr">
        <is>
          <t>[봉명동]</t>
        </is>
      </c>
      <c r="B487" s="0" t="n">
        <v>135332</v>
      </c>
      <c r="C487" s="0" t="n">
        <v>5</v>
      </c>
      <c r="D487" s="0" t="inlineStr">
        <is>
          <t>공영한솔빌리지</t>
        </is>
      </c>
      <c r="E487" s="0" t="inlineStr">
        <is>
          <t>1993.12.</t>
        </is>
      </c>
      <c r="F487" s="0" t="n">
        <v>16</v>
      </c>
      <c r="G487" s="0" t="n">
        <v>60.34</v>
      </c>
      <c r="H487" s="0" t="n">
        <v>199.5</v>
      </c>
      <c r="I487" s="0" t="n">
        <v>42.03</v>
      </c>
      <c r="J487" s="0" t="n">
        <v>138.96</v>
      </c>
      <c r="K487" s="0" t="n">
        <v>9</v>
      </c>
      <c r="T487" s="0" t="n">
        <v>4</v>
      </c>
      <c r="U487" s="0" t="n">
        <v>2</v>
      </c>
      <c r="V487" s="0" t="inlineStr">
        <is>
          <t>계단식</t>
        </is>
      </c>
      <c r="W487" s="0" t="n">
        <v>199</v>
      </c>
      <c r="X487" s="0" t="n">
        <v>8</v>
      </c>
      <c r="Y487" s="0" t="n">
        <v>8</v>
      </c>
      <c r="Z487" s="0" t="inlineStr">
        <is>
          <t>https://new.land.naver.com/complexes/135332?tab=detail&amp;rf=Y</t>
        </is>
      </c>
      <c r="AA487" s="0" t="inlineStr">
        <is>
          <t>충청북도 청주시 흥덕구 봉명동 810-2</t>
        </is>
      </c>
      <c r="AB487" s="0" t="inlineStr">
        <is>
          <t>충청북도</t>
        </is>
      </c>
      <c r="AC487" s="0" t="inlineStr">
        <is>
          <t>청주시</t>
        </is>
      </c>
      <c r="AD487" s="0" t="inlineStr">
        <is>
          <t>흥덕구</t>
        </is>
      </c>
      <c r="AE487" s="0" t="inlineStr">
        <is>
          <t>봉명동</t>
        </is>
      </c>
      <c r="AG487" s="0" t="inlineStr">
        <is>
          <t>충청북도 청주시 흥덕구 봉명로177번길 80</t>
        </is>
      </c>
      <c r="AH487" s="0" t="n">
        <v>0</v>
      </c>
      <c r="AI487" s="0" t="n">
        <v>262</v>
      </c>
      <c r="AJ487" s="0" t="n">
        <v>39</v>
      </c>
      <c r="AK487" s="0" t="n">
        <v>16</v>
      </c>
      <c r="AL487" s="0" t="n">
        <v>1</v>
      </c>
    </row>
    <row r="488">
      <c r="A488" s="0" t="inlineStr">
        <is>
          <t>[봉명동]</t>
        </is>
      </c>
      <c r="B488" s="0" t="n">
        <v>116286</v>
      </c>
      <c r="C488" s="0" t="n">
        <v>1</v>
      </c>
      <c r="D488" s="0" t="inlineStr">
        <is>
          <t>아이제이포커스(도시형)</t>
        </is>
      </c>
      <c r="E488" s="0" t="inlineStr">
        <is>
          <t>2017.04.</t>
        </is>
      </c>
      <c r="F488" s="0" t="n">
        <v>270</v>
      </c>
      <c r="G488" s="0" t="n">
        <v>10.31</v>
      </c>
      <c r="H488" s="0" t="n">
        <v>34.11</v>
      </c>
      <c r="I488" s="0" t="n">
        <v>6.96</v>
      </c>
      <c r="J488" s="0" t="n">
        <v>23.03</v>
      </c>
      <c r="K488" s="0" t="n">
        <v>108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34B</t>
        </is>
      </c>
      <c r="X488" s="0" t="n">
        <v>20</v>
      </c>
      <c r="Y488" s="0" t="n">
        <v>20</v>
      </c>
      <c r="Z488" s="0" t="inlineStr">
        <is>
          <t>https://new.land.naver.com/complexes/116286?tab=detail&amp;rf=Y</t>
        </is>
      </c>
      <c r="AA488" s="0" t="inlineStr">
        <is>
          <t>충청북도 청주시 흥덕구 봉명동 795</t>
        </is>
      </c>
      <c r="AB488" s="0" t="inlineStr">
        <is>
          <t>충청북도</t>
        </is>
      </c>
      <c r="AC488" s="0" t="inlineStr">
        <is>
          <t>청주시</t>
        </is>
      </c>
      <c r="AD488" s="0" t="inlineStr">
        <is>
          <t>흥덕구</t>
        </is>
      </c>
      <c r="AE488" s="0" t="inlineStr">
        <is>
          <t>봉명동</t>
        </is>
      </c>
      <c r="AG488" s="0" t="inlineStr">
        <is>
          <t>충청북도 청주시 흥덕구 1순환로 571</t>
        </is>
      </c>
      <c r="AH488" s="0" t="n">
        <v>0</v>
      </c>
      <c r="AI488" s="0" t="n">
        <v>984</v>
      </c>
      <c r="AJ488" s="0" t="n">
        <v>73</v>
      </c>
      <c r="AK488" s="0" t="n">
        <v>191</v>
      </c>
      <c r="AL488" s="0" t="n">
        <v>0.71</v>
      </c>
    </row>
    <row r="489">
      <c r="A489" s="0" t="inlineStr">
        <is>
          <t>[봉명동]</t>
        </is>
      </c>
      <c r="B489" s="0" t="n">
        <v>116286</v>
      </c>
      <c r="C489" s="0" t="n">
        <v>2</v>
      </c>
      <c r="D489" s="0" t="inlineStr">
        <is>
          <t>아이제이포커스(도시형)</t>
        </is>
      </c>
      <c r="E489" s="0" t="inlineStr">
        <is>
          <t>2017.04.</t>
        </is>
      </c>
      <c r="F489" s="0" t="n">
        <v>270</v>
      </c>
      <c r="G489" s="0" t="n">
        <v>13.9</v>
      </c>
      <c r="H489" s="0" t="n">
        <v>45.98</v>
      </c>
      <c r="I489" s="0" t="n">
        <v>9.380000000000001</v>
      </c>
      <c r="J489" s="0" t="n">
        <v>31.04</v>
      </c>
      <c r="K489" s="0" t="n">
        <v>72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45C</t>
        </is>
      </c>
      <c r="X489" s="0" t="n">
        <v>20</v>
      </c>
      <c r="Y489" s="0" t="n">
        <v>20</v>
      </c>
      <c r="Z489" s="0" t="inlineStr">
        <is>
          <t>https://new.land.naver.com/complexes/116286?tab=detail&amp;rf=Y</t>
        </is>
      </c>
      <c r="AA489" s="0" t="inlineStr">
        <is>
          <t>충청북도 청주시 흥덕구 봉명동 795</t>
        </is>
      </c>
      <c r="AB489" s="0" t="inlineStr">
        <is>
          <t>충청북도</t>
        </is>
      </c>
      <c r="AC489" s="0" t="inlineStr">
        <is>
          <t>청주시</t>
        </is>
      </c>
      <c r="AD489" s="0" t="inlineStr">
        <is>
          <t>흥덕구</t>
        </is>
      </c>
      <c r="AE489" s="0" t="inlineStr">
        <is>
          <t>봉명동</t>
        </is>
      </c>
      <c r="AG489" s="0" t="inlineStr">
        <is>
          <t>충청북도 청주시 흥덕구 1순환로 571</t>
        </is>
      </c>
      <c r="AH489" s="0" t="n">
        <v>0</v>
      </c>
      <c r="AI489" s="0" t="n">
        <v>984</v>
      </c>
      <c r="AJ489" s="0" t="n">
        <v>73</v>
      </c>
      <c r="AK489" s="0" t="n">
        <v>191</v>
      </c>
      <c r="AL489" s="0" t="n">
        <v>0.71</v>
      </c>
    </row>
    <row r="490">
      <c r="A490" s="0" t="inlineStr">
        <is>
          <t>[봉명동]</t>
        </is>
      </c>
      <c r="B490" s="0" t="n">
        <v>116286</v>
      </c>
      <c r="C490" s="0" t="n">
        <v>3</v>
      </c>
      <c r="D490" s="0" t="inlineStr">
        <is>
          <t>아이제이포커스(도시형)</t>
        </is>
      </c>
      <c r="E490" s="0" t="inlineStr">
        <is>
          <t>2017.04.</t>
        </is>
      </c>
      <c r="F490" s="0" t="n">
        <v>270</v>
      </c>
      <c r="G490" s="0" t="n">
        <v>20.52</v>
      </c>
      <c r="H490" s="0" t="n">
        <v>67.84999999999999</v>
      </c>
      <c r="I490" s="0" t="n">
        <v>13.85</v>
      </c>
      <c r="J490" s="0" t="n">
        <v>45.81</v>
      </c>
      <c r="K490" s="0" t="n">
        <v>54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67A</t>
        </is>
      </c>
      <c r="X490" s="0" t="n">
        <v>20</v>
      </c>
      <c r="Y490" s="0" t="n">
        <v>20</v>
      </c>
      <c r="Z490" s="0" t="inlineStr">
        <is>
          <t>https://new.land.naver.com/complexes/116286?tab=detail&amp;rf=Y</t>
        </is>
      </c>
      <c r="AA490" s="0" t="inlineStr">
        <is>
          <t>충청북도 청주시 흥덕구 봉명동 795</t>
        </is>
      </c>
      <c r="AB490" s="0" t="inlineStr">
        <is>
          <t>충청북도</t>
        </is>
      </c>
      <c r="AC490" s="0" t="inlineStr">
        <is>
          <t>청주시</t>
        </is>
      </c>
      <c r="AD490" s="0" t="inlineStr">
        <is>
          <t>흥덕구</t>
        </is>
      </c>
      <c r="AE490" s="0" t="inlineStr">
        <is>
          <t>봉명동</t>
        </is>
      </c>
      <c r="AG490" s="0" t="inlineStr">
        <is>
          <t>충청북도 청주시 흥덕구 1순환로 571</t>
        </is>
      </c>
      <c r="AH490" s="0" t="n">
        <v>0</v>
      </c>
      <c r="AI490" s="0" t="n">
        <v>984</v>
      </c>
      <c r="AJ490" s="0" t="n">
        <v>73</v>
      </c>
      <c r="AK490" s="0" t="n">
        <v>191</v>
      </c>
      <c r="AL490" s="0" t="n">
        <v>0.71</v>
      </c>
    </row>
    <row r="491">
      <c r="A491" s="0" t="inlineStr">
        <is>
          <t>[봉명동]</t>
        </is>
      </c>
      <c r="B491" s="0" t="n">
        <v>116286</v>
      </c>
      <c r="C491" s="0" t="n">
        <v>4</v>
      </c>
      <c r="D491" s="0" t="inlineStr">
        <is>
          <t>아이제이포커스(도시형)</t>
        </is>
      </c>
      <c r="E491" s="0" t="inlineStr">
        <is>
          <t>2017.04.</t>
        </is>
      </c>
      <c r="F491" s="0" t="n">
        <v>270</v>
      </c>
      <c r="G491" s="0" t="n">
        <v>20.79</v>
      </c>
      <c r="H491" s="0" t="n">
        <v>68.76000000000001</v>
      </c>
      <c r="I491" s="0" t="n">
        <v>14.04</v>
      </c>
      <c r="J491" s="0" t="n">
        <v>46.42</v>
      </c>
      <c r="K491" s="0" t="n">
        <v>36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68A-1</t>
        </is>
      </c>
      <c r="X491" s="0" t="n">
        <v>20</v>
      </c>
      <c r="Y491" s="0" t="n">
        <v>20</v>
      </c>
      <c r="Z491" s="0" t="inlineStr">
        <is>
          <t>https://new.land.naver.com/complexes/116286?tab=detail&amp;rf=Y</t>
        </is>
      </c>
      <c r="AA491" s="0" t="inlineStr">
        <is>
          <t>충청북도 청주시 흥덕구 봉명동 795</t>
        </is>
      </c>
      <c r="AB491" s="0" t="inlineStr">
        <is>
          <t>충청북도</t>
        </is>
      </c>
      <c r="AC491" s="0" t="inlineStr">
        <is>
          <t>청주시</t>
        </is>
      </c>
      <c r="AD491" s="0" t="inlineStr">
        <is>
          <t>흥덕구</t>
        </is>
      </c>
      <c r="AE491" s="0" t="inlineStr">
        <is>
          <t>봉명동</t>
        </is>
      </c>
      <c r="AG491" s="0" t="inlineStr">
        <is>
          <t>충청북도 청주시 흥덕구 1순환로 571</t>
        </is>
      </c>
      <c r="AH491" s="0" t="n">
        <v>0</v>
      </c>
      <c r="AI491" s="0" t="n">
        <v>984</v>
      </c>
      <c r="AJ491" s="0" t="n">
        <v>73</v>
      </c>
      <c r="AK491" s="0" t="n">
        <v>191</v>
      </c>
      <c r="AL491" s="0" t="n">
        <v>0.71</v>
      </c>
    </row>
    <row r="492">
      <c r="A492" s="0" t="inlineStr">
        <is>
          <t>[봉명동]</t>
        </is>
      </c>
      <c r="B492" s="0" t="n">
        <v>123083</v>
      </c>
      <c r="C492" s="0" t="n">
        <v>1</v>
      </c>
      <c r="D492" s="0" t="inlineStr">
        <is>
          <t>봉명(826)</t>
        </is>
      </c>
      <c r="E492" s="0" t="inlineStr">
        <is>
          <t>1986.12.</t>
        </is>
      </c>
      <c r="F492" s="0" t="n">
        <v>45</v>
      </c>
      <c r="G492" s="0" t="n">
        <v>27.14</v>
      </c>
      <c r="H492" s="0" t="n">
        <v>89.72</v>
      </c>
      <c r="I492" s="0" t="n">
        <v>22.78</v>
      </c>
      <c r="J492" s="0" t="n">
        <v>75.33</v>
      </c>
      <c r="K492" s="0" t="n">
        <v>45</v>
      </c>
      <c r="T492" s="0" t="n">
        <v>3</v>
      </c>
      <c r="U492" s="0" t="n">
        <v>1</v>
      </c>
      <c r="V492" s="0" t="inlineStr">
        <is>
          <t>복도식</t>
        </is>
      </c>
      <c r="W492" s="0" t="n">
        <v>89</v>
      </c>
      <c r="X492" s="0" t="n">
        <v>5</v>
      </c>
      <c r="Y492" s="0" t="n">
        <v>5</v>
      </c>
      <c r="Z492" s="0" t="inlineStr">
        <is>
          <t>https://new.land.naver.com/complexes/123083?tab=detail&amp;rf=Y</t>
        </is>
      </c>
      <c r="AA492" s="0" t="inlineStr">
        <is>
          <t>충청북도 청주시 흥덕구 봉명동 826</t>
        </is>
      </c>
      <c r="AB492" s="0" t="inlineStr">
        <is>
          <t>충청북도</t>
        </is>
      </c>
      <c r="AC492" s="0" t="inlineStr">
        <is>
          <t>청주시</t>
        </is>
      </c>
      <c r="AD492" s="0" t="inlineStr">
        <is>
          <t>흥덕구</t>
        </is>
      </c>
      <c r="AE492" s="0" t="inlineStr">
        <is>
          <t>봉명동</t>
        </is>
      </c>
      <c r="AG492" s="0" t="inlineStr">
        <is>
          <t>충청북도 청주시 흥덕구 천석로 73</t>
        </is>
      </c>
      <c r="AH492" s="0" t="n">
        <v>0</v>
      </c>
      <c r="AI492" s="0" t="n">
        <v>206</v>
      </c>
      <c r="AJ492" s="0" t="n">
        <v>54</v>
      </c>
      <c r="AK492" s="0" t="n">
        <v>0</v>
      </c>
      <c r="AL492" s="0" t="n">
        <v>0</v>
      </c>
    </row>
    <row r="493">
      <c r="A493" s="0" t="inlineStr">
        <is>
          <t>[봉명동]</t>
        </is>
      </c>
      <c r="B493" s="0" t="n">
        <v>11517</v>
      </c>
      <c r="C493" s="0" t="n">
        <v>1</v>
      </c>
      <c r="D493" s="0" t="inlineStr">
        <is>
          <t>봉명세원</t>
        </is>
      </c>
      <c r="E493" s="0" t="inlineStr">
        <is>
          <t>1993.07.</t>
        </is>
      </c>
      <c r="F493" s="0" t="n">
        <v>276</v>
      </c>
      <c r="G493" s="0" t="n">
        <v>24.97</v>
      </c>
      <c r="H493" s="0" t="n">
        <v>82.56999999999999</v>
      </c>
      <c r="I493" s="0" t="n">
        <v>20.17</v>
      </c>
      <c r="J493" s="0" t="n">
        <v>66.68000000000001</v>
      </c>
      <c r="K493" s="0" t="n">
        <v>90</v>
      </c>
      <c r="T493" s="0" t="n">
        <v>3</v>
      </c>
      <c r="U493" s="0" t="n">
        <v>1</v>
      </c>
      <c r="V493" s="0" t="inlineStr">
        <is>
          <t>계단식</t>
        </is>
      </c>
      <c r="W493" s="0" t="n">
        <v>82</v>
      </c>
      <c r="X493" s="0" t="n">
        <v>15</v>
      </c>
      <c r="Y493" s="0" t="n">
        <v>12</v>
      </c>
      <c r="Z493" s="0" t="inlineStr">
        <is>
          <t>https://new.land.naver.com/complexes/11517?tab=detail&amp;rf=Y</t>
        </is>
      </c>
      <c r="AA493" s="0" t="inlineStr">
        <is>
          <t>충청북도 청주시 흥덕구 봉명동 2193</t>
        </is>
      </c>
      <c r="AB493" s="0" t="inlineStr">
        <is>
          <t>충청북도</t>
        </is>
      </c>
      <c r="AC493" s="0" t="inlineStr">
        <is>
          <t>청주시</t>
        </is>
      </c>
      <c r="AD493" s="0" t="inlineStr">
        <is>
          <t>흥덕구</t>
        </is>
      </c>
      <c r="AE493" s="0" t="inlineStr">
        <is>
          <t>봉명동</t>
        </is>
      </c>
      <c r="AG493" s="0" t="inlineStr">
        <is>
          <t>충청북도 청주시 흥덕구 월명로 136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[봉명동]</t>
        </is>
      </c>
      <c r="B494" s="0" t="n">
        <v>11517</v>
      </c>
      <c r="C494" s="0" t="n">
        <v>2</v>
      </c>
      <c r="D494" s="0" t="inlineStr">
        <is>
          <t>봉명세원</t>
        </is>
      </c>
      <c r="E494" s="0" t="inlineStr">
        <is>
          <t>1993.07.</t>
        </is>
      </c>
      <c r="F494" s="0" t="n">
        <v>276</v>
      </c>
      <c r="G494" s="0" t="n">
        <v>31.73</v>
      </c>
      <c r="H494" s="0" t="n">
        <v>104.91</v>
      </c>
      <c r="I494" s="0" t="n">
        <v>25.7</v>
      </c>
      <c r="J494" s="0" t="n">
        <v>84.97</v>
      </c>
      <c r="K494" s="0" t="n">
        <v>138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104</v>
      </c>
      <c r="X494" s="0" t="n">
        <v>15</v>
      </c>
      <c r="Y494" s="0" t="n">
        <v>12</v>
      </c>
      <c r="Z494" s="0" t="inlineStr">
        <is>
          <t>https://new.land.naver.com/complexes/11517?tab=detail&amp;rf=Y</t>
        </is>
      </c>
      <c r="AA494" s="0" t="inlineStr">
        <is>
          <t>충청북도 청주시 흥덕구 봉명동 2193</t>
        </is>
      </c>
      <c r="AB494" s="0" t="inlineStr">
        <is>
          <t>충청북도</t>
        </is>
      </c>
      <c r="AC494" s="0" t="inlineStr">
        <is>
          <t>청주시</t>
        </is>
      </c>
      <c r="AD494" s="0" t="inlineStr">
        <is>
          <t>흥덕구</t>
        </is>
      </c>
      <c r="AE494" s="0" t="inlineStr">
        <is>
          <t>봉명동</t>
        </is>
      </c>
      <c r="AG494" s="0" t="inlineStr">
        <is>
          <t>충청북도 청주시 흥덕구 월명로 136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[봉명동]</t>
        </is>
      </c>
      <c r="B495" s="0" t="n">
        <v>11517</v>
      </c>
      <c r="C495" s="0" t="n">
        <v>3</v>
      </c>
      <c r="D495" s="0" t="inlineStr">
        <is>
          <t>봉명세원</t>
        </is>
      </c>
      <c r="E495" s="0" t="inlineStr">
        <is>
          <t>1993.07.</t>
        </is>
      </c>
      <c r="F495" s="0" t="n">
        <v>276</v>
      </c>
      <c r="G495" s="0" t="n">
        <v>43.76</v>
      </c>
      <c r="H495" s="0" t="n">
        <v>144.67</v>
      </c>
      <c r="I495" s="0" t="n">
        <v>37.5</v>
      </c>
      <c r="J495" s="0" t="n">
        <v>123.99</v>
      </c>
      <c r="K495" s="0" t="n">
        <v>48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144</v>
      </c>
      <c r="X495" s="0" t="n">
        <v>15</v>
      </c>
      <c r="Y495" s="0" t="n">
        <v>12</v>
      </c>
      <c r="Z495" s="0" t="inlineStr">
        <is>
          <t>https://new.land.naver.com/complexes/11517?tab=detail&amp;rf=Y</t>
        </is>
      </c>
      <c r="AA495" s="0" t="inlineStr">
        <is>
          <t>충청북도 청주시 흥덕구 봉명동 2193</t>
        </is>
      </c>
      <c r="AB495" s="0" t="inlineStr">
        <is>
          <t>충청북도</t>
        </is>
      </c>
      <c r="AC495" s="0" t="inlineStr">
        <is>
          <t>청주시</t>
        </is>
      </c>
      <c r="AD495" s="0" t="inlineStr">
        <is>
          <t>흥덕구</t>
        </is>
      </c>
      <c r="AE495" s="0" t="inlineStr">
        <is>
          <t>봉명동</t>
        </is>
      </c>
      <c r="AG495" s="0" t="inlineStr">
        <is>
          <t>충청북도 청주시 흥덕구 월명로 136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[봉명동]</t>
        </is>
      </c>
      <c r="B496" s="0" t="n">
        <v>12020</v>
      </c>
      <c r="C496" s="0" t="n">
        <v>1</v>
      </c>
      <c r="D496" s="0" t="inlineStr">
        <is>
          <t>봉명아이파크</t>
        </is>
      </c>
      <c r="E496" s="0" t="inlineStr">
        <is>
          <t>2005.03.</t>
        </is>
      </c>
      <c r="F496" s="0" t="n">
        <v>1222</v>
      </c>
      <c r="G496" s="0" t="n">
        <v>29.5</v>
      </c>
      <c r="H496" s="0" t="n">
        <v>97.53</v>
      </c>
      <c r="I496" s="0" t="n">
        <v>22.48</v>
      </c>
      <c r="J496" s="0" t="n">
        <v>74.31999999999999</v>
      </c>
      <c r="K496" s="0" t="n">
        <v>30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97</v>
      </c>
      <c r="X496" s="0" t="n">
        <v>15</v>
      </c>
      <c r="Y496" s="0" t="n">
        <v>10</v>
      </c>
      <c r="Z496" s="0" t="inlineStr">
        <is>
          <t>https://new.land.naver.com/complexes/12020?tab=detail&amp;rf=Y</t>
        </is>
      </c>
      <c r="AA496" s="0" t="inlineStr">
        <is>
          <t>충청북도 청주시 흥덕구 봉명동 2752</t>
        </is>
      </c>
      <c r="AB496" s="0" t="inlineStr">
        <is>
          <t>충청북도</t>
        </is>
      </c>
      <c r="AC496" s="0" t="inlineStr">
        <is>
          <t>청주시</t>
        </is>
      </c>
      <c r="AD496" s="0" t="inlineStr">
        <is>
          <t>흥덕구</t>
        </is>
      </c>
      <c r="AE496" s="0" t="inlineStr">
        <is>
          <t>봉명동</t>
        </is>
      </c>
      <c r="AG496" s="0" t="inlineStr">
        <is>
          <t>충청북도 청주시 흥덕구 덕암로108번길 44</t>
        </is>
      </c>
      <c r="AH496" s="0" t="n">
        <v>0</v>
      </c>
      <c r="AI496" s="0" t="n">
        <v>206</v>
      </c>
      <c r="AJ496" s="0" t="n">
        <v>18</v>
      </c>
      <c r="AK496" s="0" t="n">
        <v>1718</v>
      </c>
      <c r="AL496" s="0" t="n">
        <v>1.41</v>
      </c>
    </row>
    <row r="497">
      <c r="A497" s="0" t="inlineStr">
        <is>
          <t>[봉명동]</t>
        </is>
      </c>
      <c r="B497" s="0" t="n">
        <v>12020</v>
      </c>
      <c r="C497" s="0" t="n">
        <v>2</v>
      </c>
      <c r="D497" s="0" t="inlineStr">
        <is>
          <t>봉명아이파크</t>
        </is>
      </c>
      <c r="E497" s="0" t="inlineStr">
        <is>
          <t>2005.03.</t>
        </is>
      </c>
      <c r="F497" s="0" t="n">
        <v>1222</v>
      </c>
      <c r="G497" s="0" t="n">
        <v>34.37</v>
      </c>
      <c r="H497" s="0" t="n">
        <v>113.65</v>
      </c>
      <c r="I497" s="0" t="n">
        <v>25.68</v>
      </c>
      <c r="J497" s="0" t="n">
        <v>84.91</v>
      </c>
      <c r="K497" s="0" t="n">
        <v>110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113B</t>
        </is>
      </c>
      <c r="X497" s="0" t="n">
        <v>15</v>
      </c>
      <c r="Y497" s="0" t="n">
        <v>10</v>
      </c>
      <c r="Z497" s="0" t="inlineStr">
        <is>
          <t>https://new.land.naver.com/complexes/12020?tab=detail&amp;rf=Y</t>
        </is>
      </c>
      <c r="AA497" s="0" t="inlineStr">
        <is>
          <t>충청북도 청주시 흥덕구 봉명동 2752</t>
        </is>
      </c>
      <c r="AB497" s="0" t="inlineStr">
        <is>
          <t>충청북도</t>
        </is>
      </c>
      <c r="AC497" s="0" t="inlineStr">
        <is>
          <t>청주시</t>
        </is>
      </c>
      <c r="AD497" s="0" t="inlineStr">
        <is>
          <t>흥덕구</t>
        </is>
      </c>
      <c r="AE497" s="0" t="inlineStr">
        <is>
          <t>봉명동</t>
        </is>
      </c>
      <c r="AG497" s="0" t="inlineStr">
        <is>
          <t>충청북도 청주시 흥덕구 덕암로108번길 44</t>
        </is>
      </c>
      <c r="AH497" s="0" t="n">
        <v>0</v>
      </c>
      <c r="AI497" s="0" t="n">
        <v>206</v>
      </c>
      <c r="AJ497" s="0" t="n">
        <v>18</v>
      </c>
      <c r="AK497" s="0" t="n">
        <v>1718</v>
      </c>
      <c r="AL497" s="0" t="n">
        <v>1.41</v>
      </c>
    </row>
    <row r="498">
      <c r="A498" s="0" t="inlineStr">
        <is>
          <t>[봉명동]</t>
        </is>
      </c>
      <c r="B498" s="0" t="n">
        <v>12020</v>
      </c>
      <c r="C498" s="0" t="n">
        <v>3</v>
      </c>
      <c r="D498" s="0" t="inlineStr">
        <is>
          <t>봉명아이파크</t>
        </is>
      </c>
      <c r="E498" s="0" t="inlineStr">
        <is>
          <t>2005.03.</t>
        </is>
      </c>
      <c r="F498" s="0" t="n">
        <v>1222</v>
      </c>
      <c r="G498" s="0" t="n">
        <v>34.72</v>
      </c>
      <c r="H498" s="0" t="n">
        <v>114.79</v>
      </c>
      <c r="I498" s="0" t="n">
        <v>25.67</v>
      </c>
      <c r="J498" s="0" t="n">
        <v>84.88</v>
      </c>
      <c r="K498" s="0" t="n">
        <v>420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114A</t>
        </is>
      </c>
      <c r="X498" s="0" t="n">
        <v>15</v>
      </c>
      <c r="Y498" s="0" t="n">
        <v>10</v>
      </c>
      <c r="Z498" s="0" t="inlineStr">
        <is>
          <t>https://new.land.naver.com/complexes/12020?tab=detail&amp;rf=Y</t>
        </is>
      </c>
      <c r="AA498" s="0" t="inlineStr">
        <is>
          <t>충청북도 청주시 흥덕구 봉명동 2752</t>
        </is>
      </c>
      <c r="AB498" s="0" t="inlineStr">
        <is>
          <t>충청북도</t>
        </is>
      </c>
      <c r="AC498" s="0" t="inlineStr">
        <is>
          <t>청주시</t>
        </is>
      </c>
      <c r="AD498" s="0" t="inlineStr">
        <is>
          <t>흥덕구</t>
        </is>
      </c>
      <c r="AE498" s="0" t="inlineStr">
        <is>
          <t>봉명동</t>
        </is>
      </c>
      <c r="AG498" s="0" t="inlineStr">
        <is>
          <t>충청북도 청주시 흥덕구 덕암로108번길 44</t>
        </is>
      </c>
      <c r="AH498" s="0" t="n">
        <v>0</v>
      </c>
      <c r="AI498" s="0" t="n">
        <v>206</v>
      </c>
      <c r="AJ498" s="0" t="n">
        <v>18</v>
      </c>
      <c r="AK498" s="0" t="n">
        <v>1718</v>
      </c>
      <c r="AL498" s="0" t="n">
        <v>1.41</v>
      </c>
    </row>
    <row r="499">
      <c r="A499" s="0" t="inlineStr">
        <is>
          <t>[봉명동]</t>
        </is>
      </c>
      <c r="B499" s="0" t="n">
        <v>12020</v>
      </c>
      <c r="C499" s="0" t="n">
        <v>4</v>
      </c>
      <c r="D499" s="0" t="inlineStr">
        <is>
          <t>봉명아이파크</t>
        </is>
      </c>
      <c r="E499" s="0" t="inlineStr">
        <is>
          <t>2005.03.</t>
        </is>
      </c>
      <c r="F499" s="0" t="n">
        <v>1222</v>
      </c>
      <c r="G499" s="0" t="n">
        <v>34.66</v>
      </c>
      <c r="H499" s="0" t="n">
        <v>114.61</v>
      </c>
      <c r="I499" s="0" t="n">
        <v>25.69</v>
      </c>
      <c r="J499" s="0" t="n">
        <v>84.94</v>
      </c>
      <c r="K499" s="0" t="n">
        <v>50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114C</t>
        </is>
      </c>
      <c r="X499" s="0" t="n">
        <v>15</v>
      </c>
      <c r="Y499" s="0" t="n">
        <v>10</v>
      </c>
      <c r="Z499" s="0" t="inlineStr">
        <is>
          <t>https://new.land.naver.com/complexes/12020?tab=detail&amp;rf=Y</t>
        </is>
      </c>
      <c r="AA499" s="0" t="inlineStr">
        <is>
          <t>충청북도 청주시 흥덕구 봉명동 2752</t>
        </is>
      </c>
      <c r="AB499" s="0" t="inlineStr">
        <is>
          <t>충청북도</t>
        </is>
      </c>
      <c r="AC499" s="0" t="inlineStr">
        <is>
          <t>청주시</t>
        </is>
      </c>
      <c r="AD499" s="0" t="inlineStr">
        <is>
          <t>흥덕구</t>
        </is>
      </c>
      <c r="AE499" s="0" t="inlineStr">
        <is>
          <t>봉명동</t>
        </is>
      </c>
      <c r="AG499" s="0" t="inlineStr">
        <is>
          <t>충청북도 청주시 흥덕구 덕암로108번길 44</t>
        </is>
      </c>
      <c r="AH499" s="0" t="n">
        <v>0</v>
      </c>
      <c r="AI499" s="0" t="n">
        <v>206</v>
      </c>
      <c r="AJ499" s="0" t="n">
        <v>18</v>
      </c>
      <c r="AK499" s="0" t="n">
        <v>1718</v>
      </c>
      <c r="AL499" s="0" t="n">
        <v>1.41</v>
      </c>
    </row>
    <row r="500">
      <c r="A500" s="0" t="inlineStr">
        <is>
          <t>[봉명동]</t>
        </is>
      </c>
      <c r="B500" s="0" t="n">
        <v>12020</v>
      </c>
      <c r="C500" s="0" t="n">
        <v>5</v>
      </c>
      <c r="D500" s="0" t="inlineStr">
        <is>
          <t>봉명아이파크</t>
        </is>
      </c>
      <c r="E500" s="0" t="inlineStr">
        <is>
          <t>2005.03.</t>
        </is>
      </c>
      <c r="F500" s="0" t="n">
        <v>1222</v>
      </c>
      <c r="G500" s="0" t="n">
        <v>39.1</v>
      </c>
      <c r="H500" s="0" t="n">
        <v>129.28</v>
      </c>
      <c r="I500" s="0" t="n">
        <v>32.08</v>
      </c>
      <c r="J500" s="0" t="n">
        <v>106.08</v>
      </c>
      <c r="K500" s="0" t="n">
        <v>330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129</v>
      </c>
      <c r="X500" s="0" t="n">
        <v>15</v>
      </c>
      <c r="Y500" s="0" t="n">
        <v>10</v>
      </c>
      <c r="Z500" s="0" t="inlineStr">
        <is>
          <t>https://new.land.naver.com/complexes/12020?tab=detail&amp;rf=Y</t>
        </is>
      </c>
      <c r="AA500" s="0" t="inlineStr">
        <is>
          <t>충청북도 청주시 흥덕구 봉명동 2752</t>
        </is>
      </c>
      <c r="AB500" s="0" t="inlineStr">
        <is>
          <t>충청북도</t>
        </is>
      </c>
      <c r="AC500" s="0" t="inlineStr">
        <is>
          <t>청주시</t>
        </is>
      </c>
      <c r="AD500" s="0" t="inlineStr">
        <is>
          <t>흥덕구</t>
        </is>
      </c>
      <c r="AE500" s="0" t="inlineStr">
        <is>
          <t>봉명동</t>
        </is>
      </c>
      <c r="AG500" s="0" t="inlineStr">
        <is>
          <t>충청북도 청주시 흥덕구 덕암로108번길 44</t>
        </is>
      </c>
      <c r="AH500" s="0" t="n">
        <v>0</v>
      </c>
      <c r="AI500" s="0" t="n">
        <v>206</v>
      </c>
      <c r="AJ500" s="0" t="n">
        <v>18</v>
      </c>
      <c r="AK500" s="0" t="n">
        <v>1718</v>
      </c>
      <c r="AL500" s="0" t="n">
        <v>1.41</v>
      </c>
    </row>
    <row r="501">
      <c r="A501" s="0" t="inlineStr">
        <is>
          <t>[봉명동]</t>
        </is>
      </c>
      <c r="B501" s="0" t="n">
        <v>12020</v>
      </c>
      <c r="C501" s="0" t="n">
        <v>6</v>
      </c>
      <c r="D501" s="0" t="inlineStr">
        <is>
          <t>봉명아이파크</t>
        </is>
      </c>
      <c r="E501" s="0" t="inlineStr">
        <is>
          <t>2005.03.</t>
        </is>
      </c>
      <c r="F501" s="0" t="n">
        <v>1222</v>
      </c>
      <c r="G501" s="0" t="n">
        <v>40.63</v>
      </c>
      <c r="H501" s="0" t="n">
        <v>134.32</v>
      </c>
      <c r="I501" s="0" t="n">
        <v>34.05</v>
      </c>
      <c r="J501" s="0" t="n">
        <v>112.57</v>
      </c>
      <c r="K501" s="0" t="n">
        <v>90</v>
      </c>
      <c r="T501" s="0" t="n">
        <v>4</v>
      </c>
      <c r="U501" s="0" t="n">
        <v>2</v>
      </c>
      <c r="V501" s="0" t="inlineStr">
        <is>
          <t>계단식</t>
        </is>
      </c>
      <c r="W501" s="0" t="n">
        <v>134</v>
      </c>
      <c r="X501" s="0" t="n">
        <v>15</v>
      </c>
      <c r="Y501" s="0" t="n">
        <v>10</v>
      </c>
      <c r="Z501" s="0" t="inlineStr">
        <is>
          <t>https://new.land.naver.com/complexes/12020?tab=detail&amp;rf=Y</t>
        </is>
      </c>
      <c r="AA501" s="0" t="inlineStr">
        <is>
          <t>충청북도 청주시 흥덕구 봉명동 2752</t>
        </is>
      </c>
      <c r="AB501" s="0" t="inlineStr">
        <is>
          <t>충청북도</t>
        </is>
      </c>
      <c r="AC501" s="0" t="inlineStr">
        <is>
          <t>청주시</t>
        </is>
      </c>
      <c r="AD501" s="0" t="inlineStr">
        <is>
          <t>흥덕구</t>
        </is>
      </c>
      <c r="AE501" s="0" t="inlineStr">
        <is>
          <t>봉명동</t>
        </is>
      </c>
      <c r="AG501" s="0" t="inlineStr">
        <is>
          <t>충청북도 청주시 흥덕구 덕암로108번길 44</t>
        </is>
      </c>
      <c r="AH501" s="0" t="n">
        <v>0</v>
      </c>
      <c r="AI501" s="0" t="n">
        <v>206</v>
      </c>
      <c r="AJ501" s="0" t="n">
        <v>18</v>
      </c>
      <c r="AK501" s="0" t="n">
        <v>1718</v>
      </c>
      <c r="AL501" s="0" t="n">
        <v>1.41</v>
      </c>
    </row>
    <row r="502">
      <c r="A502" s="0" t="inlineStr">
        <is>
          <t>[봉명동]</t>
        </is>
      </c>
      <c r="B502" s="0" t="n">
        <v>12020</v>
      </c>
      <c r="C502" s="0" t="n">
        <v>7</v>
      </c>
      <c r="D502" s="0" t="inlineStr">
        <is>
          <t>봉명아이파크</t>
        </is>
      </c>
      <c r="E502" s="0" t="inlineStr">
        <is>
          <t>2005.03.</t>
        </is>
      </c>
      <c r="F502" s="0" t="n">
        <v>1222</v>
      </c>
      <c r="G502" s="0" t="n">
        <v>45.67</v>
      </c>
      <c r="H502" s="0" t="n">
        <v>150.99</v>
      </c>
      <c r="I502" s="0" t="n">
        <v>38.6</v>
      </c>
      <c r="J502" s="0" t="n">
        <v>127.62</v>
      </c>
      <c r="K502" s="0" t="n">
        <v>104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150</v>
      </c>
      <c r="X502" s="0" t="n">
        <v>15</v>
      </c>
      <c r="Y502" s="0" t="n">
        <v>10</v>
      </c>
      <c r="Z502" s="0" t="inlineStr">
        <is>
          <t>https://new.land.naver.com/complexes/12020?tab=detail&amp;rf=Y</t>
        </is>
      </c>
      <c r="AA502" s="0" t="inlineStr">
        <is>
          <t>충청북도 청주시 흥덕구 봉명동 2752</t>
        </is>
      </c>
      <c r="AB502" s="0" t="inlineStr">
        <is>
          <t>충청북도</t>
        </is>
      </c>
      <c r="AC502" s="0" t="inlineStr">
        <is>
          <t>청주시</t>
        </is>
      </c>
      <c r="AD502" s="0" t="inlineStr">
        <is>
          <t>흥덕구</t>
        </is>
      </c>
      <c r="AE502" s="0" t="inlineStr">
        <is>
          <t>봉명동</t>
        </is>
      </c>
      <c r="AG502" s="0" t="inlineStr">
        <is>
          <t>충청북도 청주시 흥덕구 덕암로108번길 44</t>
        </is>
      </c>
      <c r="AH502" s="0" t="n">
        <v>0</v>
      </c>
      <c r="AI502" s="0" t="n">
        <v>206</v>
      </c>
      <c r="AJ502" s="0" t="n">
        <v>18</v>
      </c>
      <c r="AK502" s="0" t="n">
        <v>1718</v>
      </c>
      <c r="AL502" s="0" t="n">
        <v>1.41</v>
      </c>
    </row>
    <row r="503">
      <c r="A503" s="0" t="inlineStr">
        <is>
          <t>[봉명동]</t>
        </is>
      </c>
      <c r="B503" s="0" t="n">
        <v>12020</v>
      </c>
      <c r="C503" s="0" t="n">
        <v>8</v>
      </c>
      <c r="D503" s="0" t="inlineStr">
        <is>
          <t>봉명아이파크</t>
        </is>
      </c>
      <c r="E503" s="0" t="inlineStr">
        <is>
          <t>2005.03.</t>
        </is>
      </c>
      <c r="F503" s="0" t="n">
        <v>1222</v>
      </c>
      <c r="G503" s="0" t="n">
        <v>54.47</v>
      </c>
      <c r="H503" s="0" t="n">
        <v>180.09</v>
      </c>
      <c r="I503" s="0" t="n">
        <v>45.6</v>
      </c>
      <c r="J503" s="0" t="n">
        <v>150.76</v>
      </c>
      <c r="K503" s="0" t="n">
        <v>74</v>
      </c>
      <c r="T503" s="0" t="n">
        <v>4</v>
      </c>
      <c r="U503" s="0" t="n">
        <v>2</v>
      </c>
      <c r="V503" s="0" t="inlineStr">
        <is>
          <t>계단식</t>
        </is>
      </c>
      <c r="W503" s="0" t="n">
        <v>180</v>
      </c>
      <c r="X503" s="0" t="n">
        <v>15</v>
      </c>
      <c r="Y503" s="0" t="n">
        <v>10</v>
      </c>
      <c r="Z503" s="0" t="inlineStr">
        <is>
          <t>https://new.land.naver.com/complexes/12020?tab=detail&amp;rf=Y</t>
        </is>
      </c>
      <c r="AA503" s="0" t="inlineStr">
        <is>
          <t>충청북도 청주시 흥덕구 봉명동 2752</t>
        </is>
      </c>
      <c r="AB503" s="0" t="inlineStr">
        <is>
          <t>충청북도</t>
        </is>
      </c>
      <c r="AC503" s="0" t="inlineStr">
        <is>
          <t>청주시</t>
        </is>
      </c>
      <c r="AD503" s="0" t="inlineStr">
        <is>
          <t>흥덕구</t>
        </is>
      </c>
      <c r="AE503" s="0" t="inlineStr">
        <is>
          <t>봉명동</t>
        </is>
      </c>
      <c r="AG503" s="0" t="inlineStr">
        <is>
          <t>충청북도 청주시 흥덕구 덕암로108번길 44</t>
        </is>
      </c>
      <c r="AH503" s="0" t="n">
        <v>0</v>
      </c>
      <c r="AI503" s="0" t="n">
        <v>206</v>
      </c>
      <c r="AJ503" s="0" t="n">
        <v>18</v>
      </c>
      <c r="AK503" s="0" t="n">
        <v>1718</v>
      </c>
      <c r="AL503" s="0" t="n">
        <v>1.41</v>
      </c>
    </row>
    <row r="504">
      <c r="A504" s="0" t="inlineStr">
        <is>
          <t>[봉명동]</t>
        </is>
      </c>
      <c r="B504" s="0" t="n">
        <v>12020</v>
      </c>
      <c r="C504" s="0" t="n">
        <v>9</v>
      </c>
      <c r="D504" s="0" t="inlineStr">
        <is>
          <t>봉명아이파크</t>
        </is>
      </c>
      <c r="E504" s="0" t="inlineStr">
        <is>
          <t>2005.03.</t>
        </is>
      </c>
      <c r="F504" s="0" t="n">
        <v>1222</v>
      </c>
      <c r="G504" s="0" t="n">
        <v>78.58</v>
      </c>
      <c r="H504" s="0" t="n">
        <v>259.77</v>
      </c>
      <c r="I504" s="0" t="n">
        <v>66.25</v>
      </c>
      <c r="J504" s="0" t="n">
        <v>219.03</v>
      </c>
      <c r="K504" s="0" t="n">
        <v>8</v>
      </c>
      <c r="T504" s="0" t="n">
        <v>5</v>
      </c>
      <c r="U504" s="0" t="n">
        <v>4</v>
      </c>
      <c r="V504" s="0" t="inlineStr">
        <is>
          <t>계단식</t>
        </is>
      </c>
      <c r="W504" s="0" t="n">
        <v>259</v>
      </c>
      <c r="X504" s="0" t="n">
        <v>15</v>
      </c>
      <c r="Y504" s="0" t="n">
        <v>10</v>
      </c>
      <c r="Z504" s="0" t="inlineStr">
        <is>
          <t>https://new.land.naver.com/complexes/12020?tab=detail&amp;rf=Y</t>
        </is>
      </c>
      <c r="AA504" s="0" t="inlineStr">
        <is>
          <t>충청북도 청주시 흥덕구 봉명동 2752</t>
        </is>
      </c>
      <c r="AB504" s="0" t="inlineStr">
        <is>
          <t>충청북도</t>
        </is>
      </c>
      <c r="AC504" s="0" t="inlineStr">
        <is>
          <t>청주시</t>
        </is>
      </c>
      <c r="AD504" s="0" t="inlineStr">
        <is>
          <t>흥덕구</t>
        </is>
      </c>
      <c r="AE504" s="0" t="inlineStr">
        <is>
          <t>봉명동</t>
        </is>
      </c>
      <c r="AG504" s="0" t="inlineStr">
        <is>
          <t>충청북도 청주시 흥덕구 덕암로108번길 44</t>
        </is>
      </c>
      <c r="AH504" s="0" t="n">
        <v>0</v>
      </c>
      <c r="AI504" s="0" t="n">
        <v>206</v>
      </c>
      <c r="AJ504" s="0" t="n">
        <v>18</v>
      </c>
      <c r="AK504" s="0" t="n">
        <v>1718</v>
      </c>
      <c r="AL504" s="0" t="n">
        <v>1.41</v>
      </c>
    </row>
    <row r="505">
      <c r="A505" s="0" t="inlineStr">
        <is>
          <t>[봉명동]</t>
        </is>
      </c>
      <c r="B505" s="0" t="n">
        <v>12020</v>
      </c>
      <c r="C505" s="0" t="n">
        <v>10</v>
      </c>
      <c r="D505" s="0" t="inlineStr">
        <is>
          <t>봉명아이파크</t>
        </is>
      </c>
      <c r="E505" s="0" t="inlineStr">
        <is>
          <t>2005.03.</t>
        </is>
      </c>
      <c r="F505" s="0" t="n">
        <v>1222</v>
      </c>
      <c r="G505" s="0" t="n">
        <v>86.37</v>
      </c>
      <c r="H505" s="0" t="n">
        <v>285.53</v>
      </c>
      <c r="I505" s="0" t="n">
        <v>72.40000000000001</v>
      </c>
      <c r="J505" s="0" t="n">
        <v>239.36</v>
      </c>
      <c r="K505" s="0" t="n">
        <v>6</v>
      </c>
      <c r="T505" s="0" t="n">
        <v>5</v>
      </c>
      <c r="U505" s="0" t="n">
        <v>3</v>
      </c>
      <c r="V505" s="0" t="inlineStr">
        <is>
          <t>계단식</t>
        </is>
      </c>
      <c r="W505" s="0" t="n">
        <v>285</v>
      </c>
      <c r="X505" s="0" t="n">
        <v>15</v>
      </c>
      <c r="Y505" s="0" t="n">
        <v>10</v>
      </c>
      <c r="Z505" s="0" t="inlineStr">
        <is>
          <t>https://new.land.naver.com/complexes/12020?tab=detail&amp;rf=Y</t>
        </is>
      </c>
      <c r="AA505" s="0" t="inlineStr">
        <is>
          <t>충청북도 청주시 흥덕구 봉명동 2752</t>
        </is>
      </c>
      <c r="AB505" s="0" t="inlineStr">
        <is>
          <t>충청북도</t>
        </is>
      </c>
      <c r="AC505" s="0" t="inlineStr">
        <is>
          <t>청주시</t>
        </is>
      </c>
      <c r="AD505" s="0" t="inlineStr">
        <is>
          <t>흥덕구</t>
        </is>
      </c>
      <c r="AE505" s="0" t="inlineStr">
        <is>
          <t>봉명동</t>
        </is>
      </c>
      <c r="AG505" s="0" t="inlineStr">
        <is>
          <t>충청북도 청주시 흥덕구 덕암로108번길 44</t>
        </is>
      </c>
      <c r="AH505" s="0" t="n">
        <v>0</v>
      </c>
      <c r="AI505" s="0" t="n">
        <v>206</v>
      </c>
      <c r="AJ505" s="0" t="n">
        <v>18</v>
      </c>
      <c r="AK505" s="0" t="n">
        <v>1718</v>
      </c>
      <c r="AL505" s="0" t="n">
        <v>1.41</v>
      </c>
    </row>
    <row r="506">
      <c r="A506" s="0" t="inlineStr">
        <is>
          <t>[봉명동]</t>
        </is>
      </c>
      <c r="B506" s="0" t="n">
        <v>11628</v>
      </c>
      <c r="C506" s="0" t="n">
        <v>1</v>
      </c>
      <c r="D506" s="0" t="inlineStr">
        <is>
          <t>푸른</t>
        </is>
      </c>
      <c r="E506" s="0" t="inlineStr">
        <is>
          <t>1994.12.</t>
        </is>
      </c>
      <c r="F506" s="0" t="n">
        <v>603</v>
      </c>
      <c r="G506" s="0" t="n">
        <v>19.27</v>
      </c>
      <c r="H506" s="0" t="n">
        <v>63.72</v>
      </c>
      <c r="I506" s="0" t="n">
        <v>13.34</v>
      </c>
      <c r="J506" s="0" t="n">
        <v>44.13</v>
      </c>
      <c r="K506" s="0" t="n">
        <v>603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63</v>
      </c>
      <c r="X506" s="0" t="n">
        <v>15</v>
      </c>
      <c r="Y506" s="0" t="n">
        <v>8</v>
      </c>
      <c r="Z506" s="0" t="inlineStr">
        <is>
          <t>https://new.land.naver.com/complexes/11628?tab=detail&amp;rf=Y</t>
        </is>
      </c>
      <c r="AA506" s="0" t="inlineStr">
        <is>
          <t>충청북도 청주시 흥덕구 봉명동 1855</t>
        </is>
      </c>
      <c r="AB506" s="0" t="inlineStr">
        <is>
          <t>충청북도</t>
        </is>
      </c>
      <c r="AC506" s="0" t="inlineStr">
        <is>
          <t>청주시</t>
        </is>
      </c>
      <c r="AD506" s="0" t="inlineStr">
        <is>
          <t>흥덕구</t>
        </is>
      </c>
      <c r="AE506" s="0" t="inlineStr">
        <is>
          <t>봉명동</t>
        </is>
      </c>
      <c r="AG506" s="0" t="inlineStr">
        <is>
          <t>충청북도 청주시 흥덕구 월명로 124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[봉명동]</t>
        </is>
      </c>
      <c r="B507" s="0" t="n">
        <v>15444</v>
      </c>
      <c r="C507" s="0" t="n">
        <v>1</v>
      </c>
      <c r="D507" s="0" t="inlineStr">
        <is>
          <t>주공1단지</t>
        </is>
      </c>
      <c r="E507" s="0" t="inlineStr">
        <is>
          <t>1983.12.</t>
        </is>
      </c>
      <c r="F507" s="0" t="n">
        <v>574</v>
      </c>
      <c r="G507" s="0" t="n">
        <v>12.19</v>
      </c>
      <c r="H507" s="0" t="n">
        <v>40.32</v>
      </c>
      <c r="I507" s="0" t="n">
        <v>12.19</v>
      </c>
      <c r="J507" s="0" t="n">
        <v>40.32</v>
      </c>
      <c r="K507" s="0" t="n">
        <v>86</v>
      </c>
      <c r="T507" s="0" t="n">
        <v>2</v>
      </c>
      <c r="U507" s="0" t="n">
        <v>1</v>
      </c>
      <c r="V507" s="0" t="inlineStr">
        <is>
          <t>계단식</t>
        </is>
      </c>
      <c r="W507" s="0" t="n">
        <v>40</v>
      </c>
      <c r="X507" s="0" t="n">
        <v>5</v>
      </c>
      <c r="Y507" s="0" t="n">
        <v>1</v>
      </c>
      <c r="Z507" s="0" t="inlineStr">
        <is>
          <t>https://new.land.naver.com/complexes/15444?tab=detail&amp;rf=Y</t>
        </is>
      </c>
      <c r="AA507" s="0" t="inlineStr">
        <is>
          <t>충청북도 청주시 흥덕구 봉명동 172</t>
        </is>
      </c>
      <c r="AB507" s="0" t="inlineStr">
        <is>
          <t>충청북도</t>
        </is>
      </c>
      <c r="AC507" s="0" t="inlineStr">
        <is>
          <t>청주시</t>
        </is>
      </c>
      <c r="AD507" s="0" t="inlineStr">
        <is>
          <t>흥덕구</t>
        </is>
      </c>
      <c r="AE507" s="0" t="inlineStr">
        <is>
          <t>봉명동</t>
        </is>
      </c>
      <c r="AG507" s="0" t="inlineStr">
        <is>
          <t>충청북도 청주시 흥덕구 월명로70번길 16</t>
        </is>
      </c>
      <c r="AH507" s="0" t="n">
        <v>0</v>
      </c>
      <c r="AI507" s="0" t="n">
        <v>0</v>
      </c>
      <c r="AJ507" s="0" t="n">
        <v>0</v>
      </c>
      <c r="AK507" s="0" t="n">
        <v>0</v>
      </c>
      <c r="AL507" s="0" t="n">
        <v>0</v>
      </c>
    </row>
    <row r="508">
      <c r="A508" s="0" t="inlineStr">
        <is>
          <t>[봉명동]</t>
        </is>
      </c>
      <c r="B508" s="0" t="n">
        <v>15444</v>
      </c>
      <c r="C508" s="0" t="n">
        <v>2</v>
      </c>
      <c r="D508" s="0" t="inlineStr">
        <is>
          <t>주공1단지</t>
        </is>
      </c>
      <c r="E508" s="0" t="inlineStr">
        <is>
          <t>1983.12.</t>
        </is>
      </c>
      <c r="F508" s="0" t="n">
        <v>574</v>
      </c>
      <c r="G508" s="0" t="n">
        <v>15.1</v>
      </c>
      <c r="H508" s="0" t="n">
        <v>49.94</v>
      </c>
      <c r="I508" s="0" t="n">
        <v>14.15</v>
      </c>
      <c r="J508" s="0" t="n">
        <v>46.78</v>
      </c>
      <c r="K508" s="0" t="n">
        <v>44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49A</t>
        </is>
      </c>
      <c r="X508" s="0" t="n">
        <v>5</v>
      </c>
      <c r="Y508" s="0" t="n">
        <v>1</v>
      </c>
      <c r="Z508" s="0" t="inlineStr">
        <is>
          <t>https://new.land.naver.com/complexes/15444?tab=detail&amp;rf=Y</t>
        </is>
      </c>
      <c r="AA508" s="0" t="inlineStr">
        <is>
          <t>충청북도 청주시 흥덕구 봉명동 172</t>
        </is>
      </c>
      <c r="AB508" s="0" t="inlineStr">
        <is>
          <t>충청북도</t>
        </is>
      </c>
      <c r="AC508" s="0" t="inlineStr">
        <is>
          <t>청주시</t>
        </is>
      </c>
      <c r="AD508" s="0" t="inlineStr">
        <is>
          <t>흥덕구</t>
        </is>
      </c>
      <c r="AE508" s="0" t="inlineStr">
        <is>
          <t>봉명동</t>
        </is>
      </c>
      <c r="AG508" s="0" t="inlineStr">
        <is>
          <t>충청북도 청주시 흥덕구 월명로70번길 16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[봉명동]</t>
        </is>
      </c>
      <c r="B509" s="0" t="n">
        <v>15444</v>
      </c>
      <c r="C509" s="0" t="n">
        <v>3</v>
      </c>
      <c r="D509" s="0" t="inlineStr">
        <is>
          <t>주공1단지</t>
        </is>
      </c>
      <c r="E509" s="0" t="inlineStr">
        <is>
          <t>1983.12.</t>
        </is>
      </c>
      <c r="F509" s="0" t="n">
        <v>574</v>
      </c>
      <c r="G509" s="0" t="n">
        <v>15.3</v>
      </c>
      <c r="H509" s="0" t="n">
        <v>50.59</v>
      </c>
      <c r="I509" s="0" t="n">
        <v>15.3</v>
      </c>
      <c r="J509" s="0" t="n">
        <v>50.59</v>
      </c>
      <c r="K509" s="0" t="n">
        <v>44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50D</t>
        </is>
      </c>
      <c r="X509" s="0" t="n">
        <v>5</v>
      </c>
      <c r="Y509" s="0" t="n">
        <v>1</v>
      </c>
      <c r="Z509" s="0" t="inlineStr">
        <is>
          <t>https://new.land.naver.com/complexes/15444?tab=detail&amp;rf=Y</t>
        </is>
      </c>
      <c r="AA509" s="0" t="inlineStr">
        <is>
          <t>충청북도 청주시 흥덕구 봉명동 172</t>
        </is>
      </c>
      <c r="AB509" s="0" t="inlineStr">
        <is>
          <t>충청북도</t>
        </is>
      </c>
      <c r="AC509" s="0" t="inlineStr">
        <is>
          <t>청주시</t>
        </is>
      </c>
      <c r="AD509" s="0" t="inlineStr">
        <is>
          <t>흥덕구</t>
        </is>
      </c>
      <c r="AE509" s="0" t="inlineStr">
        <is>
          <t>봉명동</t>
        </is>
      </c>
      <c r="AG509" s="0" t="inlineStr">
        <is>
          <t>충청북도 청주시 흥덕구 월명로70번길 16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[봉명동]</t>
        </is>
      </c>
      <c r="B510" s="0" t="n">
        <v>15444</v>
      </c>
      <c r="C510" s="0" t="n">
        <v>4</v>
      </c>
      <c r="D510" s="0" t="inlineStr">
        <is>
          <t>주공1단지</t>
        </is>
      </c>
      <c r="E510" s="0" t="inlineStr">
        <is>
          <t>1983.12.</t>
        </is>
      </c>
      <c r="F510" s="0" t="n">
        <v>574</v>
      </c>
      <c r="G510" s="0" t="n">
        <v>15.34</v>
      </c>
      <c r="H510" s="0" t="n">
        <v>50.72</v>
      </c>
      <c r="I510" s="0" t="n">
        <v>15.34</v>
      </c>
      <c r="J510" s="0" t="n">
        <v>50.72</v>
      </c>
      <c r="K510" s="0" t="n">
        <v>40</v>
      </c>
      <c r="T510" s="0" t="n">
        <v>2</v>
      </c>
      <c r="U510" s="0" t="n">
        <v>1</v>
      </c>
      <c r="V510" s="0" t="inlineStr">
        <is>
          <t>계단식</t>
        </is>
      </c>
      <c r="W510" s="0" t="inlineStr">
        <is>
          <t>50E</t>
        </is>
      </c>
      <c r="X510" s="0" t="n">
        <v>5</v>
      </c>
      <c r="Y510" s="0" t="n">
        <v>1</v>
      </c>
      <c r="Z510" s="0" t="inlineStr">
        <is>
          <t>https://new.land.naver.com/complexes/15444?tab=detail&amp;rf=Y</t>
        </is>
      </c>
      <c r="AA510" s="0" t="inlineStr">
        <is>
          <t>충청북도 청주시 흥덕구 봉명동 172</t>
        </is>
      </c>
      <c r="AB510" s="0" t="inlineStr">
        <is>
          <t>충청북도</t>
        </is>
      </c>
      <c r="AC510" s="0" t="inlineStr">
        <is>
          <t>청주시</t>
        </is>
      </c>
      <c r="AD510" s="0" t="inlineStr">
        <is>
          <t>흥덕구</t>
        </is>
      </c>
      <c r="AE510" s="0" t="inlineStr">
        <is>
          <t>봉명동</t>
        </is>
      </c>
      <c r="AG510" s="0" t="inlineStr">
        <is>
          <t>충청북도 청주시 흥덕구 월명로70번길 16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[봉명동]</t>
        </is>
      </c>
      <c r="B511" s="0" t="n">
        <v>15444</v>
      </c>
      <c r="C511" s="0" t="n">
        <v>5</v>
      </c>
      <c r="D511" s="0" t="inlineStr">
        <is>
          <t>주공1단지</t>
        </is>
      </c>
      <c r="E511" s="0" t="inlineStr">
        <is>
          <t>1983.12.</t>
        </is>
      </c>
      <c r="F511" s="0" t="n">
        <v>574</v>
      </c>
      <c r="G511" s="0" t="n">
        <v>15.84</v>
      </c>
      <c r="H511" s="0" t="n">
        <v>52.37</v>
      </c>
      <c r="I511" s="0" t="n">
        <v>14.2</v>
      </c>
      <c r="J511" s="0" t="n">
        <v>46.97</v>
      </c>
      <c r="K511" s="0" t="n">
        <v>90</v>
      </c>
      <c r="T511" s="0" t="n">
        <v>2</v>
      </c>
      <c r="U511" s="0" t="n">
        <v>1</v>
      </c>
      <c r="V511" s="0" t="inlineStr">
        <is>
          <t>계단식</t>
        </is>
      </c>
      <c r="W511" s="0" t="inlineStr">
        <is>
          <t>52A1</t>
        </is>
      </c>
      <c r="X511" s="0" t="n">
        <v>5</v>
      </c>
      <c r="Y511" s="0" t="n">
        <v>1</v>
      </c>
      <c r="Z511" s="0" t="inlineStr">
        <is>
          <t>https://new.land.naver.com/complexes/15444?tab=detail&amp;rf=Y</t>
        </is>
      </c>
      <c r="AA511" s="0" t="inlineStr">
        <is>
          <t>충청북도 청주시 흥덕구 봉명동 172</t>
        </is>
      </c>
      <c r="AB511" s="0" t="inlineStr">
        <is>
          <t>충청북도</t>
        </is>
      </c>
      <c r="AC511" s="0" t="inlineStr">
        <is>
          <t>청주시</t>
        </is>
      </c>
      <c r="AD511" s="0" t="inlineStr">
        <is>
          <t>흥덕구</t>
        </is>
      </c>
      <c r="AE511" s="0" t="inlineStr">
        <is>
          <t>봉명동</t>
        </is>
      </c>
      <c r="AG511" s="0" t="inlineStr">
        <is>
          <t>충청북도 청주시 흥덕구 월명로70번길 16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[봉명동]</t>
        </is>
      </c>
      <c r="B512" s="0" t="n">
        <v>15444</v>
      </c>
      <c r="C512" s="0" t="n">
        <v>6</v>
      </c>
      <c r="D512" s="0" t="inlineStr">
        <is>
          <t>주공1단지</t>
        </is>
      </c>
      <c r="E512" s="0" t="inlineStr">
        <is>
          <t>1983.12.</t>
        </is>
      </c>
      <c r="F512" s="0" t="n">
        <v>574</v>
      </c>
      <c r="G512" s="0" t="n">
        <v>15.95</v>
      </c>
      <c r="H512" s="0" t="n">
        <v>52.73</v>
      </c>
      <c r="I512" s="0" t="n">
        <v>14.31</v>
      </c>
      <c r="J512" s="0" t="n">
        <v>47.33</v>
      </c>
      <c r="K512" s="0" t="n">
        <v>90</v>
      </c>
      <c r="T512" s="0" t="n">
        <v>2</v>
      </c>
      <c r="U512" s="0" t="n">
        <v>1</v>
      </c>
      <c r="V512" s="0" t="inlineStr">
        <is>
          <t>계단식</t>
        </is>
      </c>
      <c r="W512" s="0" t="inlineStr">
        <is>
          <t>52B</t>
        </is>
      </c>
      <c r="X512" s="0" t="n">
        <v>5</v>
      </c>
      <c r="Y512" s="0" t="n">
        <v>1</v>
      </c>
      <c r="Z512" s="0" t="inlineStr">
        <is>
          <t>https://new.land.naver.com/complexes/15444?tab=detail&amp;rf=Y</t>
        </is>
      </c>
      <c r="AA512" s="0" t="inlineStr">
        <is>
          <t>충청북도 청주시 흥덕구 봉명동 172</t>
        </is>
      </c>
      <c r="AB512" s="0" t="inlineStr">
        <is>
          <t>충청북도</t>
        </is>
      </c>
      <c r="AC512" s="0" t="inlineStr">
        <is>
          <t>청주시</t>
        </is>
      </c>
      <c r="AD512" s="0" t="inlineStr">
        <is>
          <t>흥덕구</t>
        </is>
      </c>
      <c r="AE512" s="0" t="inlineStr">
        <is>
          <t>봉명동</t>
        </is>
      </c>
      <c r="AG512" s="0" t="inlineStr">
        <is>
          <t>충청북도 청주시 흥덕구 월명로70번길 16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[봉명동]</t>
        </is>
      </c>
      <c r="B513" s="0" t="n">
        <v>15444</v>
      </c>
      <c r="C513" s="0" t="n">
        <v>7</v>
      </c>
      <c r="D513" s="0" t="inlineStr">
        <is>
          <t>주공1단지</t>
        </is>
      </c>
      <c r="E513" s="0" t="inlineStr">
        <is>
          <t>1983.12.</t>
        </is>
      </c>
      <c r="F513" s="0" t="n">
        <v>574</v>
      </c>
      <c r="G513" s="0" t="n">
        <v>15.92</v>
      </c>
      <c r="H513" s="0" t="n">
        <v>52.65</v>
      </c>
      <c r="I513" s="0" t="n">
        <v>14.72</v>
      </c>
      <c r="J513" s="0" t="n">
        <v>48.69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inlineStr">
        <is>
          <t>52C</t>
        </is>
      </c>
      <c r="X513" s="0" t="n">
        <v>5</v>
      </c>
      <c r="Y513" s="0" t="n">
        <v>1</v>
      </c>
      <c r="Z513" s="0" t="inlineStr">
        <is>
          <t>https://new.land.naver.com/complexes/15444?tab=detail&amp;rf=Y</t>
        </is>
      </c>
      <c r="AA513" s="0" t="inlineStr">
        <is>
          <t>충청북도 청주시 흥덕구 봉명동 172</t>
        </is>
      </c>
      <c r="AB513" s="0" t="inlineStr">
        <is>
          <t>충청북도</t>
        </is>
      </c>
      <c r="AC513" s="0" t="inlineStr">
        <is>
          <t>청주시</t>
        </is>
      </c>
      <c r="AD513" s="0" t="inlineStr">
        <is>
          <t>흥덕구</t>
        </is>
      </c>
      <c r="AE513" s="0" t="inlineStr">
        <is>
          <t>봉명동</t>
        </is>
      </c>
      <c r="AG513" s="0" t="inlineStr">
        <is>
          <t>충청북도 청주시 흥덕구 월명로70번길 16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[봉명동]</t>
        </is>
      </c>
      <c r="B514" s="0" t="n">
        <v>15444</v>
      </c>
      <c r="C514" s="0" t="n">
        <v>8</v>
      </c>
      <c r="D514" s="0" t="inlineStr">
        <is>
          <t>주공1단지</t>
        </is>
      </c>
      <c r="E514" s="0" t="inlineStr">
        <is>
          <t>1983.12.</t>
        </is>
      </c>
      <c r="F514" s="0" t="n">
        <v>574</v>
      </c>
      <c r="G514" s="0" t="n">
        <v>17.99</v>
      </c>
      <c r="H514" s="0" t="n">
        <v>59.49</v>
      </c>
      <c r="I514" s="0" t="n">
        <v>16.36</v>
      </c>
      <c r="J514" s="0" t="n">
        <v>54.09</v>
      </c>
      <c r="K514" s="0" t="n">
        <v>80</v>
      </c>
      <c r="T514" s="0" t="n">
        <v>2</v>
      </c>
      <c r="U514" s="0" t="n">
        <v>1</v>
      </c>
      <c r="V514" s="0" t="inlineStr">
        <is>
          <t>계단식</t>
        </is>
      </c>
      <c r="W514" s="0" t="inlineStr">
        <is>
          <t>59B</t>
        </is>
      </c>
      <c r="X514" s="0" t="n">
        <v>5</v>
      </c>
      <c r="Y514" s="0" t="n">
        <v>1</v>
      </c>
      <c r="Z514" s="0" t="inlineStr">
        <is>
          <t>https://new.land.naver.com/complexes/15444?tab=detail&amp;rf=Y</t>
        </is>
      </c>
      <c r="AA514" s="0" t="inlineStr">
        <is>
          <t>충청북도 청주시 흥덕구 봉명동 172</t>
        </is>
      </c>
      <c r="AB514" s="0" t="inlineStr">
        <is>
          <t>충청북도</t>
        </is>
      </c>
      <c r="AC514" s="0" t="inlineStr">
        <is>
          <t>청주시</t>
        </is>
      </c>
      <c r="AD514" s="0" t="inlineStr">
        <is>
          <t>흥덕구</t>
        </is>
      </c>
      <c r="AE514" s="0" t="inlineStr">
        <is>
          <t>봉명동</t>
        </is>
      </c>
      <c r="AG514" s="0" t="inlineStr">
        <is>
          <t>충청북도 청주시 흥덕구 월명로70번길 16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[봉명동]</t>
        </is>
      </c>
      <c r="B515" s="0" t="n">
        <v>15444</v>
      </c>
      <c r="C515" s="0" t="n">
        <v>9</v>
      </c>
      <c r="D515" s="0" t="inlineStr">
        <is>
          <t>주공1단지</t>
        </is>
      </c>
      <c r="E515" s="0" t="inlineStr">
        <is>
          <t>1983.12.</t>
        </is>
      </c>
      <c r="F515" s="0" t="n">
        <v>574</v>
      </c>
      <c r="G515" s="0" t="n">
        <v>17.86</v>
      </c>
      <c r="H515" s="0" t="n">
        <v>59.05</v>
      </c>
      <c r="I515" s="0" t="n">
        <v>16.22</v>
      </c>
      <c r="J515" s="0" t="n">
        <v>53.65</v>
      </c>
      <c r="K515" s="0" t="n">
        <v>40</v>
      </c>
      <c r="T515" s="0" t="n">
        <v>2</v>
      </c>
      <c r="U515" s="0" t="n">
        <v>1</v>
      </c>
      <c r="V515" s="0" t="inlineStr">
        <is>
          <t>계단식</t>
        </is>
      </c>
      <c r="W515" s="0" t="inlineStr">
        <is>
          <t>59A</t>
        </is>
      </c>
      <c r="X515" s="0" t="n">
        <v>5</v>
      </c>
      <c r="Y515" s="0" t="n">
        <v>1</v>
      </c>
      <c r="Z515" s="0" t="inlineStr">
        <is>
          <t>https://new.land.naver.com/complexes/15444?tab=detail&amp;rf=Y</t>
        </is>
      </c>
      <c r="AA515" s="0" t="inlineStr">
        <is>
          <t>충청북도 청주시 흥덕구 봉명동 172</t>
        </is>
      </c>
      <c r="AB515" s="0" t="inlineStr">
        <is>
          <t>충청북도</t>
        </is>
      </c>
      <c r="AC515" s="0" t="inlineStr">
        <is>
          <t>청주시</t>
        </is>
      </c>
      <c r="AD515" s="0" t="inlineStr">
        <is>
          <t>흥덕구</t>
        </is>
      </c>
      <c r="AE515" s="0" t="inlineStr">
        <is>
          <t>봉명동</t>
        </is>
      </c>
      <c r="AG515" s="0" t="inlineStr">
        <is>
          <t>충청북도 청주시 흥덕구 월명로70번길 16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[봉명동]</t>
        </is>
      </c>
      <c r="B516" s="0" t="n">
        <v>15444</v>
      </c>
      <c r="C516" s="0" t="n">
        <v>10</v>
      </c>
      <c r="D516" s="0" t="inlineStr">
        <is>
          <t>주공1단지</t>
        </is>
      </c>
      <c r="E516" s="0" t="inlineStr">
        <is>
          <t>1983.12.</t>
        </is>
      </c>
      <c r="F516" s="0" t="n">
        <v>574</v>
      </c>
      <c r="G516" s="0" t="n">
        <v>17.95</v>
      </c>
      <c r="H516" s="0" t="n">
        <v>59.36</v>
      </c>
      <c r="I516" s="0" t="n">
        <v>16.32</v>
      </c>
      <c r="J516" s="0" t="n">
        <v>53.96</v>
      </c>
      <c r="K516" s="0" t="n">
        <v>20</v>
      </c>
      <c r="T516" s="0" t="n">
        <v>2</v>
      </c>
      <c r="U516" s="0" t="n">
        <v>1</v>
      </c>
      <c r="V516" s="0" t="inlineStr">
        <is>
          <t>계단식</t>
        </is>
      </c>
      <c r="W516" s="0" t="inlineStr">
        <is>
          <t>59C</t>
        </is>
      </c>
      <c r="X516" s="0" t="n">
        <v>5</v>
      </c>
      <c r="Y516" s="0" t="n">
        <v>1</v>
      </c>
      <c r="Z516" s="0" t="inlineStr">
        <is>
          <t>https://new.land.naver.com/complexes/15444?tab=detail&amp;rf=Y</t>
        </is>
      </c>
      <c r="AA516" s="0" t="inlineStr">
        <is>
          <t>충청북도 청주시 흥덕구 봉명동 172</t>
        </is>
      </c>
      <c r="AB516" s="0" t="inlineStr">
        <is>
          <t>충청북도</t>
        </is>
      </c>
      <c r="AC516" s="0" t="inlineStr">
        <is>
          <t>청주시</t>
        </is>
      </c>
      <c r="AD516" s="0" t="inlineStr">
        <is>
          <t>흥덕구</t>
        </is>
      </c>
      <c r="AE516" s="0" t="inlineStr">
        <is>
          <t>봉명동</t>
        </is>
      </c>
      <c r="AG516" s="0" t="inlineStr">
        <is>
          <t>충청북도 청주시 흥덕구 월명로70번길 16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[봉명동]</t>
        </is>
      </c>
      <c r="B517" s="0" t="n">
        <v>15456</v>
      </c>
      <c r="C517" s="0" t="n">
        <v>1</v>
      </c>
      <c r="D517" s="0" t="inlineStr">
        <is>
          <t>삼정(90-8)</t>
        </is>
      </c>
      <c r="E517" s="0" t="inlineStr">
        <is>
          <t>1989.11.</t>
        </is>
      </c>
      <c r="F517" s="0" t="n">
        <v>150</v>
      </c>
      <c r="G517" s="0" t="n">
        <v>24.53</v>
      </c>
      <c r="H517" s="0" t="n">
        <v>81.09999999999999</v>
      </c>
      <c r="I517" s="0" t="n">
        <v>20.44</v>
      </c>
      <c r="J517" s="0" t="n">
        <v>67.59</v>
      </c>
      <c r="K517" s="0" t="n">
        <v>42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81</v>
      </c>
      <c r="X517" s="0" t="n">
        <v>6</v>
      </c>
      <c r="Y517" s="0" t="n">
        <v>6</v>
      </c>
      <c r="Z517" s="0" t="inlineStr">
        <is>
          <t>https://new.land.naver.com/complexes/15456?tab=detail&amp;rf=Y</t>
        </is>
      </c>
      <c r="AA517" s="0" t="inlineStr">
        <is>
          <t>충청북도 청주시 흥덕구 봉명동 90-8</t>
        </is>
      </c>
      <c r="AB517" s="0" t="inlineStr">
        <is>
          <t>충청북도</t>
        </is>
      </c>
      <c r="AC517" s="0" t="inlineStr">
        <is>
          <t>청주시</t>
        </is>
      </c>
      <c r="AD517" s="0" t="inlineStr">
        <is>
          <t>흥덕구</t>
        </is>
      </c>
      <c r="AE517" s="0" t="inlineStr">
        <is>
          <t>봉명동</t>
        </is>
      </c>
      <c r="AG517" s="0" t="inlineStr">
        <is>
          <t>충청북도 청주시 흥덕구 1순환로512번길 32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[봉명동]</t>
        </is>
      </c>
      <c r="B518" s="0" t="n">
        <v>15456</v>
      </c>
      <c r="C518" s="0" t="n">
        <v>2</v>
      </c>
      <c r="D518" s="0" t="inlineStr">
        <is>
          <t>삼정(90-8)</t>
        </is>
      </c>
      <c r="E518" s="0" t="inlineStr">
        <is>
          <t>1989.11.</t>
        </is>
      </c>
      <c r="F518" s="0" t="n">
        <v>150</v>
      </c>
      <c r="G518" s="0" t="n">
        <v>29.79</v>
      </c>
      <c r="H518" s="0" t="n">
        <v>98.48</v>
      </c>
      <c r="I518" s="0" t="n">
        <v>25.7</v>
      </c>
      <c r="J518" s="0" t="n">
        <v>84.97</v>
      </c>
      <c r="K518" s="0" t="n">
        <v>108</v>
      </c>
      <c r="T518" s="0" t="n">
        <v>3</v>
      </c>
      <c r="U518" s="0" t="n">
        <v>2</v>
      </c>
      <c r="V518" s="0" t="inlineStr">
        <is>
          <t>계단식</t>
        </is>
      </c>
      <c r="W518" s="0" t="n">
        <v>98</v>
      </c>
      <c r="X518" s="0" t="n">
        <v>6</v>
      </c>
      <c r="Y518" s="0" t="n">
        <v>6</v>
      </c>
      <c r="Z518" s="0" t="inlineStr">
        <is>
          <t>https://new.land.naver.com/complexes/15456?tab=detail&amp;rf=Y</t>
        </is>
      </c>
      <c r="AA518" s="0" t="inlineStr">
        <is>
          <t>충청북도 청주시 흥덕구 봉명동 90-8</t>
        </is>
      </c>
      <c r="AB518" s="0" t="inlineStr">
        <is>
          <t>충청북도</t>
        </is>
      </c>
      <c r="AC518" s="0" t="inlineStr">
        <is>
          <t>청주시</t>
        </is>
      </c>
      <c r="AD518" s="0" t="inlineStr">
        <is>
          <t>흥덕구</t>
        </is>
      </c>
      <c r="AE518" s="0" t="inlineStr">
        <is>
          <t>봉명동</t>
        </is>
      </c>
      <c r="AG518" s="0" t="inlineStr">
        <is>
          <t>충청북도 청주시 흥덕구 1순환로512번길 32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[봉명동]</t>
        </is>
      </c>
      <c r="B519" s="0" t="n">
        <v>104975</v>
      </c>
      <c r="C519" s="0" t="n">
        <v>1</v>
      </c>
      <c r="D519" s="0" t="inlineStr">
        <is>
          <t>극동주얼리</t>
        </is>
      </c>
      <c r="E519" s="0" t="inlineStr">
        <is>
          <t>1991.11.</t>
        </is>
      </c>
      <c r="F519" s="0" t="n">
        <v>75</v>
      </c>
      <c r="G519" s="0" t="n">
        <v>18.25</v>
      </c>
      <c r="H519" s="0" t="n">
        <v>60.36</v>
      </c>
      <c r="I519" s="0" t="n">
        <v>14.51</v>
      </c>
      <c r="J519" s="0" t="n">
        <v>47.97</v>
      </c>
      <c r="K519" s="0" t="n">
        <v>1</v>
      </c>
      <c r="T519" s="0" t="n">
        <v>2</v>
      </c>
      <c r="U519" s="0" t="n">
        <v>1</v>
      </c>
      <c r="V519" s="0" t="inlineStr">
        <is>
          <t>복도식</t>
        </is>
      </c>
      <c r="W519" s="0" t="n">
        <v>60</v>
      </c>
      <c r="X519" s="0" t="n">
        <v>13</v>
      </c>
      <c r="Y519" s="0" t="n">
        <v>13</v>
      </c>
      <c r="Z519" s="0" t="inlineStr">
        <is>
          <t>https://new.land.naver.com/complexes/104975?tab=detail&amp;rf=Y</t>
        </is>
      </c>
      <c r="AA519" s="0" t="inlineStr">
        <is>
          <t>충청북도 청주시 흥덕구 봉명동 1857</t>
        </is>
      </c>
      <c r="AB519" s="0" t="inlineStr">
        <is>
          <t>충청북도</t>
        </is>
      </c>
      <c r="AC519" s="0" t="inlineStr">
        <is>
          <t>청주시</t>
        </is>
      </c>
      <c r="AD519" s="0" t="inlineStr">
        <is>
          <t>흥덕구</t>
        </is>
      </c>
      <c r="AE519" s="0" t="inlineStr">
        <is>
          <t>봉명동</t>
        </is>
      </c>
      <c r="AG519" s="0" t="inlineStr">
        <is>
          <t>충청북도 청주시 흥덕구 월명로 114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[봉명동]</t>
        </is>
      </c>
      <c r="B520" s="0" t="n">
        <v>104975</v>
      </c>
      <c r="C520" s="0" t="n">
        <v>2</v>
      </c>
      <c r="D520" s="0" t="inlineStr">
        <is>
          <t>극동주얼리</t>
        </is>
      </c>
      <c r="E520" s="0" t="inlineStr">
        <is>
          <t>1991.11.</t>
        </is>
      </c>
      <c r="F520" s="0" t="n">
        <v>75</v>
      </c>
      <c r="G520" s="0" t="n">
        <v>22.71</v>
      </c>
      <c r="H520" s="0" t="n">
        <v>75.08</v>
      </c>
      <c r="I520" s="0" t="n">
        <v>18.05</v>
      </c>
      <c r="J520" s="0" t="n">
        <v>59.67</v>
      </c>
      <c r="K520" s="0" t="n">
        <v>74</v>
      </c>
      <c r="T520" s="0" t="n">
        <v>3</v>
      </c>
      <c r="U520" s="0" t="n">
        <v>2</v>
      </c>
      <c r="V520" s="0" t="inlineStr">
        <is>
          <t>복도식</t>
        </is>
      </c>
      <c r="W520" s="0" t="n">
        <v>75</v>
      </c>
      <c r="X520" s="0" t="n">
        <v>13</v>
      </c>
      <c r="Y520" s="0" t="n">
        <v>13</v>
      </c>
      <c r="Z520" s="0" t="inlineStr">
        <is>
          <t>https://new.land.naver.com/complexes/104975?tab=detail&amp;rf=Y</t>
        </is>
      </c>
      <c r="AA520" s="0" t="inlineStr">
        <is>
          <t>충청북도 청주시 흥덕구 봉명동 1857</t>
        </is>
      </c>
      <c r="AB520" s="0" t="inlineStr">
        <is>
          <t>충청북도</t>
        </is>
      </c>
      <c r="AC520" s="0" t="inlineStr">
        <is>
          <t>청주시</t>
        </is>
      </c>
      <c r="AD520" s="0" t="inlineStr">
        <is>
          <t>흥덕구</t>
        </is>
      </c>
      <c r="AE520" s="0" t="inlineStr">
        <is>
          <t>봉명동</t>
        </is>
      </c>
      <c r="AG520" s="0" t="inlineStr">
        <is>
          <t>충청북도 청주시 흥덕구 월명로 114</t>
        </is>
      </c>
      <c r="AH520" s="0" t="n">
        <v>0</v>
      </c>
      <c r="AI520" s="0" t="n">
        <v>0</v>
      </c>
      <c r="AJ520" s="0" t="n">
        <v>0</v>
      </c>
      <c r="AK520" s="0" t="n">
        <v>0</v>
      </c>
      <c r="AL520" s="0" t="n">
        <v>0</v>
      </c>
    </row>
    <row r="521">
      <c r="A521" s="0" t="inlineStr">
        <is>
          <t>[봉명동]</t>
        </is>
      </c>
      <c r="B521" s="0" t="n">
        <v>15460</v>
      </c>
      <c r="C521" s="0" t="n">
        <v>1</v>
      </c>
      <c r="D521" s="0" t="inlineStr">
        <is>
          <t>백봉</t>
        </is>
      </c>
      <c r="E521" s="0" t="inlineStr">
        <is>
          <t>1992.03.</t>
        </is>
      </c>
      <c r="F521" s="0" t="n">
        <v>240</v>
      </c>
      <c r="G521" s="0" t="n">
        <v>16.55</v>
      </c>
      <c r="H521" s="0" t="n">
        <v>54.74</v>
      </c>
      <c r="I521" s="0" t="n">
        <v>14.67</v>
      </c>
      <c r="J521" s="0" t="n">
        <v>48.5</v>
      </c>
      <c r="K521" s="0" t="n">
        <v>240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54</v>
      </c>
      <c r="X521" s="0" t="n">
        <v>6</v>
      </c>
      <c r="Y521" s="0" t="n">
        <v>6</v>
      </c>
      <c r="Z521" s="0" t="inlineStr">
        <is>
          <t>https://new.land.naver.com/complexes/15460?tab=detail&amp;rf=Y</t>
        </is>
      </c>
      <c r="AA521" s="0" t="inlineStr">
        <is>
          <t>충청북도 청주시 흥덕구 봉명동 2043</t>
        </is>
      </c>
      <c r="AB521" s="0" t="inlineStr">
        <is>
          <t>충청북도</t>
        </is>
      </c>
      <c r="AC521" s="0" t="inlineStr">
        <is>
          <t>청주시</t>
        </is>
      </c>
      <c r="AD521" s="0" t="inlineStr">
        <is>
          <t>흥덕구</t>
        </is>
      </c>
      <c r="AE521" s="0" t="inlineStr">
        <is>
          <t>봉명동</t>
        </is>
      </c>
      <c r="AG521" s="0" t="inlineStr">
        <is>
          <t>충청북도 청주시 흥덕구 백봉로224번길 7</t>
        </is>
      </c>
      <c r="AH521" s="0" t="n">
        <v>0</v>
      </c>
      <c r="AI521" s="0" t="n">
        <v>0</v>
      </c>
      <c r="AJ521" s="0" t="n">
        <v>0</v>
      </c>
      <c r="AK521" s="0" t="n">
        <v>0</v>
      </c>
      <c r="AL521" s="0" t="n">
        <v>0</v>
      </c>
    </row>
    <row r="522">
      <c r="A522" s="0" t="inlineStr">
        <is>
          <t>[봉명동]</t>
        </is>
      </c>
      <c r="B522" s="0" t="n">
        <v>101025</v>
      </c>
      <c r="C522" s="0" t="n">
        <v>1</v>
      </c>
      <c r="D522" s="0" t="inlineStr">
        <is>
          <t>신라</t>
        </is>
      </c>
      <c r="E522" s="0" t="inlineStr">
        <is>
          <t>1985.11.</t>
        </is>
      </c>
      <c r="F522" s="0" t="n">
        <v>277</v>
      </c>
      <c r="G522" s="0" t="n">
        <v>13.73</v>
      </c>
      <c r="H522" s="0" t="n">
        <v>45.39</v>
      </c>
      <c r="I522" s="0" t="n">
        <v>8.84</v>
      </c>
      <c r="J522" s="0" t="n">
        <v>29.25</v>
      </c>
      <c r="K522" s="0" t="n">
        <v>67</v>
      </c>
      <c r="T522" s="0" t="n">
        <v>2</v>
      </c>
      <c r="U522" s="0" t="n">
        <v>1</v>
      </c>
      <c r="V522" s="0" t="inlineStr">
        <is>
          <t>계단식</t>
        </is>
      </c>
      <c r="W522" s="0" t="n">
        <v>45</v>
      </c>
      <c r="X522" s="0" t="n">
        <v>6</v>
      </c>
      <c r="Y522" s="0" t="n">
        <v>5</v>
      </c>
      <c r="Z522" s="0" t="inlineStr">
        <is>
          <t>https://new.land.naver.com/complexes/101025?tab=detail&amp;rf=Y</t>
        </is>
      </c>
      <c r="AA522" s="0" t="inlineStr">
        <is>
          <t>충청북도 청주시 흥덕구 봉명동 1603</t>
        </is>
      </c>
      <c r="AB522" s="0" t="inlineStr">
        <is>
          <t>충청북도</t>
        </is>
      </c>
      <c r="AC522" s="0" t="inlineStr">
        <is>
          <t>청주시</t>
        </is>
      </c>
      <c r="AD522" s="0" t="inlineStr">
        <is>
          <t>흥덕구</t>
        </is>
      </c>
      <c r="AE522" s="0" t="inlineStr">
        <is>
          <t>봉명동</t>
        </is>
      </c>
      <c r="AG522" s="0" t="inlineStr">
        <is>
          <t>충청북도 청주시 흥덕구 과상미로9번길 102-14</t>
        </is>
      </c>
      <c r="AH522" s="0" t="n">
        <v>0</v>
      </c>
      <c r="AI522" s="0" t="n">
        <v>0</v>
      </c>
      <c r="AJ522" s="0" t="n">
        <v>0</v>
      </c>
      <c r="AK522" s="0" t="n">
        <v>0</v>
      </c>
      <c r="AL522" s="0" t="n">
        <v>0</v>
      </c>
    </row>
    <row r="523">
      <c r="A523" s="0" t="inlineStr">
        <is>
          <t>[봉명동]</t>
        </is>
      </c>
      <c r="B523" s="0" t="n">
        <v>101025</v>
      </c>
      <c r="C523" s="0" t="n">
        <v>2</v>
      </c>
      <c r="D523" s="0" t="inlineStr">
        <is>
          <t>신라</t>
        </is>
      </c>
      <c r="E523" s="0" t="inlineStr">
        <is>
          <t>1985.11.</t>
        </is>
      </c>
      <c r="F523" s="0" t="n">
        <v>277</v>
      </c>
      <c r="G523" s="0" t="n">
        <v>16.05</v>
      </c>
      <c r="H523" s="0" t="n">
        <v>53.07</v>
      </c>
      <c r="I523" s="0" t="n">
        <v>10.34</v>
      </c>
      <c r="J523" s="0" t="n">
        <v>34.2</v>
      </c>
      <c r="K523" s="0" t="n">
        <v>30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53</v>
      </c>
      <c r="X523" s="0" t="n">
        <v>6</v>
      </c>
      <c r="Y523" s="0" t="n">
        <v>5</v>
      </c>
      <c r="Z523" s="0" t="inlineStr">
        <is>
          <t>https://new.land.naver.com/complexes/101025?tab=detail&amp;rf=Y</t>
        </is>
      </c>
      <c r="AA523" s="0" t="inlineStr">
        <is>
          <t>충청북도 청주시 흥덕구 봉명동 1603</t>
        </is>
      </c>
      <c r="AB523" s="0" t="inlineStr">
        <is>
          <t>충청북도</t>
        </is>
      </c>
      <c r="AC523" s="0" t="inlineStr">
        <is>
          <t>청주시</t>
        </is>
      </c>
      <c r="AD523" s="0" t="inlineStr">
        <is>
          <t>흥덕구</t>
        </is>
      </c>
      <c r="AE523" s="0" t="inlineStr">
        <is>
          <t>봉명동</t>
        </is>
      </c>
      <c r="AG523" s="0" t="inlineStr">
        <is>
          <t>충청북도 청주시 흥덕구 과상미로9번길 102-14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[봉명동]</t>
        </is>
      </c>
      <c r="B524" s="0" t="n">
        <v>101025</v>
      </c>
      <c r="C524" s="0" t="n">
        <v>3</v>
      </c>
      <c r="D524" s="0" t="inlineStr">
        <is>
          <t>신라</t>
        </is>
      </c>
      <c r="E524" s="0" t="inlineStr">
        <is>
          <t>1985.11.</t>
        </is>
      </c>
      <c r="F524" s="0" t="n">
        <v>277</v>
      </c>
      <c r="G524" s="0" t="n">
        <v>24.65</v>
      </c>
      <c r="H524" s="0" t="n">
        <v>81.5</v>
      </c>
      <c r="I524" s="0" t="n">
        <v>19.9</v>
      </c>
      <c r="J524" s="0" t="n">
        <v>65.79000000000001</v>
      </c>
      <c r="K524" s="0" t="n">
        <v>150</v>
      </c>
      <c r="T524" s="0" t="n">
        <v>3</v>
      </c>
      <c r="U524" s="0" t="n">
        <v>1</v>
      </c>
      <c r="V524" s="0" t="inlineStr">
        <is>
          <t>계단식</t>
        </is>
      </c>
      <c r="W524" s="0" t="inlineStr">
        <is>
          <t>81A</t>
        </is>
      </c>
      <c r="X524" s="0" t="n">
        <v>6</v>
      </c>
      <c r="Y524" s="0" t="n">
        <v>5</v>
      </c>
      <c r="Z524" s="0" t="inlineStr">
        <is>
          <t>https://new.land.naver.com/complexes/101025?tab=detail&amp;rf=Y</t>
        </is>
      </c>
      <c r="AA524" s="0" t="inlineStr">
        <is>
          <t>충청북도 청주시 흥덕구 봉명동 1603</t>
        </is>
      </c>
      <c r="AB524" s="0" t="inlineStr">
        <is>
          <t>충청북도</t>
        </is>
      </c>
      <c r="AC524" s="0" t="inlineStr">
        <is>
          <t>청주시</t>
        </is>
      </c>
      <c r="AD524" s="0" t="inlineStr">
        <is>
          <t>흥덕구</t>
        </is>
      </c>
      <c r="AE524" s="0" t="inlineStr">
        <is>
          <t>봉명동</t>
        </is>
      </c>
      <c r="AG524" s="0" t="inlineStr">
        <is>
          <t>충청북도 청주시 흥덕구 과상미로9번길 102-14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[봉명동]</t>
        </is>
      </c>
      <c r="B525" s="0" t="n">
        <v>101025</v>
      </c>
      <c r="C525" s="0" t="n">
        <v>4</v>
      </c>
      <c r="D525" s="0" t="inlineStr">
        <is>
          <t>신라</t>
        </is>
      </c>
      <c r="E525" s="0" t="inlineStr">
        <is>
          <t>1985.11.</t>
        </is>
      </c>
      <c r="F525" s="0" t="n">
        <v>277</v>
      </c>
      <c r="G525" s="0" t="n">
        <v>25.46</v>
      </c>
      <c r="H525" s="0" t="n">
        <v>84.18000000000001</v>
      </c>
      <c r="I525" s="0" t="n">
        <v>20.22</v>
      </c>
      <c r="J525" s="0" t="n">
        <v>66.87</v>
      </c>
      <c r="K525" s="0" t="n">
        <v>30</v>
      </c>
      <c r="T525" s="0" t="n">
        <v>3</v>
      </c>
      <c r="U525" s="0" t="n">
        <v>1</v>
      </c>
      <c r="V525" s="0" t="inlineStr">
        <is>
          <t>계단식</t>
        </is>
      </c>
      <c r="W525" s="0" t="inlineStr">
        <is>
          <t>84B</t>
        </is>
      </c>
      <c r="X525" s="0" t="n">
        <v>6</v>
      </c>
      <c r="Y525" s="0" t="n">
        <v>5</v>
      </c>
      <c r="Z525" s="0" t="inlineStr">
        <is>
          <t>https://new.land.naver.com/complexes/101025?tab=detail&amp;rf=Y</t>
        </is>
      </c>
      <c r="AA525" s="0" t="inlineStr">
        <is>
          <t>충청북도 청주시 흥덕구 봉명동 1603</t>
        </is>
      </c>
      <c r="AB525" s="0" t="inlineStr">
        <is>
          <t>충청북도</t>
        </is>
      </c>
      <c r="AC525" s="0" t="inlineStr">
        <is>
          <t>청주시</t>
        </is>
      </c>
      <c r="AD525" s="0" t="inlineStr">
        <is>
          <t>흥덕구</t>
        </is>
      </c>
      <c r="AE525" s="0" t="inlineStr">
        <is>
          <t>봉명동</t>
        </is>
      </c>
      <c r="AG525" s="0" t="inlineStr">
        <is>
          <t>충청북도 청주시 흥덕구 과상미로9번길 102-14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[봉명동]</t>
        </is>
      </c>
      <c r="B526" s="0" t="n">
        <v>9980</v>
      </c>
      <c r="C526" s="0" t="n">
        <v>1</v>
      </c>
      <c r="D526" s="0" t="inlineStr">
        <is>
          <t>삼정백조</t>
        </is>
      </c>
      <c r="E526" s="0" t="inlineStr">
        <is>
          <t>1993.10.</t>
        </is>
      </c>
      <c r="F526" s="0" t="n">
        <v>199</v>
      </c>
      <c r="G526" s="0" t="n">
        <v>22.87</v>
      </c>
      <c r="H526" s="0" t="n">
        <v>75.62</v>
      </c>
      <c r="I526" s="0" t="n">
        <v>18.13</v>
      </c>
      <c r="J526" s="0" t="n">
        <v>59.95</v>
      </c>
      <c r="K526" s="0" t="n">
        <v>116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75</v>
      </c>
      <c r="X526" s="0" t="n">
        <v>15</v>
      </c>
      <c r="Y526" s="0" t="n">
        <v>7</v>
      </c>
      <c r="Z526" s="0" t="inlineStr">
        <is>
          <t>https://new.land.naver.com/complexes/9980?tab=detail&amp;rf=Y</t>
        </is>
      </c>
      <c r="AA526" s="0" t="inlineStr">
        <is>
          <t>충청북도 청주시 흥덕구 봉명동 87</t>
        </is>
      </c>
      <c r="AB526" s="0" t="inlineStr">
        <is>
          <t>충청북도</t>
        </is>
      </c>
      <c r="AC526" s="0" t="inlineStr">
        <is>
          <t>청주시</t>
        </is>
      </c>
      <c r="AD526" s="0" t="inlineStr">
        <is>
          <t>흥덕구</t>
        </is>
      </c>
      <c r="AE526" s="0" t="inlineStr">
        <is>
          <t>봉명동</t>
        </is>
      </c>
      <c r="AG526" s="0" t="inlineStr">
        <is>
          <t>충청북도 청주시 흥덕구 백봉로 244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[봉명동]</t>
        </is>
      </c>
      <c r="B527" s="0" t="n">
        <v>9980</v>
      </c>
      <c r="C527" s="0" t="n">
        <v>2</v>
      </c>
      <c r="D527" s="0" t="inlineStr">
        <is>
          <t>삼정백조</t>
        </is>
      </c>
      <c r="E527" s="0" t="inlineStr">
        <is>
          <t>1993.10.</t>
        </is>
      </c>
      <c r="F527" s="0" t="n">
        <v>199</v>
      </c>
      <c r="G527" s="0" t="n">
        <v>31.06</v>
      </c>
      <c r="H527" s="0" t="n">
        <v>102.71</v>
      </c>
      <c r="I527" s="0" t="n">
        <v>25.58</v>
      </c>
      <c r="J527" s="0" t="n">
        <v>84.56999999999999</v>
      </c>
      <c r="K527" s="0" t="n">
        <v>83</v>
      </c>
      <c r="T527" s="0" t="n">
        <v>3</v>
      </c>
      <c r="U527" s="0" t="n">
        <v>2</v>
      </c>
      <c r="V527" s="0" t="inlineStr">
        <is>
          <t>계단식</t>
        </is>
      </c>
      <c r="W527" s="0" t="n">
        <v>102</v>
      </c>
      <c r="X527" s="0" t="n">
        <v>15</v>
      </c>
      <c r="Y527" s="0" t="n">
        <v>7</v>
      </c>
      <c r="Z527" s="0" t="inlineStr">
        <is>
          <t>https://new.land.naver.com/complexes/9980?tab=detail&amp;rf=Y</t>
        </is>
      </c>
      <c r="AA527" s="0" t="inlineStr">
        <is>
          <t>충청북도 청주시 흥덕구 봉명동 87</t>
        </is>
      </c>
      <c r="AB527" s="0" t="inlineStr">
        <is>
          <t>충청북도</t>
        </is>
      </c>
      <c r="AC527" s="0" t="inlineStr">
        <is>
          <t>청주시</t>
        </is>
      </c>
      <c r="AD527" s="0" t="inlineStr">
        <is>
          <t>흥덕구</t>
        </is>
      </c>
      <c r="AE527" s="0" t="inlineStr">
        <is>
          <t>봉명동</t>
        </is>
      </c>
      <c r="AG527" s="0" t="inlineStr">
        <is>
          <t>충청북도 청주시 흥덕구 백봉로 244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[봉명동]</t>
        </is>
      </c>
      <c r="B528" s="0" t="n">
        <v>15445</v>
      </c>
      <c r="C528" s="0" t="n">
        <v>1</v>
      </c>
      <c r="D528" s="0" t="inlineStr">
        <is>
          <t>주공2단지</t>
        </is>
      </c>
      <c r="E528" s="0" t="inlineStr">
        <is>
          <t>1985.12.</t>
        </is>
      </c>
      <c r="F528" s="0" t="n">
        <v>556</v>
      </c>
      <c r="G528" s="0" t="n">
        <v>13.64</v>
      </c>
      <c r="H528" s="0" t="n">
        <v>45.12</v>
      </c>
      <c r="I528" s="0" t="n">
        <v>12.01</v>
      </c>
      <c r="J528" s="0" t="n">
        <v>39.72</v>
      </c>
      <c r="K528" s="0" t="n">
        <v>90</v>
      </c>
      <c r="T528" s="0" t="n">
        <v>2</v>
      </c>
      <c r="U528" s="0" t="n">
        <v>1</v>
      </c>
      <c r="V528" s="0" t="inlineStr">
        <is>
          <t>계단식</t>
        </is>
      </c>
      <c r="W528" s="0" t="n">
        <v>45</v>
      </c>
      <c r="X528" s="0" t="n">
        <v>5</v>
      </c>
      <c r="Y528" s="0" t="n">
        <v>5</v>
      </c>
      <c r="Z528" s="0" t="inlineStr">
        <is>
          <t>https://new.land.naver.com/complexes/15445?tab=detail&amp;rf=Y</t>
        </is>
      </c>
      <c r="AA528" s="0" t="inlineStr">
        <is>
          <t>충청북도 청주시 흥덕구 봉명동 1602</t>
        </is>
      </c>
      <c r="AB528" s="0" t="inlineStr">
        <is>
          <t>충청북도</t>
        </is>
      </c>
      <c r="AC528" s="0" t="inlineStr">
        <is>
          <t>청주시</t>
        </is>
      </c>
      <c r="AD528" s="0" t="inlineStr">
        <is>
          <t>흥덕구</t>
        </is>
      </c>
      <c r="AE528" s="0" t="inlineStr">
        <is>
          <t>봉명동</t>
        </is>
      </c>
      <c r="AG528" s="0" t="inlineStr">
        <is>
          <t>충청북도 청주시 흥덕구 직지대로581번길 33-12</t>
        </is>
      </c>
      <c r="AH528" s="0" t="n">
        <v>0</v>
      </c>
      <c r="AI528" s="0" t="n">
        <v>0</v>
      </c>
      <c r="AJ528" s="0" t="n">
        <v>0</v>
      </c>
      <c r="AK528" s="0" t="n">
        <v>293</v>
      </c>
      <c r="AL528" s="0" t="n">
        <v>0.53</v>
      </c>
    </row>
    <row r="529">
      <c r="A529" s="0" t="inlineStr">
        <is>
          <t>[봉명동]</t>
        </is>
      </c>
      <c r="B529" s="0" t="n">
        <v>15445</v>
      </c>
      <c r="C529" s="0" t="n">
        <v>2</v>
      </c>
      <c r="D529" s="0" t="inlineStr">
        <is>
          <t>주공2단지</t>
        </is>
      </c>
      <c r="E529" s="0" t="inlineStr">
        <is>
          <t>1985.12.</t>
        </is>
      </c>
      <c r="F529" s="0" t="n">
        <v>556</v>
      </c>
      <c r="G529" s="0" t="n">
        <v>13.79</v>
      </c>
      <c r="H529" s="0" t="n">
        <v>45.6</v>
      </c>
      <c r="I529" s="0" t="n">
        <v>12.05</v>
      </c>
      <c r="J529" s="0" t="n">
        <v>39.84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45N</t>
        </is>
      </c>
      <c r="X529" s="0" t="n">
        <v>5</v>
      </c>
      <c r="Y529" s="0" t="n">
        <v>5</v>
      </c>
      <c r="Z529" s="0" t="inlineStr">
        <is>
          <t>https://new.land.naver.com/complexes/15445?tab=detail&amp;rf=Y</t>
        </is>
      </c>
      <c r="AA529" s="0" t="inlineStr">
        <is>
          <t>충청북도 청주시 흥덕구 봉명동 1602</t>
        </is>
      </c>
      <c r="AB529" s="0" t="inlineStr">
        <is>
          <t>충청북도</t>
        </is>
      </c>
      <c r="AC529" s="0" t="inlineStr">
        <is>
          <t>청주시</t>
        </is>
      </c>
      <c r="AD529" s="0" t="inlineStr">
        <is>
          <t>흥덕구</t>
        </is>
      </c>
      <c r="AE529" s="0" t="inlineStr">
        <is>
          <t>봉명동</t>
        </is>
      </c>
      <c r="AG529" s="0" t="inlineStr">
        <is>
          <t>충청북도 청주시 흥덕구 직지대로581번길 33-12</t>
        </is>
      </c>
      <c r="AH529" s="0" t="n">
        <v>0</v>
      </c>
      <c r="AI529" s="0" t="n">
        <v>0</v>
      </c>
      <c r="AJ529" s="0" t="n">
        <v>0</v>
      </c>
      <c r="AK529" s="0" t="n">
        <v>293</v>
      </c>
      <c r="AL529" s="0" t="n">
        <v>0.53</v>
      </c>
    </row>
    <row r="530">
      <c r="A530" s="0" t="inlineStr">
        <is>
          <t>[봉명동]</t>
        </is>
      </c>
      <c r="B530" s="0" t="n">
        <v>15445</v>
      </c>
      <c r="C530" s="0" t="n">
        <v>3</v>
      </c>
      <c r="D530" s="0" t="inlineStr">
        <is>
          <t>주공2단지</t>
        </is>
      </c>
      <c r="E530" s="0" t="inlineStr">
        <is>
          <t>1985.12.</t>
        </is>
      </c>
      <c r="F530" s="0" t="n">
        <v>556</v>
      </c>
      <c r="G530" s="0" t="n">
        <v>15.8</v>
      </c>
      <c r="H530" s="0" t="n">
        <v>52.25</v>
      </c>
      <c r="I530" s="0" t="n">
        <v>14.15</v>
      </c>
      <c r="J530" s="0" t="n">
        <v>46.79</v>
      </c>
      <c r="K530" s="0" t="n">
        <v>48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52B</t>
        </is>
      </c>
      <c r="X530" s="0" t="n">
        <v>5</v>
      </c>
      <c r="Y530" s="0" t="n">
        <v>5</v>
      </c>
      <c r="Z530" s="0" t="inlineStr">
        <is>
          <t>https://new.land.naver.com/complexes/15445?tab=detail&amp;rf=Y</t>
        </is>
      </c>
      <c r="AA530" s="0" t="inlineStr">
        <is>
          <t>충청북도 청주시 흥덕구 봉명동 1602</t>
        </is>
      </c>
      <c r="AB530" s="0" t="inlineStr">
        <is>
          <t>충청북도</t>
        </is>
      </c>
      <c r="AC530" s="0" t="inlineStr">
        <is>
          <t>청주시</t>
        </is>
      </c>
      <c r="AD530" s="0" t="inlineStr">
        <is>
          <t>흥덕구</t>
        </is>
      </c>
      <c r="AE530" s="0" t="inlineStr">
        <is>
          <t>봉명동</t>
        </is>
      </c>
      <c r="AG530" s="0" t="inlineStr">
        <is>
          <t>충청북도 청주시 흥덕구 직지대로581번길 33-12</t>
        </is>
      </c>
      <c r="AH530" s="0" t="n">
        <v>0</v>
      </c>
      <c r="AI530" s="0" t="n">
        <v>0</v>
      </c>
      <c r="AJ530" s="0" t="n">
        <v>0</v>
      </c>
      <c r="AK530" s="0" t="n">
        <v>293</v>
      </c>
      <c r="AL530" s="0" t="n">
        <v>0.53</v>
      </c>
    </row>
    <row r="531">
      <c r="A531" s="0" t="inlineStr">
        <is>
          <t>[봉명동]</t>
        </is>
      </c>
      <c r="B531" s="0" t="n">
        <v>15445</v>
      </c>
      <c r="C531" s="0" t="n">
        <v>4</v>
      </c>
      <c r="D531" s="0" t="inlineStr">
        <is>
          <t>주공2단지</t>
        </is>
      </c>
      <c r="E531" s="0" t="inlineStr">
        <is>
          <t>1985.12.</t>
        </is>
      </c>
      <c r="F531" s="0" t="n">
        <v>556</v>
      </c>
      <c r="G531" s="0" t="n">
        <v>15.8</v>
      </c>
      <c r="H531" s="0" t="n">
        <v>52.26</v>
      </c>
      <c r="I531" s="0" t="n">
        <v>14.17</v>
      </c>
      <c r="J531" s="0" t="n">
        <v>46.86</v>
      </c>
      <c r="K531" s="0" t="n">
        <v>36</v>
      </c>
      <c r="T531" s="0" t="n">
        <v>2</v>
      </c>
      <c r="U531" s="0" t="n">
        <v>1</v>
      </c>
      <c r="V531" s="0" t="inlineStr">
        <is>
          <t>계단식</t>
        </is>
      </c>
      <c r="W531" s="0" t="inlineStr">
        <is>
          <t>52C</t>
        </is>
      </c>
      <c r="X531" s="0" t="n">
        <v>5</v>
      </c>
      <c r="Y531" s="0" t="n">
        <v>5</v>
      </c>
      <c r="Z531" s="0" t="inlineStr">
        <is>
          <t>https://new.land.naver.com/complexes/15445?tab=detail&amp;rf=Y</t>
        </is>
      </c>
      <c r="AA531" s="0" t="inlineStr">
        <is>
          <t>충청북도 청주시 흥덕구 봉명동 1602</t>
        </is>
      </c>
      <c r="AB531" s="0" t="inlineStr">
        <is>
          <t>충청북도</t>
        </is>
      </c>
      <c r="AC531" s="0" t="inlineStr">
        <is>
          <t>청주시</t>
        </is>
      </c>
      <c r="AD531" s="0" t="inlineStr">
        <is>
          <t>흥덕구</t>
        </is>
      </c>
      <c r="AE531" s="0" t="inlineStr">
        <is>
          <t>봉명동</t>
        </is>
      </c>
      <c r="AG531" s="0" t="inlineStr">
        <is>
          <t>충청북도 청주시 흥덕구 직지대로581번길 33-12</t>
        </is>
      </c>
      <c r="AH531" s="0" t="n">
        <v>0</v>
      </c>
      <c r="AI531" s="0" t="n">
        <v>0</v>
      </c>
      <c r="AJ531" s="0" t="n">
        <v>0</v>
      </c>
      <c r="AK531" s="0" t="n">
        <v>293</v>
      </c>
      <c r="AL531" s="0" t="n">
        <v>0.53</v>
      </c>
    </row>
    <row r="532">
      <c r="A532" s="0" t="inlineStr">
        <is>
          <t>[봉명동]</t>
        </is>
      </c>
      <c r="B532" s="0" t="n">
        <v>15445</v>
      </c>
      <c r="C532" s="0" t="n">
        <v>5</v>
      </c>
      <c r="D532" s="0" t="inlineStr">
        <is>
          <t>주공2단지</t>
        </is>
      </c>
      <c r="E532" s="0" t="inlineStr">
        <is>
          <t>1985.12.</t>
        </is>
      </c>
      <c r="F532" s="0" t="n">
        <v>556</v>
      </c>
      <c r="G532" s="0" t="n">
        <v>15.88</v>
      </c>
      <c r="H532" s="0" t="n">
        <v>52.52</v>
      </c>
      <c r="I532" s="0" t="n">
        <v>15.88</v>
      </c>
      <c r="J532" s="0" t="n">
        <v>52.52</v>
      </c>
      <c r="K532" s="0" t="n">
        <v>8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52S</t>
        </is>
      </c>
      <c r="X532" s="0" t="n">
        <v>5</v>
      </c>
      <c r="Y532" s="0" t="n">
        <v>5</v>
      </c>
      <c r="Z532" s="0" t="inlineStr">
        <is>
          <t>https://new.land.naver.com/complexes/15445?tab=detail&amp;rf=Y</t>
        </is>
      </c>
      <c r="AA532" s="0" t="inlineStr">
        <is>
          <t>충청북도 청주시 흥덕구 봉명동 1602</t>
        </is>
      </c>
      <c r="AB532" s="0" t="inlineStr">
        <is>
          <t>충청북도</t>
        </is>
      </c>
      <c r="AC532" s="0" t="inlineStr">
        <is>
          <t>청주시</t>
        </is>
      </c>
      <c r="AD532" s="0" t="inlineStr">
        <is>
          <t>흥덕구</t>
        </is>
      </c>
      <c r="AE532" s="0" t="inlineStr">
        <is>
          <t>봉명동</t>
        </is>
      </c>
      <c r="AG532" s="0" t="inlineStr">
        <is>
          <t>충청북도 청주시 흥덕구 직지대로581번길 33-12</t>
        </is>
      </c>
      <c r="AH532" s="0" t="n">
        <v>0</v>
      </c>
      <c r="AI532" s="0" t="n">
        <v>0</v>
      </c>
      <c r="AJ532" s="0" t="n">
        <v>0</v>
      </c>
      <c r="AK532" s="0" t="n">
        <v>293</v>
      </c>
      <c r="AL532" s="0" t="n">
        <v>0.53</v>
      </c>
    </row>
    <row r="533">
      <c r="A533" s="0" t="inlineStr">
        <is>
          <t>[봉명동]</t>
        </is>
      </c>
      <c r="B533" s="0" t="n">
        <v>15445</v>
      </c>
      <c r="C533" s="0" t="n">
        <v>6</v>
      </c>
      <c r="D533" s="0" t="inlineStr">
        <is>
          <t>주공2단지</t>
        </is>
      </c>
      <c r="E533" s="0" t="inlineStr">
        <is>
          <t>1985.12.</t>
        </is>
      </c>
      <c r="F533" s="0" t="n">
        <v>556</v>
      </c>
      <c r="G533" s="0" t="n">
        <v>16.06</v>
      </c>
      <c r="H533" s="0" t="n">
        <v>53.1</v>
      </c>
      <c r="I533" s="0" t="n">
        <v>15.11</v>
      </c>
      <c r="J533" s="0" t="n">
        <v>49.96</v>
      </c>
      <c r="K533" s="0" t="n">
        <v>8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53N</t>
        </is>
      </c>
      <c r="X533" s="0" t="n">
        <v>5</v>
      </c>
      <c r="Y533" s="0" t="n">
        <v>5</v>
      </c>
      <c r="Z533" s="0" t="inlineStr">
        <is>
          <t>https://new.land.naver.com/complexes/15445?tab=detail&amp;rf=Y</t>
        </is>
      </c>
      <c r="AA533" s="0" t="inlineStr">
        <is>
          <t>충청북도 청주시 흥덕구 봉명동 1602</t>
        </is>
      </c>
      <c r="AB533" s="0" t="inlineStr">
        <is>
          <t>충청북도</t>
        </is>
      </c>
      <c r="AC533" s="0" t="inlineStr">
        <is>
          <t>청주시</t>
        </is>
      </c>
      <c r="AD533" s="0" t="inlineStr">
        <is>
          <t>흥덕구</t>
        </is>
      </c>
      <c r="AE533" s="0" t="inlineStr">
        <is>
          <t>봉명동</t>
        </is>
      </c>
      <c r="AG533" s="0" t="inlineStr">
        <is>
          <t>충청북도 청주시 흥덕구 직지대로581번길 33-12</t>
        </is>
      </c>
      <c r="AH533" s="0" t="n">
        <v>0</v>
      </c>
      <c r="AI533" s="0" t="n">
        <v>0</v>
      </c>
      <c r="AJ533" s="0" t="n">
        <v>0</v>
      </c>
      <c r="AK533" s="0" t="n">
        <v>293</v>
      </c>
      <c r="AL533" s="0" t="n">
        <v>0.53</v>
      </c>
    </row>
    <row r="534">
      <c r="A534" s="0" t="inlineStr">
        <is>
          <t>[봉명동]</t>
        </is>
      </c>
      <c r="B534" s="0" t="n">
        <v>15445</v>
      </c>
      <c r="C534" s="0" t="n">
        <v>7</v>
      </c>
      <c r="D534" s="0" t="inlineStr">
        <is>
          <t>주공2단지</t>
        </is>
      </c>
      <c r="E534" s="0" t="inlineStr">
        <is>
          <t>1985.12.</t>
        </is>
      </c>
      <c r="F534" s="0" t="n">
        <v>556</v>
      </c>
      <c r="G534" s="0" t="n">
        <v>16.19</v>
      </c>
      <c r="H534" s="0" t="n">
        <v>53.55</v>
      </c>
      <c r="I534" s="0" t="n">
        <v>14.15</v>
      </c>
      <c r="J534" s="0" t="n">
        <v>46.78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53A</t>
        </is>
      </c>
      <c r="X534" s="0" t="n">
        <v>5</v>
      </c>
      <c r="Y534" s="0" t="n">
        <v>5</v>
      </c>
      <c r="Z534" s="0" t="inlineStr">
        <is>
          <t>https://new.land.naver.com/complexes/15445?tab=detail&amp;rf=Y</t>
        </is>
      </c>
      <c r="AA534" s="0" t="inlineStr">
        <is>
          <t>충청북도 청주시 흥덕구 봉명동 1602</t>
        </is>
      </c>
      <c r="AB534" s="0" t="inlineStr">
        <is>
          <t>충청북도</t>
        </is>
      </c>
      <c r="AC534" s="0" t="inlineStr">
        <is>
          <t>청주시</t>
        </is>
      </c>
      <c r="AD534" s="0" t="inlineStr">
        <is>
          <t>흥덕구</t>
        </is>
      </c>
      <c r="AE534" s="0" t="inlineStr">
        <is>
          <t>봉명동</t>
        </is>
      </c>
      <c r="AG534" s="0" t="inlineStr">
        <is>
          <t>충청북도 청주시 흥덕구 직지대로581번길 33-12</t>
        </is>
      </c>
      <c r="AH534" s="0" t="n">
        <v>0</v>
      </c>
      <c r="AI534" s="0" t="n">
        <v>0</v>
      </c>
      <c r="AJ534" s="0" t="n">
        <v>0</v>
      </c>
      <c r="AK534" s="0" t="n">
        <v>293</v>
      </c>
      <c r="AL534" s="0" t="n">
        <v>0.53</v>
      </c>
    </row>
    <row r="535">
      <c r="A535" s="0" t="inlineStr">
        <is>
          <t>[봉명동]</t>
        </is>
      </c>
      <c r="B535" s="0" t="n">
        <v>15445</v>
      </c>
      <c r="C535" s="0" t="n">
        <v>8</v>
      </c>
      <c r="D535" s="0" t="inlineStr">
        <is>
          <t>주공2단지</t>
        </is>
      </c>
      <c r="E535" s="0" t="inlineStr">
        <is>
          <t>1985.12.</t>
        </is>
      </c>
      <c r="F535" s="0" t="n">
        <v>556</v>
      </c>
      <c r="G535" s="0" t="n">
        <v>16.28</v>
      </c>
      <c r="H535" s="0" t="n">
        <v>53.84</v>
      </c>
      <c r="I535" s="0" t="n">
        <v>14.22</v>
      </c>
      <c r="J535" s="0" t="n">
        <v>47.04</v>
      </c>
      <c r="K535" s="0" t="n">
        <v>2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53D</t>
        </is>
      </c>
      <c r="X535" s="0" t="n">
        <v>5</v>
      </c>
      <c r="Y535" s="0" t="n">
        <v>5</v>
      </c>
      <c r="Z535" s="0" t="inlineStr">
        <is>
          <t>https://new.land.naver.com/complexes/15445?tab=detail&amp;rf=Y</t>
        </is>
      </c>
      <c r="AA535" s="0" t="inlineStr">
        <is>
          <t>충청북도 청주시 흥덕구 봉명동 1602</t>
        </is>
      </c>
      <c r="AB535" s="0" t="inlineStr">
        <is>
          <t>충청북도</t>
        </is>
      </c>
      <c r="AC535" s="0" t="inlineStr">
        <is>
          <t>청주시</t>
        </is>
      </c>
      <c r="AD535" s="0" t="inlineStr">
        <is>
          <t>흥덕구</t>
        </is>
      </c>
      <c r="AE535" s="0" t="inlineStr">
        <is>
          <t>봉명동</t>
        </is>
      </c>
      <c r="AG535" s="0" t="inlineStr">
        <is>
          <t>충청북도 청주시 흥덕구 직지대로581번길 33-12</t>
        </is>
      </c>
      <c r="AH535" s="0" t="n">
        <v>0</v>
      </c>
      <c r="AI535" s="0" t="n">
        <v>0</v>
      </c>
      <c r="AJ535" s="0" t="n">
        <v>0</v>
      </c>
      <c r="AK535" s="0" t="n">
        <v>293</v>
      </c>
      <c r="AL535" s="0" t="n">
        <v>0.53</v>
      </c>
    </row>
    <row r="536">
      <c r="A536" s="0" t="inlineStr">
        <is>
          <t>[봉명동]</t>
        </is>
      </c>
      <c r="B536" s="0" t="n">
        <v>15445</v>
      </c>
      <c r="C536" s="0" t="n">
        <v>9</v>
      </c>
      <c r="D536" s="0" t="inlineStr">
        <is>
          <t>주공2단지</t>
        </is>
      </c>
      <c r="E536" s="0" t="inlineStr">
        <is>
          <t>1985.12.</t>
        </is>
      </c>
      <c r="F536" s="0" t="n">
        <v>556</v>
      </c>
      <c r="G536" s="0" t="n">
        <v>17.81</v>
      </c>
      <c r="H536" s="0" t="n">
        <v>58.88</v>
      </c>
      <c r="I536" s="0" t="n">
        <v>16.28</v>
      </c>
      <c r="J536" s="0" t="n">
        <v>53.85</v>
      </c>
      <c r="K536" s="0" t="n">
        <v>198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58</v>
      </c>
      <c r="X536" s="0" t="n">
        <v>5</v>
      </c>
      <c r="Y536" s="0" t="n">
        <v>5</v>
      </c>
      <c r="Z536" s="0" t="inlineStr">
        <is>
          <t>https://new.land.naver.com/complexes/15445?tab=detail&amp;rf=Y</t>
        </is>
      </c>
      <c r="AA536" s="0" t="inlineStr">
        <is>
          <t>충청북도 청주시 흥덕구 봉명동 1602</t>
        </is>
      </c>
      <c r="AB536" s="0" t="inlineStr">
        <is>
          <t>충청북도</t>
        </is>
      </c>
      <c r="AC536" s="0" t="inlineStr">
        <is>
          <t>청주시</t>
        </is>
      </c>
      <c r="AD536" s="0" t="inlineStr">
        <is>
          <t>흥덕구</t>
        </is>
      </c>
      <c r="AE536" s="0" t="inlineStr">
        <is>
          <t>봉명동</t>
        </is>
      </c>
      <c r="AG536" s="0" t="inlineStr">
        <is>
          <t>충청북도 청주시 흥덕구 직지대로581번길 33-12</t>
        </is>
      </c>
      <c r="AH536" s="0" t="n">
        <v>0</v>
      </c>
      <c r="AI536" s="0" t="n">
        <v>0</v>
      </c>
      <c r="AJ536" s="0" t="n">
        <v>0</v>
      </c>
      <c r="AK536" s="0" t="n">
        <v>293</v>
      </c>
      <c r="AL536" s="0" t="n">
        <v>0.53</v>
      </c>
    </row>
    <row r="537">
      <c r="A537" s="0" t="inlineStr">
        <is>
          <t>[봉명동]</t>
        </is>
      </c>
      <c r="B537" s="0" t="n">
        <v>15445</v>
      </c>
      <c r="C537" s="0" t="n">
        <v>10</v>
      </c>
      <c r="D537" s="0" t="inlineStr">
        <is>
          <t>주공2단지</t>
        </is>
      </c>
      <c r="E537" s="0" t="inlineStr">
        <is>
          <t>1985.12.</t>
        </is>
      </c>
      <c r="F537" s="0" t="n">
        <v>556</v>
      </c>
      <c r="G537" s="0" t="n">
        <v>20.43</v>
      </c>
      <c r="H537" s="0" t="n">
        <v>67.54000000000001</v>
      </c>
      <c r="I537" s="0" t="n">
        <v>18.68</v>
      </c>
      <c r="J537" s="0" t="n">
        <v>61.77</v>
      </c>
      <c r="K537" s="0" t="n">
        <v>162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67</v>
      </c>
      <c r="X537" s="0" t="n">
        <v>5</v>
      </c>
      <c r="Y537" s="0" t="n">
        <v>5</v>
      </c>
      <c r="Z537" s="0" t="inlineStr">
        <is>
          <t>https://new.land.naver.com/complexes/15445?tab=detail&amp;rf=Y</t>
        </is>
      </c>
      <c r="AA537" s="0" t="inlineStr">
        <is>
          <t>충청북도 청주시 흥덕구 봉명동 1602</t>
        </is>
      </c>
      <c r="AB537" s="0" t="inlineStr">
        <is>
          <t>충청북도</t>
        </is>
      </c>
      <c r="AC537" s="0" t="inlineStr">
        <is>
          <t>청주시</t>
        </is>
      </c>
      <c r="AD537" s="0" t="inlineStr">
        <is>
          <t>흥덕구</t>
        </is>
      </c>
      <c r="AE537" s="0" t="inlineStr">
        <is>
          <t>봉명동</t>
        </is>
      </c>
      <c r="AG537" s="0" t="inlineStr">
        <is>
          <t>충청북도 청주시 흥덕구 직지대로581번길 33-12</t>
        </is>
      </c>
      <c r="AH537" s="0" t="n">
        <v>0</v>
      </c>
      <c r="AI537" s="0" t="n">
        <v>0</v>
      </c>
      <c r="AJ537" s="0" t="n">
        <v>0</v>
      </c>
      <c r="AK537" s="0" t="n">
        <v>293</v>
      </c>
      <c r="AL537" s="0" t="n">
        <v>0.53</v>
      </c>
    </row>
    <row r="538">
      <c r="A538" s="0" t="inlineStr">
        <is>
          <t>[봉명동]</t>
        </is>
      </c>
      <c r="B538" s="0" t="n">
        <v>112598</v>
      </c>
      <c r="C538" s="0" t="n">
        <v>1</v>
      </c>
      <c r="D538" s="0" t="inlineStr">
        <is>
          <t>하이젠시티(도시형)</t>
        </is>
      </c>
      <c r="E538" s="0" t="inlineStr">
        <is>
          <t>2015.08.</t>
        </is>
      </c>
      <c r="F538" s="0" t="n">
        <v>298</v>
      </c>
      <c r="G538" s="0" t="n">
        <v>8.130000000000001</v>
      </c>
      <c r="H538" s="0" t="n">
        <v>26.88</v>
      </c>
      <c r="I538" s="0" t="n">
        <v>5.9</v>
      </c>
      <c r="J538" s="0" t="n">
        <v>19.53</v>
      </c>
      <c r="K538" s="0" t="n">
        <v>28</v>
      </c>
      <c r="T538" s="0" t="n">
        <v>1</v>
      </c>
      <c r="U538" s="0" t="n">
        <v>1</v>
      </c>
      <c r="V538" s="0" t="inlineStr">
        <is>
          <t>복도식</t>
        </is>
      </c>
      <c r="W538" s="0" t="n">
        <v>26</v>
      </c>
      <c r="X538" s="0" t="n">
        <v>20</v>
      </c>
      <c r="Y538" s="0" t="n">
        <v>16</v>
      </c>
      <c r="Z538" s="0" t="inlineStr">
        <is>
          <t>https://new.land.naver.com/complexes/112598?tab=detail&amp;rf=Y</t>
        </is>
      </c>
      <c r="AA538" s="0" t="inlineStr">
        <is>
          <t>충청북도 청주시 흥덕구 봉명동 757</t>
        </is>
      </c>
      <c r="AB538" s="0" t="inlineStr">
        <is>
          <t>충청북도</t>
        </is>
      </c>
      <c r="AC538" s="0" t="inlineStr">
        <is>
          <t>청주시</t>
        </is>
      </c>
      <c r="AD538" s="0" t="inlineStr">
        <is>
          <t>흥덕구</t>
        </is>
      </c>
      <c r="AE538" s="0" t="inlineStr">
        <is>
          <t>봉명동</t>
        </is>
      </c>
      <c r="AG538" s="0" t="inlineStr">
        <is>
          <t>충청북도 청주시 흥덕구 직지대로 636</t>
        </is>
      </c>
      <c r="AH538" s="0" t="n">
        <v>0</v>
      </c>
      <c r="AI538" s="0" t="n">
        <v>822</v>
      </c>
      <c r="AJ538" s="0" t="n">
        <v>63</v>
      </c>
      <c r="AK538" s="0" t="n">
        <v>111</v>
      </c>
      <c r="AL538" s="0" t="n">
        <v>0.37</v>
      </c>
    </row>
    <row r="539">
      <c r="A539" s="0" t="inlineStr">
        <is>
          <t>[봉명동]</t>
        </is>
      </c>
      <c r="B539" s="0" t="n">
        <v>112598</v>
      </c>
      <c r="C539" s="0" t="n">
        <v>2</v>
      </c>
      <c r="D539" s="0" t="inlineStr">
        <is>
          <t>하이젠시티(도시형)</t>
        </is>
      </c>
      <c r="E539" s="0" t="inlineStr">
        <is>
          <t>2015.08.</t>
        </is>
      </c>
      <c r="F539" s="0" t="n">
        <v>298</v>
      </c>
      <c r="G539" s="0" t="n">
        <v>13.86</v>
      </c>
      <c r="H539" s="0" t="n">
        <v>45.83</v>
      </c>
      <c r="I539" s="0" t="n">
        <v>10.07</v>
      </c>
      <c r="J539" s="0" t="n">
        <v>33.3</v>
      </c>
      <c r="K539" s="0" t="n">
        <v>72</v>
      </c>
      <c r="T539" s="0" t="n">
        <v>1</v>
      </c>
      <c r="U539" s="0" t="n">
        <v>1</v>
      </c>
      <c r="V539" s="0" t="inlineStr">
        <is>
          <t>복도식</t>
        </is>
      </c>
      <c r="W539" s="0" t="n">
        <v>45</v>
      </c>
      <c r="X539" s="0" t="n">
        <v>20</v>
      </c>
      <c r="Y539" s="0" t="n">
        <v>16</v>
      </c>
      <c r="Z539" s="0" t="inlineStr">
        <is>
          <t>https://new.land.naver.com/complexes/112598?tab=detail&amp;rf=Y</t>
        </is>
      </c>
      <c r="AA539" s="0" t="inlineStr">
        <is>
          <t>충청북도 청주시 흥덕구 봉명동 757</t>
        </is>
      </c>
      <c r="AB539" s="0" t="inlineStr">
        <is>
          <t>충청북도</t>
        </is>
      </c>
      <c r="AC539" s="0" t="inlineStr">
        <is>
          <t>청주시</t>
        </is>
      </c>
      <c r="AD539" s="0" t="inlineStr">
        <is>
          <t>흥덕구</t>
        </is>
      </c>
      <c r="AE539" s="0" t="inlineStr">
        <is>
          <t>봉명동</t>
        </is>
      </c>
      <c r="AG539" s="0" t="inlineStr">
        <is>
          <t>충청북도 청주시 흥덕구 직지대로 636</t>
        </is>
      </c>
      <c r="AH539" s="0" t="n">
        <v>0</v>
      </c>
      <c r="AI539" s="0" t="n">
        <v>822</v>
      </c>
      <c r="AJ539" s="0" t="n">
        <v>63</v>
      </c>
      <c r="AK539" s="0" t="n">
        <v>111</v>
      </c>
      <c r="AL539" s="0" t="n">
        <v>0.37</v>
      </c>
    </row>
    <row r="540">
      <c r="A540" s="0" t="inlineStr">
        <is>
          <t>[봉명동]</t>
        </is>
      </c>
      <c r="B540" s="0" t="n">
        <v>112598</v>
      </c>
      <c r="C540" s="0" t="n">
        <v>3</v>
      </c>
      <c r="D540" s="0" t="inlineStr">
        <is>
          <t>하이젠시티(도시형)</t>
        </is>
      </c>
      <c r="E540" s="0" t="inlineStr">
        <is>
          <t>2015.08.</t>
        </is>
      </c>
      <c r="F540" s="0" t="n">
        <v>298</v>
      </c>
      <c r="G540" s="0" t="n">
        <v>17.84</v>
      </c>
      <c r="H540" s="0" t="n">
        <v>58.98</v>
      </c>
      <c r="I540" s="0" t="n">
        <v>12.96</v>
      </c>
      <c r="J540" s="0" t="n">
        <v>42.85</v>
      </c>
      <c r="K540" s="0" t="n">
        <v>198</v>
      </c>
      <c r="T540" s="0" t="n">
        <v>1</v>
      </c>
      <c r="U540" s="0" t="n">
        <v>1</v>
      </c>
      <c r="V540" s="0" t="inlineStr">
        <is>
          <t>복도식</t>
        </is>
      </c>
      <c r="W540" s="0" t="n">
        <v>58</v>
      </c>
      <c r="X540" s="0" t="n">
        <v>20</v>
      </c>
      <c r="Y540" s="0" t="n">
        <v>16</v>
      </c>
      <c r="Z540" s="0" t="inlineStr">
        <is>
          <t>https://new.land.naver.com/complexes/112598?tab=detail&amp;rf=Y</t>
        </is>
      </c>
      <c r="AA540" s="0" t="inlineStr">
        <is>
          <t>충청북도 청주시 흥덕구 봉명동 757</t>
        </is>
      </c>
      <c r="AB540" s="0" t="inlineStr">
        <is>
          <t>충청북도</t>
        </is>
      </c>
      <c r="AC540" s="0" t="inlineStr">
        <is>
          <t>청주시</t>
        </is>
      </c>
      <c r="AD540" s="0" t="inlineStr">
        <is>
          <t>흥덕구</t>
        </is>
      </c>
      <c r="AE540" s="0" t="inlineStr">
        <is>
          <t>봉명동</t>
        </is>
      </c>
      <c r="AG540" s="0" t="inlineStr">
        <is>
          <t>충청북도 청주시 흥덕구 직지대로 636</t>
        </is>
      </c>
      <c r="AH540" s="0" t="n">
        <v>0</v>
      </c>
      <c r="AI540" s="0" t="n">
        <v>822</v>
      </c>
      <c r="AJ540" s="0" t="n">
        <v>63</v>
      </c>
      <c r="AK540" s="0" t="n">
        <v>111</v>
      </c>
      <c r="AL540" s="0" t="n">
        <v>0.37</v>
      </c>
    </row>
    <row r="541">
      <c r="A541" s="0" t="inlineStr">
        <is>
          <t>[봉명동]</t>
        </is>
      </c>
      <c r="B541" s="0" t="n">
        <v>120270</v>
      </c>
      <c r="C541" s="0" t="n">
        <v>1</v>
      </c>
      <c r="D541" s="0" t="inlineStr">
        <is>
          <t>신성스카이텔</t>
        </is>
      </c>
      <c r="E541" s="0" t="inlineStr">
        <is>
          <t>2002.02.</t>
        </is>
      </c>
      <c r="F541" s="0" t="n">
        <v>19</v>
      </c>
      <c r="G541" s="0" t="n">
        <v>9.58</v>
      </c>
      <c r="H541" s="0" t="n">
        <v>31.7</v>
      </c>
      <c r="I541" s="0" t="n">
        <v>7.82</v>
      </c>
      <c r="J541" s="0" t="n">
        <v>25.88</v>
      </c>
      <c r="K541" s="0" t="n">
        <v>1</v>
      </c>
      <c r="T541" s="0" t="n">
        <v>1</v>
      </c>
      <c r="U541" s="0" t="n">
        <v>1</v>
      </c>
      <c r="V541" s="0" t="inlineStr">
        <is>
          <t>계단식</t>
        </is>
      </c>
      <c r="W541" s="0" t="n">
        <v>31</v>
      </c>
      <c r="X541" s="0" t="n">
        <v>8</v>
      </c>
      <c r="Y541" s="0" t="n">
        <v>7</v>
      </c>
      <c r="Z541" s="0" t="inlineStr">
        <is>
          <t>https://new.land.naver.com/complexes/120270?tab=detail&amp;rf=Y</t>
        </is>
      </c>
      <c r="AA541" s="0" t="inlineStr">
        <is>
          <t>충청북도 청주시 흥덕구 봉명동 222-11</t>
        </is>
      </c>
      <c r="AB541" s="0" t="inlineStr">
        <is>
          <t>충청북도</t>
        </is>
      </c>
      <c r="AC541" s="0" t="inlineStr">
        <is>
          <t>청주시</t>
        </is>
      </c>
      <c r="AD541" s="0" t="inlineStr">
        <is>
          <t>흥덕구</t>
        </is>
      </c>
      <c r="AE541" s="0" t="inlineStr">
        <is>
          <t>봉명동</t>
        </is>
      </c>
      <c r="AG541" s="0" t="inlineStr">
        <is>
          <t>충청북도 청주시 흥덕구 1순환로608번길 12</t>
        </is>
      </c>
      <c r="AH541" s="0" t="n">
        <v>0</v>
      </c>
      <c r="AI541" s="0" t="n">
        <v>429</v>
      </c>
      <c r="AJ541" s="0" t="n">
        <v>69</v>
      </c>
      <c r="AK541" s="0" t="n">
        <v>8</v>
      </c>
      <c r="AL541" s="0" t="n">
        <v>0.42</v>
      </c>
    </row>
    <row r="542">
      <c r="A542" s="0" t="inlineStr">
        <is>
          <t>[봉명동]</t>
        </is>
      </c>
      <c r="B542" s="0" t="n">
        <v>120270</v>
      </c>
      <c r="C542" s="0" t="n">
        <v>2</v>
      </c>
      <c r="D542" s="0" t="inlineStr">
        <is>
          <t>신성스카이텔</t>
        </is>
      </c>
      <c r="E542" s="0" t="inlineStr">
        <is>
          <t>2002.02.</t>
        </is>
      </c>
      <c r="F542" s="0" t="n">
        <v>19</v>
      </c>
      <c r="G542" s="0" t="n">
        <v>13.32</v>
      </c>
      <c r="H542" s="0" t="n">
        <v>44.05</v>
      </c>
      <c r="I542" s="0" t="n">
        <v>10.87</v>
      </c>
      <c r="J542" s="0" t="n">
        <v>35.96</v>
      </c>
      <c r="K542" s="0" t="n">
        <v>1</v>
      </c>
      <c r="T542" s="0" t="n">
        <v>1</v>
      </c>
      <c r="U542" s="0" t="n">
        <v>1</v>
      </c>
      <c r="V542" s="0" t="inlineStr">
        <is>
          <t>계단식</t>
        </is>
      </c>
      <c r="W542" s="0" t="n">
        <v>44</v>
      </c>
      <c r="X542" s="0" t="n">
        <v>8</v>
      </c>
      <c r="Y542" s="0" t="n">
        <v>7</v>
      </c>
      <c r="Z542" s="0" t="inlineStr">
        <is>
          <t>https://new.land.naver.com/complexes/120270?tab=detail&amp;rf=Y</t>
        </is>
      </c>
      <c r="AA542" s="0" t="inlineStr">
        <is>
          <t>충청북도 청주시 흥덕구 봉명동 222-11</t>
        </is>
      </c>
      <c r="AB542" s="0" t="inlineStr">
        <is>
          <t>충청북도</t>
        </is>
      </c>
      <c r="AC542" s="0" t="inlineStr">
        <is>
          <t>청주시</t>
        </is>
      </c>
      <c r="AD542" s="0" t="inlineStr">
        <is>
          <t>흥덕구</t>
        </is>
      </c>
      <c r="AE542" s="0" t="inlineStr">
        <is>
          <t>봉명동</t>
        </is>
      </c>
      <c r="AG542" s="0" t="inlineStr">
        <is>
          <t>충청북도 청주시 흥덕구 1순환로608번길 12</t>
        </is>
      </c>
      <c r="AH542" s="0" t="n">
        <v>0</v>
      </c>
      <c r="AI542" s="0" t="n">
        <v>429</v>
      </c>
      <c r="AJ542" s="0" t="n">
        <v>69</v>
      </c>
      <c r="AK542" s="0" t="n">
        <v>8</v>
      </c>
      <c r="AL542" s="0" t="n">
        <v>0.42</v>
      </c>
    </row>
    <row r="543">
      <c r="A543" s="0" t="inlineStr">
        <is>
          <t>[봉명동]</t>
        </is>
      </c>
      <c r="B543" s="0" t="n">
        <v>120270</v>
      </c>
      <c r="C543" s="0" t="n">
        <v>3</v>
      </c>
      <c r="D543" s="0" t="inlineStr">
        <is>
          <t>신성스카이텔</t>
        </is>
      </c>
      <c r="E543" s="0" t="inlineStr">
        <is>
          <t>2002.02.</t>
        </is>
      </c>
      <c r="F543" s="0" t="n">
        <v>19</v>
      </c>
      <c r="G543" s="0" t="n">
        <v>13.9</v>
      </c>
      <c r="H543" s="0" t="n">
        <v>45.96</v>
      </c>
      <c r="I543" s="0" t="n">
        <v>11.34</v>
      </c>
      <c r="J543" s="0" t="n">
        <v>37.52</v>
      </c>
      <c r="K543" s="0" t="n">
        <v>1</v>
      </c>
      <c r="T543" s="0" t="n">
        <v>1</v>
      </c>
      <c r="U543" s="0" t="n">
        <v>1</v>
      </c>
      <c r="V543" s="0" t="inlineStr">
        <is>
          <t>계단식</t>
        </is>
      </c>
      <c r="W543" s="0" t="n">
        <v>45</v>
      </c>
      <c r="X543" s="0" t="n">
        <v>8</v>
      </c>
      <c r="Y543" s="0" t="n">
        <v>7</v>
      </c>
      <c r="Z543" s="0" t="inlineStr">
        <is>
          <t>https://new.land.naver.com/complexes/120270?tab=detail&amp;rf=Y</t>
        </is>
      </c>
      <c r="AA543" s="0" t="inlineStr">
        <is>
          <t>충청북도 청주시 흥덕구 봉명동 222-11</t>
        </is>
      </c>
      <c r="AB543" s="0" t="inlineStr">
        <is>
          <t>충청북도</t>
        </is>
      </c>
      <c r="AC543" s="0" t="inlineStr">
        <is>
          <t>청주시</t>
        </is>
      </c>
      <c r="AD543" s="0" t="inlineStr">
        <is>
          <t>흥덕구</t>
        </is>
      </c>
      <c r="AE543" s="0" t="inlineStr">
        <is>
          <t>봉명동</t>
        </is>
      </c>
      <c r="AG543" s="0" t="inlineStr">
        <is>
          <t>충청북도 청주시 흥덕구 1순환로608번길 12</t>
        </is>
      </c>
      <c r="AH543" s="0" t="n">
        <v>0</v>
      </c>
      <c r="AI543" s="0" t="n">
        <v>429</v>
      </c>
      <c r="AJ543" s="0" t="n">
        <v>69</v>
      </c>
      <c r="AK543" s="0" t="n">
        <v>8</v>
      </c>
      <c r="AL543" s="0" t="n">
        <v>0.42</v>
      </c>
    </row>
    <row r="544">
      <c r="A544" s="0" t="inlineStr">
        <is>
          <t>[봉명동]</t>
        </is>
      </c>
      <c r="B544" s="0" t="n">
        <v>120270</v>
      </c>
      <c r="C544" s="0" t="n">
        <v>4</v>
      </c>
      <c r="D544" s="0" t="inlineStr">
        <is>
          <t>신성스카이텔</t>
        </is>
      </c>
      <c r="E544" s="0" t="inlineStr">
        <is>
          <t>2002.02.</t>
        </is>
      </c>
      <c r="F544" s="0" t="n">
        <v>19</v>
      </c>
      <c r="G544" s="0" t="n">
        <v>15.25</v>
      </c>
      <c r="H544" s="0" t="n">
        <v>50.42</v>
      </c>
      <c r="I544" s="0" t="n">
        <v>12.45</v>
      </c>
      <c r="J544" s="0" t="n">
        <v>41.16</v>
      </c>
      <c r="K544" s="0" t="n">
        <v>5</v>
      </c>
      <c r="T544" s="0" t="n">
        <v>1</v>
      </c>
      <c r="U544" s="0" t="n">
        <v>1</v>
      </c>
      <c r="V544" s="0" t="inlineStr">
        <is>
          <t>계단식</t>
        </is>
      </c>
      <c r="W544" s="0" t="inlineStr">
        <is>
          <t>50A</t>
        </is>
      </c>
      <c r="X544" s="0" t="n">
        <v>8</v>
      </c>
      <c r="Y544" s="0" t="n">
        <v>7</v>
      </c>
      <c r="Z544" s="0" t="inlineStr">
        <is>
          <t>https://new.land.naver.com/complexes/120270?tab=detail&amp;rf=Y</t>
        </is>
      </c>
      <c r="AA544" s="0" t="inlineStr">
        <is>
          <t>충청북도 청주시 흥덕구 봉명동 222-11</t>
        </is>
      </c>
      <c r="AB544" s="0" t="inlineStr">
        <is>
          <t>충청북도</t>
        </is>
      </c>
      <c r="AC544" s="0" t="inlineStr">
        <is>
          <t>청주시</t>
        </is>
      </c>
      <c r="AD544" s="0" t="inlineStr">
        <is>
          <t>흥덕구</t>
        </is>
      </c>
      <c r="AE544" s="0" t="inlineStr">
        <is>
          <t>봉명동</t>
        </is>
      </c>
      <c r="AG544" s="0" t="inlineStr">
        <is>
          <t>충청북도 청주시 흥덕구 1순환로608번길 12</t>
        </is>
      </c>
      <c r="AH544" s="0" t="n">
        <v>0</v>
      </c>
      <c r="AI544" s="0" t="n">
        <v>429</v>
      </c>
      <c r="AJ544" s="0" t="n">
        <v>69</v>
      </c>
      <c r="AK544" s="0" t="n">
        <v>8</v>
      </c>
      <c r="AL544" s="0" t="n">
        <v>0.42</v>
      </c>
    </row>
    <row r="545">
      <c r="A545" s="0" t="inlineStr">
        <is>
          <t>[봉명동]</t>
        </is>
      </c>
      <c r="B545" s="0" t="n">
        <v>120270</v>
      </c>
      <c r="C545" s="0" t="n">
        <v>5</v>
      </c>
      <c r="D545" s="0" t="inlineStr">
        <is>
          <t>신성스카이텔</t>
        </is>
      </c>
      <c r="E545" s="0" t="inlineStr">
        <is>
          <t>2002.02.</t>
        </is>
      </c>
      <c r="F545" s="0" t="n">
        <v>19</v>
      </c>
      <c r="G545" s="0" t="n">
        <v>15.46</v>
      </c>
      <c r="H545" s="0" t="n">
        <v>51.14</v>
      </c>
      <c r="I545" s="0" t="n">
        <v>12.45</v>
      </c>
      <c r="J545" s="0" t="n">
        <v>41.16</v>
      </c>
      <c r="K545" s="0" t="n">
        <v>1</v>
      </c>
      <c r="T545" s="0" t="n">
        <v>1</v>
      </c>
      <c r="U545" s="0" t="n">
        <v>1</v>
      </c>
      <c r="V545" s="0" t="inlineStr">
        <is>
          <t>계단식</t>
        </is>
      </c>
      <c r="W545" s="0" t="inlineStr">
        <is>
          <t>51B</t>
        </is>
      </c>
      <c r="X545" s="0" t="n">
        <v>8</v>
      </c>
      <c r="Y545" s="0" t="n">
        <v>7</v>
      </c>
      <c r="Z545" s="0" t="inlineStr">
        <is>
          <t>https://new.land.naver.com/complexes/120270?tab=detail&amp;rf=Y</t>
        </is>
      </c>
      <c r="AA545" s="0" t="inlineStr">
        <is>
          <t>충청북도 청주시 흥덕구 봉명동 222-11</t>
        </is>
      </c>
      <c r="AB545" s="0" t="inlineStr">
        <is>
          <t>충청북도</t>
        </is>
      </c>
      <c r="AC545" s="0" t="inlineStr">
        <is>
          <t>청주시</t>
        </is>
      </c>
      <c r="AD545" s="0" t="inlineStr">
        <is>
          <t>흥덕구</t>
        </is>
      </c>
      <c r="AE545" s="0" t="inlineStr">
        <is>
          <t>봉명동</t>
        </is>
      </c>
      <c r="AG545" s="0" t="inlineStr">
        <is>
          <t>충청북도 청주시 흥덕구 1순환로608번길 12</t>
        </is>
      </c>
      <c r="AH545" s="0" t="n">
        <v>0</v>
      </c>
      <c r="AI545" s="0" t="n">
        <v>429</v>
      </c>
      <c r="AJ545" s="0" t="n">
        <v>69</v>
      </c>
      <c r="AK545" s="0" t="n">
        <v>8</v>
      </c>
      <c r="AL545" s="0" t="n">
        <v>0.42</v>
      </c>
    </row>
    <row r="546">
      <c r="A546" s="0" t="inlineStr">
        <is>
          <t>[봉명동]</t>
        </is>
      </c>
      <c r="B546" s="0" t="n">
        <v>120270</v>
      </c>
      <c r="C546" s="0" t="n">
        <v>6</v>
      </c>
      <c r="D546" s="0" t="inlineStr">
        <is>
          <t>신성스카이텔</t>
        </is>
      </c>
      <c r="E546" s="0" t="inlineStr">
        <is>
          <t>2002.02.</t>
        </is>
      </c>
      <c r="F546" s="0" t="n">
        <v>19</v>
      </c>
      <c r="G546" s="0" t="n">
        <v>16.43</v>
      </c>
      <c r="H546" s="0" t="n">
        <v>54.34</v>
      </c>
      <c r="I546" s="0" t="n">
        <v>13.41</v>
      </c>
      <c r="J546" s="0" t="n">
        <v>44.36</v>
      </c>
      <c r="K546" s="0" t="n">
        <v>1</v>
      </c>
      <c r="T546" s="0" t="n">
        <v>1</v>
      </c>
      <c r="U546" s="0" t="n">
        <v>1</v>
      </c>
      <c r="V546" s="0" t="inlineStr">
        <is>
          <t>계단식</t>
        </is>
      </c>
      <c r="W546" s="0" t="n">
        <v>54</v>
      </c>
      <c r="X546" s="0" t="n">
        <v>8</v>
      </c>
      <c r="Y546" s="0" t="n">
        <v>7</v>
      </c>
      <c r="Z546" s="0" t="inlineStr">
        <is>
          <t>https://new.land.naver.com/complexes/120270?tab=detail&amp;rf=Y</t>
        </is>
      </c>
      <c r="AA546" s="0" t="inlineStr">
        <is>
          <t>충청북도 청주시 흥덕구 봉명동 222-11</t>
        </is>
      </c>
      <c r="AB546" s="0" t="inlineStr">
        <is>
          <t>충청북도</t>
        </is>
      </c>
      <c r="AC546" s="0" t="inlineStr">
        <is>
          <t>청주시</t>
        </is>
      </c>
      <c r="AD546" s="0" t="inlineStr">
        <is>
          <t>흥덕구</t>
        </is>
      </c>
      <c r="AE546" s="0" t="inlineStr">
        <is>
          <t>봉명동</t>
        </is>
      </c>
      <c r="AG546" s="0" t="inlineStr">
        <is>
          <t>충청북도 청주시 흥덕구 1순환로608번길 12</t>
        </is>
      </c>
      <c r="AH546" s="0" t="n">
        <v>0</v>
      </c>
      <c r="AI546" s="0" t="n">
        <v>429</v>
      </c>
      <c r="AJ546" s="0" t="n">
        <v>69</v>
      </c>
      <c r="AK546" s="0" t="n">
        <v>8</v>
      </c>
      <c r="AL546" s="0" t="n">
        <v>0.42</v>
      </c>
    </row>
    <row r="547">
      <c r="A547" s="0" t="inlineStr">
        <is>
          <t>[봉명동]</t>
        </is>
      </c>
      <c r="B547" s="0" t="n">
        <v>120270</v>
      </c>
      <c r="C547" s="0" t="n">
        <v>7</v>
      </c>
      <c r="D547" s="0" t="inlineStr">
        <is>
          <t>신성스카이텔</t>
        </is>
      </c>
      <c r="E547" s="0" t="inlineStr">
        <is>
          <t>2002.02.</t>
        </is>
      </c>
      <c r="F547" s="0" t="n">
        <v>19</v>
      </c>
      <c r="G547" s="0" t="n">
        <v>17.63</v>
      </c>
      <c r="H547" s="0" t="n">
        <v>58.31</v>
      </c>
      <c r="I547" s="0" t="n">
        <v>14.39</v>
      </c>
      <c r="J547" s="0" t="n">
        <v>47.6</v>
      </c>
      <c r="K547" s="0" t="n">
        <v>1</v>
      </c>
      <c r="T547" s="0" t="n">
        <v>1</v>
      </c>
      <c r="U547" s="0" t="n">
        <v>1</v>
      </c>
      <c r="V547" s="0" t="inlineStr">
        <is>
          <t>계단식</t>
        </is>
      </c>
      <c r="W547" s="0" t="n">
        <v>58</v>
      </c>
      <c r="X547" s="0" t="n">
        <v>8</v>
      </c>
      <c r="Y547" s="0" t="n">
        <v>7</v>
      </c>
      <c r="Z547" s="0" t="inlineStr">
        <is>
          <t>https://new.land.naver.com/complexes/120270?tab=detail&amp;rf=Y</t>
        </is>
      </c>
      <c r="AA547" s="0" t="inlineStr">
        <is>
          <t>충청북도 청주시 흥덕구 봉명동 222-11</t>
        </is>
      </c>
      <c r="AB547" s="0" t="inlineStr">
        <is>
          <t>충청북도</t>
        </is>
      </c>
      <c r="AC547" s="0" t="inlineStr">
        <is>
          <t>청주시</t>
        </is>
      </c>
      <c r="AD547" s="0" t="inlineStr">
        <is>
          <t>흥덕구</t>
        </is>
      </c>
      <c r="AE547" s="0" t="inlineStr">
        <is>
          <t>봉명동</t>
        </is>
      </c>
      <c r="AG547" s="0" t="inlineStr">
        <is>
          <t>충청북도 청주시 흥덕구 1순환로608번길 12</t>
        </is>
      </c>
      <c r="AH547" s="0" t="n">
        <v>0</v>
      </c>
      <c r="AI547" s="0" t="n">
        <v>429</v>
      </c>
      <c r="AJ547" s="0" t="n">
        <v>69</v>
      </c>
      <c r="AK547" s="0" t="n">
        <v>8</v>
      </c>
      <c r="AL547" s="0" t="n">
        <v>0.42</v>
      </c>
    </row>
    <row r="548">
      <c r="A548" s="0" t="inlineStr">
        <is>
          <t>[봉명동]</t>
        </is>
      </c>
      <c r="B548" s="0" t="n">
        <v>120270</v>
      </c>
      <c r="C548" s="0" t="n">
        <v>8</v>
      </c>
      <c r="D548" s="0" t="inlineStr">
        <is>
          <t>신성스카이텔</t>
        </is>
      </c>
      <c r="E548" s="0" t="inlineStr">
        <is>
          <t>2002.02.</t>
        </is>
      </c>
      <c r="F548" s="0" t="n">
        <v>19</v>
      </c>
      <c r="G548" s="0" t="n">
        <v>18.92</v>
      </c>
      <c r="H548" s="0" t="n">
        <v>62.57</v>
      </c>
      <c r="I548" s="0" t="n">
        <v>15.45</v>
      </c>
      <c r="J548" s="0" t="n">
        <v>51.08</v>
      </c>
      <c r="K548" s="0" t="n">
        <v>3</v>
      </c>
      <c r="T548" s="0" t="n">
        <v>1</v>
      </c>
      <c r="U548" s="0" t="n">
        <v>1</v>
      </c>
      <c r="V548" s="0" t="inlineStr">
        <is>
          <t>계단식</t>
        </is>
      </c>
      <c r="W548" s="0" t="n">
        <v>62</v>
      </c>
      <c r="X548" s="0" t="n">
        <v>8</v>
      </c>
      <c r="Y548" s="0" t="n">
        <v>7</v>
      </c>
      <c r="Z548" s="0" t="inlineStr">
        <is>
          <t>https://new.land.naver.com/complexes/120270?tab=detail&amp;rf=Y</t>
        </is>
      </c>
      <c r="AA548" s="0" t="inlineStr">
        <is>
          <t>충청북도 청주시 흥덕구 봉명동 222-11</t>
        </is>
      </c>
      <c r="AB548" s="0" t="inlineStr">
        <is>
          <t>충청북도</t>
        </is>
      </c>
      <c r="AC548" s="0" t="inlineStr">
        <is>
          <t>청주시</t>
        </is>
      </c>
      <c r="AD548" s="0" t="inlineStr">
        <is>
          <t>흥덕구</t>
        </is>
      </c>
      <c r="AE548" s="0" t="inlineStr">
        <is>
          <t>봉명동</t>
        </is>
      </c>
      <c r="AG548" s="0" t="inlineStr">
        <is>
          <t>충청북도 청주시 흥덕구 1순환로608번길 12</t>
        </is>
      </c>
      <c r="AH548" s="0" t="n">
        <v>0</v>
      </c>
      <c r="AI548" s="0" t="n">
        <v>429</v>
      </c>
      <c r="AJ548" s="0" t="n">
        <v>69</v>
      </c>
      <c r="AK548" s="0" t="n">
        <v>8</v>
      </c>
      <c r="AL548" s="0" t="n">
        <v>0.42</v>
      </c>
    </row>
    <row r="549">
      <c r="A549" s="0" t="inlineStr">
        <is>
          <t>[봉명동]</t>
        </is>
      </c>
      <c r="B549" s="0" t="n">
        <v>120270</v>
      </c>
      <c r="C549" s="0" t="n">
        <v>9</v>
      </c>
      <c r="D549" s="0" t="inlineStr">
        <is>
          <t>신성스카이텔</t>
        </is>
      </c>
      <c r="E549" s="0" t="inlineStr">
        <is>
          <t>2002.02.</t>
        </is>
      </c>
      <c r="F549" s="0" t="n">
        <v>19</v>
      </c>
      <c r="G549" s="0" t="n">
        <v>20.75</v>
      </c>
      <c r="H549" s="0" t="n">
        <v>68.59999999999999</v>
      </c>
      <c r="I549" s="0" t="n">
        <v>16.94</v>
      </c>
      <c r="J549" s="0" t="n">
        <v>56</v>
      </c>
      <c r="K549" s="0" t="n">
        <v>1</v>
      </c>
      <c r="T549" s="0" t="n">
        <v>1</v>
      </c>
      <c r="U549" s="0" t="n">
        <v>1</v>
      </c>
      <c r="V549" s="0" t="inlineStr">
        <is>
          <t>계단식</t>
        </is>
      </c>
      <c r="W549" s="0" t="n">
        <v>68</v>
      </c>
      <c r="X549" s="0" t="n">
        <v>8</v>
      </c>
      <c r="Y549" s="0" t="n">
        <v>7</v>
      </c>
      <c r="Z549" s="0" t="inlineStr">
        <is>
          <t>https://new.land.naver.com/complexes/120270?tab=detail&amp;rf=Y</t>
        </is>
      </c>
      <c r="AA549" s="0" t="inlineStr">
        <is>
          <t>충청북도 청주시 흥덕구 봉명동 222-11</t>
        </is>
      </c>
      <c r="AB549" s="0" t="inlineStr">
        <is>
          <t>충청북도</t>
        </is>
      </c>
      <c r="AC549" s="0" t="inlineStr">
        <is>
          <t>청주시</t>
        </is>
      </c>
      <c r="AD549" s="0" t="inlineStr">
        <is>
          <t>흥덕구</t>
        </is>
      </c>
      <c r="AE549" s="0" t="inlineStr">
        <is>
          <t>봉명동</t>
        </is>
      </c>
      <c r="AG549" s="0" t="inlineStr">
        <is>
          <t>충청북도 청주시 흥덕구 1순환로608번길 12</t>
        </is>
      </c>
      <c r="AH549" s="0" t="n">
        <v>0</v>
      </c>
      <c r="AI549" s="0" t="n">
        <v>429</v>
      </c>
      <c r="AJ549" s="0" t="n">
        <v>69</v>
      </c>
      <c r="AK549" s="0" t="n">
        <v>8</v>
      </c>
      <c r="AL549" s="0" t="n">
        <v>0.42</v>
      </c>
    </row>
    <row r="550">
      <c r="A550" s="0" t="inlineStr">
        <is>
          <t>[봉명동]</t>
        </is>
      </c>
      <c r="B550" s="0" t="n">
        <v>120270</v>
      </c>
      <c r="C550" s="0" t="n">
        <v>10</v>
      </c>
      <c r="D550" s="0" t="inlineStr">
        <is>
          <t>신성스카이텔</t>
        </is>
      </c>
      <c r="E550" s="0" t="inlineStr">
        <is>
          <t>2002.02.</t>
        </is>
      </c>
      <c r="F550" s="0" t="n">
        <v>19</v>
      </c>
      <c r="G550" s="0" t="n">
        <v>23.24</v>
      </c>
      <c r="H550" s="0" t="n">
        <v>76.83</v>
      </c>
      <c r="I550" s="0" t="n">
        <v>18.97</v>
      </c>
      <c r="J550" s="0" t="n">
        <v>62.72</v>
      </c>
      <c r="K550" s="0" t="n">
        <v>3</v>
      </c>
      <c r="T550" s="0" t="n">
        <v>1</v>
      </c>
      <c r="U550" s="0" t="n">
        <v>1</v>
      </c>
      <c r="V550" s="0" t="inlineStr">
        <is>
          <t>계단식</t>
        </is>
      </c>
      <c r="W550" s="0" t="n">
        <v>76</v>
      </c>
      <c r="X550" s="0" t="n">
        <v>8</v>
      </c>
      <c r="Y550" s="0" t="n">
        <v>7</v>
      </c>
      <c r="Z550" s="0" t="inlineStr">
        <is>
          <t>https://new.land.naver.com/complexes/120270?tab=detail&amp;rf=Y</t>
        </is>
      </c>
      <c r="AA550" s="0" t="inlineStr">
        <is>
          <t>충청북도 청주시 흥덕구 봉명동 222-11</t>
        </is>
      </c>
      <c r="AB550" s="0" t="inlineStr">
        <is>
          <t>충청북도</t>
        </is>
      </c>
      <c r="AC550" s="0" t="inlineStr">
        <is>
          <t>청주시</t>
        </is>
      </c>
      <c r="AD550" s="0" t="inlineStr">
        <is>
          <t>흥덕구</t>
        </is>
      </c>
      <c r="AE550" s="0" t="inlineStr">
        <is>
          <t>봉명동</t>
        </is>
      </c>
      <c r="AG550" s="0" t="inlineStr">
        <is>
          <t>충청북도 청주시 흥덕구 1순환로608번길 12</t>
        </is>
      </c>
      <c r="AH550" s="0" t="n">
        <v>0</v>
      </c>
      <c r="AI550" s="0" t="n">
        <v>429</v>
      </c>
      <c r="AJ550" s="0" t="n">
        <v>69</v>
      </c>
      <c r="AK550" s="0" t="n">
        <v>8</v>
      </c>
      <c r="AL550" s="0" t="n">
        <v>0.42</v>
      </c>
    </row>
    <row r="551">
      <c r="A551" s="0" t="inlineStr">
        <is>
          <t>[봉명동]</t>
        </is>
      </c>
      <c r="B551" s="0" t="n">
        <v>120270</v>
      </c>
      <c r="C551" s="0" t="n">
        <v>11</v>
      </c>
      <c r="D551" s="0" t="inlineStr">
        <is>
          <t>신성스카이텔</t>
        </is>
      </c>
      <c r="E551" s="0" t="inlineStr">
        <is>
          <t>2002.02.</t>
        </is>
      </c>
      <c r="F551" s="0" t="n">
        <v>19</v>
      </c>
      <c r="G551" s="0" t="n">
        <v>35.51</v>
      </c>
      <c r="H551" s="0" t="n">
        <v>117.41</v>
      </c>
      <c r="I551" s="0" t="n">
        <v>28.99</v>
      </c>
      <c r="J551" s="0" t="n">
        <v>95.86</v>
      </c>
      <c r="K551" s="0" t="n">
        <v>1</v>
      </c>
      <c r="T551" s="0" t="n">
        <v>1</v>
      </c>
      <c r="U551" s="0" t="n">
        <v>1</v>
      </c>
      <c r="V551" s="0" t="inlineStr">
        <is>
          <t>계단식</t>
        </is>
      </c>
      <c r="W551" s="0" t="n">
        <v>117</v>
      </c>
      <c r="X551" s="0" t="n">
        <v>8</v>
      </c>
      <c r="Y551" s="0" t="n">
        <v>7</v>
      </c>
      <c r="Z551" s="0" t="inlineStr">
        <is>
          <t>https://new.land.naver.com/complexes/120270?tab=detail&amp;rf=Y</t>
        </is>
      </c>
      <c r="AA551" s="0" t="inlineStr">
        <is>
          <t>충청북도 청주시 흥덕구 봉명동 222-11</t>
        </is>
      </c>
      <c r="AB551" s="0" t="inlineStr">
        <is>
          <t>충청북도</t>
        </is>
      </c>
      <c r="AC551" s="0" t="inlineStr">
        <is>
          <t>청주시</t>
        </is>
      </c>
      <c r="AD551" s="0" t="inlineStr">
        <is>
          <t>흥덕구</t>
        </is>
      </c>
      <c r="AE551" s="0" t="inlineStr">
        <is>
          <t>봉명동</t>
        </is>
      </c>
      <c r="AG551" s="0" t="inlineStr">
        <is>
          <t>충청북도 청주시 흥덕구 1순환로608번길 12</t>
        </is>
      </c>
      <c r="AH551" s="0" t="n">
        <v>0</v>
      </c>
      <c r="AI551" s="0" t="n">
        <v>429</v>
      </c>
      <c r="AJ551" s="0" t="n">
        <v>69</v>
      </c>
      <c r="AK551" s="0" t="n">
        <v>8</v>
      </c>
      <c r="AL551" s="0" t="n">
        <v>0.42</v>
      </c>
    </row>
    <row r="552">
      <c r="A552" s="0" t="inlineStr">
        <is>
          <t>[봉명동]</t>
        </is>
      </c>
      <c r="B552" s="0" t="n">
        <v>132616</v>
      </c>
      <c r="C552" s="0" t="n">
        <v>1</v>
      </c>
      <c r="D552" s="0" t="inlineStr">
        <is>
          <t>봉명베리굿(도시형)</t>
        </is>
      </c>
      <c r="E552" s="0" t="inlineStr">
        <is>
          <t>2020.09.</t>
        </is>
      </c>
      <c r="F552" s="0" t="n">
        <v>151</v>
      </c>
      <c r="G552" s="0" t="n">
        <v>19.78</v>
      </c>
      <c r="H552" s="0" t="n">
        <v>65.40000000000001</v>
      </c>
      <c r="I552" s="0" t="n">
        <v>11.88</v>
      </c>
      <c r="J552" s="0" t="n">
        <v>39.29</v>
      </c>
      <c r="K552" s="0" t="n">
        <v>70</v>
      </c>
      <c r="T552" s="0" t="n">
        <v>2</v>
      </c>
      <c r="U552" s="0" t="n">
        <v>1</v>
      </c>
      <c r="V552" s="0" t="inlineStr">
        <is>
          <t>계단식</t>
        </is>
      </c>
      <c r="W552" s="0" t="inlineStr">
        <is>
          <t>65A1</t>
        </is>
      </c>
      <c r="X552" s="0" t="n">
        <v>20</v>
      </c>
      <c r="Y552" s="0" t="n">
        <v>20</v>
      </c>
      <c r="Z552" s="0" t="inlineStr">
        <is>
          <t>https://new.land.naver.com/complexes/132616?tab=detail&amp;rf=Y</t>
        </is>
      </c>
      <c r="AA552" s="0" t="inlineStr">
        <is>
          <t>충청북도 청주시 흥덕구 봉명동 197-11</t>
        </is>
      </c>
      <c r="AB552" s="0" t="inlineStr">
        <is>
          <t>충청북도</t>
        </is>
      </c>
      <c r="AC552" s="0" t="inlineStr">
        <is>
          <t>청주시</t>
        </is>
      </c>
      <c r="AD552" s="0" t="inlineStr">
        <is>
          <t>흥덕구</t>
        </is>
      </c>
      <c r="AE552" s="0" t="inlineStr">
        <is>
          <t>봉명동</t>
        </is>
      </c>
      <c r="AG552" s="0" t="inlineStr">
        <is>
          <t>충청북도 청주시 흥덕구 1순환로 592</t>
        </is>
      </c>
      <c r="AH552" s="0" t="n">
        <v>0</v>
      </c>
      <c r="AI552" s="0" t="n">
        <v>499</v>
      </c>
      <c r="AJ552" s="0" t="n">
        <v>49</v>
      </c>
      <c r="AK552" s="0" t="n">
        <v>164</v>
      </c>
      <c r="AL552" s="0" t="n">
        <v>1.09</v>
      </c>
    </row>
    <row r="553">
      <c r="A553" s="0" t="inlineStr">
        <is>
          <t>[봉명동]</t>
        </is>
      </c>
      <c r="B553" s="0" t="n">
        <v>132616</v>
      </c>
      <c r="C553" s="0" t="n">
        <v>2</v>
      </c>
      <c r="D553" s="0" t="inlineStr">
        <is>
          <t>봉명베리굿(도시형)</t>
        </is>
      </c>
      <c r="E553" s="0" t="inlineStr">
        <is>
          <t>2020.09.</t>
        </is>
      </c>
      <c r="F553" s="0" t="n">
        <v>151</v>
      </c>
      <c r="G553" s="0" t="n">
        <v>20.19</v>
      </c>
      <c r="H553" s="0" t="n">
        <v>66.77</v>
      </c>
      <c r="I553" s="0" t="n">
        <v>12.13</v>
      </c>
      <c r="J553" s="0" t="n">
        <v>40.11</v>
      </c>
      <c r="K553" s="0" t="n">
        <v>70</v>
      </c>
      <c r="T553" s="0" t="n">
        <v>2</v>
      </c>
      <c r="U553" s="0" t="n">
        <v>1</v>
      </c>
      <c r="V553" s="0" t="inlineStr">
        <is>
          <t>계단식</t>
        </is>
      </c>
      <c r="W553" s="0" t="inlineStr">
        <is>
          <t>66A</t>
        </is>
      </c>
      <c r="X553" s="0" t="n">
        <v>20</v>
      </c>
      <c r="Y553" s="0" t="n">
        <v>20</v>
      </c>
      <c r="Z553" s="0" t="inlineStr">
        <is>
          <t>https://new.land.naver.com/complexes/132616?tab=detail&amp;rf=Y</t>
        </is>
      </c>
      <c r="AA553" s="0" t="inlineStr">
        <is>
          <t>충청북도 청주시 흥덕구 봉명동 197-11</t>
        </is>
      </c>
      <c r="AB553" s="0" t="inlineStr">
        <is>
          <t>충청북도</t>
        </is>
      </c>
      <c r="AC553" s="0" t="inlineStr">
        <is>
          <t>청주시</t>
        </is>
      </c>
      <c r="AD553" s="0" t="inlineStr">
        <is>
          <t>흥덕구</t>
        </is>
      </c>
      <c r="AE553" s="0" t="inlineStr">
        <is>
          <t>봉명동</t>
        </is>
      </c>
      <c r="AG553" s="0" t="inlineStr">
        <is>
          <t>충청북도 청주시 흥덕구 1순환로 592</t>
        </is>
      </c>
      <c r="AH553" s="0" t="n">
        <v>0</v>
      </c>
      <c r="AI553" s="0" t="n">
        <v>499</v>
      </c>
      <c r="AJ553" s="0" t="n">
        <v>49</v>
      </c>
      <c r="AK553" s="0" t="n">
        <v>164</v>
      </c>
      <c r="AL553" s="0" t="n">
        <v>1.09</v>
      </c>
    </row>
    <row r="554">
      <c r="A554" s="0" t="inlineStr">
        <is>
          <t>[봉명동]</t>
        </is>
      </c>
      <c r="B554" s="0" t="n">
        <v>132616</v>
      </c>
      <c r="C554" s="0" t="n">
        <v>3</v>
      </c>
      <c r="D554" s="0" t="inlineStr">
        <is>
          <t>봉명베리굿(도시형)</t>
        </is>
      </c>
      <c r="E554" s="0" t="inlineStr">
        <is>
          <t>2020.09.</t>
        </is>
      </c>
      <c r="F554" s="0" t="n">
        <v>151</v>
      </c>
      <c r="G554" s="0" t="n">
        <v>20.82</v>
      </c>
      <c r="H554" s="0" t="n">
        <v>68.84</v>
      </c>
      <c r="I554" s="0" t="n">
        <v>12.5</v>
      </c>
      <c r="J554" s="0" t="n">
        <v>41.35</v>
      </c>
      <c r="K554" s="0" t="n">
        <v>11</v>
      </c>
      <c r="T554" s="0" t="n">
        <v>2</v>
      </c>
      <c r="U554" s="0" t="n">
        <v>1</v>
      </c>
      <c r="V554" s="0" t="inlineStr">
        <is>
          <t>계단식</t>
        </is>
      </c>
      <c r="W554" s="0" t="inlineStr">
        <is>
          <t>68B</t>
        </is>
      </c>
      <c r="X554" s="0" t="n">
        <v>20</v>
      </c>
      <c r="Y554" s="0" t="n">
        <v>20</v>
      </c>
      <c r="Z554" s="0" t="inlineStr">
        <is>
          <t>https://new.land.naver.com/complexes/132616?tab=detail&amp;rf=Y</t>
        </is>
      </c>
      <c r="AA554" s="0" t="inlineStr">
        <is>
          <t>충청북도 청주시 흥덕구 봉명동 197-11</t>
        </is>
      </c>
      <c r="AB554" s="0" t="inlineStr">
        <is>
          <t>충청북도</t>
        </is>
      </c>
      <c r="AC554" s="0" t="inlineStr">
        <is>
          <t>청주시</t>
        </is>
      </c>
      <c r="AD554" s="0" t="inlineStr">
        <is>
          <t>흥덕구</t>
        </is>
      </c>
      <c r="AE554" s="0" t="inlineStr">
        <is>
          <t>봉명동</t>
        </is>
      </c>
      <c r="AG554" s="0" t="inlineStr">
        <is>
          <t>충청북도 청주시 흥덕구 1순환로 592</t>
        </is>
      </c>
      <c r="AH554" s="0" t="n">
        <v>0</v>
      </c>
      <c r="AI554" s="0" t="n">
        <v>499</v>
      </c>
      <c r="AJ554" s="0" t="n">
        <v>49</v>
      </c>
      <c r="AK554" s="0" t="n">
        <v>164</v>
      </c>
      <c r="AL554" s="0" t="n">
        <v>1.09</v>
      </c>
    </row>
    <row r="555">
      <c r="A555" s="0" t="inlineStr">
        <is>
          <t>[봉명동]</t>
        </is>
      </c>
      <c r="B555" s="0" t="n">
        <v>113079</v>
      </c>
      <c r="C555" s="0" t="n">
        <v>1</v>
      </c>
      <c r="D555" s="0" t="inlineStr">
        <is>
          <t>삼정맨숀(90-44)</t>
        </is>
      </c>
      <c r="E555" s="0" t="inlineStr">
        <is>
          <t>1988.11.</t>
        </is>
      </c>
      <c r="F555" s="0" t="n">
        <v>80</v>
      </c>
      <c r="G555" s="0" t="n">
        <v>29.65</v>
      </c>
      <c r="H555" s="0" t="n">
        <v>98.02</v>
      </c>
      <c r="I555" s="0" t="n">
        <v>25.67</v>
      </c>
      <c r="J555" s="0" t="n">
        <v>84.87</v>
      </c>
      <c r="K555" s="0" t="n">
        <v>40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98</v>
      </c>
      <c r="X555" s="0" t="n">
        <v>5</v>
      </c>
      <c r="Y555" s="0" t="n">
        <v>5</v>
      </c>
      <c r="Z555" s="0" t="inlineStr">
        <is>
          <t>https://new.land.naver.com/complexes/113079?tab=detail&amp;rf=Y</t>
        </is>
      </c>
      <c r="AA555" s="0" t="inlineStr">
        <is>
          <t>충청북도 청주시 흥덕구 봉명동 90-44</t>
        </is>
      </c>
      <c r="AB555" s="0" t="inlineStr">
        <is>
          <t>충청북도</t>
        </is>
      </c>
      <c r="AC555" s="0" t="inlineStr">
        <is>
          <t>청주시</t>
        </is>
      </c>
      <c r="AD555" s="0" t="inlineStr">
        <is>
          <t>흥덕구</t>
        </is>
      </c>
      <c r="AE555" s="0" t="inlineStr">
        <is>
          <t>봉명동</t>
        </is>
      </c>
      <c r="AG555" s="0" t="inlineStr">
        <is>
          <t>충청북도 청주시 흥덕구 1순환로512번길 34-2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[봉명동]</t>
        </is>
      </c>
      <c r="B556" s="0" t="n">
        <v>113079</v>
      </c>
      <c r="C556" s="0" t="n">
        <v>2</v>
      </c>
      <c r="D556" s="0" t="inlineStr">
        <is>
          <t>삼정맨숀(90-44)</t>
        </is>
      </c>
      <c r="E556" s="0" t="inlineStr">
        <is>
          <t>1988.11.</t>
        </is>
      </c>
      <c r="F556" s="0" t="n">
        <v>80</v>
      </c>
      <c r="G556" s="0" t="n">
        <v>41.56</v>
      </c>
      <c r="H556" s="0" t="n">
        <v>137.41</v>
      </c>
      <c r="I556" s="0" t="n">
        <v>35.1</v>
      </c>
      <c r="J556" s="0" t="n">
        <v>116.04</v>
      </c>
      <c r="K556" s="0" t="n">
        <v>40</v>
      </c>
      <c r="T556" s="0" t="n">
        <v>4</v>
      </c>
      <c r="U556" s="0" t="n">
        <v>2</v>
      </c>
      <c r="V556" s="0" t="inlineStr">
        <is>
          <t>계단식</t>
        </is>
      </c>
      <c r="W556" s="0" t="n">
        <v>137</v>
      </c>
      <c r="X556" s="0" t="n">
        <v>5</v>
      </c>
      <c r="Y556" s="0" t="n">
        <v>5</v>
      </c>
      <c r="Z556" s="0" t="inlineStr">
        <is>
          <t>https://new.land.naver.com/complexes/113079?tab=detail&amp;rf=Y</t>
        </is>
      </c>
      <c r="AA556" s="0" t="inlineStr">
        <is>
          <t>충청북도 청주시 흥덕구 봉명동 90-44</t>
        </is>
      </c>
      <c r="AB556" s="0" t="inlineStr">
        <is>
          <t>충청북도</t>
        </is>
      </c>
      <c r="AC556" s="0" t="inlineStr">
        <is>
          <t>청주시</t>
        </is>
      </c>
      <c r="AD556" s="0" t="inlineStr">
        <is>
          <t>흥덕구</t>
        </is>
      </c>
      <c r="AE556" s="0" t="inlineStr">
        <is>
          <t>봉명동</t>
        </is>
      </c>
      <c r="AG556" s="0" t="inlineStr">
        <is>
          <t>충청북도 청주시 흥덕구 1순환로512번길 34-2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[봉명동]</t>
        </is>
      </c>
      <c r="B557" s="0" t="n">
        <v>118830</v>
      </c>
      <c r="C557" s="0" t="n">
        <v>1</v>
      </c>
      <c r="D557" s="0" t="inlineStr">
        <is>
          <t>더라움(도시형)</t>
        </is>
      </c>
      <c r="E557" s="0" t="inlineStr">
        <is>
          <t>2014.06.</t>
        </is>
      </c>
      <c r="F557" s="0" t="n">
        <v>167</v>
      </c>
      <c r="G557" s="0" t="n">
        <v>11.24</v>
      </c>
      <c r="H557" s="0" t="n">
        <v>37.16</v>
      </c>
      <c r="I557" s="0" t="n">
        <v>9.699999999999999</v>
      </c>
      <c r="J557" s="0" t="n">
        <v>32.09</v>
      </c>
      <c r="K557" s="0" t="n">
        <v>2</v>
      </c>
      <c r="T557" s="0" t="n">
        <v>1</v>
      </c>
      <c r="U557" s="0" t="n">
        <v>1</v>
      </c>
      <c r="V557" s="0" t="inlineStr">
        <is>
          <t>계단식</t>
        </is>
      </c>
      <c r="W557" s="0" t="inlineStr">
        <is>
          <t>37B</t>
        </is>
      </c>
      <c r="X557" s="0" t="n">
        <v>4</v>
      </c>
      <c r="Y557" s="0" t="n">
        <v>2</v>
      </c>
      <c r="Z557" s="0" t="inlineStr">
        <is>
          <t>https://new.land.naver.com/complexes/118830?tab=detail&amp;rf=Y</t>
        </is>
      </c>
      <c r="AA557" s="0" t="inlineStr">
        <is>
          <t>충청북도 청주시 흥덕구 봉명동 2319</t>
        </is>
      </c>
      <c r="AB557" s="0" t="inlineStr">
        <is>
          <t>충청북도</t>
        </is>
      </c>
      <c r="AC557" s="0" t="inlineStr">
        <is>
          <t>청주시</t>
        </is>
      </c>
      <c r="AD557" s="0" t="inlineStr">
        <is>
          <t>흥덕구</t>
        </is>
      </c>
      <c r="AE557" s="0" t="inlineStr">
        <is>
          <t>봉명동</t>
        </is>
      </c>
      <c r="AG557" s="0" t="inlineStr">
        <is>
          <t>충청북도 청주시 흥덕구 송절로124번길 47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[봉명동]</t>
        </is>
      </c>
      <c r="B558" s="0" t="n">
        <v>118830</v>
      </c>
      <c r="C558" s="0" t="n">
        <v>2</v>
      </c>
      <c r="D558" s="0" t="inlineStr">
        <is>
          <t>더라움(도시형)</t>
        </is>
      </c>
      <c r="E558" s="0" t="inlineStr">
        <is>
          <t>2014.06.</t>
        </is>
      </c>
      <c r="F558" s="0" t="n">
        <v>167</v>
      </c>
      <c r="G558" s="0" t="n">
        <v>11.2</v>
      </c>
      <c r="H558" s="0" t="n">
        <v>37.04</v>
      </c>
      <c r="I558" s="0" t="n">
        <v>9.699999999999999</v>
      </c>
      <c r="J558" s="0" t="n">
        <v>32.09</v>
      </c>
      <c r="K558" s="0" t="n">
        <v>1</v>
      </c>
      <c r="T558" s="0" t="n">
        <v>1</v>
      </c>
      <c r="U558" s="0" t="n">
        <v>1</v>
      </c>
      <c r="V558" s="0" t="inlineStr">
        <is>
          <t>계단식</t>
        </is>
      </c>
      <c r="W558" s="0" t="inlineStr">
        <is>
          <t>37A</t>
        </is>
      </c>
      <c r="X558" s="0" t="n">
        <v>4</v>
      </c>
      <c r="Y558" s="0" t="n">
        <v>2</v>
      </c>
      <c r="Z558" s="0" t="inlineStr">
        <is>
          <t>https://new.land.naver.com/complexes/118830?tab=detail&amp;rf=Y</t>
        </is>
      </c>
      <c r="AA558" s="0" t="inlineStr">
        <is>
          <t>충청북도 청주시 흥덕구 봉명동 2319</t>
        </is>
      </c>
      <c r="AB558" s="0" t="inlineStr">
        <is>
          <t>충청북도</t>
        </is>
      </c>
      <c r="AC558" s="0" t="inlineStr">
        <is>
          <t>청주시</t>
        </is>
      </c>
      <c r="AD558" s="0" t="inlineStr">
        <is>
          <t>흥덕구</t>
        </is>
      </c>
      <c r="AE558" s="0" t="inlineStr">
        <is>
          <t>봉명동</t>
        </is>
      </c>
      <c r="AG558" s="0" t="inlineStr">
        <is>
          <t>충청북도 청주시 흥덕구 송절로124번길 47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[봉명동]</t>
        </is>
      </c>
      <c r="B559" s="0" t="n">
        <v>118830</v>
      </c>
      <c r="C559" s="0" t="n">
        <v>3</v>
      </c>
      <c r="D559" s="0" t="inlineStr">
        <is>
          <t>더라움(도시형)</t>
        </is>
      </c>
      <c r="E559" s="0" t="inlineStr">
        <is>
          <t>2014.06.</t>
        </is>
      </c>
      <c r="F559" s="0" t="n">
        <v>167</v>
      </c>
      <c r="G559" s="0" t="n">
        <v>13.09</v>
      </c>
      <c r="H559" s="0" t="n">
        <v>43.28</v>
      </c>
      <c r="I559" s="0" t="n">
        <v>11.18</v>
      </c>
      <c r="J559" s="0" t="n">
        <v>36.96</v>
      </c>
      <c r="K559" s="0" t="n">
        <v>2</v>
      </c>
      <c r="T559" s="0" t="n">
        <v>1</v>
      </c>
      <c r="U559" s="0" t="n">
        <v>1</v>
      </c>
      <c r="V559" s="0" t="inlineStr">
        <is>
          <t>계단식</t>
        </is>
      </c>
      <c r="W559" s="0" t="inlineStr">
        <is>
          <t>43A</t>
        </is>
      </c>
      <c r="X559" s="0" t="n">
        <v>4</v>
      </c>
      <c r="Y559" s="0" t="n">
        <v>2</v>
      </c>
      <c r="Z559" s="0" t="inlineStr">
        <is>
          <t>https://new.land.naver.com/complexes/118830?tab=detail&amp;rf=Y</t>
        </is>
      </c>
      <c r="AA559" s="0" t="inlineStr">
        <is>
          <t>충청북도 청주시 흥덕구 봉명동 2319</t>
        </is>
      </c>
      <c r="AB559" s="0" t="inlineStr">
        <is>
          <t>충청북도</t>
        </is>
      </c>
      <c r="AC559" s="0" t="inlineStr">
        <is>
          <t>청주시</t>
        </is>
      </c>
      <c r="AD559" s="0" t="inlineStr">
        <is>
          <t>흥덕구</t>
        </is>
      </c>
      <c r="AE559" s="0" t="inlineStr">
        <is>
          <t>봉명동</t>
        </is>
      </c>
      <c r="AG559" s="0" t="inlineStr">
        <is>
          <t>충청북도 청주시 흥덕구 송절로124번길 47</t>
        </is>
      </c>
      <c r="AH559" s="0" t="n">
        <v>0</v>
      </c>
      <c r="AI559" s="0" t="n">
        <v>0</v>
      </c>
      <c r="AJ559" s="0" t="n">
        <v>0</v>
      </c>
      <c r="AK559" s="0" t="n">
        <v>0</v>
      </c>
      <c r="AL559" s="0" t="n">
        <v>0</v>
      </c>
    </row>
    <row r="560">
      <c r="A560" s="0" t="inlineStr">
        <is>
          <t>[봉명동]</t>
        </is>
      </c>
      <c r="B560" s="0" t="n">
        <v>118830</v>
      </c>
      <c r="C560" s="0" t="n">
        <v>4</v>
      </c>
      <c r="D560" s="0" t="inlineStr">
        <is>
          <t>더라움(도시형)</t>
        </is>
      </c>
      <c r="E560" s="0" t="inlineStr">
        <is>
          <t>2014.06.</t>
        </is>
      </c>
      <c r="F560" s="0" t="n">
        <v>167</v>
      </c>
      <c r="G560" s="0" t="n">
        <v>13.24</v>
      </c>
      <c r="H560" s="0" t="n">
        <v>43.77</v>
      </c>
      <c r="I560" s="0" t="n">
        <v>11.43</v>
      </c>
      <c r="J560" s="0" t="n">
        <v>37.8</v>
      </c>
      <c r="K560" s="0" t="n">
        <v>2</v>
      </c>
      <c r="T560" s="0" t="n">
        <v>1</v>
      </c>
      <c r="U560" s="0" t="n">
        <v>1</v>
      </c>
      <c r="V560" s="0" t="inlineStr">
        <is>
          <t>계단식</t>
        </is>
      </c>
      <c r="W560" s="0" t="inlineStr">
        <is>
          <t>43C</t>
        </is>
      </c>
      <c r="X560" s="0" t="n">
        <v>4</v>
      </c>
      <c r="Y560" s="0" t="n">
        <v>2</v>
      </c>
      <c r="Z560" s="0" t="inlineStr">
        <is>
          <t>https://new.land.naver.com/complexes/118830?tab=detail&amp;rf=Y</t>
        </is>
      </c>
      <c r="AA560" s="0" t="inlineStr">
        <is>
          <t>충청북도 청주시 흥덕구 봉명동 2319</t>
        </is>
      </c>
      <c r="AB560" s="0" t="inlineStr">
        <is>
          <t>충청북도</t>
        </is>
      </c>
      <c r="AC560" s="0" t="inlineStr">
        <is>
          <t>청주시</t>
        </is>
      </c>
      <c r="AD560" s="0" t="inlineStr">
        <is>
          <t>흥덕구</t>
        </is>
      </c>
      <c r="AE560" s="0" t="inlineStr">
        <is>
          <t>봉명동</t>
        </is>
      </c>
      <c r="AG560" s="0" t="inlineStr">
        <is>
          <t>충청북도 청주시 흥덕구 송절로124번길 47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[봉명동]</t>
        </is>
      </c>
      <c r="B561" s="0" t="n">
        <v>118830</v>
      </c>
      <c r="C561" s="0" t="n">
        <v>5</v>
      </c>
      <c r="D561" s="0" t="inlineStr">
        <is>
          <t>더라움(도시형)</t>
        </is>
      </c>
      <c r="E561" s="0" t="inlineStr">
        <is>
          <t>2014.06.</t>
        </is>
      </c>
      <c r="F561" s="0" t="n">
        <v>167</v>
      </c>
      <c r="G561" s="0" t="n">
        <v>13.19</v>
      </c>
      <c r="H561" s="0" t="n">
        <v>43.63</v>
      </c>
      <c r="I561" s="0" t="n">
        <v>11.43</v>
      </c>
      <c r="J561" s="0" t="n">
        <v>37.8</v>
      </c>
      <c r="K561" s="0" t="n">
        <v>1</v>
      </c>
      <c r="T561" s="0" t="n">
        <v>1</v>
      </c>
      <c r="U561" s="0" t="n">
        <v>1</v>
      </c>
      <c r="V561" s="0" t="inlineStr">
        <is>
          <t>계단식</t>
        </is>
      </c>
      <c r="W561" s="0" t="inlineStr">
        <is>
          <t>43B</t>
        </is>
      </c>
      <c r="X561" s="0" t="n">
        <v>4</v>
      </c>
      <c r="Y561" s="0" t="n">
        <v>2</v>
      </c>
      <c r="Z561" s="0" t="inlineStr">
        <is>
          <t>https://new.land.naver.com/complexes/118830?tab=detail&amp;rf=Y</t>
        </is>
      </c>
      <c r="AA561" s="0" t="inlineStr">
        <is>
          <t>충청북도 청주시 흥덕구 봉명동 2319</t>
        </is>
      </c>
      <c r="AB561" s="0" t="inlineStr">
        <is>
          <t>충청북도</t>
        </is>
      </c>
      <c r="AC561" s="0" t="inlineStr">
        <is>
          <t>청주시</t>
        </is>
      </c>
      <c r="AD561" s="0" t="inlineStr">
        <is>
          <t>흥덕구</t>
        </is>
      </c>
      <c r="AE561" s="0" t="inlineStr">
        <is>
          <t>봉명동</t>
        </is>
      </c>
      <c r="AG561" s="0" t="inlineStr">
        <is>
          <t>충청북도 청주시 흥덕구 송절로124번길 47</t>
        </is>
      </c>
      <c r="AH561" s="0" t="n">
        <v>0</v>
      </c>
      <c r="AI561" s="0" t="n">
        <v>0</v>
      </c>
      <c r="AJ561" s="0" t="n">
        <v>0</v>
      </c>
      <c r="AK561" s="0" t="n">
        <v>0</v>
      </c>
      <c r="AL561" s="0" t="n">
        <v>0</v>
      </c>
    </row>
    <row r="562">
      <c r="A562" s="0" t="inlineStr">
        <is>
          <t>[봉명동]</t>
        </is>
      </c>
      <c r="B562" s="0" t="n">
        <v>118830</v>
      </c>
      <c r="C562" s="0" t="n">
        <v>6</v>
      </c>
      <c r="D562" s="0" t="inlineStr">
        <is>
          <t>더라움(도시형)</t>
        </is>
      </c>
      <c r="E562" s="0" t="inlineStr">
        <is>
          <t>2014.06.</t>
        </is>
      </c>
      <c r="F562" s="0" t="n">
        <v>167</v>
      </c>
      <c r="G562" s="0" t="n">
        <v>13.67</v>
      </c>
      <c r="H562" s="0" t="n">
        <v>45.22</v>
      </c>
      <c r="I562" s="0" t="n">
        <v>11.8</v>
      </c>
      <c r="J562" s="0" t="n">
        <v>39.04</v>
      </c>
      <c r="K562" s="0" t="n">
        <v>2</v>
      </c>
      <c r="T562" s="0" t="n">
        <v>1</v>
      </c>
      <c r="U562" s="0" t="n">
        <v>1</v>
      </c>
      <c r="V562" s="0" t="inlineStr">
        <is>
          <t>계단식</t>
        </is>
      </c>
      <c r="W562" s="0" t="inlineStr">
        <is>
          <t>45B</t>
        </is>
      </c>
      <c r="X562" s="0" t="n">
        <v>4</v>
      </c>
      <c r="Y562" s="0" t="n">
        <v>2</v>
      </c>
      <c r="Z562" s="0" t="inlineStr">
        <is>
          <t>https://new.land.naver.com/complexes/118830?tab=detail&amp;rf=Y</t>
        </is>
      </c>
      <c r="AA562" s="0" t="inlineStr">
        <is>
          <t>충청북도 청주시 흥덕구 봉명동 2319</t>
        </is>
      </c>
      <c r="AB562" s="0" t="inlineStr">
        <is>
          <t>충청북도</t>
        </is>
      </c>
      <c r="AC562" s="0" t="inlineStr">
        <is>
          <t>청주시</t>
        </is>
      </c>
      <c r="AD562" s="0" t="inlineStr">
        <is>
          <t>흥덕구</t>
        </is>
      </c>
      <c r="AE562" s="0" t="inlineStr">
        <is>
          <t>봉명동</t>
        </is>
      </c>
      <c r="AG562" s="0" t="inlineStr">
        <is>
          <t>충청북도 청주시 흥덕구 송절로124번길 47</t>
        </is>
      </c>
      <c r="AH562" s="0" t="n">
        <v>0</v>
      </c>
      <c r="AI562" s="0" t="n">
        <v>0</v>
      </c>
      <c r="AJ562" s="0" t="n">
        <v>0</v>
      </c>
      <c r="AK562" s="0" t="n">
        <v>0</v>
      </c>
      <c r="AL562" s="0" t="n">
        <v>0</v>
      </c>
    </row>
    <row r="563">
      <c r="A563" s="0" t="inlineStr">
        <is>
          <t>[봉명동]</t>
        </is>
      </c>
      <c r="B563" s="0" t="n">
        <v>118830</v>
      </c>
      <c r="C563" s="0" t="n">
        <v>7</v>
      </c>
      <c r="D563" s="0" t="inlineStr">
        <is>
          <t>더라움(도시형)</t>
        </is>
      </c>
      <c r="E563" s="0" t="inlineStr">
        <is>
          <t>2014.06.</t>
        </is>
      </c>
      <c r="F563" s="0" t="n">
        <v>167</v>
      </c>
      <c r="G563" s="0" t="n">
        <v>13.63</v>
      </c>
      <c r="H563" s="0" t="n">
        <v>45.07</v>
      </c>
      <c r="I563" s="0" t="n">
        <v>11.8</v>
      </c>
      <c r="J563" s="0" t="n">
        <v>39.04</v>
      </c>
      <c r="K563" s="0" t="n">
        <v>1</v>
      </c>
      <c r="T563" s="0" t="n">
        <v>1</v>
      </c>
      <c r="U563" s="0" t="n">
        <v>1</v>
      </c>
      <c r="V563" s="0" t="inlineStr">
        <is>
          <t>계단식</t>
        </is>
      </c>
      <c r="W563" s="0" t="inlineStr">
        <is>
          <t>45A</t>
        </is>
      </c>
      <c r="X563" s="0" t="n">
        <v>4</v>
      </c>
      <c r="Y563" s="0" t="n">
        <v>2</v>
      </c>
      <c r="Z563" s="0" t="inlineStr">
        <is>
          <t>https://new.land.naver.com/complexes/118830?tab=detail&amp;rf=Y</t>
        </is>
      </c>
      <c r="AA563" s="0" t="inlineStr">
        <is>
          <t>충청북도 청주시 흥덕구 봉명동 2319</t>
        </is>
      </c>
      <c r="AB563" s="0" t="inlineStr">
        <is>
          <t>충청북도</t>
        </is>
      </c>
      <c r="AC563" s="0" t="inlineStr">
        <is>
          <t>청주시</t>
        </is>
      </c>
      <c r="AD563" s="0" t="inlineStr">
        <is>
          <t>흥덕구</t>
        </is>
      </c>
      <c r="AE563" s="0" t="inlineStr">
        <is>
          <t>봉명동</t>
        </is>
      </c>
      <c r="AG563" s="0" t="inlineStr">
        <is>
          <t>충청북도 청주시 흥덕구 송절로124번길 47</t>
        </is>
      </c>
      <c r="AH563" s="0" t="n">
        <v>0</v>
      </c>
      <c r="AI563" s="0" t="n">
        <v>0</v>
      </c>
      <c r="AJ563" s="0" t="n">
        <v>0</v>
      </c>
      <c r="AK563" s="0" t="n">
        <v>0</v>
      </c>
      <c r="AL563" s="0" t="n">
        <v>0</v>
      </c>
    </row>
    <row r="564">
      <c r="A564" s="0" t="inlineStr">
        <is>
          <t>[봉명동]</t>
        </is>
      </c>
      <c r="B564" s="0" t="n">
        <v>118830</v>
      </c>
      <c r="C564" s="0" t="n">
        <v>8</v>
      </c>
      <c r="D564" s="0" t="inlineStr">
        <is>
          <t>더라움(도시형)</t>
        </is>
      </c>
      <c r="E564" s="0" t="inlineStr">
        <is>
          <t>2014.06.</t>
        </is>
      </c>
      <c r="F564" s="0" t="n">
        <v>167</v>
      </c>
      <c r="G564" s="0" t="n">
        <v>15.14</v>
      </c>
      <c r="H564" s="0" t="n">
        <v>50.05</v>
      </c>
      <c r="I564" s="0" t="n">
        <v>13.11</v>
      </c>
      <c r="J564" s="0" t="n">
        <v>43.36</v>
      </c>
      <c r="K564" s="0" t="n">
        <v>2</v>
      </c>
      <c r="T564" s="0" t="n">
        <v>1</v>
      </c>
      <c r="U564" s="0" t="n">
        <v>1</v>
      </c>
      <c r="V564" s="0" t="inlineStr">
        <is>
          <t>계단식</t>
        </is>
      </c>
      <c r="W564" s="0" t="inlineStr">
        <is>
          <t>50A</t>
        </is>
      </c>
      <c r="X564" s="0" t="n">
        <v>4</v>
      </c>
      <c r="Y564" s="0" t="n">
        <v>2</v>
      </c>
      <c r="Z564" s="0" t="inlineStr">
        <is>
          <t>https://new.land.naver.com/complexes/118830?tab=detail&amp;rf=Y</t>
        </is>
      </c>
      <c r="AA564" s="0" t="inlineStr">
        <is>
          <t>충청북도 청주시 흥덕구 봉명동 2319</t>
        </is>
      </c>
      <c r="AB564" s="0" t="inlineStr">
        <is>
          <t>충청북도</t>
        </is>
      </c>
      <c r="AC564" s="0" t="inlineStr">
        <is>
          <t>청주시</t>
        </is>
      </c>
      <c r="AD564" s="0" t="inlineStr">
        <is>
          <t>흥덕구</t>
        </is>
      </c>
      <c r="AE564" s="0" t="inlineStr">
        <is>
          <t>봉명동</t>
        </is>
      </c>
      <c r="AG564" s="0" t="inlineStr">
        <is>
          <t>충청북도 청주시 흥덕구 송절로124번길 47</t>
        </is>
      </c>
      <c r="AH564" s="0" t="n">
        <v>0</v>
      </c>
      <c r="AI564" s="0" t="n">
        <v>0</v>
      </c>
      <c r="AJ564" s="0" t="n">
        <v>0</v>
      </c>
      <c r="AK564" s="0" t="n">
        <v>0</v>
      </c>
      <c r="AL564" s="0" t="n">
        <v>0</v>
      </c>
    </row>
    <row r="565">
      <c r="A565" s="0" t="inlineStr">
        <is>
          <t>[봉명동]</t>
        </is>
      </c>
      <c r="B565" s="0" t="n">
        <v>118830</v>
      </c>
      <c r="C565" s="0" t="n">
        <v>9</v>
      </c>
      <c r="D565" s="0" t="inlineStr">
        <is>
          <t>더라움(도시형)</t>
        </is>
      </c>
      <c r="E565" s="0" t="inlineStr">
        <is>
          <t>2014.06.</t>
        </is>
      </c>
      <c r="F565" s="0" t="n">
        <v>167</v>
      </c>
      <c r="G565" s="0" t="n">
        <v>15.37</v>
      </c>
      <c r="H565" s="0" t="n">
        <v>50.84</v>
      </c>
      <c r="I565" s="0" t="n">
        <v>13.13</v>
      </c>
      <c r="J565" s="0" t="n">
        <v>43.41</v>
      </c>
      <c r="K565" s="0" t="n">
        <v>1</v>
      </c>
      <c r="T565" s="0" t="n">
        <v>1</v>
      </c>
      <c r="U565" s="0" t="n">
        <v>1</v>
      </c>
      <c r="V565" s="0" t="inlineStr">
        <is>
          <t>계단식</t>
        </is>
      </c>
      <c r="W565" s="0" t="inlineStr">
        <is>
          <t>50B</t>
        </is>
      </c>
      <c r="X565" s="0" t="n">
        <v>4</v>
      </c>
      <c r="Y565" s="0" t="n">
        <v>2</v>
      </c>
      <c r="Z565" s="0" t="inlineStr">
        <is>
          <t>https://new.land.naver.com/complexes/118830?tab=detail&amp;rf=Y</t>
        </is>
      </c>
      <c r="AA565" s="0" t="inlineStr">
        <is>
          <t>충청북도 청주시 흥덕구 봉명동 2319</t>
        </is>
      </c>
      <c r="AB565" s="0" t="inlineStr">
        <is>
          <t>충청북도</t>
        </is>
      </c>
      <c r="AC565" s="0" t="inlineStr">
        <is>
          <t>청주시</t>
        </is>
      </c>
      <c r="AD565" s="0" t="inlineStr">
        <is>
          <t>흥덕구</t>
        </is>
      </c>
      <c r="AE565" s="0" t="inlineStr">
        <is>
          <t>봉명동</t>
        </is>
      </c>
      <c r="AG565" s="0" t="inlineStr">
        <is>
          <t>충청북도 청주시 흥덕구 송절로124번길 47</t>
        </is>
      </c>
      <c r="AH565" s="0" t="n">
        <v>0</v>
      </c>
      <c r="AI565" s="0" t="n">
        <v>0</v>
      </c>
      <c r="AJ565" s="0" t="n">
        <v>0</v>
      </c>
      <c r="AK565" s="0" t="n">
        <v>0</v>
      </c>
      <c r="AL565" s="0" t="n">
        <v>0</v>
      </c>
    </row>
    <row r="566">
      <c r="A566" s="0" t="inlineStr">
        <is>
          <t>[봉명동]</t>
        </is>
      </c>
      <c r="B566" s="0" t="n">
        <v>118830</v>
      </c>
      <c r="C566" s="0" t="n">
        <v>10</v>
      </c>
      <c r="D566" s="0" t="inlineStr">
        <is>
          <t>더라움(도시형)</t>
        </is>
      </c>
      <c r="E566" s="0" t="inlineStr">
        <is>
          <t>2014.06.</t>
        </is>
      </c>
      <c r="F566" s="0" t="n">
        <v>167</v>
      </c>
      <c r="G566" s="0" t="n">
        <v>15.53</v>
      </c>
      <c r="H566" s="0" t="n">
        <v>51.37</v>
      </c>
      <c r="I566" s="0" t="n">
        <v>13.41</v>
      </c>
      <c r="J566" s="0" t="n">
        <v>44.36</v>
      </c>
      <c r="K566" s="0" t="n">
        <v>2</v>
      </c>
      <c r="T566" s="0" t="n">
        <v>1</v>
      </c>
      <c r="U566" s="0" t="n">
        <v>1</v>
      </c>
      <c r="V566" s="0" t="inlineStr">
        <is>
          <t>계단식</t>
        </is>
      </c>
      <c r="W566" s="0" t="inlineStr">
        <is>
          <t>51A</t>
        </is>
      </c>
      <c r="X566" s="0" t="n">
        <v>4</v>
      </c>
      <c r="Y566" s="0" t="n">
        <v>2</v>
      </c>
      <c r="Z566" s="0" t="inlineStr">
        <is>
          <t>https://new.land.naver.com/complexes/118830?tab=detail&amp;rf=Y</t>
        </is>
      </c>
      <c r="AA566" s="0" t="inlineStr">
        <is>
          <t>충청북도 청주시 흥덕구 봉명동 2319</t>
        </is>
      </c>
      <c r="AB566" s="0" t="inlineStr">
        <is>
          <t>충청북도</t>
        </is>
      </c>
      <c r="AC566" s="0" t="inlineStr">
        <is>
          <t>청주시</t>
        </is>
      </c>
      <c r="AD566" s="0" t="inlineStr">
        <is>
          <t>흥덕구</t>
        </is>
      </c>
      <c r="AE566" s="0" t="inlineStr">
        <is>
          <t>봉명동</t>
        </is>
      </c>
      <c r="AG566" s="0" t="inlineStr">
        <is>
          <t>충청북도 청주시 흥덕구 송절로124번길 47</t>
        </is>
      </c>
      <c r="AH566" s="0" t="n">
        <v>0</v>
      </c>
      <c r="AI566" s="0" t="n">
        <v>0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[봉명동]</t>
        </is>
      </c>
      <c r="B567" s="0" t="n">
        <v>118830</v>
      </c>
      <c r="C567" s="0" t="n">
        <v>11</v>
      </c>
      <c r="D567" s="0" t="inlineStr">
        <is>
          <t>더라움(도시형)</t>
        </is>
      </c>
      <c r="E567" s="0" t="inlineStr">
        <is>
          <t>2014.06.</t>
        </is>
      </c>
      <c r="F567" s="0" t="n">
        <v>167</v>
      </c>
      <c r="G567" s="0" t="n">
        <v>15.64</v>
      </c>
      <c r="H567" s="0" t="n">
        <v>51.71</v>
      </c>
      <c r="I567" s="0" t="n">
        <v>13.79</v>
      </c>
      <c r="J567" s="0" t="n">
        <v>45.59</v>
      </c>
      <c r="K567" s="0" t="n">
        <v>1</v>
      </c>
      <c r="T567" s="0" t="n">
        <v>1</v>
      </c>
      <c r="U567" s="0" t="n">
        <v>1</v>
      </c>
      <c r="V567" s="0" t="inlineStr">
        <is>
          <t>계단식</t>
        </is>
      </c>
      <c r="W567" s="0" t="inlineStr">
        <is>
          <t>51B</t>
        </is>
      </c>
      <c r="X567" s="0" t="n">
        <v>4</v>
      </c>
      <c r="Y567" s="0" t="n">
        <v>2</v>
      </c>
      <c r="Z567" s="0" t="inlineStr">
        <is>
          <t>https://new.land.naver.com/complexes/118830?tab=detail&amp;rf=Y</t>
        </is>
      </c>
      <c r="AA567" s="0" t="inlineStr">
        <is>
          <t>충청북도 청주시 흥덕구 봉명동 2319</t>
        </is>
      </c>
      <c r="AB567" s="0" t="inlineStr">
        <is>
          <t>충청북도</t>
        </is>
      </c>
      <c r="AC567" s="0" t="inlineStr">
        <is>
          <t>청주시</t>
        </is>
      </c>
      <c r="AD567" s="0" t="inlineStr">
        <is>
          <t>흥덕구</t>
        </is>
      </c>
      <c r="AE567" s="0" t="inlineStr">
        <is>
          <t>봉명동</t>
        </is>
      </c>
      <c r="AG567" s="0" t="inlineStr">
        <is>
          <t>충청북도 청주시 흥덕구 송절로124번길 47</t>
        </is>
      </c>
      <c r="AH567" s="0" t="n">
        <v>0</v>
      </c>
      <c r="AI567" s="0" t="n">
        <v>0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[봉명동]</t>
        </is>
      </c>
      <c r="B568" s="0" t="n">
        <v>118830</v>
      </c>
      <c r="C568" s="0" t="n">
        <v>12</v>
      </c>
      <c r="D568" s="0" t="inlineStr">
        <is>
          <t>더라움(도시형)</t>
        </is>
      </c>
      <c r="E568" s="0" t="inlineStr">
        <is>
          <t>2014.06.</t>
        </is>
      </c>
      <c r="F568" s="0" t="n">
        <v>167</v>
      </c>
      <c r="G568" s="0" t="n">
        <v>15.49</v>
      </c>
      <c r="H568" s="0" t="n">
        <v>51.21</v>
      </c>
      <c r="I568" s="0" t="n">
        <v>13.41</v>
      </c>
      <c r="J568" s="0" t="n">
        <v>44.36</v>
      </c>
      <c r="K568" s="0" t="n">
        <v>1</v>
      </c>
      <c r="T568" s="0" t="n">
        <v>1</v>
      </c>
      <c r="U568" s="0" t="n">
        <v>1</v>
      </c>
      <c r="V568" s="0" t="inlineStr">
        <is>
          <t>계단식</t>
        </is>
      </c>
      <c r="W568" s="0" t="inlineStr">
        <is>
          <t>51C</t>
        </is>
      </c>
      <c r="X568" s="0" t="n">
        <v>4</v>
      </c>
      <c r="Y568" s="0" t="n">
        <v>2</v>
      </c>
      <c r="Z568" s="0" t="inlineStr">
        <is>
          <t>https://new.land.naver.com/complexes/118830?tab=detail&amp;rf=Y</t>
        </is>
      </c>
      <c r="AA568" s="0" t="inlineStr">
        <is>
          <t>충청북도 청주시 흥덕구 봉명동 2319</t>
        </is>
      </c>
      <c r="AB568" s="0" t="inlineStr">
        <is>
          <t>충청북도</t>
        </is>
      </c>
      <c r="AC568" s="0" t="inlineStr">
        <is>
          <t>청주시</t>
        </is>
      </c>
      <c r="AD568" s="0" t="inlineStr">
        <is>
          <t>흥덕구</t>
        </is>
      </c>
      <c r="AE568" s="0" t="inlineStr">
        <is>
          <t>봉명동</t>
        </is>
      </c>
      <c r="AG568" s="0" t="inlineStr">
        <is>
          <t>충청북도 청주시 흥덕구 송절로124번길 47</t>
        </is>
      </c>
      <c r="AH568" s="0" t="n">
        <v>0</v>
      </c>
      <c r="AI568" s="0" t="n">
        <v>0</v>
      </c>
      <c r="AJ568" s="0" t="n">
        <v>0</v>
      </c>
      <c r="AK568" s="0" t="n">
        <v>0</v>
      </c>
      <c r="AL568" s="0" t="n">
        <v>0</v>
      </c>
    </row>
    <row r="569">
      <c r="A569" s="0" t="inlineStr">
        <is>
          <t>[봉명동]</t>
        </is>
      </c>
      <c r="B569" s="0" t="n">
        <v>118830</v>
      </c>
      <c r="C569" s="0" t="n">
        <v>13</v>
      </c>
      <c r="D569" s="0" t="inlineStr">
        <is>
          <t>더라움(도시형)</t>
        </is>
      </c>
      <c r="E569" s="0" t="inlineStr">
        <is>
          <t>2014.06.</t>
        </is>
      </c>
      <c r="F569" s="0" t="n">
        <v>167</v>
      </c>
      <c r="G569" s="0" t="n">
        <v>15.66</v>
      </c>
      <c r="H569" s="0" t="n">
        <v>51.79</v>
      </c>
      <c r="I569" s="0" t="n">
        <v>13.81</v>
      </c>
      <c r="J569" s="0" t="n">
        <v>45.66</v>
      </c>
      <c r="K569" s="0" t="n">
        <v>1</v>
      </c>
      <c r="T569" s="0" t="n">
        <v>1</v>
      </c>
      <c r="U569" s="0" t="n">
        <v>1</v>
      </c>
      <c r="V569" s="0" t="inlineStr">
        <is>
          <t>계단식</t>
        </is>
      </c>
      <c r="W569" s="0" t="inlineStr">
        <is>
          <t>51C</t>
        </is>
      </c>
      <c r="X569" s="0" t="n">
        <v>4</v>
      </c>
      <c r="Y569" s="0" t="n">
        <v>2</v>
      </c>
      <c r="Z569" s="0" t="inlineStr">
        <is>
          <t>https://new.land.naver.com/complexes/118830?tab=detail&amp;rf=Y</t>
        </is>
      </c>
      <c r="AA569" s="0" t="inlineStr">
        <is>
          <t>충청북도 청주시 흥덕구 봉명동 2319</t>
        </is>
      </c>
      <c r="AB569" s="0" t="inlineStr">
        <is>
          <t>충청북도</t>
        </is>
      </c>
      <c r="AC569" s="0" t="inlineStr">
        <is>
          <t>청주시</t>
        </is>
      </c>
      <c r="AD569" s="0" t="inlineStr">
        <is>
          <t>흥덕구</t>
        </is>
      </c>
      <c r="AE569" s="0" t="inlineStr">
        <is>
          <t>봉명동</t>
        </is>
      </c>
      <c r="AG569" s="0" t="inlineStr">
        <is>
          <t>충청북도 청주시 흥덕구 송절로124번길 47</t>
        </is>
      </c>
      <c r="AH569" s="0" t="n">
        <v>0</v>
      </c>
      <c r="AI569" s="0" t="n">
        <v>0</v>
      </c>
      <c r="AJ569" s="0" t="n">
        <v>0</v>
      </c>
      <c r="AK569" s="0" t="n">
        <v>0</v>
      </c>
      <c r="AL569" s="0" t="n">
        <v>0</v>
      </c>
    </row>
    <row r="570">
      <c r="A570" s="0" t="inlineStr">
        <is>
          <t>[봉명동]</t>
        </is>
      </c>
      <c r="B570" s="0" t="n">
        <v>118830</v>
      </c>
      <c r="C570" s="0" t="n">
        <v>14</v>
      </c>
      <c r="D570" s="0" t="inlineStr">
        <is>
          <t>더라움(도시형)</t>
        </is>
      </c>
      <c r="E570" s="0" t="inlineStr">
        <is>
          <t>2014.06.</t>
        </is>
      </c>
      <c r="F570" s="0" t="n">
        <v>167</v>
      </c>
      <c r="G570" s="0" t="n">
        <v>15.94</v>
      </c>
      <c r="H570" s="0" t="n">
        <v>52.71</v>
      </c>
      <c r="I570" s="0" t="n">
        <v>13.81</v>
      </c>
      <c r="J570" s="0" t="n">
        <v>45.66</v>
      </c>
      <c r="K570" s="0" t="n">
        <v>2</v>
      </c>
      <c r="T570" s="0" t="n">
        <v>1</v>
      </c>
      <c r="U570" s="0" t="n">
        <v>1</v>
      </c>
      <c r="V570" s="0" t="inlineStr">
        <is>
          <t>계단식</t>
        </is>
      </c>
      <c r="W570" s="0" t="inlineStr">
        <is>
          <t>52D</t>
        </is>
      </c>
      <c r="X570" s="0" t="n">
        <v>4</v>
      </c>
      <c r="Y570" s="0" t="n">
        <v>2</v>
      </c>
      <c r="Z570" s="0" t="inlineStr">
        <is>
          <t>https://new.land.naver.com/complexes/118830?tab=detail&amp;rf=Y</t>
        </is>
      </c>
      <c r="AA570" s="0" t="inlineStr">
        <is>
          <t>충청북도 청주시 흥덕구 봉명동 2319</t>
        </is>
      </c>
      <c r="AB570" s="0" t="inlineStr">
        <is>
          <t>충청북도</t>
        </is>
      </c>
      <c r="AC570" s="0" t="inlineStr">
        <is>
          <t>청주시</t>
        </is>
      </c>
      <c r="AD570" s="0" t="inlineStr">
        <is>
          <t>흥덕구</t>
        </is>
      </c>
      <c r="AE570" s="0" t="inlineStr">
        <is>
          <t>봉명동</t>
        </is>
      </c>
      <c r="AG570" s="0" t="inlineStr">
        <is>
          <t>충청북도 청주시 흥덕구 송절로124번길 47</t>
        </is>
      </c>
      <c r="AH570" s="0" t="n">
        <v>0</v>
      </c>
      <c r="AI570" s="0" t="n">
        <v>0</v>
      </c>
      <c r="AJ570" s="0" t="n">
        <v>0</v>
      </c>
      <c r="AK570" s="0" t="n">
        <v>0</v>
      </c>
      <c r="AL570" s="0" t="n">
        <v>0</v>
      </c>
    </row>
    <row r="571">
      <c r="A571" s="0" t="inlineStr">
        <is>
          <t>[봉명동]</t>
        </is>
      </c>
      <c r="B571" s="0" t="n">
        <v>118830</v>
      </c>
      <c r="C571" s="0" t="n">
        <v>15</v>
      </c>
      <c r="D571" s="0" t="inlineStr">
        <is>
          <t>더라움(도시형)</t>
        </is>
      </c>
      <c r="E571" s="0" t="inlineStr">
        <is>
          <t>2014.06.</t>
        </is>
      </c>
      <c r="F571" s="0" t="n">
        <v>167</v>
      </c>
      <c r="G571" s="0" t="n">
        <v>16.61</v>
      </c>
      <c r="H571" s="0" t="n">
        <v>54.94</v>
      </c>
      <c r="I571" s="0" t="n">
        <v>14.14</v>
      </c>
      <c r="J571" s="0" t="n">
        <v>46.76</v>
      </c>
      <c r="K571" s="0" t="n">
        <v>6</v>
      </c>
      <c r="T571" s="0" t="n">
        <v>1</v>
      </c>
      <c r="U571" s="0" t="n">
        <v>1</v>
      </c>
      <c r="V571" s="0" t="inlineStr">
        <is>
          <t>계단식</t>
        </is>
      </c>
      <c r="W571" s="0" t="inlineStr">
        <is>
          <t>54A</t>
        </is>
      </c>
      <c r="X571" s="0" t="n">
        <v>4</v>
      </c>
      <c r="Y571" s="0" t="n">
        <v>2</v>
      </c>
      <c r="Z571" s="0" t="inlineStr">
        <is>
          <t>https://new.land.naver.com/complexes/118830?tab=detail&amp;rf=Y</t>
        </is>
      </c>
      <c r="AA571" s="0" t="inlineStr">
        <is>
          <t>충청북도 청주시 흥덕구 봉명동 2319</t>
        </is>
      </c>
      <c r="AB571" s="0" t="inlineStr">
        <is>
          <t>충청북도</t>
        </is>
      </c>
      <c r="AC571" s="0" t="inlineStr">
        <is>
          <t>청주시</t>
        </is>
      </c>
      <c r="AD571" s="0" t="inlineStr">
        <is>
          <t>흥덕구</t>
        </is>
      </c>
      <c r="AE571" s="0" t="inlineStr">
        <is>
          <t>봉명동</t>
        </is>
      </c>
      <c r="AG571" s="0" t="inlineStr">
        <is>
          <t>충청북도 청주시 흥덕구 송절로124번길 47</t>
        </is>
      </c>
      <c r="AH571" s="0" t="n">
        <v>0</v>
      </c>
      <c r="AI571" s="0" t="n">
        <v>0</v>
      </c>
      <c r="AJ571" s="0" t="n">
        <v>0</v>
      </c>
      <c r="AK571" s="0" t="n">
        <v>0</v>
      </c>
      <c r="AL571" s="0" t="n">
        <v>0</v>
      </c>
    </row>
    <row r="572">
      <c r="A572" s="0" t="inlineStr">
        <is>
          <t>[봉명동]</t>
        </is>
      </c>
      <c r="B572" s="0" t="n">
        <v>118830</v>
      </c>
      <c r="C572" s="0" t="n">
        <v>16</v>
      </c>
      <c r="D572" s="0" t="inlineStr">
        <is>
          <t>더라움(도시형)</t>
        </is>
      </c>
      <c r="E572" s="0" t="inlineStr">
        <is>
          <t>2014.06.</t>
        </is>
      </c>
      <c r="F572" s="0" t="n">
        <v>167</v>
      </c>
      <c r="G572" s="0" t="n">
        <v>16.47</v>
      </c>
      <c r="H572" s="0" t="n">
        <v>54.47</v>
      </c>
      <c r="I572" s="0" t="n">
        <v>14.27</v>
      </c>
      <c r="J572" s="0" t="n">
        <v>47.19</v>
      </c>
      <c r="K572" s="0" t="n">
        <v>1</v>
      </c>
      <c r="T572" s="0" t="n">
        <v>1</v>
      </c>
      <c r="U572" s="0" t="n">
        <v>1</v>
      </c>
      <c r="V572" s="0" t="inlineStr">
        <is>
          <t>계단식</t>
        </is>
      </c>
      <c r="W572" s="0" t="inlineStr">
        <is>
          <t>54E</t>
        </is>
      </c>
      <c r="X572" s="0" t="n">
        <v>4</v>
      </c>
      <c r="Y572" s="0" t="n">
        <v>2</v>
      </c>
      <c r="Z572" s="0" t="inlineStr">
        <is>
          <t>https://new.land.naver.com/complexes/118830?tab=detail&amp;rf=Y</t>
        </is>
      </c>
      <c r="AA572" s="0" t="inlineStr">
        <is>
          <t>충청북도 청주시 흥덕구 봉명동 2319</t>
        </is>
      </c>
      <c r="AB572" s="0" t="inlineStr">
        <is>
          <t>충청북도</t>
        </is>
      </c>
      <c r="AC572" s="0" t="inlineStr">
        <is>
          <t>청주시</t>
        </is>
      </c>
      <c r="AD572" s="0" t="inlineStr">
        <is>
          <t>흥덕구</t>
        </is>
      </c>
      <c r="AE572" s="0" t="inlineStr">
        <is>
          <t>봉명동</t>
        </is>
      </c>
      <c r="AG572" s="0" t="inlineStr">
        <is>
          <t>충청북도 청주시 흥덕구 송절로124번길 47</t>
        </is>
      </c>
      <c r="AH572" s="0" t="n">
        <v>0</v>
      </c>
      <c r="AI572" s="0" t="n">
        <v>0</v>
      </c>
      <c r="AJ572" s="0" t="n">
        <v>0</v>
      </c>
      <c r="AK572" s="0" t="n">
        <v>0</v>
      </c>
      <c r="AL572" s="0" t="n">
        <v>0</v>
      </c>
    </row>
    <row r="573">
      <c r="A573" s="0" t="inlineStr">
        <is>
          <t>[봉명동]</t>
        </is>
      </c>
      <c r="B573" s="0" t="n">
        <v>118830</v>
      </c>
      <c r="C573" s="0" t="n">
        <v>17</v>
      </c>
      <c r="D573" s="0" t="inlineStr">
        <is>
          <t>더라움(도시형)</t>
        </is>
      </c>
      <c r="E573" s="0" t="inlineStr">
        <is>
          <t>2014.06.</t>
        </is>
      </c>
      <c r="F573" s="0" t="n">
        <v>167</v>
      </c>
      <c r="G573" s="0" t="n">
        <v>16.39</v>
      </c>
      <c r="H573" s="0" t="n">
        <v>54.2</v>
      </c>
      <c r="I573" s="0" t="n">
        <v>14.45</v>
      </c>
      <c r="J573" s="0" t="n">
        <v>47.79</v>
      </c>
      <c r="K573" s="0" t="n">
        <v>1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54F</t>
        </is>
      </c>
      <c r="X573" s="0" t="n">
        <v>4</v>
      </c>
      <c r="Y573" s="0" t="n">
        <v>2</v>
      </c>
      <c r="Z573" s="0" t="inlineStr">
        <is>
          <t>https://new.land.naver.com/complexes/118830?tab=detail&amp;rf=Y</t>
        </is>
      </c>
      <c r="AA573" s="0" t="inlineStr">
        <is>
          <t>충청북도 청주시 흥덕구 봉명동 2319</t>
        </is>
      </c>
      <c r="AB573" s="0" t="inlineStr">
        <is>
          <t>충청북도</t>
        </is>
      </c>
      <c r="AC573" s="0" t="inlineStr">
        <is>
          <t>청주시</t>
        </is>
      </c>
      <c r="AD573" s="0" t="inlineStr">
        <is>
          <t>흥덕구</t>
        </is>
      </c>
      <c r="AE573" s="0" t="inlineStr">
        <is>
          <t>봉명동</t>
        </is>
      </c>
      <c r="AG573" s="0" t="inlineStr">
        <is>
          <t>충청북도 청주시 흥덕구 송절로124번길 47</t>
        </is>
      </c>
      <c r="AH573" s="0" t="n">
        <v>0</v>
      </c>
      <c r="AI573" s="0" t="n">
        <v>0</v>
      </c>
      <c r="AJ573" s="0" t="n">
        <v>0</v>
      </c>
      <c r="AK573" s="0" t="n">
        <v>0</v>
      </c>
      <c r="AL573" s="0" t="n">
        <v>0</v>
      </c>
    </row>
    <row r="574">
      <c r="A574" s="0" t="inlineStr">
        <is>
          <t>[봉명동]</t>
        </is>
      </c>
      <c r="B574" s="0" t="n">
        <v>118830</v>
      </c>
      <c r="C574" s="0" t="n">
        <v>18</v>
      </c>
      <c r="D574" s="0" t="inlineStr">
        <is>
          <t>더라움(도시형)</t>
        </is>
      </c>
      <c r="E574" s="0" t="inlineStr">
        <is>
          <t>2014.06.</t>
        </is>
      </c>
      <c r="F574" s="0" t="n">
        <v>167</v>
      </c>
      <c r="G574" s="0" t="n">
        <v>16.68</v>
      </c>
      <c r="H574" s="0" t="n">
        <v>55.17</v>
      </c>
      <c r="I574" s="0" t="n">
        <v>14.45</v>
      </c>
      <c r="J574" s="0" t="n">
        <v>47.79</v>
      </c>
      <c r="K574" s="0" t="n">
        <v>2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55B</t>
        </is>
      </c>
      <c r="X574" s="0" t="n">
        <v>4</v>
      </c>
      <c r="Y574" s="0" t="n">
        <v>2</v>
      </c>
      <c r="Z574" s="0" t="inlineStr">
        <is>
          <t>https://new.land.naver.com/complexes/118830?tab=detail&amp;rf=Y</t>
        </is>
      </c>
      <c r="AA574" s="0" t="inlineStr">
        <is>
          <t>충청북도 청주시 흥덕구 봉명동 2319</t>
        </is>
      </c>
      <c r="AB574" s="0" t="inlineStr">
        <is>
          <t>충청북도</t>
        </is>
      </c>
      <c r="AC574" s="0" t="inlineStr">
        <is>
          <t>청주시</t>
        </is>
      </c>
      <c r="AD574" s="0" t="inlineStr">
        <is>
          <t>흥덕구</t>
        </is>
      </c>
      <c r="AE574" s="0" t="inlineStr">
        <is>
          <t>봉명동</t>
        </is>
      </c>
      <c r="AG574" s="0" t="inlineStr">
        <is>
          <t>충청북도 청주시 흥덕구 송절로124번길 47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[봉명동]</t>
        </is>
      </c>
      <c r="B575" s="0" t="n">
        <v>118830</v>
      </c>
      <c r="C575" s="0" t="n">
        <v>19</v>
      </c>
      <c r="D575" s="0" t="inlineStr">
        <is>
          <t>더라움(도시형)</t>
        </is>
      </c>
      <c r="E575" s="0" t="inlineStr">
        <is>
          <t>2014.06.</t>
        </is>
      </c>
      <c r="F575" s="0" t="n">
        <v>167</v>
      </c>
      <c r="G575" s="0" t="n">
        <v>18.15</v>
      </c>
      <c r="H575" s="0" t="n">
        <v>60.01</v>
      </c>
      <c r="I575" s="0" t="n">
        <v>16</v>
      </c>
      <c r="J575" s="0" t="n">
        <v>52.91</v>
      </c>
      <c r="K575" s="0" t="n">
        <v>1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60</v>
      </c>
      <c r="X575" s="0" t="n">
        <v>4</v>
      </c>
      <c r="Y575" s="0" t="n">
        <v>2</v>
      </c>
      <c r="Z575" s="0" t="inlineStr">
        <is>
          <t>https://new.land.naver.com/complexes/118830?tab=detail&amp;rf=Y</t>
        </is>
      </c>
      <c r="AA575" s="0" t="inlineStr">
        <is>
          <t>충청북도 청주시 흥덕구 봉명동 2319</t>
        </is>
      </c>
      <c r="AB575" s="0" t="inlineStr">
        <is>
          <t>충청북도</t>
        </is>
      </c>
      <c r="AC575" s="0" t="inlineStr">
        <is>
          <t>청주시</t>
        </is>
      </c>
      <c r="AD575" s="0" t="inlineStr">
        <is>
          <t>흥덕구</t>
        </is>
      </c>
      <c r="AE575" s="0" t="inlineStr">
        <is>
          <t>봉명동</t>
        </is>
      </c>
      <c r="AG575" s="0" t="inlineStr">
        <is>
          <t>충청북도 청주시 흥덕구 송절로124번길 47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[봉명동]</t>
        </is>
      </c>
      <c r="B576" s="0" t="n">
        <v>118830</v>
      </c>
      <c r="C576" s="0" t="n">
        <v>20</v>
      </c>
      <c r="D576" s="0" t="inlineStr">
        <is>
          <t>더라움(도시형)</t>
        </is>
      </c>
      <c r="E576" s="0" t="inlineStr">
        <is>
          <t>2014.06.</t>
        </is>
      </c>
      <c r="F576" s="0" t="n">
        <v>167</v>
      </c>
      <c r="G576" s="0" t="n">
        <v>19.33</v>
      </c>
      <c r="H576" s="0" t="n">
        <v>63.91</v>
      </c>
      <c r="I576" s="0" t="n">
        <v>17.04</v>
      </c>
      <c r="J576" s="0" t="n">
        <v>56.35</v>
      </c>
      <c r="K576" s="0" t="n">
        <v>3</v>
      </c>
      <c r="T576" s="0" t="n">
        <v>2</v>
      </c>
      <c r="U576" s="0" t="n">
        <v>1</v>
      </c>
      <c r="V576" s="0" t="inlineStr">
        <is>
          <t>계단식</t>
        </is>
      </c>
      <c r="W576" s="0" t="n">
        <v>63</v>
      </c>
      <c r="X576" s="0" t="n">
        <v>4</v>
      </c>
      <c r="Y576" s="0" t="n">
        <v>2</v>
      </c>
      <c r="Z576" s="0" t="inlineStr">
        <is>
          <t>https://new.land.naver.com/complexes/118830?tab=detail&amp;rf=Y</t>
        </is>
      </c>
      <c r="AA576" s="0" t="inlineStr">
        <is>
          <t>충청북도 청주시 흥덕구 봉명동 2319</t>
        </is>
      </c>
      <c r="AB576" s="0" t="inlineStr">
        <is>
          <t>충청북도</t>
        </is>
      </c>
      <c r="AC576" s="0" t="inlineStr">
        <is>
          <t>청주시</t>
        </is>
      </c>
      <c r="AD576" s="0" t="inlineStr">
        <is>
          <t>흥덕구</t>
        </is>
      </c>
      <c r="AE576" s="0" t="inlineStr">
        <is>
          <t>봉명동</t>
        </is>
      </c>
      <c r="AG576" s="0" t="inlineStr">
        <is>
          <t>충청북도 청주시 흥덕구 송절로124번길 47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[봉명동]</t>
        </is>
      </c>
      <c r="B577" s="0" t="n">
        <v>118830</v>
      </c>
      <c r="C577" s="0" t="n">
        <v>21</v>
      </c>
      <c r="D577" s="0" t="inlineStr">
        <is>
          <t>더라움(도시형)</t>
        </is>
      </c>
      <c r="E577" s="0" t="inlineStr">
        <is>
          <t>2014.06.</t>
        </is>
      </c>
      <c r="F577" s="0" t="n">
        <v>167</v>
      </c>
      <c r="G577" s="0" t="n">
        <v>19.67</v>
      </c>
      <c r="H577" s="0" t="n">
        <v>65.05</v>
      </c>
      <c r="I577" s="0" t="n">
        <v>17.04</v>
      </c>
      <c r="J577" s="0" t="n">
        <v>56.35</v>
      </c>
      <c r="K577" s="0" t="n">
        <v>4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65A</t>
        </is>
      </c>
      <c r="X577" s="0" t="n">
        <v>4</v>
      </c>
      <c r="Y577" s="0" t="n">
        <v>2</v>
      </c>
      <c r="Z577" s="0" t="inlineStr">
        <is>
          <t>https://new.land.naver.com/complexes/118830?tab=detail&amp;rf=Y</t>
        </is>
      </c>
      <c r="AA577" s="0" t="inlineStr">
        <is>
          <t>충청북도 청주시 흥덕구 봉명동 2319</t>
        </is>
      </c>
      <c r="AB577" s="0" t="inlineStr">
        <is>
          <t>충청북도</t>
        </is>
      </c>
      <c r="AC577" s="0" t="inlineStr">
        <is>
          <t>청주시</t>
        </is>
      </c>
      <c r="AD577" s="0" t="inlineStr">
        <is>
          <t>흥덕구</t>
        </is>
      </c>
      <c r="AE577" s="0" t="inlineStr">
        <is>
          <t>봉명동</t>
        </is>
      </c>
      <c r="AG577" s="0" t="inlineStr">
        <is>
          <t>충청북도 청주시 흥덕구 송절로124번길 47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[봉명동]</t>
        </is>
      </c>
      <c r="B578" s="0" t="n">
        <v>118830</v>
      </c>
      <c r="C578" s="0" t="n">
        <v>22</v>
      </c>
      <c r="D578" s="0" t="inlineStr">
        <is>
          <t>더라움(도시형)</t>
        </is>
      </c>
      <c r="E578" s="0" t="inlineStr">
        <is>
          <t>2014.06.</t>
        </is>
      </c>
      <c r="F578" s="0" t="n">
        <v>167</v>
      </c>
      <c r="G578" s="0" t="n">
        <v>19.92</v>
      </c>
      <c r="H578" s="0" t="n">
        <v>65.88</v>
      </c>
      <c r="I578" s="0" t="n">
        <v>17.56</v>
      </c>
      <c r="J578" s="0" t="n">
        <v>58.08</v>
      </c>
      <c r="K578" s="0" t="n">
        <v>1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65B</t>
        </is>
      </c>
      <c r="X578" s="0" t="n">
        <v>4</v>
      </c>
      <c r="Y578" s="0" t="n">
        <v>2</v>
      </c>
      <c r="Z578" s="0" t="inlineStr">
        <is>
          <t>https://new.land.naver.com/complexes/118830?tab=detail&amp;rf=Y</t>
        </is>
      </c>
      <c r="AA578" s="0" t="inlineStr">
        <is>
          <t>충청북도 청주시 흥덕구 봉명동 2319</t>
        </is>
      </c>
      <c r="AB578" s="0" t="inlineStr">
        <is>
          <t>충청북도</t>
        </is>
      </c>
      <c r="AC578" s="0" t="inlineStr">
        <is>
          <t>청주시</t>
        </is>
      </c>
      <c r="AD578" s="0" t="inlineStr">
        <is>
          <t>흥덕구</t>
        </is>
      </c>
      <c r="AE578" s="0" t="inlineStr">
        <is>
          <t>봉명동</t>
        </is>
      </c>
      <c r="AG578" s="0" t="inlineStr">
        <is>
          <t>충청북도 청주시 흥덕구 송절로124번길 47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[봉명동]</t>
        </is>
      </c>
      <c r="B579" s="0" t="n">
        <v>118830</v>
      </c>
      <c r="C579" s="0" t="n">
        <v>23</v>
      </c>
      <c r="D579" s="0" t="inlineStr">
        <is>
          <t>더라움(도시형)</t>
        </is>
      </c>
      <c r="E579" s="0" t="inlineStr">
        <is>
          <t>2014.06.</t>
        </is>
      </c>
      <c r="F579" s="0" t="n">
        <v>167</v>
      </c>
      <c r="G579" s="0" t="n">
        <v>20.51</v>
      </c>
      <c r="H579" s="0" t="n">
        <v>67.83</v>
      </c>
      <c r="I579" s="0" t="n">
        <v>17.46</v>
      </c>
      <c r="J579" s="0" t="n">
        <v>57.73</v>
      </c>
      <c r="K579" s="0" t="n">
        <v>3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67A</t>
        </is>
      </c>
      <c r="X579" s="0" t="n">
        <v>4</v>
      </c>
      <c r="Y579" s="0" t="n">
        <v>2</v>
      </c>
      <c r="Z579" s="0" t="inlineStr">
        <is>
          <t>https://new.land.naver.com/complexes/118830?tab=detail&amp;rf=Y</t>
        </is>
      </c>
      <c r="AA579" s="0" t="inlineStr">
        <is>
          <t>충청북도 청주시 흥덕구 봉명동 2319</t>
        </is>
      </c>
      <c r="AB579" s="0" t="inlineStr">
        <is>
          <t>충청북도</t>
        </is>
      </c>
      <c r="AC579" s="0" t="inlineStr">
        <is>
          <t>청주시</t>
        </is>
      </c>
      <c r="AD579" s="0" t="inlineStr">
        <is>
          <t>흥덕구</t>
        </is>
      </c>
      <c r="AE579" s="0" t="inlineStr">
        <is>
          <t>봉명동</t>
        </is>
      </c>
      <c r="AG579" s="0" t="inlineStr">
        <is>
          <t>충청북도 청주시 흥덕구 송절로124번길 47</t>
        </is>
      </c>
      <c r="AH579" s="0" t="n">
        <v>0</v>
      </c>
      <c r="AI579" s="0" t="n">
        <v>0</v>
      </c>
      <c r="AJ579" s="0" t="n">
        <v>0</v>
      </c>
      <c r="AK579" s="0" t="n">
        <v>0</v>
      </c>
      <c r="AL579" s="0" t="n">
        <v>0</v>
      </c>
    </row>
    <row r="580">
      <c r="A580" s="0" t="inlineStr">
        <is>
          <t>[봉명동]</t>
        </is>
      </c>
      <c r="B580" s="0" t="n">
        <v>118830</v>
      </c>
      <c r="C580" s="0" t="n">
        <v>24</v>
      </c>
      <c r="D580" s="0" t="inlineStr">
        <is>
          <t>더라움(도시형)</t>
        </is>
      </c>
      <c r="E580" s="0" t="inlineStr">
        <is>
          <t>2014.06.</t>
        </is>
      </c>
      <c r="F580" s="0" t="n">
        <v>167</v>
      </c>
      <c r="G580" s="0" t="n">
        <v>20.27</v>
      </c>
      <c r="H580" s="0" t="n">
        <v>67.04000000000001</v>
      </c>
      <c r="I580" s="0" t="n">
        <v>17.56</v>
      </c>
      <c r="J580" s="0" t="n">
        <v>58.08</v>
      </c>
      <c r="K580" s="0" t="n">
        <v>2</v>
      </c>
      <c r="T580" s="0" t="n">
        <v>2</v>
      </c>
      <c r="U580" s="0" t="n">
        <v>1</v>
      </c>
      <c r="V580" s="0" t="inlineStr">
        <is>
          <t>계단식</t>
        </is>
      </c>
      <c r="W580" s="0" t="inlineStr">
        <is>
          <t>67C</t>
        </is>
      </c>
      <c r="X580" s="0" t="n">
        <v>4</v>
      </c>
      <c r="Y580" s="0" t="n">
        <v>2</v>
      </c>
      <c r="Z580" s="0" t="inlineStr">
        <is>
          <t>https://new.land.naver.com/complexes/118830?tab=detail&amp;rf=Y</t>
        </is>
      </c>
      <c r="AA580" s="0" t="inlineStr">
        <is>
          <t>충청북도 청주시 흥덕구 봉명동 2319</t>
        </is>
      </c>
      <c r="AB580" s="0" t="inlineStr">
        <is>
          <t>충청북도</t>
        </is>
      </c>
      <c r="AC580" s="0" t="inlineStr">
        <is>
          <t>청주시</t>
        </is>
      </c>
      <c r="AD580" s="0" t="inlineStr">
        <is>
          <t>흥덕구</t>
        </is>
      </c>
      <c r="AE580" s="0" t="inlineStr">
        <is>
          <t>봉명동</t>
        </is>
      </c>
      <c r="AG580" s="0" t="inlineStr">
        <is>
          <t>충청북도 청주시 흥덕구 송절로124번길 47</t>
        </is>
      </c>
      <c r="AH580" s="0" t="n">
        <v>0</v>
      </c>
      <c r="AI580" s="0" t="n">
        <v>0</v>
      </c>
      <c r="AJ580" s="0" t="n">
        <v>0</v>
      </c>
      <c r="AK580" s="0" t="n">
        <v>0</v>
      </c>
      <c r="AL580" s="0" t="n">
        <v>0</v>
      </c>
    </row>
    <row r="581">
      <c r="A581" s="0" t="inlineStr">
        <is>
          <t>[봉명동]</t>
        </is>
      </c>
      <c r="B581" s="0" t="n">
        <v>118830</v>
      </c>
      <c r="C581" s="0" t="n">
        <v>25</v>
      </c>
      <c r="D581" s="0" t="inlineStr">
        <is>
          <t>더라움(도시형)</t>
        </is>
      </c>
      <c r="E581" s="0" t="inlineStr">
        <is>
          <t>2014.06.</t>
        </is>
      </c>
      <c r="F581" s="0" t="n">
        <v>167</v>
      </c>
      <c r="G581" s="0" t="n">
        <v>20.51</v>
      </c>
      <c r="H581" s="0" t="n">
        <v>67.81999999999999</v>
      </c>
      <c r="I581" s="0" t="n">
        <v>17.77</v>
      </c>
      <c r="J581" s="0" t="n">
        <v>58.75</v>
      </c>
      <c r="K581" s="0" t="n">
        <v>2</v>
      </c>
      <c r="T581" s="0" t="n">
        <v>2</v>
      </c>
      <c r="U581" s="0" t="n">
        <v>1</v>
      </c>
      <c r="V581" s="0" t="inlineStr">
        <is>
          <t>계단식</t>
        </is>
      </c>
      <c r="W581" s="0" t="inlineStr">
        <is>
          <t>67C</t>
        </is>
      </c>
      <c r="X581" s="0" t="n">
        <v>4</v>
      </c>
      <c r="Y581" s="0" t="n">
        <v>2</v>
      </c>
      <c r="Z581" s="0" t="inlineStr">
        <is>
          <t>https://new.land.naver.com/complexes/118830?tab=detail&amp;rf=Y</t>
        </is>
      </c>
      <c r="AA581" s="0" t="inlineStr">
        <is>
          <t>충청북도 청주시 흥덕구 봉명동 2319</t>
        </is>
      </c>
      <c r="AB581" s="0" t="inlineStr">
        <is>
          <t>충청북도</t>
        </is>
      </c>
      <c r="AC581" s="0" t="inlineStr">
        <is>
          <t>청주시</t>
        </is>
      </c>
      <c r="AD581" s="0" t="inlineStr">
        <is>
          <t>흥덕구</t>
        </is>
      </c>
      <c r="AE581" s="0" t="inlineStr">
        <is>
          <t>봉명동</t>
        </is>
      </c>
      <c r="AG581" s="0" t="inlineStr">
        <is>
          <t>충청북도 청주시 흥덕구 송절로124번길 47</t>
        </is>
      </c>
      <c r="AH581" s="0" t="n">
        <v>0</v>
      </c>
      <c r="AI581" s="0" t="n">
        <v>0</v>
      </c>
      <c r="AJ581" s="0" t="n">
        <v>0</v>
      </c>
      <c r="AK581" s="0" t="n">
        <v>0</v>
      </c>
      <c r="AL581" s="0" t="n">
        <v>0</v>
      </c>
    </row>
    <row r="582">
      <c r="A582" s="0" t="inlineStr">
        <is>
          <t>[봉명동]</t>
        </is>
      </c>
      <c r="B582" s="0" t="n">
        <v>118830</v>
      </c>
      <c r="C582" s="0" t="n">
        <v>26</v>
      </c>
      <c r="D582" s="0" t="inlineStr">
        <is>
          <t>더라움(도시형)</t>
        </is>
      </c>
      <c r="E582" s="0" t="inlineStr">
        <is>
          <t>2014.06.</t>
        </is>
      </c>
      <c r="F582" s="0" t="n">
        <v>167</v>
      </c>
      <c r="G582" s="0" t="n">
        <v>20.72</v>
      </c>
      <c r="H582" s="0" t="n">
        <v>68.52</v>
      </c>
      <c r="I582" s="0" t="n">
        <v>17.63</v>
      </c>
      <c r="J582" s="0" t="n">
        <v>58.31</v>
      </c>
      <c r="K582" s="0" t="n">
        <v>3</v>
      </c>
      <c r="T582" s="0" t="n">
        <v>2</v>
      </c>
      <c r="U582" s="0" t="n">
        <v>1</v>
      </c>
      <c r="V582" s="0" t="inlineStr">
        <is>
          <t>계단식</t>
        </is>
      </c>
      <c r="W582" s="0" t="inlineStr">
        <is>
          <t>68B</t>
        </is>
      </c>
      <c r="X582" s="0" t="n">
        <v>4</v>
      </c>
      <c r="Y582" s="0" t="n">
        <v>2</v>
      </c>
      <c r="Z582" s="0" t="inlineStr">
        <is>
          <t>https://new.land.naver.com/complexes/118830?tab=detail&amp;rf=Y</t>
        </is>
      </c>
      <c r="AA582" s="0" t="inlineStr">
        <is>
          <t>충청북도 청주시 흥덕구 봉명동 2319</t>
        </is>
      </c>
      <c r="AB582" s="0" t="inlineStr">
        <is>
          <t>충청북도</t>
        </is>
      </c>
      <c r="AC582" s="0" t="inlineStr">
        <is>
          <t>청주시</t>
        </is>
      </c>
      <c r="AD582" s="0" t="inlineStr">
        <is>
          <t>흥덕구</t>
        </is>
      </c>
      <c r="AE582" s="0" t="inlineStr">
        <is>
          <t>봉명동</t>
        </is>
      </c>
      <c r="AG582" s="0" t="inlineStr">
        <is>
          <t>충청북도 청주시 흥덕구 송절로124번길 47</t>
        </is>
      </c>
      <c r="AH582" s="0" t="n">
        <v>0</v>
      </c>
      <c r="AI582" s="0" t="n">
        <v>0</v>
      </c>
      <c r="AJ582" s="0" t="n">
        <v>0</v>
      </c>
      <c r="AK582" s="0" t="n">
        <v>0</v>
      </c>
      <c r="AL582" s="0" t="n">
        <v>0</v>
      </c>
    </row>
    <row r="583">
      <c r="A583" s="0" t="inlineStr">
        <is>
          <t>[봉명동]</t>
        </is>
      </c>
      <c r="B583" s="0" t="n">
        <v>118830</v>
      </c>
      <c r="C583" s="0" t="n">
        <v>27</v>
      </c>
      <c r="D583" s="0" t="inlineStr">
        <is>
          <t>더라움(도시형)</t>
        </is>
      </c>
      <c r="E583" s="0" t="inlineStr">
        <is>
          <t>2014.06.</t>
        </is>
      </c>
      <c r="F583" s="0" t="n">
        <v>167</v>
      </c>
      <c r="G583" s="0" t="n">
        <v>20.92</v>
      </c>
      <c r="H583" s="0" t="n">
        <v>69.17</v>
      </c>
      <c r="I583" s="0" t="n">
        <v>17.77</v>
      </c>
      <c r="J583" s="0" t="n">
        <v>58.75</v>
      </c>
      <c r="K583" s="0" t="n">
        <v>6</v>
      </c>
      <c r="T583" s="0" t="n">
        <v>2</v>
      </c>
      <c r="U583" s="0" t="n">
        <v>1</v>
      </c>
      <c r="V583" s="0" t="inlineStr">
        <is>
          <t>계단식</t>
        </is>
      </c>
      <c r="W583" s="0" t="inlineStr">
        <is>
          <t>69D</t>
        </is>
      </c>
      <c r="X583" s="0" t="n">
        <v>4</v>
      </c>
      <c r="Y583" s="0" t="n">
        <v>2</v>
      </c>
      <c r="Z583" s="0" t="inlineStr">
        <is>
          <t>https://new.land.naver.com/complexes/118830?tab=detail&amp;rf=Y</t>
        </is>
      </c>
      <c r="AA583" s="0" t="inlineStr">
        <is>
          <t>충청북도 청주시 흥덕구 봉명동 2319</t>
        </is>
      </c>
      <c r="AB583" s="0" t="inlineStr">
        <is>
          <t>충청북도</t>
        </is>
      </c>
      <c r="AC583" s="0" t="inlineStr">
        <is>
          <t>청주시</t>
        </is>
      </c>
      <c r="AD583" s="0" t="inlineStr">
        <is>
          <t>흥덕구</t>
        </is>
      </c>
      <c r="AE583" s="0" t="inlineStr">
        <is>
          <t>봉명동</t>
        </is>
      </c>
      <c r="AG583" s="0" t="inlineStr">
        <is>
          <t>충청북도 청주시 흥덕구 송절로124번길 47</t>
        </is>
      </c>
      <c r="AH583" s="0" t="n">
        <v>0</v>
      </c>
      <c r="AI583" s="0" t="n">
        <v>0</v>
      </c>
      <c r="AJ583" s="0" t="n">
        <v>0</v>
      </c>
      <c r="AK583" s="0" t="n">
        <v>0</v>
      </c>
      <c r="AL583" s="0" t="n">
        <v>0</v>
      </c>
    </row>
    <row r="584">
      <c r="A584" s="0" t="inlineStr">
        <is>
          <t>[봉명동]</t>
        </is>
      </c>
      <c r="B584" s="0" t="n">
        <v>118830</v>
      </c>
      <c r="C584" s="0" t="n">
        <v>28</v>
      </c>
      <c r="D584" s="0" t="inlineStr">
        <is>
          <t>더라움(도시형)</t>
        </is>
      </c>
      <c r="E584" s="0" t="inlineStr">
        <is>
          <t>2014.06.</t>
        </is>
      </c>
      <c r="F584" s="0" t="n">
        <v>167</v>
      </c>
      <c r="G584" s="0" t="n">
        <v>21.04</v>
      </c>
      <c r="H584" s="0" t="n">
        <v>69.58</v>
      </c>
      <c r="I584" s="0" t="n">
        <v>18.55</v>
      </c>
      <c r="J584" s="0" t="n">
        <v>61.35</v>
      </c>
      <c r="K584" s="0" t="n">
        <v>1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69H</t>
        </is>
      </c>
      <c r="X584" s="0" t="n">
        <v>4</v>
      </c>
      <c r="Y584" s="0" t="n">
        <v>2</v>
      </c>
      <c r="Z584" s="0" t="inlineStr">
        <is>
          <t>https://new.land.naver.com/complexes/118830?tab=detail&amp;rf=Y</t>
        </is>
      </c>
      <c r="AA584" s="0" t="inlineStr">
        <is>
          <t>충청북도 청주시 흥덕구 봉명동 2319</t>
        </is>
      </c>
      <c r="AB584" s="0" t="inlineStr">
        <is>
          <t>충청북도</t>
        </is>
      </c>
      <c r="AC584" s="0" t="inlineStr">
        <is>
          <t>청주시</t>
        </is>
      </c>
      <c r="AD584" s="0" t="inlineStr">
        <is>
          <t>흥덕구</t>
        </is>
      </c>
      <c r="AE584" s="0" t="inlineStr">
        <is>
          <t>봉명동</t>
        </is>
      </c>
      <c r="AG584" s="0" t="inlineStr">
        <is>
          <t>충청북도 청주시 흥덕구 송절로124번길 47</t>
        </is>
      </c>
      <c r="AH584" s="0" t="n">
        <v>0</v>
      </c>
      <c r="AI584" s="0" t="n">
        <v>0</v>
      </c>
      <c r="AJ584" s="0" t="n">
        <v>0</v>
      </c>
      <c r="AK584" s="0" t="n">
        <v>0</v>
      </c>
      <c r="AL584" s="0" t="n">
        <v>0</v>
      </c>
    </row>
    <row r="585">
      <c r="A585" s="0" t="inlineStr">
        <is>
          <t>[봉명동]</t>
        </is>
      </c>
      <c r="B585" s="0" t="n">
        <v>118830</v>
      </c>
      <c r="C585" s="0" t="n">
        <v>29</v>
      </c>
      <c r="D585" s="0" t="inlineStr">
        <is>
          <t>더라움(도시형)</t>
        </is>
      </c>
      <c r="E585" s="0" t="inlineStr">
        <is>
          <t>2014.06.</t>
        </is>
      </c>
      <c r="F585" s="0" t="n">
        <v>167</v>
      </c>
      <c r="G585" s="0" t="n">
        <v>21.44</v>
      </c>
      <c r="H585" s="0" t="n">
        <v>70.90000000000001</v>
      </c>
      <c r="I585" s="0" t="n">
        <v>18.31</v>
      </c>
      <c r="J585" s="0" t="n">
        <v>60.54</v>
      </c>
      <c r="K585" s="0" t="n">
        <v>12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70F</t>
        </is>
      </c>
      <c r="X585" s="0" t="n">
        <v>4</v>
      </c>
      <c r="Y585" s="0" t="n">
        <v>2</v>
      </c>
      <c r="Z585" s="0" t="inlineStr">
        <is>
          <t>https://new.land.naver.com/complexes/118830?tab=detail&amp;rf=Y</t>
        </is>
      </c>
      <c r="AA585" s="0" t="inlineStr">
        <is>
          <t>충청북도 청주시 흥덕구 봉명동 2319</t>
        </is>
      </c>
      <c r="AB585" s="0" t="inlineStr">
        <is>
          <t>충청북도</t>
        </is>
      </c>
      <c r="AC585" s="0" t="inlineStr">
        <is>
          <t>청주시</t>
        </is>
      </c>
      <c r="AD585" s="0" t="inlineStr">
        <is>
          <t>흥덕구</t>
        </is>
      </c>
      <c r="AE585" s="0" t="inlineStr">
        <is>
          <t>봉명동</t>
        </is>
      </c>
      <c r="AG585" s="0" t="inlineStr">
        <is>
          <t>충청북도 청주시 흥덕구 송절로124번길 47</t>
        </is>
      </c>
      <c r="AH585" s="0" t="n">
        <v>0</v>
      </c>
      <c r="AI585" s="0" t="n">
        <v>0</v>
      </c>
      <c r="AJ585" s="0" t="n">
        <v>0</v>
      </c>
      <c r="AK585" s="0" t="n">
        <v>0</v>
      </c>
      <c r="AL585" s="0" t="n">
        <v>0</v>
      </c>
    </row>
    <row r="586">
      <c r="A586" s="0" t="inlineStr">
        <is>
          <t>[봉명동]</t>
        </is>
      </c>
      <c r="B586" s="0" t="n">
        <v>118830</v>
      </c>
      <c r="C586" s="0" t="n">
        <v>30</v>
      </c>
      <c r="D586" s="0" t="inlineStr">
        <is>
          <t>더라움(도시형)</t>
        </is>
      </c>
      <c r="E586" s="0" t="inlineStr">
        <is>
          <t>2014.06.</t>
        </is>
      </c>
      <c r="F586" s="0" t="n">
        <v>167</v>
      </c>
      <c r="G586" s="0" t="n">
        <v>21.31</v>
      </c>
      <c r="H586" s="0" t="n">
        <v>70.47</v>
      </c>
      <c r="I586" s="0" t="n">
        <v>18.2</v>
      </c>
      <c r="J586" s="0" t="n">
        <v>60.17</v>
      </c>
      <c r="K586" s="0" t="n">
        <v>4</v>
      </c>
      <c r="T586" s="0" t="n">
        <v>2</v>
      </c>
      <c r="U586" s="0" t="n">
        <v>1</v>
      </c>
      <c r="V586" s="0" t="inlineStr">
        <is>
          <t>계단식</t>
        </is>
      </c>
      <c r="W586" s="0" t="inlineStr">
        <is>
          <t>70E</t>
        </is>
      </c>
      <c r="X586" s="0" t="n">
        <v>4</v>
      </c>
      <c r="Y586" s="0" t="n">
        <v>2</v>
      </c>
      <c r="Z586" s="0" t="inlineStr">
        <is>
          <t>https://new.land.naver.com/complexes/118830?tab=detail&amp;rf=Y</t>
        </is>
      </c>
      <c r="AA586" s="0" t="inlineStr">
        <is>
          <t>충청북도 청주시 흥덕구 봉명동 2319</t>
        </is>
      </c>
      <c r="AB586" s="0" t="inlineStr">
        <is>
          <t>충청북도</t>
        </is>
      </c>
      <c r="AC586" s="0" t="inlineStr">
        <is>
          <t>청주시</t>
        </is>
      </c>
      <c r="AD586" s="0" t="inlineStr">
        <is>
          <t>흥덕구</t>
        </is>
      </c>
      <c r="AE586" s="0" t="inlineStr">
        <is>
          <t>봉명동</t>
        </is>
      </c>
      <c r="AG586" s="0" t="inlineStr">
        <is>
          <t>충청북도 청주시 흥덕구 송절로124번길 47</t>
        </is>
      </c>
      <c r="AH586" s="0" t="n">
        <v>0</v>
      </c>
      <c r="AI586" s="0" t="n">
        <v>0</v>
      </c>
      <c r="AJ586" s="0" t="n">
        <v>0</v>
      </c>
      <c r="AK586" s="0" t="n">
        <v>0</v>
      </c>
      <c r="AL586" s="0" t="n">
        <v>0</v>
      </c>
    </row>
    <row r="587">
      <c r="A587" s="0" t="inlineStr">
        <is>
          <t>[봉명동]</t>
        </is>
      </c>
      <c r="B587" s="0" t="n">
        <v>118830</v>
      </c>
      <c r="C587" s="0" t="n">
        <v>31</v>
      </c>
      <c r="D587" s="0" t="inlineStr">
        <is>
          <t>더라움(도시형)</t>
        </is>
      </c>
      <c r="E587" s="0" t="inlineStr">
        <is>
          <t>2014.06.</t>
        </is>
      </c>
      <c r="F587" s="0" t="n">
        <v>167</v>
      </c>
      <c r="G587" s="0" t="n">
        <v>21.42</v>
      </c>
      <c r="H587" s="0" t="n">
        <v>70.81999999999999</v>
      </c>
      <c r="I587" s="0" t="n">
        <v>18.55</v>
      </c>
      <c r="J587" s="0" t="n">
        <v>61.35</v>
      </c>
      <c r="K587" s="0" t="n">
        <v>4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70I</t>
        </is>
      </c>
      <c r="X587" s="0" t="n">
        <v>4</v>
      </c>
      <c r="Y587" s="0" t="n">
        <v>2</v>
      </c>
      <c r="Z587" s="0" t="inlineStr">
        <is>
          <t>https://new.land.naver.com/complexes/118830?tab=detail&amp;rf=Y</t>
        </is>
      </c>
      <c r="AA587" s="0" t="inlineStr">
        <is>
          <t>충청북도 청주시 흥덕구 봉명동 2319</t>
        </is>
      </c>
      <c r="AB587" s="0" t="inlineStr">
        <is>
          <t>충청북도</t>
        </is>
      </c>
      <c r="AC587" s="0" t="inlineStr">
        <is>
          <t>청주시</t>
        </is>
      </c>
      <c r="AD587" s="0" t="inlineStr">
        <is>
          <t>흥덕구</t>
        </is>
      </c>
      <c r="AE587" s="0" t="inlineStr">
        <is>
          <t>봉명동</t>
        </is>
      </c>
      <c r="AG587" s="0" t="inlineStr">
        <is>
          <t>충청북도 청주시 흥덕구 송절로124번길 47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[봉명동]</t>
        </is>
      </c>
      <c r="B588" s="0" t="n">
        <v>118830</v>
      </c>
      <c r="C588" s="0" t="n">
        <v>32</v>
      </c>
      <c r="D588" s="0" t="inlineStr">
        <is>
          <t>더라움(도시형)</t>
        </is>
      </c>
      <c r="E588" s="0" t="inlineStr">
        <is>
          <t>2014.06.</t>
        </is>
      </c>
      <c r="F588" s="0" t="n">
        <v>167</v>
      </c>
      <c r="G588" s="0" t="n">
        <v>21.35</v>
      </c>
      <c r="H588" s="0" t="n">
        <v>70.59999999999999</v>
      </c>
      <c r="I588" s="0" t="n">
        <v>18.5</v>
      </c>
      <c r="J588" s="0" t="n">
        <v>61.16</v>
      </c>
      <c r="K588" s="0" t="n">
        <v>1</v>
      </c>
      <c r="T588" s="0" t="n">
        <v>2</v>
      </c>
      <c r="U588" s="0" t="n">
        <v>1</v>
      </c>
      <c r="V588" s="0" t="inlineStr">
        <is>
          <t>계단식</t>
        </is>
      </c>
      <c r="W588" s="0" t="inlineStr">
        <is>
          <t>70G</t>
        </is>
      </c>
      <c r="X588" s="0" t="n">
        <v>4</v>
      </c>
      <c r="Y588" s="0" t="n">
        <v>2</v>
      </c>
      <c r="Z588" s="0" t="inlineStr">
        <is>
          <t>https://new.land.naver.com/complexes/118830?tab=detail&amp;rf=Y</t>
        </is>
      </c>
      <c r="AA588" s="0" t="inlineStr">
        <is>
          <t>충청북도 청주시 흥덕구 봉명동 2319</t>
        </is>
      </c>
      <c r="AB588" s="0" t="inlineStr">
        <is>
          <t>충청북도</t>
        </is>
      </c>
      <c r="AC588" s="0" t="inlineStr">
        <is>
          <t>청주시</t>
        </is>
      </c>
      <c r="AD588" s="0" t="inlineStr">
        <is>
          <t>흥덕구</t>
        </is>
      </c>
      <c r="AE588" s="0" t="inlineStr">
        <is>
          <t>봉명동</t>
        </is>
      </c>
      <c r="AG588" s="0" t="inlineStr">
        <is>
          <t>충청북도 청주시 흥덕구 송절로124번길 47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[봉명동]</t>
        </is>
      </c>
      <c r="B589" s="0" t="n">
        <v>118830</v>
      </c>
      <c r="C589" s="0" t="n">
        <v>33</v>
      </c>
      <c r="D589" s="0" t="inlineStr">
        <is>
          <t>더라움(도시형)</t>
        </is>
      </c>
      <c r="E589" s="0" t="inlineStr">
        <is>
          <t>2014.06.</t>
        </is>
      </c>
      <c r="F589" s="0" t="n">
        <v>167</v>
      </c>
      <c r="G589" s="0" t="n">
        <v>21.51</v>
      </c>
      <c r="H589" s="0" t="n">
        <v>71.11</v>
      </c>
      <c r="I589" s="0" t="n">
        <v>18.63</v>
      </c>
      <c r="J589" s="0" t="n">
        <v>61.6</v>
      </c>
      <c r="K589" s="0" t="n">
        <v>2</v>
      </c>
      <c r="T589" s="0" t="n">
        <v>2</v>
      </c>
      <c r="U589" s="0" t="n">
        <v>1</v>
      </c>
      <c r="V589" s="0" t="inlineStr">
        <is>
          <t>계단식</t>
        </is>
      </c>
      <c r="W589" s="0" t="n">
        <v>71</v>
      </c>
      <c r="X589" s="0" t="n">
        <v>4</v>
      </c>
      <c r="Y589" s="0" t="n">
        <v>2</v>
      </c>
      <c r="Z589" s="0" t="inlineStr">
        <is>
          <t>https://new.land.naver.com/complexes/118830?tab=detail&amp;rf=Y</t>
        </is>
      </c>
      <c r="AA589" s="0" t="inlineStr">
        <is>
          <t>충청북도 청주시 흥덕구 봉명동 2319</t>
        </is>
      </c>
      <c r="AB589" s="0" t="inlineStr">
        <is>
          <t>충청북도</t>
        </is>
      </c>
      <c r="AC589" s="0" t="inlineStr">
        <is>
          <t>청주시</t>
        </is>
      </c>
      <c r="AD589" s="0" t="inlineStr">
        <is>
          <t>흥덕구</t>
        </is>
      </c>
      <c r="AE589" s="0" t="inlineStr">
        <is>
          <t>봉명동</t>
        </is>
      </c>
      <c r="AG589" s="0" t="inlineStr">
        <is>
          <t>충청북도 청주시 흥덕구 송절로124번길 47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[봉명동]</t>
        </is>
      </c>
      <c r="B590" s="0" t="n">
        <v>118830</v>
      </c>
      <c r="C590" s="0" t="n">
        <v>34</v>
      </c>
      <c r="D590" s="0" t="inlineStr">
        <is>
          <t>더라움(도시형)</t>
        </is>
      </c>
      <c r="E590" s="0" t="inlineStr">
        <is>
          <t>2014.06.</t>
        </is>
      </c>
      <c r="F590" s="0" t="n">
        <v>167</v>
      </c>
      <c r="G590" s="0" t="n">
        <v>22.64</v>
      </c>
      <c r="H590" s="0" t="n">
        <v>74.84999999999999</v>
      </c>
      <c r="I590" s="0" t="n">
        <v>19.96</v>
      </c>
      <c r="J590" s="0" t="n">
        <v>65.98999999999999</v>
      </c>
      <c r="K590" s="0" t="n">
        <v>3</v>
      </c>
      <c r="T590" s="0" t="n">
        <v>2</v>
      </c>
      <c r="U590" s="0" t="n">
        <v>1</v>
      </c>
      <c r="V590" s="0" t="inlineStr">
        <is>
          <t>계단식</t>
        </is>
      </c>
      <c r="W590" s="0" t="inlineStr">
        <is>
          <t>74B</t>
        </is>
      </c>
      <c r="X590" s="0" t="n">
        <v>4</v>
      </c>
      <c r="Y590" s="0" t="n">
        <v>2</v>
      </c>
      <c r="Z590" s="0" t="inlineStr">
        <is>
          <t>https://new.land.naver.com/complexes/118830?tab=detail&amp;rf=Y</t>
        </is>
      </c>
      <c r="AA590" s="0" t="inlineStr">
        <is>
          <t>충청북도 청주시 흥덕구 봉명동 2319</t>
        </is>
      </c>
      <c r="AB590" s="0" t="inlineStr">
        <is>
          <t>충청북도</t>
        </is>
      </c>
      <c r="AC590" s="0" t="inlineStr">
        <is>
          <t>청주시</t>
        </is>
      </c>
      <c r="AD590" s="0" t="inlineStr">
        <is>
          <t>흥덕구</t>
        </is>
      </c>
      <c r="AE590" s="0" t="inlineStr">
        <is>
          <t>봉명동</t>
        </is>
      </c>
      <c r="AG590" s="0" t="inlineStr">
        <is>
          <t>충청북도 청주시 흥덕구 송절로124번길 47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[봉명동]</t>
        </is>
      </c>
      <c r="B591" s="0" t="n">
        <v>118830</v>
      </c>
      <c r="C591" s="0" t="n">
        <v>35</v>
      </c>
      <c r="D591" s="0" t="inlineStr">
        <is>
          <t>더라움(도시형)</t>
        </is>
      </c>
      <c r="E591" s="0" t="inlineStr">
        <is>
          <t>2014.06.</t>
        </is>
      </c>
      <c r="F591" s="0" t="n">
        <v>167</v>
      </c>
      <c r="G591" s="0" t="n">
        <v>22.67</v>
      </c>
      <c r="H591" s="0" t="n">
        <v>74.97</v>
      </c>
      <c r="I591" s="0" t="n">
        <v>19.64</v>
      </c>
      <c r="J591" s="0" t="n">
        <v>64.95</v>
      </c>
      <c r="K591" s="0" t="n">
        <v>1</v>
      </c>
      <c r="T591" s="0" t="n">
        <v>2</v>
      </c>
      <c r="U591" s="0" t="n">
        <v>1</v>
      </c>
      <c r="V591" s="0" t="inlineStr">
        <is>
          <t>계단식</t>
        </is>
      </c>
      <c r="W591" s="0" t="inlineStr">
        <is>
          <t>74A</t>
        </is>
      </c>
      <c r="X591" s="0" t="n">
        <v>4</v>
      </c>
      <c r="Y591" s="0" t="n">
        <v>2</v>
      </c>
      <c r="Z591" s="0" t="inlineStr">
        <is>
          <t>https://new.land.naver.com/complexes/118830?tab=detail&amp;rf=Y</t>
        </is>
      </c>
      <c r="AA591" s="0" t="inlineStr">
        <is>
          <t>충청북도 청주시 흥덕구 봉명동 2319</t>
        </is>
      </c>
      <c r="AB591" s="0" t="inlineStr">
        <is>
          <t>충청북도</t>
        </is>
      </c>
      <c r="AC591" s="0" t="inlineStr">
        <is>
          <t>청주시</t>
        </is>
      </c>
      <c r="AD591" s="0" t="inlineStr">
        <is>
          <t>흥덕구</t>
        </is>
      </c>
      <c r="AE591" s="0" t="inlineStr">
        <is>
          <t>봉명동</t>
        </is>
      </c>
      <c r="AG591" s="0" t="inlineStr">
        <is>
          <t>충청북도 청주시 흥덕구 송절로124번길 47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[봉명동]</t>
        </is>
      </c>
      <c r="B592" s="0" t="n">
        <v>118830</v>
      </c>
      <c r="C592" s="0" t="n">
        <v>36</v>
      </c>
      <c r="D592" s="0" t="inlineStr">
        <is>
          <t>더라움(도시형)</t>
        </is>
      </c>
      <c r="E592" s="0" t="inlineStr">
        <is>
          <t>2014.06.</t>
        </is>
      </c>
      <c r="F592" s="0" t="n">
        <v>167</v>
      </c>
      <c r="G592" s="0" t="n">
        <v>22.73</v>
      </c>
      <c r="H592" s="0" t="n">
        <v>75.16</v>
      </c>
      <c r="I592" s="0" t="n">
        <v>20.04</v>
      </c>
      <c r="J592" s="0" t="n">
        <v>66.27</v>
      </c>
      <c r="K592" s="0" t="n">
        <v>8</v>
      </c>
      <c r="T592" s="0" t="n">
        <v>2</v>
      </c>
      <c r="U592" s="0" t="n">
        <v>1</v>
      </c>
      <c r="V592" s="0" t="inlineStr">
        <is>
          <t>계단식</t>
        </is>
      </c>
      <c r="W592" s="0" t="inlineStr">
        <is>
          <t>75D</t>
        </is>
      </c>
      <c r="X592" s="0" t="n">
        <v>4</v>
      </c>
      <c r="Y592" s="0" t="n">
        <v>2</v>
      </c>
      <c r="Z592" s="0" t="inlineStr">
        <is>
          <t>https://new.land.naver.com/complexes/118830?tab=detail&amp;rf=Y</t>
        </is>
      </c>
      <c r="AA592" s="0" t="inlineStr">
        <is>
          <t>충청북도 청주시 흥덕구 봉명동 2319</t>
        </is>
      </c>
      <c r="AB592" s="0" t="inlineStr">
        <is>
          <t>충청북도</t>
        </is>
      </c>
      <c r="AC592" s="0" t="inlineStr">
        <is>
          <t>청주시</t>
        </is>
      </c>
      <c r="AD592" s="0" t="inlineStr">
        <is>
          <t>흥덕구</t>
        </is>
      </c>
      <c r="AE592" s="0" t="inlineStr">
        <is>
          <t>봉명동</t>
        </is>
      </c>
      <c r="AG592" s="0" t="inlineStr">
        <is>
          <t>충청북도 청주시 흥덕구 송절로124번길 47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[봉명동]</t>
        </is>
      </c>
      <c r="B593" s="0" t="n">
        <v>118830</v>
      </c>
      <c r="C593" s="0" t="n">
        <v>37</v>
      </c>
      <c r="D593" s="0" t="inlineStr">
        <is>
          <t>더라움(도시형)</t>
        </is>
      </c>
      <c r="E593" s="0" t="inlineStr">
        <is>
          <t>2014.06.</t>
        </is>
      </c>
      <c r="F593" s="0" t="n">
        <v>167</v>
      </c>
      <c r="G593" s="0" t="n">
        <v>22.86</v>
      </c>
      <c r="H593" s="0" t="n">
        <v>75.58</v>
      </c>
      <c r="I593" s="0" t="n">
        <v>20.15</v>
      </c>
      <c r="J593" s="0" t="n">
        <v>66.64</v>
      </c>
      <c r="K593" s="0" t="n">
        <v>2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75F</t>
        </is>
      </c>
      <c r="X593" s="0" t="n">
        <v>4</v>
      </c>
      <c r="Y593" s="0" t="n">
        <v>2</v>
      </c>
      <c r="Z593" s="0" t="inlineStr">
        <is>
          <t>https://new.land.naver.com/complexes/118830?tab=detail&amp;rf=Y</t>
        </is>
      </c>
      <c r="AA593" s="0" t="inlineStr">
        <is>
          <t>충청북도 청주시 흥덕구 봉명동 2319</t>
        </is>
      </c>
      <c r="AB593" s="0" t="inlineStr">
        <is>
          <t>충청북도</t>
        </is>
      </c>
      <c r="AC593" s="0" t="inlineStr">
        <is>
          <t>청주시</t>
        </is>
      </c>
      <c r="AD593" s="0" t="inlineStr">
        <is>
          <t>흥덕구</t>
        </is>
      </c>
      <c r="AE593" s="0" t="inlineStr">
        <is>
          <t>봉명동</t>
        </is>
      </c>
      <c r="AG593" s="0" t="inlineStr">
        <is>
          <t>충청북도 청주시 흥덕구 송절로124번길 47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[봉명동]</t>
        </is>
      </c>
      <c r="B594" s="0" t="n">
        <v>118830</v>
      </c>
      <c r="C594" s="0" t="n">
        <v>38</v>
      </c>
      <c r="D594" s="0" t="inlineStr">
        <is>
          <t>더라움(도시형)</t>
        </is>
      </c>
      <c r="E594" s="0" t="inlineStr">
        <is>
          <t>2014.06.</t>
        </is>
      </c>
      <c r="F594" s="0" t="n">
        <v>167</v>
      </c>
      <c r="G594" s="0" t="n">
        <v>23.14</v>
      </c>
      <c r="H594" s="0" t="n">
        <v>76.5</v>
      </c>
      <c r="I594" s="0" t="n">
        <v>20.04</v>
      </c>
      <c r="J594" s="0" t="n">
        <v>66.27</v>
      </c>
      <c r="K594" s="0" t="n">
        <v>13</v>
      </c>
      <c r="T594" s="0" t="n">
        <v>2</v>
      </c>
      <c r="U594" s="0" t="n">
        <v>1</v>
      </c>
      <c r="V594" s="0" t="inlineStr">
        <is>
          <t>계단식</t>
        </is>
      </c>
      <c r="W594" s="0" t="inlineStr">
        <is>
          <t>76E</t>
        </is>
      </c>
      <c r="X594" s="0" t="n">
        <v>4</v>
      </c>
      <c r="Y594" s="0" t="n">
        <v>2</v>
      </c>
      <c r="Z594" s="0" t="inlineStr">
        <is>
          <t>https://new.land.naver.com/complexes/118830?tab=detail&amp;rf=Y</t>
        </is>
      </c>
      <c r="AA594" s="0" t="inlineStr">
        <is>
          <t>충청북도 청주시 흥덕구 봉명동 2319</t>
        </is>
      </c>
      <c r="AB594" s="0" t="inlineStr">
        <is>
          <t>충청북도</t>
        </is>
      </c>
      <c r="AC594" s="0" t="inlineStr">
        <is>
          <t>청주시</t>
        </is>
      </c>
      <c r="AD594" s="0" t="inlineStr">
        <is>
          <t>흥덕구</t>
        </is>
      </c>
      <c r="AE594" s="0" t="inlineStr">
        <is>
          <t>봉명동</t>
        </is>
      </c>
      <c r="AG594" s="0" t="inlineStr">
        <is>
          <t>충청북도 청주시 흥덕구 송절로124번길 47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[봉명동]</t>
        </is>
      </c>
      <c r="B595" s="0" t="n">
        <v>118830</v>
      </c>
      <c r="C595" s="0" t="n">
        <v>39</v>
      </c>
      <c r="D595" s="0" t="inlineStr">
        <is>
          <t>더라움(도시형)</t>
        </is>
      </c>
      <c r="E595" s="0" t="inlineStr">
        <is>
          <t>2014.06.</t>
        </is>
      </c>
      <c r="F595" s="0" t="n">
        <v>167</v>
      </c>
      <c r="G595" s="0" t="n">
        <v>23.09</v>
      </c>
      <c r="H595" s="0" t="n">
        <v>76.34</v>
      </c>
      <c r="I595" s="0" t="n">
        <v>20</v>
      </c>
      <c r="J595" s="0" t="n">
        <v>66.13</v>
      </c>
      <c r="K595" s="0" t="n">
        <v>1</v>
      </c>
      <c r="T595" s="0" t="n">
        <v>2</v>
      </c>
      <c r="U595" s="0" t="n">
        <v>1</v>
      </c>
      <c r="V595" s="0" t="inlineStr">
        <is>
          <t>계단식</t>
        </is>
      </c>
      <c r="W595" s="0" t="inlineStr">
        <is>
          <t>76C</t>
        </is>
      </c>
      <c r="X595" s="0" t="n">
        <v>4</v>
      </c>
      <c r="Y595" s="0" t="n">
        <v>2</v>
      </c>
      <c r="Z595" s="0" t="inlineStr">
        <is>
          <t>https://new.land.naver.com/complexes/118830?tab=detail&amp;rf=Y</t>
        </is>
      </c>
      <c r="AA595" s="0" t="inlineStr">
        <is>
          <t>충청북도 청주시 흥덕구 봉명동 2319</t>
        </is>
      </c>
      <c r="AB595" s="0" t="inlineStr">
        <is>
          <t>충청북도</t>
        </is>
      </c>
      <c r="AC595" s="0" t="inlineStr">
        <is>
          <t>청주시</t>
        </is>
      </c>
      <c r="AD595" s="0" t="inlineStr">
        <is>
          <t>흥덕구</t>
        </is>
      </c>
      <c r="AE595" s="0" t="inlineStr">
        <is>
          <t>봉명동</t>
        </is>
      </c>
      <c r="AG595" s="0" t="inlineStr">
        <is>
          <t>충청북도 청주시 흥덕구 송절로124번길 47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[봉명동]</t>
        </is>
      </c>
      <c r="B596" s="0" t="n">
        <v>118830</v>
      </c>
      <c r="C596" s="0" t="n">
        <v>40</v>
      </c>
      <c r="D596" s="0" t="inlineStr">
        <is>
          <t>더라움(도시형)</t>
        </is>
      </c>
      <c r="E596" s="0" t="inlineStr">
        <is>
          <t>2014.06.</t>
        </is>
      </c>
      <c r="F596" s="0" t="n">
        <v>167</v>
      </c>
      <c r="G596" s="0" t="n">
        <v>24.29</v>
      </c>
      <c r="H596" s="0" t="n">
        <v>80.31</v>
      </c>
      <c r="I596" s="0" t="n">
        <v>21.04</v>
      </c>
      <c r="J596" s="0" t="n">
        <v>69.56999999999999</v>
      </c>
      <c r="K596" s="0" t="n">
        <v>3</v>
      </c>
      <c r="T596" s="0" t="n">
        <v>2</v>
      </c>
      <c r="U596" s="0" t="n">
        <v>1</v>
      </c>
      <c r="V596" s="0" t="inlineStr">
        <is>
          <t>계단식</t>
        </is>
      </c>
      <c r="W596" s="0" t="n">
        <v>80</v>
      </c>
      <c r="X596" s="0" t="n">
        <v>4</v>
      </c>
      <c r="Y596" s="0" t="n">
        <v>2</v>
      </c>
      <c r="Z596" s="0" t="inlineStr">
        <is>
          <t>https://new.land.naver.com/complexes/118830?tab=detail&amp;rf=Y</t>
        </is>
      </c>
      <c r="AA596" s="0" t="inlineStr">
        <is>
          <t>충청북도 청주시 흥덕구 봉명동 2319</t>
        </is>
      </c>
      <c r="AB596" s="0" t="inlineStr">
        <is>
          <t>충청북도</t>
        </is>
      </c>
      <c r="AC596" s="0" t="inlineStr">
        <is>
          <t>청주시</t>
        </is>
      </c>
      <c r="AD596" s="0" t="inlineStr">
        <is>
          <t>흥덕구</t>
        </is>
      </c>
      <c r="AE596" s="0" t="inlineStr">
        <is>
          <t>봉명동</t>
        </is>
      </c>
      <c r="AG596" s="0" t="inlineStr">
        <is>
          <t>충청북도 청주시 흥덕구 송절로124번길 47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[봉명동]</t>
        </is>
      </c>
      <c r="B597" s="0" t="n">
        <v>118830</v>
      </c>
      <c r="C597" s="0" t="n">
        <v>41</v>
      </c>
      <c r="D597" s="0" t="inlineStr">
        <is>
          <t>더라움(도시형)</t>
        </is>
      </c>
      <c r="E597" s="0" t="inlineStr">
        <is>
          <t>2014.06.</t>
        </is>
      </c>
      <c r="F597" s="0" t="n">
        <v>167</v>
      </c>
      <c r="G597" s="0" t="n">
        <v>24.78</v>
      </c>
      <c r="H597" s="0" t="n">
        <v>81.92</v>
      </c>
      <c r="I597" s="0" t="n">
        <v>21.46</v>
      </c>
      <c r="J597" s="0" t="n">
        <v>70.97</v>
      </c>
      <c r="K597" s="0" t="n">
        <v>2</v>
      </c>
      <c r="T597" s="0" t="n">
        <v>2</v>
      </c>
      <c r="U597" s="0" t="n">
        <v>1</v>
      </c>
      <c r="V597" s="0" t="inlineStr">
        <is>
          <t>계단식</t>
        </is>
      </c>
      <c r="W597" s="0" t="inlineStr">
        <is>
          <t>81A</t>
        </is>
      </c>
      <c r="X597" s="0" t="n">
        <v>4</v>
      </c>
      <c r="Y597" s="0" t="n">
        <v>2</v>
      </c>
      <c r="Z597" s="0" t="inlineStr">
        <is>
          <t>https://new.land.naver.com/complexes/118830?tab=detail&amp;rf=Y</t>
        </is>
      </c>
      <c r="AA597" s="0" t="inlineStr">
        <is>
          <t>충청북도 청주시 흥덕구 봉명동 2319</t>
        </is>
      </c>
      <c r="AB597" s="0" t="inlineStr">
        <is>
          <t>충청북도</t>
        </is>
      </c>
      <c r="AC597" s="0" t="inlineStr">
        <is>
          <t>청주시</t>
        </is>
      </c>
      <c r="AD597" s="0" t="inlineStr">
        <is>
          <t>흥덕구</t>
        </is>
      </c>
      <c r="AE597" s="0" t="inlineStr">
        <is>
          <t>봉명동</t>
        </is>
      </c>
      <c r="AG597" s="0" t="inlineStr">
        <is>
          <t>충청북도 청주시 흥덕구 송절로124번길 47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[봉명동]</t>
        </is>
      </c>
      <c r="B598" s="0" t="n">
        <v>118830</v>
      </c>
      <c r="C598" s="0" t="n">
        <v>42</v>
      </c>
      <c r="D598" s="0" t="inlineStr">
        <is>
          <t>더라움(도시형)</t>
        </is>
      </c>
      <c r="E598" s="0" t="inlineStr">
        <is>
          <t>2014.06.</t>
        </is>
      </c>
      <c r="F598" s="0" t="n">
        <v>167</v>
      </c>
      <c r="G598" s="0" t="n">
        <v>25.26</v>
      </c>
      <c r="H598" s="0" t="n">
        <v>83.51000000000001</v>
      </c>
      <c r="I598" s="0" t="n">
        <v>21.81</v>
      </c>
      <c r="J598" s="0" t="n">
        <v>72.09999999999999</v>
      </c>
      <c r="K598" s="0" t="n">
        <v>12</v>
      </c>
      <c r="T598" s="0" t="n">
        <v>2</v>
      </c>
      <c r="U598" s="0" t="n">
        <v>1</v>
      </c>
      <c r="V598" s="0" t="inlineStr">
        <is>
          <t>계단식</t>
        </is>
      </c>
      <c r="W598" s="0" t="inlineStr">
        <is>
          <t>83C</t>
        </is>
      </c>
      <c r="X598" s="0" t="n">
        <v>4</v>
      </c>
      <c r="Y598" s="0" t="n">
        <v>2</v>
      </c>
      <c r="Z598" s="0" t="inlineStr">
        <is>
          <t>https://new.land.naver.com/complexes/118830?tab=detail&amp;rf=Y</t>
        </is>
      </c>
      <c r="AA598" s="0" t="inlineStr">
        <is>
          <t>충청북도 청주시 흥덕구 봉명동 2319</t>
        </is>
      </c>
      <c r="AB598" s="0" t="inlineStr">
        <is>
          <t>충청북도</t>
        </is>
      </c>
      <c r="AC598" s="0" t="inlineStr">
        <is>
          <t>청주시</t>
        </is>
      </c>
      <c r="AD598" s="0" t="inlineStr">
        <is>
          <t>흥덕구</t>
        </is>
      </c>
      <c r="AE598" s="0" t="inlineStr">
        <is>
          <t>봉명동</t>
        </is>
      </c>
      <c r="AG598" s="0" t="inlineStr">
        <is>
          <t>충청북도 청주시 흥덕구 송절로124번길 47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[봉명동]</t>
        </is>
      </c>
      <c r="B599" s="0" t="n">
        <v>118830</v>
      </c>
      <c r="C599" s="0" t="n">
        <v>43</v>
      </c>
      <c r="D599" s="0" t="inlineStr">
        <is>
          <t>더라움(도시형)</t>
        </is>
      </c>
      <c r="E599" s="0" t="inlineStr">
        <is>
          <t>2014.06.</t>
        </is>
      </c>
      <c r="F599" s="0" t="n">
        <v>167</v>
      </c>
      <c r="G599" s="0" t="n">
        <v>25.17</v>
      </c>
      <c r="H599" s="0" t="n">
        <v>83.23</v>
      </c>
      <c r="I599" s="0" t="n">
        <v>21.81</v>
      </c>
      <c r="J599" s="0" t="n">
        <v>72.09999999999999</v>
      </c>
      <c r="K599" s="0" t="n">
        <v>6</v>
      </c>
      <c r="T599" s="0" t="n">
        <v>2</v>
      </c>
      <c r="U599" s="0" t="n">
        <v>1</v>
      </c>
      <c r="V599" s="0" t="inlineStr">
        <is>
          <t>계단식</t>
        </is>
      </c>
      <c r="W599" s="0" t="inlineStr">
        <is>
          <t>83B</t>
        </is>
      </c>
      <c r="X599" s="0" t="n">
        <v>4</v>
      </c>
      <c r="Y599" s="0" t="n">
        <v>2</v>
      </c>
      <c r="Z599" s="0" t="inlineStr">
        <is>
          <t>https://new.land.naver.com/complexes/118830?tab=detail&amp;rf=Y</t>
        </is>
      </c>
      <c r="AA599" s="0" t="inlineStr">
        <is>
          <t>충청북도 청주시 흥덕구 봉명동 2319</t>
        </is>
      </c>
      <c r="AB599" s="0" t="inlineStr">
        <is>
          <t>충청북도</t>
        </is>
      </c>
      <c r="AC599" s="0" t="inlineStr">
        <is>
          <t>청주시</t>
        </is>
      </c>
      <c r="AD599" s="0" t="inlineStr">
        <is>
          <t>흥덕구</t>
        </is>
      </c>
      <c r="AE599" s="0" t="inlineStr">
        <is>
          <t>봉명동</t>
        </is>
      </c>
      <c r="AG599" s="0" t="inlineStr">
        <is>
          <t>충청북도 청주시 흥덕구 송절로124번길 47</t>
        </is>
      </c>
      <c r="AH599" s="0" t="n">
        <v>0</v>
      </c>
      <c r="AI599" s="0" t="n">
        <v>0</v>
      </c>
      <c r="AJ599" s="0" t="n">
        <v>0</v>
      </c>
      <c r="AK599" s="0" t="n">
        <v>0</v>
      </c>
      <c r="AL599" s="0" t="n">
        <v>0</v>
      </c>
    </row>
    <row r="600">
      <c r="A600" s="0" t="inlineStr">
        <is>
          <t>[봉명동]</t>
        </is>
      </c>
      <c r="B600" s="0" t="n">
        <v>118830</v>
      </c>
      <c r="C600" s="0" t="n">
        <v>44</v>
      </c>
      <c r="D600" s="0" t="inlineStr">
        <is>
          <t>더라움(도시형)</t>
        </is>
      </c>
      <c r="E600" s="0" t="inlineStr">
        <is>
          <t>2014.06.</t>
        </is>
      </c>
      <c r="F600" s="0" t="n">
        <v>167</v>
      </c>
      <c r="G600" s="0" t="n">
        <v>26.18</v>
      </c>
      <c r="H600" s="0" t="n">
        <v>86.55</v>
      </c>
      <c r="I600" s="0" t="n">
        <v>22.35</v>
      </c>
      <c r="J600" s="0" t="n">
        <v>73.90000000000001</v>
      </c>
      <c r="K600" s="0" t="n">
        <v>4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86A</t>
        </is>
      </c>
      <c r="X600" s="0" t="n">
        <v>4</v>
      </c>
      <c r="Y600" s="0" t="n">
        <v>2</v>
      </c>
      <c r="Z600" s="0" t="inlineStr">
        <is>
          <t>https://new.land.naver.com/complexes/118830?tab=detail&amp;rf=Y</t>
        </is>
      </c>
      <c r="AA600" s="0" t="inlineStr">
        <is>
          <t>충청북도 청주시 흥덕구 봉명동 2319</t>
        </is>
      </c>
      <c r="AB600" s="0" t="inlineStr">
        <is>
          <t>충청북도</t>
        </is>
      </c>
      <c r="AC600" s="0" t="inlineStr">
        <is>
          <t>청주시</t>
        </is>
      </c>
      <c r="AD600" s="0" t="inlineStr">
        <is>
          <t>흥덕구</t>
        </is>
      </c>
      <c r="AE600" s="0" t="inlineStr">
        <is>
          <t>봉명동</t>
        </is>
      </c>
      <c r="AG600" s="0" t="inlineStr">
        <is>
          <t>충청북도 청주시 흥덕구 송절로124번길 47</t>
        </is>
      </c>
      <c r="AH600" s="0" t="n">
        <v>0</v>
      </c>
      <c r="AI600" s="0" t="n">
        <v>0</v>
      </c>
      <c r="AJ600" s="0" t="n">
        <v>0</v>
      </c>
      <c r="AK600" s="0" t="n">
        <v>0</v>
      </c>
      <c r="AL600" s="0" t="n">
        <v>0</v>
      </c>
    </row>
    <row r="601">
      <c r="A601" s="0" t="inlineStr">
        <is>
          <t>[봉명동]</t>
        </is>
      </c>
      <c r="B601" s="0" t="n">
        <v>118830</v>
      </c>
      <c r="C601" s="0" t="n">
        <v>45</v>
      </c>
      <c r="D601" s="0" t="inlineStr">
        <is>
          <t>더라움(도시형)</t>
        </is>
      </c>
      <c r="E601" s="0" t="inlineStr">
        <is>
          <t>2014.06.</t>
        </is>
      </c>
      <c r="F601" s="0" t="n">
        <v>167</v>
      </c>
      <c r="G601" s="0" t="n">
        <v>26.27</v>
      </c>
      <c r="H601" s="0" t="n">
        <v>86.84999999999999</v>
      </c>
      <c r="I601" s="0" t="n">
        <v>22.76</v>
      </c>
      <c r="J601" s="0" t="n">
        <v>75.23999999999999</v>
      </c>
      <c r="K601" s="0" t="n">
        <v>1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86B</t>
        </is>
      </c>
      <c r="X601" s="0" t="n">
        <v>4</v>
      </c>
      <c r="Y601" s="0" t="n">
        <v>2</v>
      </c>
      <c r="Z601" s="0" t="inlineStr">
        <is>
          <t>https://new.land.naver.com/complexes/118830?tab=detail&amp;rf=Y</t>
        </is>
      </c>
      <c r="AA601" s="0" t="inlineStr">
        <is>
          <t>충청북도 청주시 흥덕구 봉명동 2319</t>
        </is>
      </c>
      <c r="AB601" s="0" t="inlineStr">
        <is>
          <t>충청북도</t>
        </is>
      </c>
      <c r="AC601" s="0" t="inlineStr">
        <is>
          <t>청주시</t>
        </is>
      </c>
      <c r="AD601" s="0" t="inlineStr">
        <is>
          <t>흥덕구</t>
        </is>
      </c>
      <c r="AE601" s="0" t="inlineStr">
        <is>
          <t>봉명동</t>
        </is>
      </c>
      <c r="AG601" s="0" t="inlineStr">
        <is>
          <t>충청북도 청주시 흥덕구 송절로124번길 47</t>
        </is>
      </c>
      <c r="AH601" s="0" t="n">
        <v>0</v>
      </c>
      <c r="AI601" s="0" t="n">
        <v>0</v>
      </c>
      <c r="AJ601" s="0" t="n">
        <v>0</v>
      </c>
      <c r="AK601" s="0" t="n">
        <v>0</v>
      </c>
      <c r="AL601" s="0" t="n">
        <v>0</v>
      </c>
    </row>
    <row r="602">
      <c r="A602" s="0" t="inlineStr">
        <is>
          <t>[봉명동]</t>
        </is>
      </c>
      <c r="B602" s="0" t="n">
        <v>118830</v>
      </c>
      <c r="C602" s="0" t="n">
        <v>46</v>
      </c>
      <c r="D602" s="0" t="inlineStr">
        <is>
          <t>더라움(도시형)</t>
        </is>
      </c>
      <c r="E602" s="0" t="inlineStr">
        <is>
          <t>2014.06.</t>
        </is>
      </c>
      <c r="F602" s="0" t="n">
        <v>167</v>
      </c>
      <c r="G602" s="0" t="n">
        <v>27.42</v>
      </c>
      <c r="H602" s="0" t="n">
        <v>90.65000000000001</v>
      </c>
      <c r="I602" s="0" t="n">
        <v>24.17</v>
      </c>
      <c r="J602" s="0" t="n">
        <v>79.93000000000001</v>
      </c>
      <c r="K602" s="0" t="n">
        <v>1</v>
      </c>
      <c r="T602" s="0" t="n">
        <v>2</v>
      </c>
      <c r="U602" s="0" t="n">
        <v>1</v>
      </c>
      <c r="V602" s="0" t="inlineStr">
        <is>
          <t>계단식</t>
        </is>
      </c>
      <c r="W602" s="0" t="n">
        <v>90</v>
      </c>
      <c r="X602" s="0" t="n">
        <v>4</v>
      </c>
      <c r="Y602" s="0" t="n">
        <v>2</v>
      </c>
      <c r="Z602" s="0" t="inlineStr">
        <is>
          <t>https://new.land.naver.com/complexes/118830?tab=detail&amp;rf=Y</t>
        </is>
      </c>
      <c r="AA602" s="0" t="inlineStr">
        <is>
          <t>충청북도 청주시 흥덕구 봉명동 2319</t>
        </is>
      </c>
      <c r="AB602" s="0" t="inlineStr">
        <is>
          <t>충청북도</t>
        </is>
      </c>
      <c r="AC602" s="0" t="inlineStr">
        <is>
          <t>청주시</t>
        </is>
      </c>
      <c r="AD602" s="0" t="inlineStr">
        <is>
          <t>흥덕구</t>
        </is>
      </c>
      <c r="AE602" s="0" t="inlineStr">
        <is>
          <t>봉명동</t>
        </is>
      </c>
      <c r="AG602" s="0" t="inlineStr">
        <is>
          <t>충청북도 청주시 흥덕구 송절로124번길 47</t>
        </is>
      </c>
      <c r="AH602" s="0" t="n">
        <v>0</v>
      </c>
      <c r="AI602" s="0" t="n">
        <v>0</v>
      </c>
      <c r="AJ602" s="0" t="n">
        <v>0</v>
      </c>
      <c r="AK602" s="0" t="n">
        <v>0</v>
      </c>
      <c r="AL602" s="0" t="n">
        <v>0</v>
      </c>
    </row>
    <row r="603">
      <c r="A603" s="0" t="inlineStr">
        <is>
          <t>[봉명동]</t>
        </is>
      </c>
      <c r="B603" s="0" t="n">
        <v>118830</v>
      </c>
      <c r="C603" s="0" t="n">
        <v>47</v>
      </c>
      <c r="D603" s="0" t="inlineStr">
        <is>
          <t>더라움(도시형)</t>
        </is>
      </c>
      <c r="E603" s="0" t="inlineStr">
        <is>
          <t>2014.06.</t>
        </is>
      </c>
      <c r="F603" s="0" t="n">
        <v>167</v>
      </c>
      <c r="G603" s="0" t="n">
        <v>27.51</v>
      </c>
      <c r="H603" s="0" t="n">
        <v>90.95999999999999</v>
      </c>
      <c r="I603" s="0" t="n">
        <v>24.26</v>
      </c>
      <c r="J603" s="0" t="n">
        <v>80.2</v>
      </c>
      <c r="K603" s="0" t="n">
        <v>1</v>
      </c>
      <c r="T603" s="0" t="n">
        <v>3</v>
      </c>
      <c r="U603" s="0" t="n">
        <v>1</v>
      </c>
      <c r="V603" s="0" t="inlineStr">
        <is>
          <t>계단식</t>
        </is>
      </c>
      <c r="W603" s="0" t="inlineStr">
        <is>
          <t>90D</t>
        </is>
      </c>
      <c r="X603" s="0" t="n">
        <v>4</v>
      </c>
      <c r="Y603" s="0" t="n">
        <v>2</v>
      </c>
      <c r="Z603" s="0" t="inlineStr">
        <is>
          <t>https://new.land.naver.com/complexes/118830?tab=detail&amp;rf=Y</t>
        </is>
      </c>
      <c r="AA603" s="0" t="inlineStr">
        <is>
          <t>충청북도 청주시 흥덕구 봉명동 2319</t>
        </is>
      </c>
      <c r="AB603" s="0" t="inlineStr">
        <is>
          <t>충청북도</t>
        </is>
      </c>
      <c r="AC603" s="0" t="inlineStr">
        <is>
          <t>청주시</t>
        </is>
      </c>
      <c r="AD603" s="0" t="inlineStr">
        <is>
          <t>흥덕구</t>
        </is>
      </c>
      <c r="AE603" s="0" t="inlineStr">
        <is>
          <t>봉명동</t>
        </is>
      </c>
      <c r="AG603" s="0" t="inlineStr">
        <is>
          <t>충청북도 청주시 흥덕구 송절로124번길 47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[봉명동]</t>
        </is>
      </c>
      <c r="B604" s="0" t="n">
        <v>118830</v>
      </c>
      <c r="C604" s="0" t="n">
        <v>48</v>
      </c>
      <c r="D604" s="0" t="inlineStr">
        <is>
          <t>더라움(도시형)</t>
        </is>
      </c>
      <c r="E604" s="0" t="inlineStr">
        <is>
          <t>2014.06.</t>
        </is>
      </c>
      <c r="F604" s="0" t="n">
        <v>167</v>
      </c>
      <c r="G604" s="0" t="n">
        <v>27.72</v>
      </c>
      <c r="H604" s="0" t="n">
        <v>91.64</v>
      </c>
      <c r="I604" s="0" t="n">
        <v>24.01</v>
      </c>
      <c r="J604" s="0" t="n">
        <v>79.39</v>
      </c>
      <c r="K604" s="0" t="n">
        <v>1</v>
      </c>
      <c r="T604" s="0" t="n">
        <v>2</v>
      </c>
      <c r="U604" s="0" t="n">
        <v>1</v>
      </c>
      <c r="V604" s="0" t="inlineStr">
        <is>
          <t>계단식</t>
        </is>
      </c>
      <c r="W604" s="0" t="inlineStr">
        <is>
          <t>91A</t>
        </is>
      </c>
      <c r="X604" s="0" t="n">
        <v>4</v>
      </c>
      <c r="Y604" s="0" t="n">
        <v>2</v>
      </c>
      <c r="Z604" s="0" t="inlineStr">
        <is>
          <t>https://new.land.naver.com/complexes/118830?tab=detail&amp;rf=Y</t>
        </is>
      </c>
      <c r="AA604" s="0" t="inlineStr">
        <is>
          <t>충청북도 청주시 흥덕구 봉명동 2319</t>
        </is>
      </c>
      <c r="AB604" s="0" t="inlineStr">
        <is>
          <t>충청북도</t>
        </is>
      </c>
      <c r="AC604" s="0" t="inlineStr">
        <is>
          <t>청주시</t>
        </is>
      </c>
      <c r="AD604" s="0" t="inlineStr">
        <is>
          <t>흥덕구</t>
        </is>
      </c>
      <c r="AE604" s="0" t="inlineStr">
        <is>
          <t>봉명동</t>
        </is>
      </c>
      <c r="AG604" s="0" t="inlineStr">
        <is>
          <t>충청북도 청주시 흥덕구 송절로124번길 47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[봉명동]</t>
        </is>
      </c>
      <c r="B605" s="0" t="n">
        <v>118830</v>
      </c>
      <c r="C605" s="0" t="n">
        <v>49</v>
      </c>
      <c r="D605" s="0" t="inlineStr">
        <is>
          <t>더라움(도시형)</t>
        </is>
      </c>
      <c r="E605" s="0" t="inlineStr">
        <is>
          <t>2014.06.</t>
        </is>
      </c>
      <c r="F605" s="0" t="n">
        <v>167</v>
      </c>
      <c r="G605" s="0" t="n">
        <v>28.03</v>
      </c>
      <c r="H605" s="0" t="n">
        <v>92.67</v>
      </c>
      <c r="I605" s="0" t="n">
        <v>24.2</v>
      </c>
      <c r="J605" s="0" t="n">
        <v>80.01000000000001</v>
      </c>
      <c r="K605" s="0" t="n">
        <v>12</v>
      </c>
      <c r="T605" s="0" t="n">
        <v>3</v>
      </c>
      <c r="U605" s="0" t="n">
        <v>1</v>
      </c>
      <c r="V605" s="0" t="inlineStr">
        <is>
          <t>계단식</t>
        </is>
      </c>
      <c r="W605" s="0" t="inlineStr">
        <is>
          <t>92C</t>
        </is>
      </c>
      <c r="X605" s="0" t="n">
        <v>4</v>
      </c>
      <c r="Y605" s="0" t="n">
        <v>2</v>
      </c>
      <c r="Z605" s="0" t="inlineStr">
        <is>
          <t>https://new.land.naver.com/complexes/118830?tab=detail&amp;rf=Y</t>
        </is>
      </c>
      <c r="AA605" s="0" t="inlineStr">
        <is>
          <t>충청북도 청주시 흥덕구 봉명동 2319</t>
        </is>
      </c>
      <c r="AB605" s="0" t="inlineStr">
        <is>
          <t>충청북도</t>
        </is>
      </c>
      <c r="AC605" s="0" t="inlineStr">
        <is>
          <t>청주시</t>
        </is>
      </c>
      <c r="AD605" s="0" t="inlineStr">
        <is>
          <t>흥덕구</t>
        </is>
      </c>
      <c r="AE605" s="0" t="inlineStr">
        <is>
          <t>봉명동</t>
        </is>
      </c>
      <c r="AG605" s="0" t="inlineStr">
        <is>
          <t>충청북도 청주시 흥덕구 송절로124번길 47</t>
        </is>
      </c>
      <c r="AH605" s="0" t="n">
        <v>0</v>
      </c>
      <c r="AI605" s="0" t="n">
        <v>0</v>
      </c>
      <c r="AJ605" s="0" t="n">
        <v>0</v>
      </c>
      <c r="AK605" s="0" t="n">
        <v>0</v>
      </c>
      <c r="AL605" s="0" t="n">
        <v>0</v>
      </c>
    </row>
    <row r="606">
      <c r="A606" s="0" t="inlineStr">
        <is>
          <t>[봉명동]</t>
        </is>
      </c>
      <c r="B606" s="0" t="n">
        <v>118830</v>
      </c>
      <c r="C606" s="0" t="n">
        <v>50</v>
      </c>
      <c r="D606" s="0" t="inlineStr">
        <is>
          <t>더라움(도시형)</t>
        </is>
      </c>
      <c r="E606" s="0" t="inlineStr">
        <is>
          <t>2014.06.</t>
        </is>
      </c>
      <c r="F606" s="0" t="n">
        <v>167</v>
      </c>
      <c r="G606" s="0" t="n">
        <v>27.93</v>
      </c>
      <c r="H606" s="0" t="n">
        <v>92.36</v>
      </c>
      <c r="I606" s="0" t="n">
        <v>24.2</v>
      </c>
      <c r="J606" s="0" t="n">
        <v>80.01000000000001</v>
      </c>
      <c r="K606" s="0" t="n">
        <v>6</v>
      </c>
      <c r="T606" s="0" t="n">
        <v>3</v>
      </c>
      <c r="U606" s="0" t="n">
        <v>1</v>
      </c>
      <c r="V606" s="0" t="inlineStr">
        <is>
          <t>계단식</t>
        </is>
      </c>
      <c r="W606" s="0" t="inlineStr">
        <is>
          <t>92B</t>
        </is>
      </c>
      <c r="X606" s="0" t="n">
        <v>4</v>
      </c>
      <c r="Y606" s="0" t="n">
        <v>2</v>
      </c>
      <c r="Z606" s="0" t="inlineStr">
        <is>
          <t>https://new.land.naver.com/complexes/118830?tab=detail&amp;rf=Y</t>
        </is>
      </c>
      <c r="AA606" s="0" t="inlineStr">
        <is>
          <t>충청북도 청주시 흥덕구 봉명동 2319</t>
        </is>
      </c>
      <c r="AB606" s="0" t="inlineStr">
        <is>
          <t>충청북도</t>
        </is>
      </c>
      <c r="AC606" s="0" t="inlineStr">
        <is>
          <t>청주시</t>
        </is>
      </c>
      <c r="AD606" s="0" t="inlineStr">
        <is>
          <t>흥덕구</t>
        </is>
      </c>
      <c r="AE606" s="0" t="inlineStr">
        <is>
          <t>봉명동</t>
        </is>
      </c>
      <c r="AG606" s="0" t="inlineStr">
        <is>
          <t>충청북도 청주시 흥덕구 송절로124번길 47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[봉명동]</t>
        </is>
      </c>
      <c r="B607" s="0" t="n">
        <v>118830</v>
      </c>
      <c r="C607" s="0" t="n">
        <v>51</v>
      </c>
      <c r="D607" s="0" t="inlineStr">
        <is>
          <t>더라움(도시형)</t>
        </is>
      </c>
      <c r="E607" s="0" t="inlineStr">
        <is>
          <t>2014.06.</t>
        </is>
      </c>
      <c r="F607" s="0" t="n">
        <v>167</v>
      </c>
      <c r="G607" s="0" t="n">
        <v>27.87</v>
      </c>
      <c r="H607" s="0" t="n">
        <v>92.14</v>
      </c>
      <c r="I607" s="0" t="n">
        <v>24.57</v>
      </c>
      <c r="J607" s="0" t="n">
        <v>81.23999999999999</v>
      </c>
      <c r="K607" s="0" t="n">
        <v>5</v>
      </c>
      <c r="T607" s="0" t="n">
        <v>3</v>
      </c>
      <c r="U607" s="0" t="n">
        <v>1</v>
      </c>
      <c r="V607" s="0" t="inlineStr">
        <is>
          <t>계단식</t>
        </is>
      </c>
      <c r="W607" s="0" t="inlineStr">
        <is>
          <t>92E</t>
        </is>
      </c>
      <c r="X607" s="0" t="n">
        <v>4</v>
      </c>
      <c r="Y607" s="0" t="n">
        <v>2</v>
      </c>
      <c r="Z607" s="0" t="inlineStr">
        <is>
          <t>https://new.land.naver.com/complexes/118830?tab=detail&amp;rf=Y</t>
        </is>
      </c>
      <c r="AA607" s="0" t="inlineStr">
        <is>
          <t>충청북도 청주시 흥덕구 봉명동 2319</t>
        </is>
      </c>
      <c r="AB607" s="0" t="inlineStr">
        <is>
          <t>충청북도</t>
        </is>
      </c>
      <c r="AC607" s="0" t="inlineStr">
        <is>
          <t>청주시</t>
        </is>
      </c>
      <c r="AD607" s="0" t="inlineStr">
        <is>
          <t>흥덕구</t>
        </is>
      </c>
      <c r="AE607" s="0" t="inlineStr">
        <is>
          <t>봉명동</t>
        </is>
      </c>
      <c r="AG607" s="0" t="inlineStr">
        <is>
          <t>충청북도 청주시 흥덕구 송절로124번길 47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[봉명동]</t>
        </is>
      </c>
      <c r="B608" s="0" t="n">
        <v>118830</v>
      </c>
      <c r="C608" s="0" t="n">
        <v>52</v>
      </c>
      <c r="D608" s="0" t="inlineStr">
        <is>
          <t>더라움(도시형)</t>
        </is>
      </c>
      <c r="E608" s="0" t="inlineStr">
        <is>
          <t>2014.06.</t>
        </is>
      </c>
      <c r="F608" s="0" t="n">
        <v>167</v>
      </c>
      <c r="G608" s="0" t="n">
        <v>28.73</v>
      </c>
      <c r="H608" s="0" t="n">
        <v>94.98999999999999</v>
      </c>
      <c r="I608" s="0" t="n">
        <v>24.89</v>
      </c>
      <c r="J608" s="0" t="n">
        <v>82.29000000000001</v>
      </c>
      <c r="K608" s="0" t="n">
        <v>3</v>
      </c>
      <c r="T608" s="0" t="n">
        <v>3</v>
      </c>
      <c r="U608" s="0" t="n">
        <v>1</v>
      </c>
      <c r="V608" s="0" t="inlineStr">
        <is>
          <t>계단식</t>
        </is>
      </c>
      <c r="W608" s="0" t="inlineStr">
        <is>
          <t>94B</t>
        </is>
      </c>
      <c r="X608" s="0" t="n">
        <v>4</v>
      </c>
      <c r="Y608" s="0" t="n">
        <v>2</v>
      </c>
      <c r="Z608" s="0" t="inlineStr">
        <is>
          <t>https://new.land.naver.com/complexes/118830?tab=detail&amp;rf=Y</t>
        </is>
      </c>
      <c r="AA608" s="0" t="inlineStr">
        <is>
          <t>충청북도 청주시 흥덕구 봉명동 2319</t>
        </is>
      </c>
      <c r="AB608" s="0" t="inlineStr">
        <is>
          <t>충청북도</t>
        </is>
      </c>
      <c r="AC608" s="0" t="inlineStr">
        <is>
          <t>청주시</t>
        </is>
      </c>
      <c r="AD608" s="0" t="inlineStr">
        <is>
          <t>흥덕구</t>
        </is>
      </c>
      <c r="AE608" s="0" t="inlineStr">
        <is>
          <t>봉명동</t>
        </is>
      </c>
      <c r="AG608" s="0" t="inlineStr">
        <is>
          <t>충청북도 청주시 흥덕구 송절로124번길 47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[봉명동]</t>
        </is>
      </c>
      <c r="B609" s="0" t="n">
        <v>118830</v>
      </c>
      <c r="C609" s="0" t="n">
        <v>53</v>
      </c>
      <c r="D609" s="0" t="inlineStr">
        <is>
          <t>더라움(도시형)</t>
        </is>
      </c>
      <c r="E609" s="0" t="inlineStr">
        <is>
          <t>2014.06.</t>
        </is>
      </c>
      <c r="F609" s="0" t="n">
        <v>167</v>
      </c>
      <c r="G609" s="0" t="n">
        <v>28.68</v>
      </c>
      <c r="H609" s="0" t="n">
        <v>94.83</v>
      </c>
      <c r="I609" s="0" t="n">
        <v>24.85</v>
      </c>
      <c r="J609" s="0" t="n">
        <v>82.15000000000001</v>
      </c>
      <c r="K609" s="0" t="n">
        <v>2</v>
      </c>
      <c r="T609" s="0" t="n">
        <v>3</v>
      </c>
      <c r="U609" s="0" t="n">
        <v>1</v>
      </c>
      <c r="V609" s="0" t="inlineStr">
        <is>
          <t>계단식</t>
        </is>
      </c>
      <c r="W609" s="0" t="inlineStr">
        <is>
          <t>94A</t>
        </is>
      </c>
      <c r="X609" s="0" t="n">
        <v>4</v>
      </c>
      <c r="Y609" s="0" t="n">
        <v>2</v>
      </c>
      <c r="Z609" s="0" t="inlineStr">
        <is>
          <t>https://new.land.naver.com/complexes/118830?tab=detail&amp;rf=Y</t>
        </is>
      </c>
      <c r="AA609" s="0" t="inlineStr">
        <is>
          <t>충청북도 청주시 흥덕구 봉명동 2319</t>
        </is>
      </c>
      <c r="AB609" s="0" t="inlineStr">
        <is>
          <t>충청북도</t>
        </is>
      </c>
      <c r="AC609" s="0" t="inlineStr">
        <is>
          <t>청주시</t>
        </is>
      </c>
      <c r="AD609" s="0" t="inlineStr">
        <is>
          <t>흥덕구</t>
        </is>
      </c>
      <c r="AE609" s="0" t="inlineStr">
        <is>
          <t>봉명동</t>
        </is>
      </c>
      <c r="AG609" s="0" t="inlineStr">
        <is>
          <t>충청북도 청주시 흥덕구 송절로124번길 47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[비하동]</t>
        </is>
      </c>
      <c r="B610" s="0" t="n">
        <v>15464</v>
      </c>
      <c r="C610" s="0" t="n">
        <v>1</v>
      </c>
      <c r="D610" s="0" t="inlineStr">
        <is>
          <t>평화</t>
        </is>
      </c>
      <c r="E610" s="0" t="inlineStr">
        <is>
          <t>1988.09.</t>
        </is>
      </c>
      <c r="F610" s="0" t="n">
        <v>175</v>
      </c>
      <c r="G610" s="0" t="n">
        <v>16.62</v>
      </c>
      <c r="H610" s="0" t="n">
        <v>54.96</v>
      </c>
      <c r="I610" s="0" t="n">
        <v>12.52</v>
      </c>
      <c r="J610" s="0" t="n">
        <v>41.4</v>
      </c>
      <c r="K610" s="0" t="n">
        <v>18</v>
      </c>
      <c r="T610" s="0" t="n">
        <v>2</v>
      </c>
      <c r="U610" s="0" t="n">
        <v>1</v>
      </c>
      <c r="V610" s="0" t="inlineStr">
        <is>
          <t>복도식</t>
        </is>
      </c>
      <c r="W610" s="0" t="n">
        <v>54</v>
      </c>
      <c r="X610" s="0" t="n">
        <v>7</v>
      </c>
      <c r="Y610" s="0" t="n">
        <v>6</v>
      </c>
      <c r="Z610" s="0" t="inlineStr">
        <is>
          <t>https://new.land.naver.com/complexes/15464?tab=detail&amp;rf=Y</t>
        </is>
      </c>
      <c r="AA610" s="0" t="inlineStr">
        <is>
          <t>충청북도 청주시 흥덕구 비하동 75-32</t>
        </is>
      </c>
      <c r="AB610" s="0" t="inlineStr">
        <is>
          <t>충청북도</t>
        </is>
      </c>
      <c r="AC610" s="0" t="inlineStr">
        <is>
          <t>청주시</t>
        </is>
      </c>
      <c r="AD610" s="0" t="inlineStr">
        <is>
          <t>흥덕구</t>
        </is>
      </c>
      <c r="AE610" s="0" t="inlineStr">
        <is>
          <t>비하동</t>
        </is>
      </c>
      <c r="AG610" s="0" t="inlineStr">
        <is>
          <t>충청북도 청주시 흥덕구 가로수로1132번길 10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[비하동]</t>
        </is>
      </c>
      <c r="B611" s="0" t="n">
        <v>15464</v>
      </c>
      <c r="C611" s="0" t="n">
        <v>2</v>
      </c>
      <c r="D611" s="0" t="inlineStr">
        <is>
          <t>평화</t>
        </is>
      </c>
      <c r="E611" s="0" t="inlineStr">
        <is>
          <t>1988.09.</t>
        </is>
      </c>
      <c r="F611" s="0" t="n">
        <v>175</v>
      </c>
      <c r="G611" s="0" t="n">
        <v>19.16</v>
      </c>
      <c r="H611" s="0" t="n">
        <v>63.36</v>
      </c>
      <c r="I611" s="0" t="n">
        <v>15.06</v>
      </c>
      <c r="J611" s="0" t="n">
        <v>49.8</v>
      </c>
      <c r="K611" s="0" t="n">
        <v>120</v>
      </c>
      <c r="T611" s="0" t="n">
        <v>2</v>
      </c>
      <c r="U611" s="0" t="n">
        <v>1</v>
      </c>
      <c r="V611" s="0" t="inlineStr">
        <is>
          <t>복도식</t>
        </is>
      </c>
      <c r="W611" s="0" t="n">
        <v>63</v>
      </c>
      <c r="X611" s="0" t="n">
        <v>7</v>
      </c>
      <c r="Y611" s="0" t="n">
        <v>6</v>
      </c>
      <c r="Z611" s="0" t="inlineStr">
        <is>
          <t>https://new.land.naver.com/complexes/15464?tab=detail&amp;rf=Y</t>
        </is>
      </c>
      <c r="AA611" s="0" t="inlineStr">
        <is>
          <t>충청북도 청주시 흥덕구 비하동 75-32</t>
        </is>
      </c>
      <c r="AB611" s="0" t="inlineStr">
        <is>
          <t>충청북도</t>
        </is>
      </c>
      <c r="AC611" s="0" t="inlineStr">
        <is>
          <t>청주시</t>
        </is>
      </c>
      <c r="AD611" s="0" t="inlineStr">
        <is>
          <t>흥덕구</t>
        </is>
      </c>
      <c r="AE611" s="0" t="inlineStr">
        <is>
          <t>비하동</t>
        </is>
      </c>
      <c r="AG611" s="0" t="inlineStr">
        <is>
          <t>충청북도 청주시 흥덕구 가로수로1132번길 10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[비하동]</t>
        </is>
      </c>
      <c r="B612" s="0" t="n">
        <v>15464</v>
      </c>
      <c r="C612" s="0" t="n">
        <v>3</v>
      </c>
      <c r="D612" s="0" t="inlineStr">
        <is>
          <t>평화</t>
        </is>
      </c>
      <c r="E612" s="0" t="inlineStr">
        <is>
          <t>1988.09.</t>
        </is>
      </c>
      <c r="F612" s="0" t="n">
        <v>175</v>
      </c>
      <c r="G612" s="0" t="n">
        <v>25.51</v>
      </c>
      <c r="H612" s="0" t="n">
        <v>84.34</v>
      </c>
      <c r="I612" s="0" t="n">
        <v>21.42</v>
      </c>
      <c r="J612" s="0" t="n">
        <v>70.83</v>
      </c>
      <c r="K612" s="0" t="n">
        <v>6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84A</t>
        </is>
      </c>
      <c r="X612" s="0" t="n">
        <v>7</v>
      </c>
      <c r="Y612" s="0" t="n">
        <v>6</v>
      </c>
      <c r="Z612" s="0" t="inlineStr">
        <is>
          <t>https://new.land.naver.com/complexes/15464?tab=detail&amp;rf=Y</t>
        </is>
      </c>
      <c r="AA612" s="0" t="inlineStr">
        <is>
          <t>충청북도 청주시 흥덕구 비하동 75-32</t>
        </is>
      </c>
      <c r="AB612" s="0" t="inlineStr">
        <is>
          <t>충청북도</t>
        </is>
      </c>
      <c r="AC612" s="0" t="inlineStr">
        <is>
          <t>청주시</t>
        </is>
      </c>
      <c r="AD612" s="0" t="inlineStr">
        <is>
          <t>흥덕구</t>
        </is>
      </c>
      <c r="AE612" s="0" t="inlineStr">
        <is>
          <t>비하동</t>
        </is>
      </c>
      <c r="AG612" s="0" t="inlineStr">
        <is>
          <t>충청북도 청주시 흥덕구 가로수로1132번길 10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[비하동]</t>
        </is>
      </c>
      <c r="B613" s="0" t="n">
        <v>15464</v>
      </c>
      <c r="C613" s="0" t="n">
        <v>4</v>
      </c>
      <c r="D613" s="0" t="inlineStr">
        <is>
          <t>평화</t>
        </is>
      </c>
      <c r="E613" s="0" t="inlineStr">
        <is>
          <t>1988.09.</t>
        </is>
      </c>
      <c r="F613" s="0" t="n">
        <v>175</v>
      </c>
      <c r="G613" s="0" t="n">
        <v>25.75</v>
      </c>
      <c r="H613" s="0" t="n">
        <v>85.15000000000001</v>
      </c>
      <c r="I613" s="0" t="n">
        <v>21.66</v>
      </c>
      <c r="J613" s="0" t="n">
        <v>71.63</v>
      </c>
      <c r="K613" s="0" t="n">
        <v>30</v>
      </c>
      <c r="T613" s="0" t="n">
        <v>3</v>
      </c>
      <c r="U613" s="0" t="n">
        <v>1</v>
      </c>
      <c r="V613" s="0" t="inlineStr">
        <is>
          <t>복도식</t>
        </is>
      </c>
      <c r="W613" s="0" t="inlineStr">
        <is>
          <t>85B</t>
        </is>
      </c>
      <c r="X613" s="0" t="n">
        <v>7</v>
      </c>
      <c r="Y613" s="0" t="n">
        <v>6</v>
      </c>
      <c r="Z613" s="0" t="inlineStr">
        <is>
          <t>https://new.land.naver.com/complexes/15464?tab=detail&amp;rf=Y</t>
        </is>
      </c>
      <c r="AA613" s="0" t="inlineStr">
        <is>
          <t>충청북도 청주시 흥덕구 비하동 75-32</t>
        </is>
      </c>
      <c r="AB613" s="0" t="inlineStr">
        <is>
          <t>충청북도</t>
        </is>
      </c>
      <c r="AC613" s="0" t="inlineStr">
        <is>
          <t>청주시</t>
        </is>
      </c>
      <c r="AD613" s="0" t="inlineStr">
        <is>
          <t>흥덕구</t>
        </is>
      </c>
      <c r="AE613" s="0" t="inlineStr">
        <is>
          <t>비하동</t>
        </is>
      </c>
      <c r="AG613" s="0" t="inlineStr">
        <is>
          <t>충청북도 청주시 흥덕구 가로수로1132번길 10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[비하동]</t>
        </is>
      </c>
      <c r="B614" s="0" t="n">
        <v>15464</v>
      </c>
      <c r="C614" s="0" t="n">
        <v>5</v>
      </c>
      <c r="D614" s="0" t="inlineStr">
        <is>
          <t>평화</t>
        </is>
      </c>
      <c r="E614" s="0" t="inlineStr">
        <is>
          <t>1988.09.</t>
        </is>
      </c>
      <c r="F614" s="0" t="n">
        <v>175</v>
      </c>
      <c r="G614" s="0" t="n">
        <v>41.87</v>
      </c>
      <c r="H614" s="0" t="n">
        <v>138.42</v>
      </c>
      <c r="I614" s="0" t="n">
        <v>37.77</v>
      </c>
      <c r="J614" s="0" t="n">
        <v>124.86</v>
      </c>
      <c r="K614" s="0" t="n">
        <v>1</v>
      </c>
      <c r="T614" s="0" t="n">
        <v>3</v>
      </c>
      <c r="U614" s="0" t="n">
        <v>1</v>
      </c>
      <c r="V614" s="0" t="inlineStr">
        <is>
          <t>복도식</t>
        </is>
      </c>
      <c r="W614" s="0" t="n">
        <v>138</v>
      </c>
      <c r="X614" s="0" t="n">
        <v>7</v>
      </c>
      <c r="Y614" s="0" t="n">
        <v>6</v>
      </c>
      <c r="Z614" s="0" t="inlineStr">
        <is>
          <t>https://new.land.naver.com/complexes/15464?tab=detail&amp;rf=Y</t>
        </is>
      </c>
      <c r="AA614" s="0" t="inlineStr">
        <is>
          <t>충청북도 청주시 흥덕구 비하동 75-32</t>
        </is>
      </c>
      <c r="AB614" s="0" t="inlineStr">
        <is>
          <t>충청북도</t>
        </is>
      </c>
      <c r="AC614" s="0" t="inlineStr">
        <is>
          <t>청주시</t>
        </is>
      </c>
      <c r="AD614" s="0" t="inlineStr">
        <is>
          <t>흥덕구</t>
        </is>
      </c>
      <c r="AE614" s="0" t="inlineStr">
        <is>
          <t>비하동</t>
        </is>
      </c>
      <c r="AG614" s="0" t="inlineStr">
        <is>
          <t>충청북도 청주시 흥덕구 가로수로1132번길 10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[비하동]</t>
        </is>
      </c>
      <c r="B615" s="0" t="n">
        <v>103456</v>
      </c>
      <c r="C615" s="0" t="n">
        <v>1</v>
      </c>
      <c r="D615" s="0" t="inlineStr">
        <is>
          <t>청주비하계룡리슈빌2차</t>
        </is>
      </c>
      <c r="E615" s="0" t="inlineStr">
        <is>
          <t>2009.11.</t>
        </is>
      </c>
      <c r="F615" s="0" t="n">
        <v>540</v>
      </c>
      <c r="G615" s="0" t="n">
        <v>34.76</v>
      </c>
      <c r="H615" s="0" t="n">
        <v>114.91</v>
      </c>
      <c r="I615" s="0" t="n">
        <v>25.7</v>
      </c>
      <c r="J615" s="0" t="n">
        <v>84.95999999999999</v>
      </c>
      <c r="K615" s="0" t="n">
        <v>176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114</v>
      </c>
      <c r="X615" s="0" t="n">
        <v>15</v>
      </c>
      <c r="Y615" s="0" t="n">
        <v>12</v>
      </c>
      <c r="Z615" s="0" t="inlineStr">
        <is>
          <t>https://new.land.naver.com/complexes/103456?tab=detail&amp;rf=Y</t>
        </is>
      </c>
      <c r="AA615" s="0" t="inlineStr">
        <is>
          <t>충청북도 청주시 흥덕구 비하동 809</t>
        </is>
      </c>
      <c r="AB615" s="0" t="inlineStr">
        <is>
          <t>충청북도</t>
        </is>
      </c>
      <c r="AC615" s="0" t="inlineStr">
        <is>
          <t>청주시</t>
        </is>
      </c>
      <c r="AD615" s="0" t="inlineStr">
        <is>
          <t>흥덕구</t>
        </is>
      </c>
      <c r="AE615" s="0" t="inlineStr">
        <is>
          <t>비하동</t>
        </is>
      </c>
      <c r="AG615" s="0" t="inlineStr">
        <is>
          <t>충청북도 청주시 흥덕구 비하로57번길 37</t>
        </is>
      </c>
      <c r="AH615" s="0" t="n">
        <v>0</v>
      </c>
      <c r="AI615" s="0" t="n">
        <v>197</v>
      </c>
      <c r="AJ615" s="0" t="n">
        <v>23</v>
      </c>
      <c r="AK615" s="0" t="n">
        <v>866</v>
      </c>
      <c r="AL615" s="0" t="n">
        <v>1.6</v>
      </c>
    </row>
    <row r="616">
      <c r="A616" s="0" t="inlineStr">
        <is>
          <t>[비하동]</t>
        </is>
      </c>
      <c r="B616" s="0" t="n">
        <v>103456</v>
      </c>
      <c r="C616" s="0" t="n">
        <v>2</v>
      </c>
      <c r="D616" s="0" t="inlineStr">
        <is>
          <t>청주비하계룡리슈빌2차</t>
        </is>
      </c>
      <c r="E616" s="0" t="inlineStr">
        <is>
          <t>2009.11.</t>
        </is>
      </c>
      <c r="F616" s="0" t="n">
        <v>540</v>
      </c>
      <c r="G616" s="0" t="n">
        <v>39.83</v>
      </c>
      <c r="H616" s="0" t="n">
        <v>131.68</v>
      </c>
      <c r="I616" s="0" t="n">
        <v>32.26</v>
      </c>
      <c r="J616" s="0" t="n">
        <v>106.67</v>
      </c>
      <c r="K616" s="0" t="n">
        <v>85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131A</t>
        </is>
      </c>
      <c r="X616" s="0" t="n">
        <v>15</v>
      </c>
      <c r="Y616" s="0" t="n">
        <v>12</v>
      </c>
      <c r="Z616" s="0" t="inlineStr">
        <is>
          <t>https://new.land.naver.com/complexes/103456?tab=detail&amp;rf=Y</t>
        </is>
      </c>
      <c r="AA616" s="0" t="inlineStr">
        <is>
          <t>충청북도 청주시 흥덕구 비하동 809</t>
        </is>
      </c>
      <c r="AB616" s="0" t="inlineStr">
        <is>
          <t>충청북도</t>
        </is>
      </c>
      <c r="AC616" s="0" t="inlineStr">
        <is>
          <t>청주시</t>
        </is>
      </c>
      <c r="AD616" s="0" t="inlineStr">
        <is>
          <t>흥덕구</t>
        </is>
      </c>
      <c r="AE616" s="0" t="inlineStr">
        <is>
          <t>비하동</t>
        </is>
      </c>
      <c r="AG616" s="0" t="inlineStr">
        <is>
          <t>충청북도 청주시 흥덕구 비하로57번길 37</t>
        </is>
      </c>
      <c r="AH616" s="0" t="n">
        <v>0</v>
      </c>
      <c r="AI616" s="0" t="n">
        <v>197</v>
      </c>
      <c r="AJ616" s="0" t="n">
        <v>23</v>
      </c>
      <c r="AK616" s="0" t="n">
        <v>866</v>
      </c>
      <c r="AL616" s="0" t="n">
        <v>1.6</v>
      </c>
    </row>
    <row r="617">
      <c r="A617" s="0" t="inlineStr">
        <is>
          <t>[비하동]</t>
        </is>
      </c>
      <c r="B617" s="0" t="n">
        <v>103456</v>
      </c>
      <c r="C617" s="0" t="n">
        <v>3</v>
      </c>
      <c r="D617" s="0" t="inlineStr">
        <is>
          <t>청주비하계룡리슈빌2차</t>
        </is>
      </c>
      <c r="E617" s="0" t="inlineStr">
        <is>
          <t>2009.11.</t>
        </is>
      </c>
      <c r="F617" s="0" t="n">
        <v>540</v>
      </c>
      <c r="G617" s="0" t="n">
        <v>39.84</v>
      </c>
      <c r="H617" s="0" t="n">
        <v>131.73</v>
      </c>
      <c r="I617" s="0" t="n">
        <v>32.27</v>
      </c>
      <c r="J617" s="0" t="n">
        <v>106.68</v>
      </c>
      <c r="K617" s="0" t="n">
        <v>83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131B</t>
        </is>
      </c>
      <c r="X617" s="0" t="n">
        <v>15</v>
      </c>
      <c r="Y617" s="0" t="n">
        <v>12</v>
      </c>
      <c r="Z617" s="0" t="inlineStr">
        <is>
          <t>https://new.land.naver.com/complexes/103456?tab=detail&amp;rf=Y</t>
        </is>
      </c>
      <c r="AA617" s="0" t="inlineStr">
        <is>
          <t>충청북도 청주시 흥덕구 비하동 809</t>
        </is>
      </c>
      <c r="AB617" s="0" t="inlineStr">
        <is>
          <t>충청북도</t>
        </is>
      </c>
      <c r="AC617" s="0" t="inlineStr">
        <is>
          <t>청주시</t>
        </is>
      </c>
      <c r="AD617" s="0" t="inlineStr">
        <is>
          <t>흥덕구</t>
        </is>
      </c>
      <c r="AE617" s="0" t="inlineStr">
        <is>
          <t>비하동</t>
        </is>
      </c>
      <c r="AG617" s="0" t="inlineStr">
        <is>
          <t>충청북도 청주시 흥덕구 비하로57번길 37</t>
        </is>
      </c>
      <c r="AH617" s="0" t="n">
        <v>0</v>
      </c>
      <c r="AI617" s="0" t="n">
        <v>197</v>
      </c>
      <c r="AJ617" s="0" t="n">
        <v>23</v>
      </c>
      <c r="AK617" s="0" t="n">
        <v>866</v>
      </c>
      <c r="AL617" s="0" t="n">
        <v>1.6</v>
      </c>
    </row>
    <row r="618">
      <c r="A618" s="0" t="inlineStr">
        <is>
          <t>[비하동]</t>
        </is>
      </c>
      <c r="B618" s="0" t="n">
        <v>103456</v>
      </c>
      <c r="C618" s="0" t="n">
        <v>4</v>
      </c>
      <c r="D618" s="0" t="inlineStr">
        <is>
          <t>청주비하계룡리슈빌2차</t>
        </is>
      </c>
      <c r="E618" s="0" t="inlineStr">
        <is>
          <t>2009.11.</t>
        </is>
      </c>
      <c r="F618" s="0" t="n">
        <v>540</v>
      </c>
      <c r="G618" s="0" t="n">
        <v>45.91</v>
      </c>
      <c r="H618" s="0" t="n">
        <v>151.79</v>
      </c>
      <c r="I618" s="0" t="n">
        <v>37.45</v>
      </c>
      <c r="J618" s="0" t="n">
        <v>123.81</v>
      </c>
      <c r="K618" s="0" t="n">
        <v>85</v>
      </c>
      <c r="T618" s="0" t="n">
        <v>4</v>
      </c>
      <c r="U618" s="0" t="n">
        <v>2</v>
      </c>
      <c r="V618" s="0" t="inlineStr">
        <is>
          <t>계단식</t>
        </is>
      </c>
      <c r="W618" s="0" t="n">
        <v>151</v>
      </c>
      <c r="X618" s="0" t="n">
        <v>15</v>
      </c>
      <c r="Y618" s="0" t="n">
        <v>12</v>
      </c>
      <c r="Z618" s="0" t="inlineStr">
        <is>
          <t>https://new.land.naver.com/complexes/103456?tab=detail&amp;rf=Y</t>
        </is>
      </c>
      <c r="AA618" s="0" t="inlineStr">
        <is>
          <t>충청북도 청주시 흥덕구 비하동 809</t>
        </is>
      </c>
      <c r="AB618" s="0" t="inlineStr">
        <is>
          <t>충청북도</t>
        </is>
      </c>
      <c r="AC618" s="0" t="inlineStr">
        <is>
          <t>청주시</t>
        </is>
      </c>
      <c r="AD618" s="0" t="inlineStr">
        <is>
          <t>흥덕구</t>
        </is>
      </c>
      <c r="AE618" s="0" t="inlineStr">
        <is>
          <t>비하동</t>
        </is>
      </c>
      <c r="AG618" s="0" t="inlineStr">
        <is>
          <t>충청북도 청주시 흥덕구 비하로57번길 37</t>
        </is>
      </c>
      <c r="AH618" s="0" t="n">
        <v>0</v>
      </c>
      <c r="AI618" s="0" t="n">
        <v>197</v>
      </c>
      <c r="AJ618" s="0" t="n">
        <v>23</v>
      </c>
      <c r="AK618" s="0" t="n">
        <v>866</v>
      </c>
      <c r="AL618" s="0" t="n">
        <v>1.6</v>
      </c>
    </row>
    <row r="619">
      <c r="A619" s="0" t="inlineStr">
        <is>
          <t>[비하동]</t>
        </is>
      </c>
      <c r="B619" s="0" t="n">
        <v>103456</v>
      </c>
      <c r="C619" s="0" t="n">
        <v>5</v>
      </c>
      <c r="D619" s="0" t="inlineStr">
        <is>
          <t>청주비하계룡리슈빌2차</t>
        </is>
      </c>
      <c r="E619" s="0" t="inlineStr">
        <is>
          <t>2009.11.</t>
        </is>
      </c>
      <c r="F619" s="0" t="n">
        <v>540</v>
      </c>
      <c r="G619" s="0" t="n">
        <v>55.83</v>
      </c>
      <c r="H619" s="0" t="n">
        <v>184.57</v>
      </c>
      <c r="I619" s="0" t="n">
        <v>47</v>
      </c>
      <c r="J619" s="0" t="n">
        <v>155.38</v>
      </c>
      <c r="K619" s="0" t="n">
        <v>111</v>
      </c>
      <c r="T619" s="0" t="n">
        <v>4</v>
      </c>
      <c r="U619" s="0" t="n">
        <v>2</v>
      </c>
      <c r="V619" s="0" t="inlineStr">
        <is>
          <t>계단식</t>
        </is>
      </c>
      <c r="W619" s="0" t="n">
        <v>184</v>
      </c>
      <c r="X619" s="0" t="n">
        <v>15</v>
      </c>
      <c r="Y619" s="0" t="n">
        <v>12</v>
      </c>
      <c r="Z619" s="0" t="inlineStr">
        <is>
          <t>https://new.land.naver.com/complexes/103456?tab=detail&amp;rf=Y</t>
        </is>
      </c>
      <c r="AA619" s="0" t="inlineStr">
        <is>
          <t>충청북도 청주시 흥덕구 비하동 809</t>
        </is>
      </c>
      <c r="AB619" s="0" t="inlineStr">
        <is>
          <t>충청북도</t>
        </is>
      </c>
      <c r="AC619" s="0" t="inlineStr">
        <is>
          <t>청주시</t>
        </is>
      </c>
      <c r="AD619" s="0" t="inlineStr">
        <is>
          <t>흥덕구</t>
        </is>
      </c>
      <c r="AE619" s="0" t="inlineStr">
        <is>
          <t>비하동</t>
        </is>
      </c>
      <c r="AG619" s="0" t="inlineStr">
        <is>
          <t>충청북도 청주시 흥덕구 비하로57번길 37</t>
        </is>
      </c>
      <c r="AH619" s="0" t="n">
        <v>0</v>
      </c>
      <c r="AI619" s="0" t="n">
        <v>197</v>
      </c>
      <c r="AJ619" s="0" t="n">
        <v>23</v>
      </c>
      <c r="AK619" s="0" t="n">
        <v>866</v>
      </c>
      <c r="AL619" s="0" t="n">
        <v>1.6</v>
      </c>
    </row>
    <row r="620">
      <c r="A620" s="0" t="inlineStr">
        <is>
          <t>[비하동]</t>
        </is>
      </c>
      <c r="B620" s="0" t="n">
        <v>11745</v>
      </c>
      <c r="C620" s="0" t="n">
        <v>1</v>
      </c>
      <c r="D620" s="0" t="inlineStr">
        <is>
          <t>송곡그린</t>
        </is>
      </c>
      <c r="E620" s="0" t="inlineStr">
        <is>
          <t>2000.06.</t>
        </is>
      </c>
      <c r="F620" s="0" t="n">
        <v>162</v>
      </c>
      <c r="G620" s="0" t="n">
        <v>22.69</v>
      </c>
      <c r="H620" s="0" t="n">
        <v>75.02</v>
      </c>
      <c r="I620" s="0" t="n">
        <v>18.1</v>
      </c>
      <c r="J620" s="0" t="n">
        <v>59.85</v>
      </c>
      <c r="K620" s="0" t="n">
        <v>150</v>
      </c>
      <c r="T620" s="0" t="n">
        <v>3</v>
      </c>
      <c r="U620" s="0" t="n">
        <v>1</v>
      </c>
      <c r="V620" s="0" t="inlineStr">
        <is>
          <t>계단식</t>
        </is>
      </c>
      <c r="W620" s="0" t="n">
        <v>75</v>
      </c>
      <c r="X620" s="0" t="n">
        <v>15</v>
      </c>
      <c r="Y620" s="0" t="n">
        <v>3</v>
      </c>
      <c r="Z620" s="0" t="inlineStr">
        <is>
          <t>https://new.land.naver.com/complexes/11745?tab=detail&amp;rf=Y</t>
        </is>
      </c>
      <c r="AA620" s="0" t="inlineStr">
        <is>
          <t>충청북도 청주시 흥덕구 비하동 311-4</t>
        </is>
      </c>
      <c r="AB620" s="0" t="inlineStr">
        <is>
          <t>충청북도</t>
        </is>
      </c>
      <c r="AC620" s="0" t="inlineStr">
        <is>
          <t>청주시</t>
        </is>
      </c>
      <c r="AD620" s="0" t="inlineStr">
        <is>
          <t>흥덕구</t>
        </is>
      </c>
      <c r="AE620" s="0" t="inlineStr">
        <is>
          <t>비하동</t>
        </is>
      </c>
      <c r="AG620" s="0" t="inlineStr">
        <is>
          <t>충청북도 청주시 흥덕구 2순환로 1036</t>
        </is>
      </c>
      <c r="AH620" s="0" t="n">
        <v>0</v>
      </c>
      <c r="AI620" s="0" t="n">
        <v>185</v>
      </c>
      <c r="AJ620" s="0" t="n">
        <v>25</v>
      </c>
      <c r="AK620" s="0" t="n">
        <v>144</v>
      </c>
      <c r="AL620" s="0" t="n">
        <v>0.89</v>
      </c>
    </row>
    <row r="621">
      <c r="A621" s="0" t="inlineStr">
        <is>
          <t>[비하동]</t>
        </is>
      </c>
      <c r="B621" s="0" t="n">
        <v>11745</v>
      </c>
      <c r="C621" s="0" t="n">
        <v>2</v>
      </c>
      <c r="D621" s="0" t="inlineStr">
        <is>
          <t>송곡그린</t>
        </is>
      </c>
      <c r="E621" s="0" t="inlineStr">
        <is>
          <t>2000.06.</t>
        </is>
      </c>
      <c r="F621" s="0" t="n">
        <v>162</v>
      </c>
      <c r="G621" s="0" t="n">
        <v>29.95</v>
      </c>
      <c r="H621" s="0" t="n">
        <v>99.03</v>
      </c>
      <c r="I621" s="0" t="n">
        <v>25.7</v>
      </c>
      <c r="J621" s="0" t="n">
        <v>84.97</v>
      </c>
      <c r="K621" s="0" t="n">
        <v>12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99</v>
      </c>
      <c r="X621" s="0" t="n">
        <v>15</v>
      </c>
      <c r="Y621" s="0" t="n">
        <v>3</v>
      </c>
      <c r="Z621" s="0" t="inlineStr">
        <is>
          <t>https://new.land.naver.com/complexes/11745?tab=detail&amp;rf=Y</t>
        </is>
      </c>
      <c r="AA621" s="0" t="inlineStr">
        <is>
          <t>충청북도 청주시 흥덕구 비하동 311-4</t>
        </is>
      </c>
      <c r="AB621" s="0" t="inlineStr">
        <is>
          <t>충청북도</t>
        </is>
      </c>
      <c r="AC621" s="0" t="inlineStr">
        <is>
          <t>청주시</t>
        </is>
      </c>
      <c r="AD621" s="0" t="inlineStr">
        <is>
          <t>흥덕구</t>
        </is>
      </c>
      <c r="AE621" s="0" t="inlineStr">
        <is>
          <t>비하동</t>
        </is>
      </c>
      <c r="AG621" s="0" t="inlineStr">
        <is>
          <t>충청북도 청주시 흥덕구 2순환로 1036</t>
        </is>
      </c>
      <c r="AH621" s="0" t="n">
        <v>0</v>
      </c>
      <c r="AI621" s="0" t="n">
        <v>185</v>
      </c>
      <c r="AJ621" s="0" t="n">
        <v>25</v>
      </c>
      <c r="AK621" s="0" t="n">
        <v>144</v>
      </c>
      <c r="AL621" s="0" t="n">
        <v>0.89</v>
      </c>
    </row>
    <row r="622">
      <c r="A622" s="0" t="inlineStr">
        <is>
          <t>[비하동]</t>
        </is>
      </c>
      <c r="B622" s="0" t="n">
        <v>25027</v>
      </c>
      <c r="C622" s="0" t="n">
        <v>1</v>
      </c>
      <c r="D622" s="0" t="inlineStr">
        <is>
          <t>대주피오레1차</t>
        </is>
      </c>
      <c r="E622" s="0" t="inlineStr">
        <is>
          <t>2008.02.</t>
        </is>
      </c>
      <c r="F622" s="0" t="n">
        <v>149</v>
      </c>
      <c r="G622" s="0" t="n">
        <v>34.1</v>
      </c>
      <c r="H622" s="0" t="n">
        <v>112.75</v>
      </c>
      <c r="I622" s="0" t="n">
        <v>25.67</v>
      </c>
      <c r="J622" s="0" t="n">
        <v>84.87</v>
      </c>
      <c r="K622" s="0" t="n">
        <v>90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112A</t>
        </is>
      </c>
      <c r="X622" s="0" t="n">
        <v>15</v>
      </c>
      <c r="Y622" s="0" t="n">
        <v>15</v>
      </c>
      <c r="Z622" s="0" t="inlineStr">
        <is>
          <t>https://new.land.naver.com/complexes/25027?tab=detail&amp;rf=Y</t>
        </is>
      </c>
      <c r="AA622" s="0" t="inlineStr">
        <is>
          <t>충청북도 청주시 흥덕구 비하동 295-40</t>
        </is>
      </c>
      <c r="AB622" s="0" t="inlineStr">
        <is>
          <t>충청북도</t>
        </is>
      </c>
      <c r="AC622" s="0" t="inlineStr">
        <is>
          <t>청주시</t>
        </is>
      </c>
      <c r="AD622" s="0" t="inlineStr">
        <is>
          <t>흥덕구</t>
        </is>
      </c>
      <c r="AE622" s="0" t="inlineStr">
        <is>
          <t>비하동</t>
        </is>
      </c>
      <c r="AG622" s="0" t="inlineStr">
        <is>
          <t>충청북도 청주시 흥덕구 부모산로 22</t>
        </is>
      </c>
      <c r="AH622" s="0" t="n">
        <v>0</v>
      </c>
      <c r="AI622" s="0" t="n">
        <v>216</v>
      </c>
      <c r="AJ622" s="0" t="n">
        <v>19</v>
      </c>
      <c r="AK622" s="0" t="n">
        <v>179</v>
      </c>
      <c r="AL622" s="0" t="n">
        <v>1.2</v>
      </c>
    </row>
    <row r="623">
      <c r="A623" s="0" t="inlineStr">
        <is>
          <t>[비하동]</t>
        </is>
      </c>
      <c r="B623" s="0" t="n">
        <v>25027</v>
      </c>
      <c r="C623" s="0" t="n">
        <v>2</v>
      </c>
      <c r="D623" s="0" t="inlineStr">
        <is>
          <t>대주피오레1차</t>
        </is>
      </c>
      <c r="E623" s="0" t="inlineStr">
        <is>
          <t>2008.02.</t>
        </is>
      </c>
      <c r="F623" s="0" t="n">
        <v>149</v>
      </c>
      <c r="G623" s="0" t="n">
        <v>34.45</v>
      </c>
      <c r="H623" s="0" t="n">
        <v>113.89</v>
      </c>
      <c r="I623" s="0" t="n">
        <v>25.7</v>
      </c>
      <c r="J623" s="0" t="n">
        <v>84.97</v>
      </c>
      <c r="K623" s="0" t="n">
        <v>29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113C</t>
        </is>
      </c>
      <c r="X623" s="0" t="n">
        <v>15</v>
      </c>
      <c r="Y623" s="0" t="n">
        <v>15</v>
      </c>
      <c r="Z623" s="0" t="inlineStr">
        <is>
          <t>https://new.land.naver.com/complexes/25027?tab=detail&amp;rf=Y</t>
        </is>
      </c>
      <c r="AA623" s="0" t="inlineStr">
        <is>
          <t>충청북도 청주시 흥덕구 비하동 295-40</t>
        </is>
      </c>
      <c r="AB623" s="0" t="inlineStr">
        <is>
          <t>충청북도</t>
        </is>
      </c>
      <c r="AC623" s="0" t="inlineStr">
        <is>
          <t>청주시</t>
        </is>
      </c>
      <c r="AD623" s="0" t="inlineStr">
        <is>
          <t>흥덕구</t>
        </is>
      </c>
      <c r="AE623" s="0" t="inlineStr">
        <is>
          <t>비하동</t>
        </is>
      </c>
      <c r="AG623" s="0" t="inlineStr">
        <is>
          <t>충청북도 청주시 흥덕구 부모산로 22</t>
        </is>
      </c>
      <c r="AH623" s="0" t="n">
        <v>0</v>
      </c>
      <c r="AI623" s="0" t="n">
        <v>216</v>
      </c>
      <c r="AJ623" s="0" t="n">
        <v>19</v>
      </c>
      <c r="AK623" s="0" t="n">
        <v>179</v>
      </c>
      <c r="AL623" s="0" t="n">
        <v>1.2</v>
      </c>
    </row>
    <row r="624">
      <c r="A624" s="0" t="inlineStr">
        <is>
          <t>[비하동]</t>
        </is>
      </c>
      <c r="B624" s="0" t="n">
        <v>25027</v>
      </c>
      <c r="C624" s="0" t="n">
        <v>3</v>
      </c>
      <c r="D624" s="0" t="inlineStr">
        <is>
          <t>대주피오레1차</t>
        </is>
      </c>
      <c r="E624" s="0" t="inlineStr">
        <is>
          <t>2008.02.</t>
        </is>
      </c>
      <c r="F624" s="0" t="n">
        <v>149</v>
      </c>
      <c r="G624" s="0" t="n">
        <v>34.98</v>
      </c>
      <c r="H624" s="0" t="n">
        <v>115.66</v>
      </c>
      <c r="I624" s="0" t="n">
        <v>25.67</v>
      </c>
      <c r="J624" s="0" t="n">
        <v>84.87</v>
      </c>
      <c r="K624" s="0" t="n">
        <v>30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115B</t>
        </is>
      </c>
      <c r="X624" s="0" t="n">
        <v>15</v>
      </c>
      <c r="Y624" s="0" t="n">
        <v>15</v>
      </c>
      <c r="Z624" s="0" t="inlineStr">
        <is>
          <t>https://new.land.naver.com/complexes/25027?tab=detail&amp;rf=Y</t>
        </is>
      </c>
      <c r="AA624" s="0" t="inlineStr">
        <is>
          <t>충청북도 청주시 흥덕구 비하동 295-40</t>
        </is>
      </c>
      <c r="AB624" s="0" t="inlineStr">
        <is>
          <t>충청북도</t>
        </is>
      </c>
      <c r="AC624" s="0" t="inlineStr">
        <is>
          <t>청주시</t>
        </is>
      </c>
      <c r="AD624" s="0" t="inlineStr">
        <is>
          <t>흥덕구</t>
        </is>
      </c>
      <c r="AE624" s="0" t="inlineStr">
        <is>
          <t>비하동</t>
        </is>
      </c>
      <c r="AG624" s="0" t="inlineStr">
        <is>
          <t>충청북도 청주시 흥덕구 부모산로 22</t>
        </is>
      </c>
      <c r="AH624" s="0" t="n">
        <v>0</v>
      </c>
      <c r="AI624" s="0" t="n">
        <v>216</v>
      </c>
      <c r="AJ624" s="0" t="n">
        <v>19</v>
      </c>
      <c r="AK624" s="0" t="n">
        <v>179</v>
      </c>
      <c r="AL624" s="0" t="n">
        <v>1.2</v>
      </c>
    </row>
    <row r="625">
      <c r="A625" s="0" t="inlineStr">
        <is>
          <t>[비하동]</t>
        </is>
      </c>
      <c r="B625" s="0" t="n">
        <v>111881</v>
      </c>
      <c r="C625" s="0" t="n">
        <v>1</v>
      </c>
      <c r="D625" s="0" t="inlineStr">
        <is>
          <t>청주비하대광로제비앙1차</t>
        </is>
      </c>
      <c r="E625" s="0" t="inlineStr">
        <is>
          <t>2018.02.</t>
        </is>
      </c>
      <c r="F625" s="0" t="n">
        <v>418</v>
      </c>
      <c r="G625" s="0" t="n">
        <v>34.08</v>
      </c>
      <c r="H625" s="0" t="n">
        <v>112.69</v>
      </c>
      <c r="I625" s="0" t="n">
        <v>25.7</v>
      </c>
      <c r="J625" s="0" t="n">
        <v>84.98</v>
      </c>
      <c r="K625" s="0" t="n">
        <v>289</v>
      </c>
      <c r="T625" s="0" t="n">
        <v>4</v>
      </c>
      <c r="U625" s="0" t="n">
        <v>2</v>
      </c>
      <c r="V625" s="0" t="inlineStr">
        <is>
          <t>계단식</t>
        </is>
      </c>
      <c r="W625" s="0" t="inlineStr">
        <is>
          <t>112A</t>
        </is>
      </c>
      <c r="X625" s="0" t="n">
        <v>27</v>
      </c>
      <c r="Y625" s="0" t="n">
        <v>16</v>
      </c>
      <c r="Z625" s="0" t="inlineStr">
        <is>
          <t>https://new.land.naver.com/complexes/111881?tab=detail&amp;rf=Y</t>
        </is>
      </c>
      <c r="AA625" s="0" t="inlineStr">
        <is>
          <t>충청북도 청주시 흥덕구 비하동 823</t>
        </is>
      </c>
      <c r="AB625" s="0" t="inlineStr">
        <is>
          <t>충청북도</t>
        </is>
      </c>
      <c r="AC625" s="0" t="inlineStr">
        <is>
          <t>청주시</t>
        </is>
      </c>
      <c r="AD625" s="0" t="inlineStr">
        <is>
          <t>흥덕구</t>
        </is>
      </c>
      <c r="AE625" s="0" t="inlineStr">
        <is>
          <t>비하동</t>
        </is>
      </c>
      <c r="AG625" s="0" t="inlineStr">
        <is>
          <t>충청북도 청주시 흥덕구 가로수로1131번길 11</t>
        </is>
      </c>
      <c r="AH625" s="0" t="n">
        <v>0</v>
      </c>
      <c r="AI625" s="0" t="n">
        <v>222</v>
      </c>
      <c r="AJ625" s="0" t="n">
        <v>18</v>
      </c>
      <c r="AK625" s="0" t="n">
        <v>547</v>
      </c>
      <c r="AL625" s="0" t="n">
        <v>1.31</v>
      </c>
    </row>
    <row r="626">
      <c r="A626" s="0" t="inlineStr">
        <is>
          <t>[비하동]</t>
        </is>
      </c>
      <c r="B626" s="0" t="n">
        <v>111881</v>
      </c>
      <c r="C626" s="0" t="n">
        <v>2</v>
      </c>
      <c r="D626" s="0" t="inlineStr">
        <is>
          <t>청주비하대광로제비앙1차</t>
        </is>
      </c>
      <c r="E626" s="0" t="inlineStr">
        <is>
          <t>2018.02.</t>
        </is>
      </c>
      <c r="F626" s="0" t="n">
        <v>418</v>
      </c>
      <c r="G626" s="0" t="n">
        <v>34.17</v>
      </c>
      <c r="H626" s="0" t="n">
        <v>112.99</v>
      </c>
      <c r="I626" s="0" t="n">
        <v>25.69</v>
      </c>
      <c r="J626" s="0" t="n">
        <v>84.94</v>
      </c>
      <c r="K626" s="0" t="n">
        <v>129</v>
      </c>
      <c r="T626" s="0" t="n">
        <v>4</v>
      </c>
      <c r="U626" s="0" t="n">
        <v>2</v>
      </c>
      <c r="V626" s="0" t="inlineStr">
        <is>
          <t>계단식</t>
        </is>
      </c>
      <c r="W626" s="0" t="inlineStr">
        <is>
          <t>112B</t>
        </is>
      </c>
      <c r="X626" s="0" t="n">
        <v>27</v>
      </c>
      <c r="Y626" s="0" t="n">
        <v>16</v>
      </c>
      <c r="Z626" s="0" t="inlineStr">
        <is>
          <t>https://new.land.naver.com/complexes/111881?tab=detail&amp;rf=Y</t>
        </is>
      </c>
      <c r="AA626" s="0" t="inlineStr">
        <is>
          <t>충청북도 청주시 흥덕구 비하동 823</t>
        </is>
      </c>
      <c r="AB626" s="0" t="inlineStr">
        <is>
          <t>충청북도</t>
        </is>
      </c>
      <c r="AC626" s="0" t="inlineStr">
        <is>
          <t>청주시</t>
        </is>
      </c>
      <c r="AD626" s="0" t="inlineStr">
        <is>
          <t>흥덕구</t>
        </is>
      </c>
      <c r="AE626" s="0" t="inlineStr">
        <is>
          <t>비하동</t>
        </is>
      </c>
      <c r="AG626" s="0" t="inlineStr">
        <is>
          <t>충청북도 청주시 흥덕구 가로수로1131번길 11</t>
        </is>
      </c>
      <c r="AH626" s="0" t="n">
        <v>0</v>
      </c>
      <c r="AI626" s="0" t="n">
        <v>222</v>
      </c>
      <c r="AJ626" s="0" t="n">
        <v>18</v>
      </c>
      <c r="AK626" s="0" t="n">
        <v>547</v>
      </c>
      <c r="AL626" s="0" t="n">
        <v>1.31</v>
      </c>
    </row>
    <row r="627">
      <c r="A627" s="0" t="inlineStr">
        <is>
          <t>[비하동]</t>
        </is>
      </c>
      <c r="B627" s="0" t="n">
        <v>116558</v>
      </c>
      <c r="C627" s="0" t="n">
        <v>1</v>
      </c>
      <c r="D627" s="0" t="inlineStr">
        <is>
          <t>서청주파크자이</t>
        </is>
      </c>
      <c r="E627" s="0" t="inlineStr">
        <is>
          <t>2019.09.</t>
        </is>
      </c>
      <c r="F627" s="0" t="n">
        <v>1495</v>
      </c>
      <c r="G627" s="0" t="n">
        <v>24.85</v>
      </c>
      <c r="H627" s="0" t="n">
        <v>82.15000000000001</v>
      </c>
      <c r="I627" s="0" t="n">
        <v>18.13</v>
      </c>
      <c r="J627" s="0" t="n">
        <v>59.94</v>
      </c>
      <c r="K627" s="0" t="n">
        <v>159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82</v>
      </c>
      <c r="X627" s="0" t="n">
        <v>25</v>
      </c>
      <c r="Y627" s="0" t="n">
        <v>20</v>
      </c>
      <c r="Z627" s="0" t="inlineStr">
        <is>
          <t>https://new.land.naver.com/complexes/116558?tab=detail&amp;rf=Y</t>
        </is>
      </c>
      <c r="AA627" s="0" t="inlineStr">
        <is>
          <t>충청북도 청주시 흥덕구 비하동 824</t>
        </is>
      </c>
      <c r="AB627" s="0" t="inlineStr">
        <is>
          <t>충청북도</t>
        </is>
      </c>
      <c r="AC627" s="0" t="inlineStr">
        <is>
          <t>청주시</t>
        </is>
      </c>
      <c r="AD627" s="0" t="inlineStr">
        <is>
          <t>흥덕구</t>
        </is>
      </c>
      <c r="AE627" s="0" t="inlineStr">
        <is>
          <t>비하동</t>
        </is>
      </c>
      <c r="AG627" s="0" t="inlineStr">
        <is>
          <t>충청북도 청주시 흥덕구 2순환로 1106</t>
        </is>
      </c>
      <c r="AH627" s="0" t="n">
        <v>0</v>
      </c>
      <c r="AI627" s="0" t="n">
        <v>228</v>
      </c>
      <c r="AJ627" s="0" t="n">
        <v>15</v>
      </c>
      <c r="AK627" s="0" t="n">
        <v>1959</v>
      </c>
      <c r="AL627" s="0" t="n">
        <v>1.31</v>
      </c>
    </row>
    <row r="628">
      <c r="A628" s="0" t="inlineStr">
        <is>
          <t>[비하동]</t>
        </is>
      </c>
      <c r="B628" s="0" t="n">
        <v>116558</v>
      </c>
      <c r="C628" s="0" t="n">
        <v>2</v>
      </c>
      <c r="D628" s="0" t="inlineStr">
        <is>
          <t>서청주파크자이</t>
        </is>
      </c>
      <c r="E628" s="0" t="inlineStr">
        <is>
          <t>2019.09.</t>
        </is>
      </c>
      <c r="F628" s="0" t="n">
        <v>1495</v>
      </c>
      <c r="G628" s="0" t="n">
        <v>29.85</v>
      </c>
      <c r="H628" s="0" t="n">
        <v>98.70999999999999</v>
      </c>
      <c r="I628" s="0" t="n">
        <v>22.49</v>
      </c>
      <c r="J628" s="0" t="n">
        <v>74.38</v>
      </c>
      <c r="K628" s="0" t="n">
        <v>334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98</v>
      </c>
      <c r="X628" s="0" t="n">
        <v>25</v>
      </c>
      <c r="Y628" s="0" t="n">
        <v>20</v>
      </c>
      <c r="Z628" s="0" t="inlineStr">
        <is>
          <t>https://new.land.naver.com/complexes/116558?tab=detail&amp;rf=Y</t>
        </is>
      </c>
      <c r="AA628" s="0" t="inlineStr">
        <is>
          <t>충청북도 청주시 흥덕구 비하동 824</t>
        </is>
      </c>
      <c r="AB628" s="0" t="inlineStr">
        <is>
          <t>충청북도</t>
        </is>
      </c>
      <c r="AC628" s="0" t="inlineStr">
        <is>
          <t>청주시</t>
        </is>
      </c>
      <c r="AD628" s="0" t="inlineStr">
        <is>
          <t>흥덕구</t>
        </is>
      </c>
      <c r="AE628" s="0" t="inlineStr">
        <is>
          <t>비하동</t>
        </is>
      </c>
      <c r="AG628" s="0" t="inlineStr">
        <is>
          <t>충청북도 청주시 흥덕구 2순환로 1106</t>
        </is>
      </c>
      <c r="AH628" s="0" t="n">
        <v>0</v>
      </c>
      <c r="AI628" s="0" t="n">
        <v>228</v>
      </c>
      <c r="AJ628" s="0" t="n">
        <v>15</v>
      </c>
      <c r="AK628" s="0" t="n">
        <v>1959</v>
      </c>
      <c r="AL628" s="0" t="n">
        <v>1.31</v>
      </c>
    </row>
    <row r="629">
      <c r="A629" s="0" t="inlineStr">
        <is>
          <t>[비하동]</t>
        </is>
      </c>
      <c r="B629" s="0" t="n">
        <v>116558</v>
      </c>
      <c r="C629" s="0" t="n">
        <v>3</v>
      </c>
      <c r="D629" s="0" t="inlineStr">
        <is>
          <t>서청주파크자이</t>
        </is>
      </c>
      <c r="E629" s="0" t="inlineStr">
        <is>
          <t>2019.09.</t>
        </is>
      </c>
      <c r="F629" s="0" t="n">
        <v>1495</v>
      </c>
      <c r="G629" s="0" t="n">
        <v>33.94</v>
      </c>
      <c r="H629" s="0" t="n">
        <v>112.23</v>
      </c>
      <c r="I629" s="0" t="n">
        <v>25.7</v>
      </c>
      <c r="J629" s="0" t="n">
        <v>84.95999999999999</v>
      </c>
      <c r="K629" s="0" t="n">
        <v>636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112A</t>
        </is>
      </c>
      <c r="X629" s="0" t="n">
        <v>25</v>
      </c>
      <c r="Y629" s="0" t="n">
        <v>20</v>
      </c>
      <c r="Z629" s="0" t="inlineStr">
        <is>
          <t>https://new.land.naver.com/complexes/116558?tab=detail&amp;rf=Y</t>
        </is>
      </c>
      <c r="AA629" s="0" t="inlineStr">
        <is>
          <t>충청북도 청주시 흥덕구 비하동 824</t>
        </is>
      </c>
      <c r="AB629" s="0" t="inlineStr">
        <is>
          <t>충청북도</t>
        </is>
      </c>
      <c r="AC629" s="0" t="inlineStr">
        <is>
          <t>청주시</t>
        </is>
      </c>
      <c r="AD629" s="0" t="inlineStr">
        <is>
          <t>흥덕구</t>
        </is>
      </c>
      <c r="AE629" s="0" t="inlineStr">
        <is>
          <t>비하동</t>
        </is>
      </c>
      <c r="AG629" s="0" t="inlineStr">
        <is>
          <t>충청북도 청주시 흥덕구 2순환로 1106</t>
        </is>
      </c>
      <c r="AH629" s="0" t="n">
        <v>0</v>
      </c>
      <c r="AI629" s="0" t="n">
        <v>228</v>
      </c>
      <c r="AJ629" s="0" t="n">
        <v>15</v>
      </c>
      <c r="AK629" s="0" t="n">
        <v>1959</v>
      </c>
      <c r="AL629" s="0" t="n">
        <v>1.31</v>
      </c>
    </row>
    <row r="630">
      <c r="A630" s="0" t="inlineStr">
        <is>
          <t>[비하동]</t>
        </is>
      </c>
      <c r="B630" s="0" t="n">
        <v>116558</v>
      </c>
      <c r="C630" s="0" t="n">
        <v>4</v>
      </c>
      <c r="D630" s="0" t="inlineStr">
        <is>
          <t>서청주파크자이</t>
        </is>
      </c>
      <c r="E630" s="0" t="inlineStr">
        <is>
          <t>2019.09.</t>
        </is>
      </c>
      <c r="F630" s="0" t="n">
        <v>1495</v>
      </c>
      <c r="G630" s="0" t="n">
        <v>34.01</v>
      </c>
      <c r="H630" s="0" t="n">
        <v>112.44</v>
      </c>
      <c r="I630" s="0" t="n">
        <v>25.69</v>
      </c>
      <c r="J630" s="0" t="n">
        <v>84.95</v>
      </c>
      <c r="K630" s="0" t="n">
        <v>219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112B</t>
        </is>
      </c>
      <c r="X630" s="0" t="n">
        <v>25</v>
      </c>
      <c r="Y630" s="0" t="n">
        <v>20</v>
      </c>
      <c r="Z630" s="0" t="inlineStr">
        <is>
          <t>https://new.land.naver.com/complexes/116558?tab=detail&amp;rf=Y</t>
        </is>
      </c>
      <c r="AA630" s="0" t="inlineStr">
        <is>
          <t>충청북도 청주시 흥덕구 비하동 824</t>
        </is>
      </c>
      <c r="AB630" s="0" t="inlineStr">
        <is>
          <t>충청북도</t>
        </is>
      </c>
      <c r="AC630" s="0" t="inlineStr">
        <is>
          <t>청주시</t>
        </is>
      </c>
      <c r="AD630" s="0" t="inlineStr">
        <is>
          <t>흥덕구</t>
        </is>
      </c>
      <c r="AE630" s="0" t="inlineStr">
        <is>
          <t>비하동</t>
        </is>
      </c>
      <c r="AG630" s="0" t="inlineStr">
        <is>
          <t>충청북도 청주시 흥덕구 2순환로 1106</t>
        </is>
      </c>
      <c r="AH630" s="0" t="n">
        <v>0</v>
      </c>
      <c r="AI630" s="0" t="n">
        <v>228</v>
      </c>
      <c r="AJ630" s="0" t="n">
        <v>15</v>
      </c>
      <c r="AK630" s="0" t="n">
        <v>1959</v>
      </c>
      <c r="AL630" s="0" t="n">
        <v>1.31</v>
      </c>
    </row>
    <row r="631">
      <c r="A631" s="0" t="inlineStr">
        <is>
          <t>[비하동]</t>
        </is>
      </c>
      <c r="B631" s="0" t="n">
        <v>116558</v>
      </c>
      <c r="C631" s="0" t="n">
        <v>5</v>
      </c>
      <c r="D631" s="0" t="inlineStr">
        <is>
          <t>서청주파크자이</t>
        </is>
      </c>
      <c r="E631" s="0" t="inlineStr">
        <is>
          <t>2019.09.</t>
        </is>
      </c>
      <c r="F631" s="0" t="n">
        <v>1495</v>
      </c>
      <c r="G631" s="0" t="n">
        <v>41.79</v>
      </c>
      <c r="H631" s="0" t="n">
        <v>138.18</v>
      </c>
      <c r="I631" s="0" t="n">
        <v>33.57</v>
      </c>
      <c r="J631" s="0" t="n">
        <v>110.99</v>
      </c>
      <c r="K631" s="0" t="n">
        <v>147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138</v>
      </c>
      <c r="X631" s="0" t="n">
        <v>25</v>
      </c>
      <c r="Y631" s="0" t="n">
        <v>20</v>
      </c>
      <c r="Z631" s="0" t="inlineStr">
        <is>
          <t>https://new.land.naver.com/complexes/116558?tab=detail&amp;rf=Y</t>
        </is>
      </c>
      <c r="AA631" s="0" t="inlineStr">
        <is>
          <t>충청북도 청주시 흥덕구 비하동 824</t>
        </is>
      </c>
      <c r="AB631" s="0" t="inlineStr">
        <is>
          <t>충청북도</t>
        </is>
      </c>
      <c r="AC631" s="0" t="inlineStr">
        <is>
          <t>청주시</t>
        </is>
      </c>
      <c r="AD631" s="0" t="inlineStr">
        <is>
          <t>흥덕구</t>
        </is>
      </c>
      <c r="AE631" s="0" t="inlineStr">
        <is>
          <t>비하동</t>
        </is>
      </c>
      <c r="AG631" s="0" t="inlineStr">
        <is>
          <t>충청북도 청주시 흥덕구 2순환로 1106</t>
        </is>
      </c>
      <c r="AH631" s="0" t="n">
        <v>0</v>
      </c>
      <c r="AI631" s="0" t="n">
        <v>228</v>
      </c>
      <c r="AJ631" s="0" t="n">
        <v>15</v>
      </c>
      <c r="AK631" s="0" t="n">
        <v>1959</v>
      </c>
      <c r="AL631" s="0" t="n">
        <v>1.31</v>
      </c>
    </row>
    <row r="632">
      <c r="A632" s="0" t="inlineStr">
        <is>
          <t>[비하동]</t>
        </is>
      </c>
      <c r="B632" s="0" t="n">
        <v>7473</v>
      </c>
      <c r="C632" s="0" t="n">
        <v>1</v>
      </c>
      <c r="D632" s="0" t="inlineStr">
        <is>
          <t>삼일</t>
        </is>
      </c>
      <c r="E632" s="0" t="inlineStr">
        <is>
          <t>1990.06.</t>
        </is>
      </c>
      <c r="F632" s="0" t="n">
        <v>365</v>
      </c>
      <c r="G632" s="0" t="n">
        <v>24.95</v>
      </c>
      <c r="H632" s="0" t="n">
        <v>82.48</v>
      </c>
      <c r="I632" s="0" t="n">
        <v>18.11</v>
      </c>
      <c r="J632" s="0" t="n">
        <v>59.88</v>
      </c>
      <c r="K632" s="0" t="n">
        <v>128</v>
      </c>
      <c r="T632" s="0" t="n">
        <v>3</v>
      </c>
      <c r="U632" s="0" t="n">
        <v>1</v>
      </c>
      <c r="V632" s="0" t="inlineStr">
        <is>
          <t>복도식</t>
        </is>
      </c>
      <c r="W632" s="0" t="n">
        <v>82</v>
      </c>
      <c r="X632" s="0" t="n">
        <v>14</v>
      </c>
      <c r="Y632" s="0" t="n">
        <v>7</v>
      </c>
      <c r="Z632" s="0" t="inlineStr">
        <is>
          <t>https://new.land.naver.com/complexes/7473?tab=detail&amp;rf=Y</t>
        </is>
      </c>
      <c r="AA632" s="0" t="inlineStr">
        <is>
          <t>충청북도 청주시 흥덕구 비하동 238-1</t>
        </is>
      </c>
      <c r="AB632" s="0" t="inlineStr">
        <is>
          <t>충청북도</t>
        </is>
      </c>
      <c r="AC632" s="0" t="inlineStr">
        <is>
          <t>청주시</t>
        </is>
      </c>
      <c r="AD632" s="0" t="inlineStr">
        <is>
          <t>흥덕구</t>
        </is>
      </c>
      <c r="AE632" s="0" t="inlineStr">
        <is>
          <t>비하동</t>
        </is>
      </c>
      <c r="AG632" s="0" t="inlineStr">
        <is>
          <t>충청북도 청주시 흥덕구 비하로63번길 24</t>
        </is>
      </c>
      <c r="AH632" s="0" t="n">
        <v>0</v>
      </c>
      <c r="AI632" s="0" t="n">
        <v>231</v>
      </c>
      <c r="AJ632" s="0" t="n">
        <v>21</v>
      </c>
      <c r="AK632" s="0" t="n">
        <v>308</v>
      </c>
      <c r="AL632" s="0" t="n">
        <v>0.84</v>
      </c>
    </row>
    <row r="633">
      <c r="A633" s="0" t="inlineStr">
        <is>
          <t>[비하동]</t>
        </is>
      </c>
      <c r="B633" s="0" t="n">
        <v>7473</v>
      </c>
      <c r="C633" s="0" t="n">
        <v>2</v>
      </c>
      <c r="D633" s="0" t="inlineStr">
        <is>
          <t>삼일</t>
        </is>
      </c>
      <c r="E633" s="0" t="inlineStr">
        <is>
          <t>1990.06.</t>
        </is>
      </c>
      <c r="F633" s="0" t="n">
        <v>365</v>
      </c>
      <c r="G633" s="0" t="n">
        <v>28.22</v>
      </c>
      <c r="H633" s="0" t="n">
        <v>93.3</v>
      </c>
      <c r="I633" s="0" t="n">
        <v>22.59</v>
      </c>
      <c r="J633" s="0" t="n">
        <v>74.70999999999999</v>
      </c>
      <c r="K633" s="0" t="n">
        <v>7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93</v>
      </c>
      <c r="X633" s="0" t="n">
        <v>14</v>
      </c>
      <c r="Y633" s="0" t="n">
        <v>7</v>
      </c>
      <c r="Z633" s="0" t="inlineStr">
        <is>
          <t>https://new.land.naver.com/complexes/7473?tab=detail&amp;rf=Y</t>
        </is>
      </c>
      <c r="AA633" s="0" t="inlineStr">
        <is>
          <t>충청북도 청주시 흥덕구 비하동 238-1</t>
        </is>
      </c>
      <c r="AB633" s="0" t="inlineStr">
        <is>
          <t>충청북도</t>
        </is>
      </c>
      <c r="AC633" s="0" t="inlineStr">
        <is>
          <t>청주시</t>
        </is>
      </c>
      <c r="AD633" s="0" t="inlineStr">
        <is>
          <t>흥덕구</t>
        </is>
      </c>
      <c r="AE633" s="0" t="inlineStr">
        <is>
          <t>비하동</t>
        </is>
      </c>
      <c r="AG633" s="0" t="inlineStr">
        <is>
          <t>충청북도 청주시 흥덕구 비하로63번길 24</t>
        </is>
      </c>
      <c r="AH633" s="0" t="n">
        <v>0</v>
      </c>
      <c r="AI633" s="0" t="n">
        <v>231</v>
      </c>
      <c r="AJ633" s="0" t="n">
        <v>21</v>
      </c>
      <c r="AK633" s="0" t="n">
        <v>308</v>
      </c>
      <c r="AL633" s="0" t="n">
        <v>0.84</v>
      </c>
    </row>
    <row r="634">
      <c r="A634" s="0" t="inlineStr">
        <is>
          <t>[비하동]</t>
        </is>
      </c>
      <c r="B634" s="0" t="n">
        <v>7473</v>
      </c>
      <c r="C634" s="0" t="n">
        <v>3</v>
      </c>
      <c r="D634" s="0" t="inlineStr">
        <is>
          <t>삼일</t>
        </is>
      </c>
      <c r="E634" s="0" t="inlineStr">
        <is>
          <t>1990.06.</t>
        </is>
      </c>
      <c r="F634" s="0" t="n">
        <v>365</v>
      </c>
      <c r="G634" s="0" t="n">
        <v>29.04</v>
      </c>
      <c r="H634" s="0" t="n">
        <v>96</v>
      </c>
      <c r="I634" s="0" t="n">
        <v>21.05</v>
      </c>
      <c r="J634" s="0" t="n">
        <v>69.59999999999999</v>
      </c>
      <c r="K634" s="0" t="n">
        <v>102</v>
      </c>
      <c r="T634" s="0" t="n">
        <v>3</v>
      </c>
      <c r="U634" s="0" t="n">
        <v>1</v>
      </c>
      <c r="V634" s="0" t="inlineStr">
        <is>
          <t>복도식</t>
        </is>
      </c>
      <c r="W634" s="0" t="n">
        <v>96</v>
      </c>
      <c r="X634" s="0" t="n">
        <v>14</v>
      </c>
      <c r="Y634" s="0" t="n">
        <v>7</v>
      </c>
      <c r="Z634" s="0" t="inlineStr">
        <is>
          <t>https://new.land.naver.com/complexes/7473?tab=detail&amp;rf=Y</t>
        </is>
      </c>
      <c r="AA634" s="0" t="inlineStr">
        <is>
          <t>충청북도 청주시 흥덕구 비하동 238-1</t>
        </is>
      </c>
      <c r="AB634" s="0" t="inlineStr">
        <is>
          <t>충청북도</t>
        </is>
      </c>
      <c r="AC634" s="0" t="inlineStr">
        <is>
          <t>청주시</t>
        </is>
      </c>
      <c r="AD634" s="0" t="inlineStr">
        <is>
          <t>흥덕구</t>
        </is>
      </c>
      <c r="AE634" s="0" t="inlineStr">
        <is>
          <t>비하동</t>
        </is>
      </c>
      <c r="AG634" s="0" t="inlineStr">
        <is>
          <t>충청북도 청주시 흥덕구 비하로63번길 24</t>
        </is>
      </c>
      <c r="AH634" s="0" t="n">
        <v>0</v>
      </c>
      <c r="AI634" s="0" t="n">
        <v>231</v>
      </c>
      <c r="AJ634" s="0" t="n">
        <v>21</v>
      </c>
      <c r="AK634" s="0" t="n">
        <v>308</v>
      </c>
      <c r="AL634" s="0" t="n">
        <v>0.84</v>
      </c>
    </row>
    <row r="635">
      <c r="A635" s="0" t="inlineStr">
        <is>
          <t>[비하동]</t>
        </is>
      </c>
      <c r="B635" s="0" t="n">
        <v>7473</v>
      </c>
      <c r="C635" s="0" t="n">
        <v>4</v>
      </c>
      <c r="D635" s="0" t="inlineStr">
        <is>
          <t>삼일</t>
        </is>
      </c>
      <c r="E635" s="0" t="inlineStr">
        <is>
          <t>1990.06.</t>
        </is>
      </c>
      <c r="F635" s="0" t="n">
        <v>365</v>
      </c>
      <c r="G635" s="0" t="n">
        <v>31.94</v>
      </c>
      <c r="H635" s="0" t="n">
        <v>105.61</v>
      </c>
      <c r="I635" s="0" t="n">
        <v>25.66</v>
      </c>
      <c r="J635" s="0" t="n">
        <v>84.84999999999999</v>
      </c>
      <c r="K635" s="0" t="n">
        <v>128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105</v>
      </c>
      <c r="X635" s="0" t="n">
        <v>14</v>
      </c>
      <c r="Y635" s="0" t="n">
        <v>7</v>
      </c>
      <c r="Z635" s="0" t="inlineStr">
        <is>
          <t>https://new.land.naver.com/complexes/7473?tab=detail&amp;rf=Y</t>
        </is>
      </c>
      <c r="AA635" s="0" t="inlineStr">
        <is>
          <t>충청북도 청주시 흥덕구 비하동 238-1</t>
        </is>
      </c>
      <c r="AB635" s="0" t="inlineStr">
        <is>
          <t>충청북도</t>
        </is>
      </c>
      <c r="AC635" s="0" t="inlineStr">
        <is>
          <t>청주시</t>
        </is>
      </c>
      <c r="AD635" s="0" t="inlineStr">
        <is>
          <t>흥덕구</t>
        </is>
      </c>
      <c r="AE635" s="0" t="inlineStr">
        <is>
          <t>비하동</t>
        </is>
      </c>
      <c r="AG635" s="0" t="inlineStr">
        <is>
          <t>충청북도 청주시 흥덕구 비하로63번길 24</t>
        </is>
      </c>
      <c r="AH635" s="0" t="n">
        <v>0</v>
      </c>
      <c r="AI635" s="0" t="n">
        <v>231</v>
      </c>
      <c r="AJ635" s="0" t="n">
        <v>21</v>
      </c>
      <c r="AK635" s="0" t="n">
        <v>308</v>
      </c>
      <c r="AL635" s="0" t="n">
        <v>0.84</v>
      </c>
    </row>
    <row r="636">
      <c r="A636" s="0" t="inlineStr">
        <is>
          <t>[비하동]</t>
        </is>
      </c>
      <c r="B636" s="0" t="n">
        <v>121292</v>
      </c>
      <c r="C636" s="0" t="n">
        <v>1</v>
      </c>
      <c r="D636" s="0" t="inlineStr">
        <is>
          <t>재원</t>
        </is>
      </c>
      <c r="E636" s="0" t="inlineStr">
        <is>
          <t>1991.04.</t>
        </is>
      </c>
      <c r="F636" s="0" t="n">
        <v>84</v>
      </c>
      <c r="G636" s="0" t="n">
        <v>10.3</v>
      </c>
      <c r="H636" s="0" t="n">
        <v>34.05</v>
      </c>
      <c r="I636" s="0" t="n">
        <v>6.86</v>
      </c>
      <c r="J636" s="0" t="n">
        <v>22.68</v>
      </c>
      <c r="K636" s="0" t="n">
        <v>84</v>
      </c>
      <c r="T636" s="0" t="n">
        <v>2</v>
      </c>
      <c r="U636" s="0" t="n">
        <v>1</v>
      </c>
      <c r="V636" s="0" t="inlineStr">
        <is>
          <t>복도식</t>
        </is>
      </c>
      <c r="W636" s="0" t="n">
        <v>34</v>
      </c>
      <c r="X636" s="0" t="n">
        <v>6</v>
      </c>
      <c r="Y636" s="0" t="n">
        <v>6</v>
      </c>
      <c r="Z636" s="0" t="inlineStr">
        <is>
          <t>https://new.land.naver.com/complexes/121292?tab=detail&amp;rf=Y</t>
        </is>
      </c>
      <c r="AA636" s="0" t="inlineStr">
        <is>
          <t>충청북도 청주시 흥덕구 비하동 64-4</t>
        </is>
      </c>
      <c r="AB636" s="0" t="inlineStr">
        <is>
          <t>충청북도</t>
        </is>
      </c>
      <c r="AC636" s="0" t="inlineStr">
        <is>
          <t>청주시</t>
        </is>
      </c>
      <c r="AD636" s="0" t="inlineStr">
        <is>
          <t>흥덕구</t>
        </is>
      </c>
      <c r="AE636" s="0" t="inlineStr">
        <is>
          <t>비하동</t>
        </is>
      </c>
      <c r="AG636" s="0" t="inlineStr">
        <is>
          <t>충청북도 청주시 흥덕구 가로수로1120번길 11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[비하동]</t>
        </is>
      </c>
      <c r="B637" s="0" t="n">
        <v>7482</v>
      </c>
      <c r="C637" s="0" t="n">
        <v>1</v>
      </c>
      <c r="D637" s="0" t="inlineStr">
        <is>
          <t>비하효성2차</t>
        </is>
      </c>
      <c r="E637" s="0" t="inlineStr">
        <is>
          <t>1997.07.</t>
        </is>
      </c>
      <c r="F637" s="0" t="n">
        <v>478</v>
      </c>
      <c r="G637" s="0" t="n">
        <v>18.6</v>
      </c>
      <c r="H637" s="0" t="n">
        <v>61.52</v>
      </c>
      <c r="I637" s="0" t="n">
        <v>13.69</v>
      </c>
      <c r="J637" s="0" t="n">
        <v>45.28</v>
      </c>
      <c r="K637" s="0" t="n">
        <v>165</v>
      </c>
      <c r="T637" s="0" t="n">
        <v>2</v>
      </c>
      <c r="U637" s="0" t="n">
        <v>1</v>
      </c>
      <c r="V637" s="0" t="inlineStr">
        <is>
          <t>복도식</t>
        </is>
      </c>
      <c r="W637" s="0" t="n">
        <v>61</v>
      </c>
      <c r="X637" s="0" t="n">
        <v>15</v>
      </c>
      <c r="Y637" s="0" t="n">
        <v>13</v>
      </c>
      <c r="Z637" s="0" t="inlineStr">
        <is>
          <t>https://new.land.naver.com/complexes/7482?tab=detail&amp;rf=Y</t>
        </is>
      </c>
      <c r="AA637" s="0" t="inlineStr">
        <is>
          <t>충청북도 청주시 흥덕구 비하동 362</t>
        </is>
      </c>
      <c r="AB637" s="0" t="inlineStr">
        <is>
          <t>충청북도</t>
        </is>
      </c>
      <c r="AC637" s="0" t="inlineStr">
        <is>
          <t>청주시</t>
        </is>
      </c>
      <c r="AD637" s="0" t="inlineStr">
        <is>
          <t>흥덕구</t>
        </is>
      </c>
      <c r="AE637" s="0" t="inlineStr">
        <is>
          <t>비하동</t>
        </is>
      </c>
      <c r="AG637" s="0" t="inlineStr">
        <is>
          <t>충청북도 청주시 흥덕구 2순환로1050번길 24</t>
        </is>
      </c>
      <c r="AH637" s="0" t="n">
        <v>0</v>
      </c>
      <c r="AI637" s="0" t="n">
        <v>183</v>
      </c>
      <c r="AJ637" s="0" t="n">
        <v>19</v>
      </c>
      <c r="AK637" s="0" t="n">
        <v>485</v>
      </c>
      <c r="AL637" s="0" t="n">
        <v>1.01</v>
      </c>
    </row>
    <row r="638">
      <c r="A638" s="0" t="inlineStr">
        <is>
          <t>[비하동]</t>
        </is>
      </c>
      <c r="B638" s="0" t="n">
        <v>7482</v>
      </c>
      <c r="C638" s="0" t="n">
        <v>2</v>
      </c>
      <c r="D638" s="0" t="inlineStr">
        <is>
          <t>비하효성2차</t>
        </is>
      </c>
      <c r="E638" s="0" t="inlineStr">
        <is>
          <t>1997.07.</t>
        </is>
      </c>
      <c r="F638" s="0" t="n">
        <v>478</v>
      </c>
      <c r="G638" s="0" t="n">
        <v>24.29</v>
      </c>
      <c r="H638" s="0" t="n">
        <v>80.31999999999999</v>
      </c>
      <c r="I638" s="0" t="n">
        <v>18.1</v>
      </c>
      <c r="J638" s="0" t="n">
        <v>59.86</v>
      </c>
      <c r="K638" s="0" t="n">
        <v>313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80</v>
      </c>
      <c r="X638" s="0" t="n">
        <v>15</v>
      </c>
      <c r="Y638" s="0" t="n">
        <v>13</v>
      </c>
      <c r="Z638" s="0" t="inlineStr">
        <is>
          <t>https://new.land.naver.com/complexes/7482?tab=detail&amp;rf=Y</t>
        </is>
      </c>
      <c r="AA638" s="0" t="inlineStr">
        <is>
          <t>충청북도 청주시 흥덕구 비하동 362</t>
        </is>
      </c>
      <c r="AB638" s="0" t="inlineStr">
        <is>
          <t>충청북도</t>
        </is>
      </c>
      <c r="AC638" s="0" t="inlineStr">
        <is>
          <t>청주시</t>
        </is>
      </c>
      <c r="AD638" s="0" t="inlineStr">
        <is>
          <t>흥덕구</t>
        </is>
      </c>
      <c r="AE638" s="0" t="inlineStr">
        <is>
          <t>비하동</t>
        </is>
      </c>
      <c r="AG638" s="0" t="inlineStr">
        <is>
          <t>충청북도 청주시 흥덕구 2순환로1050번길 24</t>
        </is>
      </c>
      <c r="AH638" s="0" t="n">
        <v>0</v>
      </c>
      <c r="AI638" s="0" t="n">
        <v>183</v>
      </c>
      <c r="AJ638" s="0" t="n">
        <v>19</v>
      </c>
      <c r="AK638" s="0" t="n">
        <v>485</v>
      </c>
      <c r="AL638" s="0" t="n">
        <v>1.01</v>
      </c>
    </row>
    <row r="639">
      <c r="A639" s="0" t="inlineStr">
        <is>
          <t>[비하동]</t>
        </is>
      </c>
      <c r="B639" s="0" t="n">
        <v>19182</v>
      </c>
      <c r="C639" s="0" t="n">
        <v>1</v>
      </c>
      <c r="D639" s="0" t="inlineStr">
        <is>
          <t>비하계룡리슈빌</t>
        </is>
      </c>
      <c r="E639" s="0" t="inlineStr">
        <is>
          <t>2006.09.</t>
        </is>
      </c>
      <c r="F639" s="0" t="n">
        <v>480</v>
      </c>
      <c r="G639" s="0" t="n">
        <v>35.32</v>
      </c>
      <c r="H639" s="0" t="n">
        <v>116.78</v>
      </c>
      <c r="I639" s="0" t="n">
        <v>25.7</v>
      </c>
      <c r="J639" s="0" t="n">
        <v>84.98999999999999</v>
      </c>
      <c r="K639" s="0" t="n">
        <v>150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116</v>
      </c>
      <c r="X639" s="0" t="n">
        <v>15</v>
      </c>
      <c r="Y639" s="0" t="n">
        <v>15</v>
      </c>
      <c r="Z639" s="0" t="inlineStr">
        <is>
          <t>https://new.land.naver.com/complexes/19182?tab=detail&amp;rf=Y</t>
        </is>
      </c>
      <c r="AA639" s="0" t="inlineStr">
        <is>
          <t>충청북도 청주시 흥덕구 비하동 125</t>
        </is>
      </c>
      <c r="AB639" s="0" t="inlineStr">
        <is>
          <t>충청북도</t>
        </is>
      </c>
      <c r="AC639" s="0" t="inlineStr">
        <is>
          <t>청주시</t>
        </is>
      </c>
      <c r="AD639" s="0" t="inlineStr">
        <is>
          <t>흥덕구</t>
        </is>
      </c>
      <c r="AE639" s="0" t="inlineStr">
        <is>
          <t>비하동</t>
        </is>
      </c>
      <c r="AG639" s="0" t="inlineStr">
        <is>
          <t>충청북도 청주시 흥덕구 가로수로1131번길 101</t>
        </is>
      </c>
      <c r="AH639" s="0" t="n">
        <v>0</v>
      </c>
      <c r="AI639" s="0" t="n">
        <v>201</v>
      </c>
      <c r="AJ639" s="0" t="n">
        <v>17</v>
      </c>
      <c r="AK639" s="0" t="n">
        <v>773</v>
      </c>
      <c r="AL639" s="0" t="n">
        <v>1.61</v>
      </c>
    </row>
    <row r="640">
      <c r="A640" s="0" t="inlineStr">
        <is>
          <t>[비하동]</t>
        </is>
      </c>
      <c r="B640" s="0" t="n">
        <v>19182</v>
      </c>
      <c r="C640" s="0" t="n">
        <v>2</v>
      </c>
      <c r="D640" s="0" t="inlineStr">
        <is>
          <t>비하계룡리슈빌</t>
        </is>
      </c>
      <c r="E640" s="0" t="inlineStr">
        <is>
          <t>2006.09.</t>
        </is>
      </c>
      <c r="F640" s="0" t="n">
        <v>480</v>
      </c>
      <c r="G640" s="0" t="n">
        <v>39.95</v>
      </c>
      <c r="H640" s="0" t="n">
        <v>132.09</v>
      </c>
      <c r="I640" s="0" t="n">
        <v>30.17</v>
      </c>
      <c r="J640" s="0" t="n">
        <v>99.75</v>
      </c>
      <c r="K640" s="0" t="n">
        <v>150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132</v>
      </c>
      <c r="X640" s="0" t="n">
        <v>15</v>
      </c>
      <c r="Y640" s="0" t="n">
        <v>15</v>
      </c>
      <c r="Z640" s="0" t="inlineStr">
        <is>
          <t>https://new.land.naver.com/complexes/19182?tab=detail&amp;rf=Y</t>
        </is>
      </c>
      <c r="AA640" s="0" t="inlineStr">
        <is>
          <t>충청북도 청주시 흥덕구 비하동 125</t>
        </is>
      </c>
      <c r="AB640" s="0" t="inlineStr">
        <is>
          <t>충청북도</t>
        </is>
      </c>
      <c r="AC640" s="0" t="inlineStr">
        <is>
          <t>청주시</t>
        </is>
      </c>
      <c r="AD640" s="0" t="inlineStr">
        <is>
          <t>흥덕구</t>
        </is>
      </c>
      <c r="AE640" s="0" t="inlineStr">
        <is>
          <t>비하동</t>
        </is>
      </c>
      <c r="AG640" s="0" t="inlineStr">
        <is>
          <t>충청북도 청주시 흥덕구 가로수로1131번길 101</t>
        </is>
      </c>
      <c r="AH640" s="0" t="n">
        <v>0</v>
      </c>
      <c r="AI640" s="0" t="n">
        <v>201</v>
      </c>
      <c r="AJ640" s="0" t="n">
        <v>17</v>
      </c>
      <c r="AK640" s="0" t="n">
        <v>773</v>
      </c>
      <c r="AL640" s="0" t="n">
        <v>1.61</v>
      </c>
    </row>
    <row r="641">
      <c r="A641" s="0" t="inlineStr">
        <is>
          <t>[비하동]</t>
        </is>
      </c>
      <c r="B641" s="0" t="n">
        <v>19182</v>
      </c>
      <c r="C641" s="0" t="n">
        <v>3</v>
      </c>
      <c r="D641" s="0" t="inlineStr">
        <is>
          <t>비하계룡리슈빌</t>
        </is>
      </c>
      <c r="E641" s="0" t="inlineStr">
        <is>
          <t>2006.09.</t>
        </is>
      </c>
      <c r="F641" s="0" t="n">
        <v>480</v>
      </c>
      <c r="G641" s="0" t="n">
        <v>49.93</v>
      </c>
      <c r="H641" s="0" t="n">
        <v>165.07</v>
      </c>
      <c r="I641" s="0" t="n">
        <v>40.49</v>
      </c>
      <c r="J641" s="0" t="n">
        <v>133.86</v>
      </c>
      <c r="K641" s="0" t="n">
        <v>120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165</v>
      </c>
      <c r="X641" s="0" t="n">
        <v>15</v>
      </c>
      <c r="Y641" s="0" t="n">
        <v>15</v>
      </c>
      <c r="Z641" s="0" t="inlineStr">
        <is>
          <t>https://new.land.naver.com/complexes/19182?tab=detail&amp;rf=Y</t>
        </is>
      </c>
      <c r="AA641" s="0" t="inlineStr">
        <is>
          <t>충청북도 청주시 흥덕구 비하동 125</t>
        </is>
      </c>
      <c r="AB641" s="0" t="inlineStr">
        <is>
          <t>충청북도</t>
        </is>
      </c>
      <c r="AC641" s="0" t="inlineStr">
        <is>
          <t>청주시</t>
        </is>
      </c>
      <c r="AD641" s="0" t="inlineStr">
        <is>
          <t>흥덕구</t>
        </is>
      </c>
      <c r="AE641" s="0" t="inlineStr">
        <is>
          <t>비하동</t>
        </is>
      </c>
      <c r="AG641" s="0" t="inlineStr">
        <is>
          <t>충청북도 청주시 흥덕구 가로수로1131번길 101</t>
        </is>
      </c>
      <c r="AH641" s="0" t="n">
        <v>0</v>
      </c>
      <c r="AI641" s="0" t="n">
        <v>201</v>
      </c>
      <c r="AJ641" s="0" t="n">
        <v>17</v>
      </c>
      <c r="AK641" s="0" t="n">
        <v>773</v>
      </c>
      <c r="AL641" s="0" t="n">
        <v>1.61</v>
      </c>
    </row>
    <row r="642">
      <c r="A642" s="0" t="inlineStr">
        <is>
          <t>[비하동]</t>
        </is>
      </c>
      <c r="B642" s="0" t="n">
        <v>19182</v>
      </c>
      <c r="C642" s="0" t="n">
        <v>4</v>
      </c>
      <c r="D642" s="0" t="inlineStr">
        <is>
          <t>비하계룡리슈빌</t>
        </is>
      </c>
      <c r="E642" s="0" t="inlineStr">
        <is>
          <t>2006.09.</t>
        </is>
      </c>
      <c r="F642" s="0" t="n">
        <v>480</v>
      </c>
      <c r="G642" s="0" t="n">
        <v>59.6</v>
      </c>
      <c r="H642" s="0" t="n">
        <v>197.03</v>
      </c>
      <c r="I642" s="0" t="n">
        <v>48.97</v>
      </c>
      <c r="J642" s="0" t="n">
        <v>161.91</v>
      </c>
      <c r="K642" s="0" t="n">
        <v>60</v>
      </c>
      <c r="T642" s="0" t="n">
        <v>4</v>
      </c>
      <c r="U642" s="0" t="n">
        <v>2</v>
      </c>
      <c r="V642" s="0" t="inlineStr">
        <is>
          <t>계단식</t>
        </is>
      </c>
      <c r="W642" s="0" t="n">
        <v>197</v>
      </c>
      <c r="X642" s="0" t="n">
        <v>15</v>
      </c>
      <c r="Y642" s="0" t="n">
        <v>15</v>
      </c>
      <c r="Z642" s="0" t="inlineStr">
        <is>
          <t>https://new.land.naver.com/complexes/19182?tab=detail&amp;rf=Y</t>
        </is>
      </c>
      <c r="AA642" s="0" t="inlineStr">
        <is>
          <t>충청북도 청주시 흥덕구 비하동 125</t>
        </is>
      </c>
      <c r="AB642" s="0" t="inlineStr">
        <is>
          <t>충청북도</t>
        </is>
      </c>
      <c r="AC642" s="0" t="inlineStr">
        <is>
          <t>청주시</t>
        </is>
      </c>
      <c r="AD642" s="0" t="inlineStr">
        <is>
          <t>흥덕구</t>
        </is>
      </c>
      <c r="AE642" s="0" t="inlineStr">
        <is>
          <t>비하동</t>
        </is>
      </c>
      <c r="AG642" s="0" t="inlineStr">
        <is>
          <t>충청북도 청주시 흥덕구 가로수로1131번길 101</t>
        </is>
      </c>
      <c r="AH642" s="0" t="n">
        <v>0</v>
      </c>
      <c r="AI642" s="0" t="n">
        <v>201</v>
      </c>
      <c r="AJ642" s="0" t="n">
        <v>17</v>
      </c>
      <c r="AK642" s="0" t="n">
        <v>773</v>
      </c>
      <c r="AL642" s="0" t="n">
        <v>1.61</v>
      </c>
    </row>
    <row r="643">
      <c r="A643" s="0" t="inlineStr">
        <is>
          <t>[비하동]</t>
        </is>
      </c>
      <c r="B643" s="0" t="n">
        <v>105199</v>
      </c>
      <c r="C643" s="0" t="n">
        <v>1</v>
      </c>
      <c r="D643" s="0" t="inlineStr">
        <is>
          <t>미림</t>
        </is>
      </c>
      <c r="E643" s="0" t="inlineStr">
        <is>
          <t>1990.07.</t>
        </is>
      </c>
      <c r="F643" s="0" t="n">
        <v>71</v>
      </c>
      <c r="G643" s="0" t="n">
        <v>19.26</v>
      </c>
      <c r="H643" s="0" t="n">
        <v>63.69</v>
      </c>
      <c r="I643" s="0" t="n">
        <v>13.25</v>
      </c>
      <c r="J643" s="0" t="n">
        <v>43.83</v>
      </c>
      <c r="K643" s="0" t="n">
        <v>23</v>
      </c>
      <c r="T643" s="0" t="n">
        <v>2</v>
      </c>
      <c r="U643" s="0" t="n">
        <v>1</v>
      </c>
      <c r="V643" s="0" t="inlineStr">
        <is>
          <t>복도식</t>
        </is>
      </c>
      <c r="W643" s="0" t="n">
        <v>63</v>
      </c>
      <c r="X643" s="0" t="n">
        <v>6</v>
      </c>
      <c r="Y643" s="0" t="n">
        <v>5</v>
      </c>
      <c r="Z643" s="0" t="inlineStr">
        <is>
          <t>https://new.land.naver.com/complexes/105199?tab=detail&amp;rf=Y</t>
        </is>
      </c>
      <c r="AA643" s="0" t="inlineStr">
        <is>
          <t>충청북도 청주시 흥덕구 비하동 260-45</t>
        </is>
      </c>
      <c r="AB643" s="0" t="inlineStr">
        <is>
          <t>충청북도</t>
        </is>
      </c>
      <c r="AC643" s="0" t="inlineStr">
        <is>
          <t>청주시</t>
        </is>
      </c>
      <c r="AD643" s="0" t="inlineStr">
        <is>
          <t>흥덕구</t>
        </is>
      </c>
      <c r="AE643" s="0" t="inlineStr">
        <is>
          <t>비하동</t>
        </is>
      </c>
      <c r="AG643" s="0" t="inlineStr">
        <is>
          <t>충청북도 청주시 흥덕구 청향로 10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[비하동]</t>
        </is>
      </c>
      <c r="B644" s="0" t="n">
        <v>105199</v>
      </c>
      <c r="C644" s="0" t="n">
        <v>2</v>
      </c>
      <c r="D644" s="0" t="inlineStr">
        <is>
          <t>미림</t>
        </is>
      </c>
      <c r="E644" s="0" t="inlineStr">
        <is>
          <t>1990.07.</t>
        </is>
      </c>
      <c r="F644" s="0" t="n">
        <v>71</v>
      </c>
      <c r="G644" s="0" t="n">
        <v>21.59</v>
      </c>
      <c r="H644" s="0" t="n">
        <v>71.40000000000001</v>
      </c>
      <c r="I644" s="0" t="n">
        <v>15.02</v>
      </c>
      <c r="J644" s="0" t="n">
        <v>49.68</v>
      </c>
      <c r="K644" s="0" t="n">
        <v>42</v>
      </c>
      <c r="T644" s="0" t="n">
        <v>2</v>
      </c>
      <c r="U644" s="0" t="n">
        <v>1</v>
      </c>
      <c r="V644" s="0" t="inlineStr">
        <is>
          <t>복도식</t>
        </is>
      </c>
      <c r="W644" s="0" t="n">
        <v>71</v>
      </c>
      <c r="X644" s="0" t="n">
        <v>6</v>
      </c>
      <c r="Y644" s="0" t="n">
        <v>5</v>
      </c>
      <c r="Z644" s="0" t="inlineStr">
        <is>
          <t>https://new.land.naver.com/complexes/105199?tab=detail&amp;rf=Y</t>
        </is>
      </c>
      <c r="AA644" s="0" t="inlineStr">
        <is>
          <t>충청북도 청주시 흥덕구 비하동 260-45</t>
        </is>
      </c>
      <c r="AB644" s="0" t="inlineStr">
        <is>
          <t>충청북도</t>
        </is>
      </c>
      <c r="AC644" s="0" t="inlineStr">
        <is>
          <t>청주시</t>
        </is>
      </c>
      <c r="AD644" s="0" t="inlineStr">
        <is>
          <t>흥덕구</t>
        </is>
      </c>
      <c r="AE644" s="0" t="inlineStr">
        <is>
          <t>비하동</t>
        </is>
      </c>
      <c r="AG644" s="0" t="inlineStr">
        <is>
          <t>충청북도 청주시 흥덕구 청향로 10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[비하동]</t>
        </is>
      </c>
      <c r="B645" s="0" t="n">
        <v>105199</v>
      </c>
      <c r="C645" s="0" t="n">
        <v>3</v>
      </c>
      <c r="D645" s="0" t="inlineStr">
        <is>
          <t>미림</t>
        </is>
      </c>
      <c r="E645" s="0" t="inlineStr">
        <is>
          <t>1990.07.</t>
        </is>
      </c>
      <c r="F645" s="0" t="n">
        <v>71</v>
      </c>
      <c r="G645" s="0" t="n">
        <v>25.43</v>
      </c>
      <c r="H645" s="0" t="n">
        <v>84.08</v>
      </c>
      <c r="I645" s="0" t="n">
        <v>18.14</v>
      </c>
      <c r="J645" s="0" t="n">
        <v>59.97</v>
      </c>
      <c r="K645" s="0" t="n">
        <v>6</v>
      </c>
      <c r="T645" s="0" t="n">
        <v>3</v>
      </c>
      <c r="U645" s="0" t="n">
        <v>2</v>
      </c>
      <c r="V645" s="0" t="inlineStr">
        <is>
          <t>복도식</t>
        </is>
      </c>
      <c r="W645" s="0" t="n">
        <v>84</v>
      </c>
      <c r="X645" s="0" t="n">
        <v>6</v>
      </c>
      <c r="Y645" s="0" t="n">
        <v>5</v>
      </c>
      <c r="Z645" s="0" t="inlineStr">
        <is>
          <t>https://new.land.naver.com/complexes/105199?tab=detail&amp;rf=Y</t>
        </is>
      </c>
      <c r="AA645" s="0" t="inlineStr">
        <is>
          <t>충청북도 청주시 흥덕구 비하동 260-45</t>
        </is>
      </c>
      <c r="AB645" s="0" t="inlineStr">
        <is>
          <t>충청북도</t>
        </is>
      </c>
      <c r="AC645" s="0" t="inlineStr">
        <is>
          <t>청주시</t>
        </is>
      </c>
      <c r="AD645" s="0" t="inlineStr">
        <is>
          <t>흥덕구</t>
        </is>
      </c>
      <c r="AE645" s="0" t="inlineStr">
        <is>
          <t>비하동</t>
        </is>
      </c>
      <c r="AG645" s="0" t="inlineStr">
        <is>
          <t>충청북도 청주시 흥덕구 청향로 10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[비하동]</t>
        </is>
      </c>
      <c r="B646" s="0" t="n">
        <v>7478</v>
      </c>
      <c r="C646" s="0" t="n">
        <v>1</v>
      </c>
      <c r="D646" s="0" t="inlineStr">
        <is>
          <t>효성1차</t>
        </is>
      </c>
      <c r="E646" s="0" t="inlineStr">
        <is>
          <t>1995.09.</t>
        </is>
      </c>
      <c r="F646" s="0" t="n">
        <v>894</v>
      </c>
      <c r="G646" s="0" t="n">
        <v>18.58</v>
      </c>
      <c r="H646" s="0" t="n">
        <v>61.44</v>
      </c>
      <c r="I646" s="0" t="n">
        <v>13.7</v>
      </c>
      <c r="J646" s="0" t="n">
        <v>45.32</v>
      </c>
      <c r="K646" s="0" t="n">
        <v>460</v>
      </c>
      <c r="T646" s="0" t="n">
        <v>2</v>
      </c>
      <c r="U646" s="0" t="n">
        <v>1</v>
      </c>
      <c r="V646" s="0" t="inlineStr">
        <is>
          <t>복도식</t>
        </is>
      </c>
      <c r="W646" s="0" t="n">
        <v>61</v>
      </c>
      <c r="X646" s="0" t="n">
        <v>15</v>
      </c>
      <c r="Y646" s="0" t="n">
        <v>7</v>
      </c>
      <c r="Z646" s="0" t="inlineStr">
        <is>
          <t>https://new.land.naver.com/complexes/7478?tab=detail&amp;rf=Y</t>
        </is>
      </c>
      <c r="AA646" s="0" t="inlineStr">
        <is>
          <t>충청북도 청주시 흥덕구 비하동 300</t>
        </is>
      </c>
      <c r="AB646" s="0" t="inlineStr">
        <is>
          <t>충청북도</t>
        </is>
      </c>
      <c r="AC646" s="0" t="inlineStr">
        <is>
          <t>청주시</t>
        </is>
      </c>
      <c r="AD646" s="0" t="inlineStr">
        <is>
          <t>흥덕구</t>
        </is>
      </c>
      <c r="AE646" s="0" t="inlineStr">
        <is>
          <t>비하동</t>
        </is>
      </c>
      <c r="AG646" s="0" t="inlineStr">
        <is>
          <t>충청북도 청주시 흥덕구 2순환로1050번길 13-14</t>
        </is>
      </c>
      <c r="AH646" s="0" t="n">
        <v>0</v>
      </c>
      <c r="AI646" s="0" t="n">
        <v>249</v>
      </c>
      <c r="AJ646" s="0" t="n">
        <v>22</v>
      </c>
      <c r="AK646" s="0" t="n">
        <v>566</v>
      </c>
      <c r="AL646" s="0" t="n">
        <v>0.63</v>
      </c>
    </row>
    <row r="647">
      <c r="A647" s="0" t="inlineStr">
        <is>
          <t>[비하동]</t>
        </is>
      </c>
      <c r="B647" s="0" t="n">
        <v>7478</v>
      </c>
      <c r="C647" s="0" t="n">
        <v>2</v>
      </c>
      <c r="D647" s="0" t="inlineStr">
        <is>
          <t>효성1차</t>
        </is>
      </c>
      <c r="E647" s="0" t="inlineStr">
        <is>
          <t>1995.09.</t>
        </is>
      </c>
      <c r="F647" s="0" t="n">
        <v>894</v>
      </c>
      <c r="G647" s="0" t="n">
        <v>24.56</v>
      </c>
      <c r="H647" s="0" t="n">
        <v>81.20999999999999</v>
      </c>
      <c r="I647" s="0" t="n">
        <v>18.11</v>
      </c>
      <c r="J647" s="0" t="n">
        <v>59.9</v>
      </c>
      <c r="K647" s="0" t="n">
        <v>434</v>
      </c>
      <c r="T647" s="0" t="n">
        <v>3</v>
      </c>
      <c r="U647" s="0" t="n">
        <v>1</v>
      </c>
      <c r="V647" s="0" t="inlineStr">
        <is>
          <t>복도식</t>
        </is>
      </c>
      <c r="W647" s="0" t="n">
        <v>81</v>
      </c>
      <c r="X647" s="0" t="n">
        <v>15</v>
      </c>
      <c r="Y647" s="0" t="n">
        <v>7</v>
      </c>
      <c r="Z647" s="0" t="inlineStr">
        <is>
          <t>https://new.land.naver.com/complexes/7478?tab=detail&amp;rf=Y</t>
        </is>
      </c>
      <c r="AA647" s="0" t="inlineStr">
        <is>
          <t>충청북도 청주시 흥덕구 비하동 300</t>
        </is>
      </c>
      <c r="AB647" s="0" t="inlineStr">
        <is>
          <t>충청북도</t>
        </is>
      </c>
      <c r="AC647" s="0" t="inlineStr">
        <is>
          <t>청주시</t>
        </is>
      </c>
      <c r="AD647" s="0" t="inlineStr">
        <is>
          <t>흥덕구</t>
        </is>
      </c>
      <c r="AE647" s="0" t="inlineStr">
        <is>
          <t>비하동</t>
        </is>
      </c>
      <c r="AG647" s="0" t="inlineStr">
        <is>
          <t>충청북도 청주시 흥덕구 2순환로1050번길 13-14</t>
        </is>
      </c>
      <c r="AH647" s="0" t="n">
        <v>0</v>
      </c>
      <c r="AI647" s="0" t="n">
        <v>249</v>
      </c>
      <c r="AJ647" s="0" t="n">
        <v>22</v>
      </c>
      <c r="AK647" s="0" t="n">
        <v>566</v>
      </c>
      <c r="AL647" s="0" t="n">
        <v>0.63</v>
      </c>
    </row>
    <row r="648">
      <c r="A648" s="0" t="inlineStr">
        <is>
          <t>[비하동]</t>
        </is>
      </c>
      <c r="B648" s="0" t="n">
        <v>107146</v>
      </c>
      <c r="C648" s="0" t="n">
        <v>1</v>
      </c>
      <c r="D648" s="0" t="inlineStr">
        <is>
          <t>송정</t>
        </is>
      </c>
      <c r="E648" s="0" t="inlineStr">
        <is>
          <t>2002.05.</t>
        </is>
      </c>
      <c r="F648" s="0" t="n">
        <v>27</v>
      </c>
      <c r="G648" s="0" t="n">
        <v>31.47</v>
      </c>
      <c r="H648" s="0" t="n">
        <v>104.04</v>
      </c>
      <c r="I648" s="0" t="n">
        <v>25.61</v>
      </c>
      <c r="J648" s="0" t="n">
        <v>84.69</v>
      </c>
      <c r="K648" s="0" t="n">
        <v>10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104</v>
      </c>
      <c r="X648" s="0" t="n">
        <v>7</v>
      </c>
      <c r="Y648" s="0" t="n">
        <v>5</v>
      </c>
      <c r="Z648" s="0" t="inlineStr">
        <is>
          <t>https://new.land.naver.com/complexes/107146?tab=detail&amp;rf=Y</t>
        </is>
      </c>
      <c r="AA648" s="0" t="inlineStr">
        <is>
          <t>충청북도 청주시 흥덕구 비하동 161</t>
        </is>
      </c>
      <c r="AB648" s="0" t="inlineStr">
        <is>
          <t>충청북도</t>
        </is>
      </c>
      <c r="AC648" s="0" t="inlineStr">
        <is>
          <t>청주시</t>
        </is>
      </c>
      <c r="AD648" s="0" t="inlineStr">
        <is>
          <t>흥덕구</t>
        </is>
      </c>
      <c r="AE648" s="0" t="inlineStr">
        <is>
          <t>비하동</t>
        </is>
      </c>
      <c r="AG648" s="0" t="inlineStr">
        <is>
          <t>충청북도 청주시 흥덕구 비하로57번길 38-7</t>
        </is>
      </c>
      <c r="AH648" s="0" t="n">
        <v>0</v>
      </c>
      <c r="AI648" s="0" t="n">
        <v>0</v>
      </c>
      <c r="AJ648" s="0" t="n">
        <v>0</v>
      </c>
      <c r="AK648" s="0" t="n">
        <v>27</v>
      </c>
      <c r="AL648" s="0" t="n">
        <v>1</v>
      </c>
    </row>
    <row r="649">
      <c r="A649" s="0" t="inlineStr">
        <is>
          <t>[비하동]</t>
        </is>
      </c>
      <c r="B649" s="0" t="n">
        <v>107146</v>
      </c>
      <c r="C649" s="0" t="n">
        <v>2</v>
      </c>
      <c r="D649" s="0" t="inlineStr">
        <is>
          <t>송정</t>
        </is>
      </c>
      <c r="E649" s="0" t="inlineStr">
        <is>
          <t>2002.05.</t>
        </is>
      </c>
      <c r="F649" s="0" t="n">
        <v>27</v>
      </c>
      <c r="G649" s="0" t="n">
        <v>31.5</v>
      </c>
      <c r="H649" s="0" t="n">
        <v>104.14</v>
      </c>
      <c r="I649" s="0" t="n">
        <v>25.64</v>
      </c>
      <c r="J649" s="0" t="n">
        <v>84.79000000000001</v>
      </c>
      <c r="K649" s="0" t="n">
        <v>5</v>
      </c>
      <c r="T649" s="0" t="n">
        <v>3</v>
      </c>
      <c r="U649" s="0" t="n">
        <v>2</v>
      </c>
      <c r="V649" s="0" t="inlineStr">
        <is>
          <t>복도식</t>
        </is>
      </c>
      <c r="W649" s="0" t="n">
        <v>104</v>
      </c>
      <c r="X649" s="0" t="n">
        <v>7</v>
      </c>
      <c r="Y649" s="0" t="n">
        <v>5</v>
      </c>
      <c r="Z649" s="0" t="inlineStr">
        <is>
          <t>https://new.land.naver.com/complexes/107146?tab=detail&amp;rf=Y</t>
        </is>
      </c>
      <c r="AA649" s="0" t="inlineStr">
        <is>
          <t>충청북도 청주시 흥덕구 비하동 161</t>
        </is>
      </c>
      <c r="AB649" s="0" t="inlineStr">
        <is>
          <t>충청북도</t>
        </is>
      </c>
      <c r="AC649" s="0" t="inlineStr">
        <is>
          <t>청주시</t>
        </is>
      </c>
      <c r="AD649" s="0" t="inlineStr">
        <is>
          <t>흥덕구</t>
        </is>
      </c>
      <c r="AE649" s="0" t="inlineStr">
        <is>
          <t>비하동</t>
        </is>
      </c>
      <c r="AG649" s="0" t="inlineStr">
        <is>
          <t>충청북도 청주시 흥덕구 비하로57번길 38-7</t>
        </is>
      </c>
      <c r="AH649" s="0" t="n">
        <v>0</v>
      </c>
      <c r="AI649" s="0" t="n">
        <v>0</v>
      </c>
      <c r="AJ649" s="0" t="n">
        <v>0</v>
      </c>
      <c r="AK649" s="0" t="n">
        <v>27</v>
      </c>
      <c r="AL649" s="0" t="n">
        <v>1</v>
      </c>
    </row>
    <row r="650">
      <c r="A650" s="0" t="inlineStr">
        <is>
          <t>[비하동]</t>
        </is>
      </c>
      <c r="B650" s="0" t="n">
        <v>107146</v>
      </c>
      <c r="C650" s="0" t="n">
        <v>3</v>
      </c>
      <c r="D650" s="0" t="inlineStr">
        <is>
          <t>송정</t>
        </is>
      </c>
      <c r="E650" s="0" t="inlineStr">
        <is>
          <t>2002.05.</t>
        </is>
      </c>
      <c r="F650" s="0" t="n">
        <v>27</v>
      </c>
      <c r="G650" s="0" t="n">
        <v>39.9</v>
      </c>
      <c r="H650" s="0" t="n">
        <v>131.91</v>
      </c>
      <c r="I650" s="0" t="n">
        <v>33.31</v>
      </c>
      <c r="J650" s="0" t="n">
        <v>110.14</v>
      </c>
      <c r="K650" s="0" t="n">
        <v>12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131</v>
      </c>
      <c r="X650" s="0" t="n">
        <v>7</v>
      </c>
      <c r="Y650" s="0" t="n">
        <v>5</v>
      </c>
      <c r="Z650" s="0" t="inlineStr">
        <is>
          <t>https://new.land.naver.com/complexes/107146?tab=detail&amp;rf=Y</t>
        </is>
      </c>
      <c r="AA650" s="0" t="inlineStr">
        <is>
          <t>충청북도 청주시 흥덕구 비하동 161</t>
        </is>
      </c>
      <c r="AB650" s="0" t="inlineStr">
        <is>
          <t>충청북도</t>
        </is>
      </c>
      <c r="AC650" s="0" t="inlineStr">
        <is>
          <t>청주시</t>
        </is>
      </c>
      <c r="AD650" s="0" t="inlineStr">
        <is>
          <t>흥덕구</t>
        </is>
      </c>
      <c r="AE650" s="0" t="inlineStr">
        <is>
          <t>비하동</t>
        </is>
      </c>
      <c r="AG650" s="0" t="inlineStr">
        <is>
          <t>충청북도 청주시 흥덕구 비하로57번길 38-7</t>
        </is>
      </c>
      <c r="AH650" s="0" t="n">
        <v>0</v>
      </c>
      <c r="AI650" s="0" t="n">
        <v>0</v>
      </c>
      <c r="AJ650" s="0" t="n">
        <v>0</v>
      </c>
      <c r="AK650" s="0" t="n">
        <v>27</v>
      </c>
      <c r="AL650" s="0" t="n">
        <v>1</v>
      </c>
    </row>
    <row r="651">
      <c r="A651" s="0" t="inlineStr">
        <is>
          <t>[비하동]</t>
        </is>
      </c>
      <c r="B651" s="0" t="n">
        <v>26494</v>
      </c>
      <c r="C651" s="0" t="n">
        <v>1</v>
      </c>
      <c r="D651" s="0" t="inlineStr">
        <is>
          <t>대주피오레2차</t>
        </is>
      </c>
      <c r="E651" s="0" t="inlineStr">
        <is>
          <t>2008.09.</t>
        </is>
      </c>
      <c r="F651" s="0" t="n">
        <v>189</v>
      </c>
      <c r="G651" s="0" t="n">
        <v>34.06</v>
      </c>
      <c r="H651" s="0" t="n">
        <v>112.61</v>
      </c>
      <c r="I651" s="0" t="n">
        <v>25.69</v>
      </c>
      <c r="J651" s="0" t="n">
        <v>84.95</v>
      </c>
      <c r="K651" s="0" t="n">
        <v>159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112A</t>
        </is>
      </c>
      <c r="X651" s="0" t="n">
        <v>15</v>
      </c>
      <c r="Y651" s="0" t="n">
        <v>7</v>
      </c>
      <c r="Z651" s="0" t="inlineStr">
        <is>
          <t>https://new.land.naver.com/complexes/26494?tab=detail&amp;rf=Y</t>
        </is>
      </c>
      <c r="AA651" s="0" t="inlineStr">
        <is>
          <t>충청북도 청주시 흥덕구 비하동 367</t>
        </is>
      </c>
      <c r="AB651" s="0" t="inlineStr">
        <is>
          <t>충청북도</t>
        </is>
      </c>
      <c r="AC651" s="0" t="inlineStr">
        <is>
          <t>청주시</t>
        </is>
      </c>
      <c r="AD651" s="0" t="inlineStr">
        <is>
          <t>흥덕구</t>
        </is>
      </c>
      <c r="AE651" s="0" t="inlineStr">
        <is>
          <t>비하동</t>
        </is>
      </c>
      <c r="AG651" s="0" t="inlineStr">
        <is>
          <t>충청북도 청주시 흥덕구 2순환로1050번길 58</t>
        </is>
      </c>
      <c r="AH651" s="0" t="n">
        <v>0</v>
      </c>
      <c r="AI651" s="0" t="n">
        <v>213</v>
      </c>
      <c r="AJ651" s="0" t="n">
        <v>23</v>
      </c>
      <c r="AK651" s="0" t="n">
        <v>208</v>
      </c>
      <c r="AL651" s="0" t="n">
        <v>1.1</v>
      </c>
    </row>
    <row r="652">
      <c r="A652" s="0" t="inlineStr">
        <is>
          <t>[비하동]</t>
        </is>
      </c>
      <c r="B652" s="0" t="n">
        <v>26494</v>
      </c>
      <c r="C652" s="0" t="n">
        <v>2</v>
      </c>
      <c r="D652" s="0" t="inlineStr">
        <is>
          <t>대주피오레2차</t>
        </is>
      </c>
      <c r="E652" s="0" t="inlineStr">
        <is>
          <t>2008.09.</t>
        </is>
      </c>
      <c r="F652" s="0" t="n">
        <v>189</v>
      </c>
      <c r="G652" s="0" t="n">
        <v>34.15</v>
      </c>
      <c r="H652" s="0" t="n">
        <v>112.91</v>
      </c>
      <c r="I652" s="0" t="n">
        <v>25.7</v>
      </c>
      <c r="J652" s="0" t="n">
        <v>84.97</v>
      </c>
      <c r="K652" s="0" t="n">
        <v>30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112B</t>
        </is>
      </c>
      <c r="X652" s="0" t="n">
        <v>15</v>
      </c>
      <c r="Y652" s="0" t="n">
        <v>7</v>
      </c>
      <c r="Z652" s="0" t="inlineStr">
        <is>
          <t>https://new.land.naver.com/complexes/26494?tab=detail&amp;rf=Y</t>
        </is>
      </c>
      <c r="AA652" s="0" t="inlineStr">
        <is>
          <t>충청북도 청주시 흥덕구 비하동 367</t>
        </is>
      </c>
      <c r="AB652" s="0" t="inlineStr">
        <is>
          <t>충청북도</t>
        </is>
      </c>
      <c r="AC652" s="0" t="inlineStr">
        <is>
          <t>청주시</t>
        </is>
      </c>
      <c r="AD652" s="0" t="inlineStr">
        <is>
          <t>흥덕구</t>
        </is>
      </c>
      <c r="AE652" s="0" t="inlineStr">
        <is>
          <t>비하동</t>
        </is>
      </c>
      <c r="AG652" s="0" t="inlineStr">
        <is>
          <t>충청북도 청주시 흥덕구 2순환로1050번길 58</t>
        </is>
      </c>
      <c r="AH652" s="0" t="n">
        <v>0</v>
      </c>
      <c r="AI652" s="0" t="n">
        <v>213</v>
      </c>
      <c r="AJ652" s="0" t="n">
        <v>23</v>
      </c>
      <c r="AK652" s="0" t="n">
        <v>208</v>
      </c>
      <c r="AL652" s="0" t="n">
        <v>1.1</v>
      </c>
    </row>
    <row r="653">
      <c r="A653" s="0" t="inlineStr">
        <is>
          <t>[비하동]</t>
        </is>
      </c>
      <c r="B653" s="0" t="n">
        <v>111882</v>
      </c>
      <c r="C653" s="0" t="n">
        <v>1</v>
      </c>
      <c r="D653" s="0" t="inlineStr">
        <is>
          <t>청주비하대광로제비앙2차</t>
        </is>
      </c>
      <c r="E653" s="0" t="inlineStr">
        <is>
          <t>2018.02.</t>
        </is>
      </c>
      <c r="F653" s="0" t="n">
        <v>110</v>
      </c>
      <c r="G653" s="0" t="n">
        <v>33.7</v>
      </c>
      <c r="H653" s="0" t="n">
        <v>111.43</v>
      </c>
      <c r="I653" s="0" t="n">
        <v>25.7</v>
      </c>
      <c r="J653" s="0" t="n">
        <v>84.98</v>
      </c>
      <c r="K653" s="0" t="n">
        <v>90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111A</t>
        </is>
      </c>
      <c r="X653" s="0" t="n">
        <v>24</v>
      </c>
      <c r="Y653" s="0" t="n">
        <v>21</v>
      </c>
      <c r="Z653" s="0" t="inlineStr">
        <is>
          <t>https://new.land.naver.com/complexes/111882?tab=detail&amp;rf=Y</t>
        </is>
      </c>
      <c r="AA653" s="0" t="inlineStr">
        <is>
          <t>충청북도 청주시 흥덕구 비하동 819</t>
        </is>
      </c>
      <c r="AB653" s="0" t="inlineStr">
        <is>
          <t>충청북도</t>
        </is>
      </c>
      <c r="AC653" s="0" t="inlineStr">
        <is>
          <t>청주시</t>
        </is>
      </c>
      <c r="AD653" s="0" t="inlineStr">
        <is>
          <t>흥덕구</t>
        </is>
      </c>
      <c r="AE653" s="0" t="inlineStr">
        <is>
          <t>비하동</t>
        </is>
      </c>
      <c r="AG653" s="0" t="inlineStr">
        <is>
          <t>충청북도 청주시 흥덕구 가로수로1131번길 12</t>
        </is>
      </c>
      <c r="AH653" s="0" t="n">
        <v>0</v>
      </c>
      <c r="AI653" s="0" t="n">
        <v>229</v>
      </c>
      <c r="AJ653" s="0" t="n">
        <v>17</v>
      </c>
      <c r="AK653" s="0" t="n">
        <v>145</v>
      </c>
      <c r="AL653" s="0" t="n">
        <v>1.32</v>
      </c>
    </row>
    <row r="654">
      <c r="A654" s="0" t="inlineStr">
        <is>
          <t>[비하동]</t>
        </is>
      </c>
      <c r="B654" s="0" t="n">
        <v>111882</v>
      </c>
      <c r="C654" s="0" t="n">
        <v>2</v>
      </c>
      <c r="D654" s="0" t="inlineStr">
        <is>
          <t>청주비하대광로제비앙2차</t>
        </is>
      </c>
      <c r="E654" s="0" t="inlineStr">
        <is>
          <t>2018.02.</t>
        </is>
      </c>
      <c r="F654" s="0" t="n">
        <v>110</v>
      </c>
      <c r="G654" s="0" t="n">
        <v>33.79</v>
      </c>
      <c r="H654" s="0" t="n">
        <v>111.73</v>
      </c>
      <c r="I654" s="0" t="n">
        <v>25.69</v>
      </c>
      <c r="J654" s="0" t="n">
        <v>84.94</v>
      </c>
      <c r="K654" s="0" t="n">
        <v>20</v>
      </c>
      <c r="T654" s="0" t="n">
        <v>4</v>
      </c>
      <c r="U654" s="0" t="n">
        <v>2</v>
      </c>
      <c r="V654" s="0" t="inlineStr">
        <is>
          <t>계단식</t>
        </is>
      </c>
      <c r="W654" s="0" t="inlineStr">
        <is>
          <t>111B</t>
        </is>
      </c>
      <c r="X654" s="0" t="n">
        <v>24</v>
      </c>
      <c r="Y654" s="0" t="n">
        <v>21</v>
      </c>
      <c r="Z654" s="0" t="inlineStr">
        <is>
          <t>https://new.land.naver.com/complexes/111882?tab=detail&amp;rf=Y</t>
        </is>
      </c>
      <c r="AA654" s="0" t="inlineStr">
        <is>
          <t>충청북도 청주시 흥덕구 비하동 819</t>
        </is>
      </c>
      <c r="AB654" s="0" t="inlineStr">
        <is>
          <t>충청북도</t>
        </is>
      </c>
      <c r="AC654" s="0" t="inlineStr">
        <is>
          <t>청주시</t>
        </is>
      </c>
      <c r="AD654" s="0" t="inlineStr">
        <is>
          <t>흥덕구</t>
        </is>
      </c>
      <c r="AE654" s="0" t="inlineStr">
        <is>
          <t>비하동</t>
        </is>
      </c>
      <c r="AG654" s="0" t="inlineStr">
        <is>
          <t>충청북도 청주시 흥덕구 가로수로1131번길 12</t>
        </is>
      </c>
      <c r="AH654" s="0" t="n">
        <v>0</v>
      </c>
      <c r="AI654" s="0" t="n">
        <v>229</v>
      </c>
      <c r="AJ654" s="0" t="n">
        <v>17</v>
      </c>
      <c r="AK654" s="0" t="n">
        <v>145</v>
      </c>
      <c r="AL654" s="0" t="n">
        <v>1.32</v>
      </c>
    </row>
    <row r="655">
      <c r="A655" s="0" t="inlineStr">
        <is>
          <t>[송절동]</t>
        </is>
      </c>
      <c r="B655" s="0" t="n">
        <v>115428</v>
      </c>
      <c r="C655" s="0" t="n">
        <v>1</v>
      </c>
      <c r="D655" s="0" t="inlineStr">
        <is>
          <t>청주테크노폴리스푸르지오</t>
        </is>
      </c>
      <c r="E655" s="0" t="inlineStr">
        <is>
          <t>2018.11.</t>
        </is>
      </c>
      <c r="F655" s="0" t="n">
        <v>1034</v>
      </c>
      <c r="G655" s="0" t="n">
        <v>29.79</v>
      </c>
      <c r="H655" s="0" t="n">
        <v>98.5</v>
      </c>
      <c r="I655" s="0" t="n">
        <v>22.36</v>
      </c>
      <c r="J655" s="0" t="n">
        <v>73.92</v>
      </c>
      <c r="K655" s="0" t="n">
        <v>129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98</v>
      </c>
      <c r="X655" s="0" t="n">
        <v>25</v>
      </c>
      <c r="Y655" s="0" t="n">
        <v>18</v>
      </c>
      <c r="Z655" s="0" t="inlineStr">
        <is>
          <t>https://new.land.naver.com/complexes/115428?tab=detail&amp;rf=Y</t>
        </is>
      </c>
      <c r="AA655" s="0" t="inlineStr">
        <is>
          <t>충청북도 청주시 흥덕구 송절동 851</t>
        </is>
      </c>
      <c r="AB655" s="0" t="inlineStr">
        <is>
          <t>충청북도</t>
        </is>
      </c>
      <c r="AC655" s="0" t="inlineStr">
        <is>
          <t>청주시</t>
        </is>
      </c>
      <c r="AD655" s="0" t="inlineStr">
        <is>
          <t>흥덕구</t>
        </is>
      </c>
      <c r="AE655" s="0" t="inlineStr">
        <is>
          <t>송절동</t>
        </is>
      </c>
      <c r="AG655" s="0" t="inlineStr">
        <is>
          <t>충청북도 청주시 흥덕구 송화로214번길 7</t>
        </is>
      </c>
      <c r="AH655" s="0" t="n">
        <v>0</v>
      </c>
      <c r="AI655" s="0" t="n">
        <v>197</v>
      </c>
      <c r="AJ655" s="0" t="n">
        <v>16</v>
      </c>
      <c r="AK655" s="0" t="n">
        <v>1554</v>
      </c>
      <c r="AL655" s="0" t="n">
        <v>1.5</v>
      </c>
    </row>
    <row r="656">
      <c r="A656" s="0" t="inlineStr">
        <is>
          <t>[송절동]</t>
        </is>
      </c>
      <c r="B656" s="0" t="n">
        <v>115428</v>
      </c>
      <c r="C656" s="0" t="n">
        <v>2</v>
      </c>
      <c r="D656" s="0" t="inlineStr">
        <is>
          <t>청주테크노폴리스푸르지오</t>
        </is>
      </c>
      <c r="E656" s="0" t="inlineStr">
        <is>
          <t>2018.11.</t>
        </is>
      </c>
      <c r="F656" s="0" t="n">
        <v>1034</v>
      </c>
      <c r="G656" s="0" t="n">
        <v>34.04</v>
      </c>
      <c r="H656" s="0" t="n">
        <v>112.53</v>
      </c>
      <c r="I656" s="0" t="n">
        <v>25.7</v>
      </c>
      <c r="J656" s="0" t="n">
        <v>84.98999999999999</v>
      </c>
      <c r="K656" s="0" t="n">
        <v>616</v>
      </c>
      <c r="T656" s="0" t="n">
        <v>4</v>
      </c>
      <c r="U656" s="0" t="n">
        <v>2</v>
      </c>
      <c r="V656" s="0" t="inlineStr">
        <is>
          <t>계단식</t>
        </is>
      </c>
      <c r="W656" s="0" t="inlineStr">
        <is>
          <t>112A</t>
        </is>
      </c>
      <c r="X656" s="0" t="n">
        <v>25</v>
      </c>
      <c r="Y656" s="0" t="n">
        <v>18</v>
      </c>
      <c r="Z656" s="0" t="inlineStr">
        <is>
          <t>https://new.land.naver.com/complexes/115428?tab=detail&amp;rf=Y</t>
        </is>
      </c>
      <c r="AA656" s="0" t="inlineStr">
        <is>
          <t>충청북도 청주시 흥덕구 송절동 851</t>
        </is>
      </c>
      <c r="AB656" s="0" t="inlineStr">
        <is>
          <t>충청북도</t>
        </is>
      </c>
      <c r="AC656" s="0" t="inlineStr">
        <is>
          <t>청주시</t>
        </is>
      </c>
      <c r="AD656" s="0" t="inlineStr">
        <is>
          <t>흥덕구</t>
        </is>
      </c>
      <c r="AE656" s="0" t="inlineStr">
        <is>
          <t>송절동</t>
        </is>
      </c>
      <c r="AG656" s="0" t="inlineStr">
        <is>
          <t>충청북도 청주시 흥덕구 송화로214번길 7</t>
        </is>
      </c>
      <c r="AH656" s="0" t="n">
        <v>0</v>
      </c>
      <c r="AI656" s="0" t="n">
        <v>197</v>
      </c>
      <c r="AJ656" s="0" t="n">
        <v>16</v>
      </c>
      <c r="AK656" s="0" t="n">
        <v>1554</v>
      </c>
      <c r="AL656" s="0" t="n">
        <v>1.5</v>
      </c>
    </row>
    <row r="657">
      <c r="A657" s="0" t="inlineStr">
        <is>
          <t>[송절동]</t>
        </is>
      </c>
      <c r="B657" s="0" t="n">
        <v>115428</v>
      </c>
      <c r="C657" s="0" t="n">
        <v>3</v>
      </c>
      <c r="D657" s="0" t="inlineStr">
        <is>
          <t>청주테크노폴리스푸르지오</t>
        </is>
      </c>
      <c r="E657" s="0" t="inlineStr">
        <is>
          <t>2018.11.</t>
        </is>
      </c>
      <c r="F657" s="0" t="n">
        <v>1034</v>
      </c>
      <c r="G657" s="0" t="n">
        <v>34.08</v>
      </c>
      <c r="H657" s="0" t="n">
        <v>112.67</v>
      </c>
      <c r="I657" s="0" t="n">
        <v>25.7</v>
      </c>
      <c r="J657" s="0" t="n">
        <v>84.98999999999999</v>
      </c>
      <c r="K657" s="0" t="n">
        <v>145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112B</t>
        </is>
      </c>
      <c r="X657" s="0" t="n">
        <v>25</v>
      </c>
      <c r="Y657" s="0" t="n">
        <v>18</v>
      </c>
      <c r="Z657" s="0" t="inlineStr">
        <is>
          <t>https://new.land.naver.com/complexes/115428?tab=detail&amp;rf=Y</t>
        </is>
      </c>
      <c r="AA657" s="0" t="inlineStr">
        <is>
          <t>충청북도 청주시 흥덕구 송절동 851</t>
        </is>
      </c>
      <c r="AB657" s="0" t="inlineStr">
        <is>
          <t>충청북도</t>
        </is>
      </c>
      <c r="AC657" s="0" t="inlineStr">
        <is>
          <t>청주시</t>
        </is>
      </c>
      <c r="AD657" s="0" t="inlineStr">
        <is>
          <t>흥덕구</t>
        </is>
      </c>
      <c r="AE657" s="0" t="inlineStr">
        <is>
          <t>송절동</t>
        </is>
      </c>
      <c r="AG657" s="0" t="inlineStr">
        <is>
          <t>충청북도 청주시 흥덕구 송화로214번길 7</t>
        </is>
      </c>
      <c r="AH657" s="0" t="n">
        <v>0</v>
      </c>
      <c r="AI657" s="0" t="n">
        <v>197</v>
      </c>
      <c r="AJ657" s="0" t="n">
        <v>16</v>
      </c>
      <c r="AK657" s="0" t="n">
        <v>1554</v>
      </c>
      <c r="AL657" s="0" t="n">
        <v>1.5</v>
      </c>
    </row>
    <row r="658">
      <c r="A658" s="0" t="inlineStr">
        <is>
          <t>[송절동]</t>
        </is>
      </c>
      <c r="B658" s="0" t="n">
        <v>115428</v>
      </c>
      <c r="C658" s="0" t="n">
        <v>4</v>
      </c>
      <c r="D658" s="0" t="inlineStr">
        <is>
          <t>청주테크노폴리스푸르지오</t>
        </is>
      </c>
      <c r="E658" s="0" t="inlineStr">
        <is>
          <t>2018.11.</t>
        </is>
      </c>
      <c r="F658" s="0" t="n">
        <v>1034</v>
      </c>
      <c r="G658" s="0" t="n">
        <v>34.06</v>
      </c>
      <c r="H658" s="0" t="n">
        <v>112.61</v>
      </c>
      <c r="I658" s="0" t="n">
        <v>25.7</v>
      </c>
      <c r="J658" s="0" t="n">
        <v>84.98999999999999</v>
      </c>
      <c r="K658" s="0" t="n">
        <v>144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112C</t>
        </is>
      </c>
      <c r="X658" s="0" t="n">
        <v>25</v>
      </c>
      <c r="Y658" s="0" t="n">
        <v>18</v>
      </c>
      <c r="Z658" s="0" t="inlineStr">
        <is>
          <t>https://new.land.naver.com/complexes/115428?tab=detail&amp;rf=Y</t>
        </is>
      </c>
      <c r="AA658" s="0" t="inlineStr">
        <is>
          <t>충청북도 청주시 흥덕구 송절동 851</t>
        </is>
      </c>
      <c r="AB658" s="0" t="inlineStr">
        <is>
          <t>충청북도</t>
        </is>
      </c>
      <c r="AC658" s="0" t="inlineStr">
        <is>
          <t>청주시</t>
        </is>
      </c>
      <c r="AD658" s="0" t="inlineStr">
        <is>
          <t>흥덕구</t>
        </is>
      </c>
      <c r="AE658" s="0" t="inlineStr">
        <is>
          <t>송절동</t>
        </is>
      </c>
      <c r="AG658" s="0" t="inlineStr">
        <is>
          <t>충청북도 청주시 흥덕구 송화로214번길 7</t>
        </is>
      </c>
      <c r="AH658" s="0" t="n">
        <v>0</v>
      </c>
      <c r="AI658" s="0" t="n">
        <v>197</v>
      </c>
      <c r="AJ658" s="0" t="n">
        <v>16</v>
      </c>
      <c r="AK658" s="0" t="n">
        <v>1554</v>
      </c>
      <c r="AL658" s="0" t="n">
        <v>1.5</v>
      </c>
    </row>
    <row r="659">
      <c r="A659" s="0" t="inlineStr">
        <is>
          <t>[송절동]</t>
        </is>
      </c>
      <c r="B659" s="0" t="n">
        <v>119895</v>
      </c>
      <c r="C659" s="0" t="n">
        <v>1</v>
      </c>
      <c r="D659" s="0" t="inlineStr">
        <is>
          <t>청주테크노폴리스지웰</t>
        </is>
      </c>
      <c r="E659" s="0" t="inlineStr">
        <is>
          <t>2020.02.</t>
        </is>
      </c>
      <c r="F659" s="0" t="n">
        <v>336</v>
      </c>
      <c r="G659" s="0" t="n">
        <v>33.5</v>
      </c>
      <c r="H659" s="0" t="n">
        <v>110.77</v>
      </c>
      <c r="I659" s="0" t="n">
        <v>25.7</v>
      </c>
      <c r="J659" s="0" t="n">
        <v>84.95999999999999</v>
      </c>
      <c r="K659" s="0" t="n">
        <v>192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110A</t>
        </is>
      </c>
      <c r="X659" s="0" t="n">
        <v>25</v>
      </c>
      <c r="Y659" s="0" t="n">
        <v>20</v>
      </c>
      <c r="Z659" s="0" t="inlineStr">
        <is>
          <t>https://new.land.naver.com/complexes/119895?tab=detail&amp;rf=Y</t>
        </is>
      </c>
      <c r="AA659" s="0" t="inlineStr">
        <is>
          <t>충청북도 청주시 흥덕구 송절동 690</t>
        </is>
      </c>
      <c r="AB659" s="0" t="inlineStr">
        <is>
          <t>충청북도</t>
        </is>
      </c>
      <c r="AC659" s="0" t="inlineStr">
        <is>
          <t>청주시</t>
        </is>
      </c>
      <c r="AD659" s="0" t="inlineStr">
        <is>
          <t>흥덕구</t>
        </is>
      </c>
      <c r="AE659" s="0" t="inlineStr">
        <is>
          <t>송절동</t>
        </is>
      </c>
      <c r="AG659" s="0" t="inlineStr">
        <is>
          <t>충청북도 청주시 흥덕구 송화로108번길 42</t>
        </is>
      </c>
      <c r="AH659" s="0" t="n">
        <v>0</v>
      </c>
      <c r="AI659" s="0" t="n">
        <v>0</v>
      </c>
      <c r="AJ659" s="0" t="n">
        <v>0</v>
      </c>
      <c r="AK659" s="0" t="n">
        <v>504</v>
      </c>
      <c r="AL659" s="0" t="n">
        <v>1.5</v>
      </c>
    </row>
    <row r="660">
      <c r="A660" s="0" t="inlineStr">
        <is>
          <t>[송절동]</t>
        </is>
      </c>
      <c r="B660" s="0" t="n">
        <v>119895</v>
      </c>
      <c r="C660" s="0" t="n">
        <v>2</v>
      </c>
      <c r="D660" s="0" t="inlineStr">
        <is>
          <t>청주테크노폴리스지웰</t>
        </is>
      </c>
      <c r="E660" s="0" t="inlineStr">
        <is>
          <t>2020.02.</t>
        </is>
      </c>
      <c r="F660" s="0" t="n">
        <v>336</v>
      </c>
      <c r="G660" s="0" t="n">
        <v>33.57</v>
      </c>
      <c r="H660" s="0" t="n">
        <v>110.99</v>
      </c>
      <c r="I660" s="0" t="n">
        <v>25.7</v>
      </c>
      <c r="J660" s="0" t="n">
        <v>84.97</v>
      </c>
      <c r="K660" s="0" t="n">
        <v>44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110C</t>
        </is>
      </c>
      <c r="X660" s="0" t="n">
        <v>25</v>
      </c>
      <c r="Y660" s="0" t="n">
        <v>20</v>
      </c>
      <c r="Z660" s="0" t="inlineStr">
        <is>
          <t>https://new.land.naver.com/complexes/119895?tab=detail&amp;rf=Y</t>
        </is>
      </c>
      <c r="AA660" s="0" t="inlineStr">
        <is>
          <t>충청북도 청주시 흥덕구 송절동 690</t>
        </is>
      </c>
      <c r="AB660" s="0" t="inlineStr">
        <is>
          <t>충청북도</t>
        </is>
      </c>
      <c r="AC660" s="0" t="inlineStr">
        <is>
          <t>청주시</t>
        </is>
      </c>
      <c r="AD660" s="0" t="inlineStr">
        <is>
          <t>흥덕구</t>
        </is>
      </c>
      <c r="AE660" s="0" t="inlineStr">
        <is>
          <t>송절동</t>
        </is>
      </c>
      <c r="AG660" s="0" t="inlineStr">
        <is>
          <t>충청북도 청주시 흥덕구 송화로108번길 42</t>
        </is>
      </c>
      <c r="AH660" s="0" t="n">
        <v>0</v>
      </c>
      <c r="AI660" s="0" t="n">
        <v>0</v>
      </c>
      <c r="AJ660" s="0" t="n">
        <v>0</v>
      </c>
      <c r="AK660" s="0" t="n">
        <v>504</v>
      </c>
      <c r="AL660" s="0" t="n">
        <v>1.5</v>
      </c>
    </row>
    <row r="661">
      <c r="A661" s="0" t="inlineStr">
        <is>
          <t>[송절동]</t>
        </is>
      </c>
      <c r="B661" s="0" t="n">
        <v>119895</v>
      </c>
      <c r="C661" s="0" t="n">
        <v>3</v>
      </c>
      <c r="D661" s="0" t="inlineStr">
        <is>
          <t>청주테크노폴리스지웰</t>
        </is>
      </c>
      <c r="E661" s="0" t="inlineStr">
        <is>
          <t>2020.02.</t>
        </is>
      </c>
      <c r="F661" s="0" t="n">
        <v>336</v>
      </c>
      <c r="G661" s="0" t="n">
        <v>33.63</v>
      </c>
      <c r="H661" s="0" t="n">
        <v>111.18</v>
      </c>
      <c r="I661" s="0" t="n">
        <v>25.7</v>
      </c>
      <c r="J661" s="0" t="n">
        <v>84.97</v>
      </c>
      <c r="K661" s="0" t="n">
        <v>100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111B</t>
        </is>
      </c>
      <c r="X661" s="0" t="n">
        <v>25</v>
      </c>
      <c r="Y661" s="0" t="n">
        <v>20</v>
      </c>
      <c r="Z661" s="0" t="inlineStr">
        <is>
          <t>https://new.land.naver.com/complexes/119895?tab=detail&amp;rf=Y</t>
        </is>
      </c>
      <c r="AA661" s="0" t="inlineStr">
        <is>
          <t>충청북도 청주시 흥덕구 송절동 690</t>
        </is>
      </c>
      <c r="AB661" s="0" t="inlineStr">
        <is>
          <t>충청북도</t>
        </is>
      </c>
      <c r="AC661" s="0" t="inlineStr">
        <is>
          <t>청주시</t>
        </is>
      </c>
      <c r="AD661" s="0" t="inlineStr">
        <is>
          <t>흥덕구</t>
        </is>
      </c>
      <c r="AE661" s="0" t="inlineStr">
        <is>
          <t>송절동</t>
        </is>
      </c>
      <c r="AG661" s="0" t="inlineStr">
        <is>
          <t>충청북도 청주시 흥덕구 송화로108번길 42</t>
        </is>
      </c>
      <c r="AH661" s="0" t="n">
        <v>0</v>
      </c>
      <c r="AI661" s="0" t="n">
        <v>0</v>
      </c>
      <c r="AJ661" s="0" t="n">
        <v>0</v>
      </c>
      <c r="AK661" s="0" t="n">
        <v>504</v>
      </c>
      <c r="AL661" s="0" t="n">
        <v>1.5</v>
      </c>
    </row>
    <row r="662">
      <c r="A662" s="0" t="inlineStr">
        <is>
          <t>[송절동]</t>
        </is>
      </c>
      <c r="B662" s="0" t="n">
        <v>115388</v>
      </c>
      <c r="C662" s="0" t="n">
        <v>1</v>
      </c>
      <c r="D662" s="0" t="inlineStr">
        <is>
          <t>청주테크노폴리스우방아이유쉘1단지</t>
        </is>
      </c>
      <c r="E662" s="0" t="inlineStr">
        <is>
          <t>2018.11.</t>
        </is>
      </c>
      <c r="F662" s="0" t="n">
        <v>427</v>
      </c>
      <c r="G662" s="0" t="n">
        <v>29.13</v>
      </c>
      <c r="H662" s="0" t="n">
        <v>96.31</v>
      </c>
      <c r="I662" s="0" t="n">
        <v>22.12</v>
      </c>
      <c r="J662" s="0" t="n">
        <v>73.13</v>
      </c>
      <c r="K662" s="0" t="n">
        <v>44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96</v>
      </c>
      <c r="X662" s="0" t="n">
        <v>25</v>
      </c>
      <c r="Y662" s="0" t="n">
        <v>23</v>
      </c>
      <c r="Z662" s="0" t="inlineStr">
        <is>
          <t>https://new.land.naver.com/complexes/115388?tab=detail&amp;rf=Y</t>
        </is>
      </c>
      <c r="AA662" s="0" t="inlineStr">
        <is>
          <t>충청북도 청주시 흥덕구 송절동 842</t>
        </is>
      </c>
      <c r="AB662" s="0" t="inlineStr">
        <is>
          <t>충청북도</t>
        </is>
      </c>
      <c r="AC662" s="0" t="inlineStr">
        <is>
          <t>청주시</t>
        </is>
      </c>
      <c r="AD662" s="0" t="inlineStr">
        <is>
          <t>흥덕구</t>
        </is>
      </c>
      <c r="AE662" s="0" t="inlineStr">
        <is>
          <t>송절동</t>
        </is>
      </c>
      <c r="AG662" s="0" t="inlineStr">
        <is>
          <t>충청북도 청주시 흥덕구 송화로184번길 7</t>
        </is>
      </c>
      <c r="AH662" s="0" t="n">
        <v>0</v>
      </c>
      <c r="AI662" s="0" t="n">
        <v>200</v>
      </c>
      <c r="AJ662" s="0" t="n">
        <v>15</v>
      </c>
      <c r="AK662" s="0" t="n">
        <v>647</v>
      </c>
      <c r="AL662" s="0" t="n">
        <v>1.52</v>
      </c>
    </row>
    <row r="663">
      <c r="A663" s="0" t="inlineStr">
        <is>
          <t>[송절동]</t>
        </is>
      </c>
      <c r="B663" s="0" t="n">
        <v>115388</v>
      </c>
      <c r="C663" s="0" t="n">
        <v>2</v>
      </c>
      <c r="D663" s="0" t="inlineStr">
        <is>
          <t>청주테크노폴리스우방아이유쉘1단지</t>
        </is>
      </c>
      <c r="E663" s="0" t="inlineStr">
        <is>
          <t>2018.11.</t>
        </is>
      </c>
      <c r="F663" s="0" t="n">
        <v>427</v>
      </c>
      <c r="G663" s="0" t="n">
        <v>33.85</v>
      </c>
      <c r="H663" s="0" t="n">
        <v>111.92</v>
      </c>
      <c r="I663" s="0" t="n">
        <v>25.7</v>
      </c>
      <c r="J663" s="0" t="n">
        <v>84.97</v>
      </c>
      <c r="K663" s="0" t="n">
        <v>285</v>
      </c>
      <c r="T663" s="0" t="n">
        <v>4</v>
      </c>
      <c r="U663" s="0" t="n">
        <v>2</v>
      </c>
      <c r="V663" s="0" t="inlineStr">
        <is>
          <t>계단식</t>
        </is>
      </c>
      <c r="W663" s="0" t="inlineStr">
        <is>
          <t>111A</t>
        </is>
      </c>
      <c r="X663" s="0" t="n">
        <v>25</v>
      </c>
      <c r="Y663" s="0" t="n">
        <v>23</v>
      </c>
      <c r="Z663" s="0" t="inlineStr">
        <is>
          <t>https://new.land.naver.com/complexes/115388?tab=detail&amp;rf=Y</t>
        </is>
      </c>
      <c r="AA663" s="0" t="inlineStr">
        <is>
          <t>충청북도 청주시 흥덕구 송절동 842</t>
        </is>
      </c>
      <c r="AB663" s="0" t="inlineStr">
        <is>
          <t>충청북도</t>
        </is>
      </c>
      <c r="AC663" s="0" t="inlineStr">
        <is>
          <t>청주시</t>
        </is>
      </c>
      <c r="AD663" s="0" t="inlineStr">
        <is>
          <t>흥덕구</t>
        </is>
      </c>
      <c r="AE663" s="0" t="inlineStr">
        <is>
          <t>송절동</t>
        </is>
      </c>
      <c r="AG663" s="0" t="inlineStr">
        <is>
          <t>충청북도 청주시 흥덕구 송화로184번길 7</t>
        </is>
      </c>
      <c r="AH663" s="0" t="n">
        <v>0</v>
      </c>
      <c r="AI663" s="0" t="n">
        <v>200</v>
      </c>
      <c r="AJ663" s="0" t="n">
        <v>15</v>
      </c>
      <c r="AK663" s="0" t="n">
        <v>647</v>
      </c>
      <c r="AL663" s="0" t="n">
        <v>1.52</v>
      </c>
    </row>
    <row r="664">
      <c r="A664" s="0" t="inlineStr">
        <is>
          <t>[송절동]</t>
        </is>
      </c>
      <c r="B664" s="0" t="n">
        <v>115388</v>
      </c>
      <c r="C664" s="0" t="n">
        <v>3</v>
      </c>
      <c r="D664" s="0" t="inlineStr">
        <is>
          <t>청주테크노폴리스우방아이유쉘1단지</t>
        </is>
      </c>
      <c r="E664" s="0" t="inlineStr">
        <is>
          <t>2018.11.</t>
        </is>
      </c>
      <c r="F664" s="0" t="n">
        <v>427</v>
      </c>
      <c r="G664" s="0" t="n">
        <v>34.12</v>
      </c>
      <c r="H664" s="0" t="n">
        <v>112.82</v>
      </c>
      <c r="I664" s="0" t="n">
        <v>25.51</v>
      </c>
      <c r="J664" s="0" t="n">
        <v>84.34999999999999</v>
      </c>
      <c r="K664" s="0" t="n">
        <v>98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112B</t>
        </is>
      </c>
      <c r="X664" s="0" t="n">
        <v>25</v>
      </c>
      <c r="Y664" s="0" t="n">
        <v>23</v>
      </c>
      <c r="Z664" s="0" t="inlineStr">
        <is>
          <t>https://new.land.naver.com/complexes/115388?tab=detail&amp;rf=Y</t>
        </is>
      </c>
      <c r="AA664" s="0" t="inlineStr">
        <is>
          <t>충청북도 청주시 흥덕구 송절동 842</t>
        </is>
      </c>
      <c r="AB664" s="0" t="inlineStr">
        <is>
          <t>충청북도</t>
        </is>
      </c>
      <c r="AC664" s="0" t="inlineStr">
        <is>
          <t>청주시</t>
        </is>
      </c>
      <c r="AD664" s="0" t="inlineStr">
        <is>
          <t>흥덕구</t>
        </is>
      </c>
      <c r="AE664" s="0" t="inlineStr">
        <is>
          <t>송절동</t>
        </is>
      </c>
      <c r="AG664" s="0" t="inlineStr">
        <is>
          <t>충청북도 청주시 흥덕구 송화로184번길 7</t>
        </is>
      </c>
      <c r="AH664" s="0" t="n">
        <v>0</v>
      </c>
      <c r="AI664" s="0" t="n">
        <v>200</v>
      </c>
      <c r="AJ664" s="0" t="n">
        <v>15</v>
      </c>
      <c r="AK664" s="0" t="n">
        <v>647</v>
      </c>
      <c r="AL664" s="0" t="n">
        <v>1.52</v>
      </c>
    </row>
    <row r="665">
      <c r="A665" s="0" t="inlineStr">
        <is>
          <t>[송절동]</t>
        </is>
      </c>
      <c r="B665" s="0" t="n">
        <v>115389</v>
      </c>
      <c r="C665" s="0" t="n">
        <v>1</v>
      </c>
      <c r="D665" s="0" t="inlineStr">
        <is>
          <t>청주테크노폴리스우방아이유쉘2단지</t>
        </is>
      </c>
      <c r="E665" s="0" t="inlineStr">
        <is>
          <t>2018.11.</t>
        </is>
      </c>
      <c r="F665" s="0" t="n">
        <v>424</v>
      </c>
      <c r="G665" s="0" t="n">
        <v>29.2</v>
      </c>
      <c r="H665" s="0" t="n">
        <v>96.54000000000001</v>
      </c>
      <c r="I665" s="0" t="n">
        <v>22.12</v>
      </c>
      <c r="J665" s="0" t="n">
        <v>73.13</v>
      </c>
      <c r="K665" s="0" t="n">
        <v>48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96</v>
      </c>
      <c r="X665" s="0" t="n">
        <v>25</v>
      </c>
      <c r="Y665" s="0" t="n">
        <v>24</v>
      </c>
      <c r="Z665" s="0" t="inlineStr">
        <is>
          <t>https://new.land.naver.com/complexes/115389?tab=detail&amp;rf=Y</t>
        </is>
      </c>
      <c r="AA665" s="0" t="inlineStr">
        <is>
          <t>충청북도 청주시 흥덕구 송절동 846</t>
        </is>
      </c>
      <c r="AB665" s="0" t="inlineStr">
        <is>
          <t>충청북도</t>
        </is>
      </c>
      <c r="AC665" s="0" t="inlineStr">
        <is>
          <t>청주시</t>
        </is>
      </c>
      <c r="AD665" s="0" t="inlineStr">
        <is>
          <t>흥덕구</t>
        </is>
      </c>
      <c r="AE665" s="0" t="inlineStr">
        <is>
          <t>송절동</t>
        </is>
      </c>
      <c r="AG665" s="0" t="inlineStr">
        <is>
          <t>충청북도 청주시 흥덕구 송화로108번길 111</t>
        </is>
      </c>
      <c r="AH665" s="0" t="n">
        <v>0</v>
      </c>
      <c r="AI665" s="0" t="n">
        <v>200</v>
      </c>
      <c r="AJ665" s="0" t="n">
        <v>18</v>
      </c>
      <c r="AK665" s="0" t="n">
        <v>659</v>
      </c>
      <c r="AL665" s="0" t="n">
        <v>1.55</v>
      </c>
    </row>
    <row r="666">
      <c r="A666" s="0" t="inlineStr">
        <is>
          <t>[송절동]</t>
        </is>
      </c>
      <c r="B666" s="0" t="n">
        <v>115389</v>
      </c>
      <c r="C666" s="0" t="n">
        <v>2</v>
      </c>
      <c r="D666" s="0" t="inlineStr">
        <is>
          <t>청주테크노폴리스우방아이유쉘2단지</t>
        </is>
      </c>
      <c r="E666" s="0" t="inlineStr">
        <is>
          <t>2018.11.</t>
        </is>
      </c>
      <c r="F666" s="0" t="n">
        <v>424</v>
      </c>
      <c r="G666" s="0" t="n">
        <v>33.93</v>
      </c>
      <c r="H666" s="0" t="n">
        <v>112.18</v>
      </c>
      <c r="I666" s="0" t="n">
        <v>25.7</v>
      </c>
      <c r="J666" s="0" t="n">
        <v>84.97</v>
      </c>
      <c r="K666" s="0" t="n">
        <v>282</v>
      </c>
      <c r="T666" s="0" t="n">
        <v>4</v>
      </c>
      <c r="U666" s="0" t="n">
        <v>2</v>
      </c>
      <c r="V666" s="0" t="inlineStr">
        <is>
          <t>계단식</t>
        </is>
      </c>
      <c r="W666" s="0" t="inlineStr">
        <is>
          <t>112A</t>
        </is>
      </c>
      <c r="X666" s="0" t="n">
        <v>25</v>
      </c>
      <c r="Y666" s="0" t="n">
        <v>24</v>
      </c>
      <c r="Z666" s="0" t="inlineStr">
        <is>
          <t>https://new.land.naver.com/complexes/115389?tab=detail&amp;rf=Y</t>
        </is>
      </c>
      <c r="AA666" s="0" t="inlineStr">
        <is>
          <t>충청북도 청주시 흥덕구 송절동 846</t>
        </is>
      </c>
      <c r="AB666" s="0" t="inlineStr">
        <is>
          <t>충청북도</t>
        </is>
      </c>
      <c r="AC666" s="0" t="inlineStr">
        <is>
          <t>청주시</t>
        </is>
      </c>
      <c r="AD666" s="0" t="inlineStr">
        <is>
          <t>흥덕구</t>
        </is>
      </c>
      <c r="AE666" s="0" t="inlineStr">
        <is>
          <t>송절동</t>
        </is>
      </c>
      <c r="AG666" s="0" t="inlineStr">
        <is>
          <t>충청북도 청주시 흥덕구 송화로108번길 111</t>
        </is>
      </c>
      <c r="AH666" s="0" t="n">
        <v>0</v>
      </c>
      <c r="AI666" s="0" t="n">
        <v>200</v>
      </c>
      <c r="AJ666" s="0" t="n">
        <v>18</v>
      </c>
      <c r="AK666" s="0" t="n">
        <v>659</v>
      </c>
      <c r="AL666" s="0" t="n">
        <v>1.55</v>
      </c>
    </row>
    <row r="667">
      <c r="A667" s="0" t="inlineStr">
        <is>
          <t>[송절동]</t>
        </is>
      </c>
      <c r="B667" s="0" t="n">
        <v>115389</v>
      </c>
      <c r="C667" s="0" t="n">
        <v>3</v>
      </c>
      <c r="D667" s="0" t="inlineStr">
        <is>
          <t>청주테크노폴리스우방아이유쉘2단지</t>
        </is>
      </c>
      <c r="E667" s="0" t="inlineStr">
        <is>
          <t>2018.11.</t>
        </is>
      </c>
      <c r="F667" s="0" t="n">
        <v>424</v>
      </c>
      <c r="G667" s="0" t="n">
        <v>34.2</v>
      </c>
      <c r="H667" s="0" t="n">
        <v>113.09</v>
      </c>
      <c r="I667" s="0" t="n">
        <v>25.51</v>
      </c>
      <c r="J667" s="0" t="n">
        <v>84.34999999999999</v>
      </c>
      <c r="K667" s="0" t="n">
        <v>94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113B</t>
        </is>
      </c>
      <c r="X667" s="0" t="n">
        <v>25</v>
      </c>
      <c r="Y667" s="0" t="n">
        <v>24</v>
      </c>
      <c r="Z667" s="0" t="inlineStr">
        <is>
          <t>https://new.land.naver.com/complexes/115389?tab=detail&amp;rf=Y</t>
        </is>
      </c>
      <c r="AA667" s="0" t="inlineStr">
        <is>
          <t>충청북도 청주시 흥덕구 송절동 846</t>
        </is>
      </c>
      <c r="AB667" s="0" t="inlineStr">
        <is>
          <t>충청북도</t>
        </is>
      </c>
      <c r="AC667" s="0" t="inlineStr">
        <is>
          <t>청주시</t>
        </is>
      </c>
      <c r="AD667" s="0" t="inlineStr">
        <is>
          <t>흥덕구</t>
        </is>
      </c>
      <c r="AE667" s="0" t="inlineStr">
        <is>
          <t>송절동</t>
        </is>
      </c>
      <c r="AG667" s="0" t="inlineStr">
        <is>
          <t>충청북도 청주시 흥덕구 송화로108번길 111</t>
        </is>
      </c>
      <c r="AH667" s="0" t="n">
        <v>0</v>
      </c>
      <c r="AI667" s="0" t="n">
        <v>200</v>
      </c>
      <c r="AJ667" s="0" t="n">
        <v>18</v>
      </c>
      <c r="AK667" s="0" t="n">
        <v>659</v>
      </c>
      <c r="AL667" s="0" t="n">
        <v>1.55</v>
      </c>
    </row>
    <row r="668">
      <c r="A668" s="0" t="inlineStr">
        <is>
          <t>[송절동]</t>
        </is>
      </c>
      <c r="B668" s="0" t="n">
        <v>112540</v>
      </c>
      <c r="C668" s="0" t="n">
        <v>1</v>
      </c>
      <c r="D668" s="0" t="inlineStr">
        <is>
          <t>테크노폴리스우미린</t>
        </is>
      </c>
      <c r="E668" s="0" t="inlineStr">
        <is>
          <t>2018.07.</t>
        </is>
      </c>
      <c r="F668" s="0" t="n">
        <v>1020</v>
      </c>
      <c r="G668" s="0" t="n">
        <v>33.87</v>
      </c>
      <c r="H668" s="0" t="n">
        <v>111.99</v>
      </c>
      <c r="I668" s="0" t="n">
        <v>25.69</v>
      </c>
      <c r="J668" s="0" t="n">
        <v>84.93000000000001</v>
      </c>
      <c r="K668" s="0" t="n">
        <v>106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111D1</t>
        </is>
      </c>
      <c r="X668" s="0" t="n">
        <v>27</v>
      </c>
      <c r="Y668" s="0" t="n">
        <v>16</v>
      </c>
      <c r="Z668" s="0" t="inlineStr">
        <is>
          <t>https://new.land.naver.com/complexes/112540?tab=detail&amp;rf=Y</t>
        </is>
      </c>
      <c r="AA668" s="0" t="inlineStr">
        <is>
          <t>충청북도 청주시 흥덕구 송절동 850</t>
        </is>
      </c>
      <c r="AB668" s="0" t="inlineStr">
        <is>
          <t>충청북도</t>
        </is>
      </c>
      <c r="AC668" s="0" t="inlineStr">
        <is>
          <t>청주시</t>
        </is>
      </c>
      <c r="AD668" s="0" t="inlineStr">
        <is>
          <t>흥덕구</t>
        </is>
      </c>
      <c r="AE668" s="0" t="inlineStr">
        <is>
          <t>송절동</t>
        </is>
      </c>
      <c r="AG668" s="0" t="inlineStr">
        <is>
          <t>충청북도 청주시 흥덕구 송화로214번길 29</t>
        </is>
      </c>
      <c r="AH668" s="0" t="n">
        <v>0</v>
      </c>
      <c r="AI668" s="0" t="n">
        <v>199</v>
      </c>
      <c r="AJ668" s="0" t="n">
        <v>14</v>
      </c>
      <c r="AK668" s="0" t="n">
        <v>1536</v>
      </c>
      <c r="AL668" s="0" t="n">
        <v>1.51</v>
      </c>
    </row>
    <row r="669">
      <c r="A669" s="0" t="inlineStr">
        <is>
          <t>[송절동]</t>
        </is>
      </c>
      <c r="B669" s="0" t="n">
        <v>112540</v>
      </c>
      <c r="C669" s="0" t="n">
        <v>2</v>
      </c>
      <c r="D669" s="0" t="inlineStr">
        <is>
          <t>테크노폴리스우미린</t>
        </is>
      </c>
      <c r="E669" s="0" t="inlineStr">
        <is>
          <t>2018.07.</t>
        </is>
      </c>
      <c r="F669" s="0" t="n">
        <v>1020</v>
      </c>
      <c r="G669" s="0" t="n">
        <v>33.96</v>
      </c>
      <c r="H669" s="0" t="n">
        <v>112.27</v>
      </c>
      <c r="I669" s="0" t="n">
        <v>25.7</v>
      </c>
      <c r="J669" s="0" t="n">
        <v>84.98</v>
      </c>
      <c r="K669" s="0" t="n">
        <v>288</v>
      </c>
      <c r="T669" s="0" t="n">
        <v>4</v>
      </c>
      <c r="U669" s="0" t="n">
        <v>2</v>
      </c>
      <c r="V669" s="0" t="inlineStr">
        <is>
          <t>계단식</t>
        </is>
      </c>
      <c r="W669" s="0" t="inlineStr">
        <is>
          <t>112B</t>
        </is>
      </c>
      <c r="X669" s="0" t="n">
        <v>27</v>
      </c>
      <c r="Y669" s="0" t="n">
        <v>16</v>
      </c>
      <c r="Z669" s="0" t="inlineStr">
        <is>
          <t>https://new.land.naver.com/complexes/112540?tab=detail&amp;rf=Y</t>
        </is>
      </c>
      <c r="AA669" s="0" t="inlineStr">
        <is>
          <t>충청북도 청주시 흥덕구 송절동 850</t>
        </is>
      </c>
      <c r="AB669" s="0" t="inlineStr">
        <is>
          <t>충청북도</t>
        </is>
      </c>
      <c r="AC669" s="0" t="inlineStr">
        <is>
          <t>청주시</t>
        </is>
      </c>
      <c r="AD669" s="0" t="inlineStr">
        <is>
          <t>흥덕구</t>
        </is>
      </c>
      <c r="AE669" s="0" t="inlineStr">
        <is>
          <t>송절동</t>
        </is>
      </c>
      <c r="AG669" s="0" t="inlineStr">
        <is>
          <t>충청북도 청주시 흥덕구 송화로214번길 29</t>
        </is>
      </c>
      <c r="AH669" s="0" t="n">
        <v>0</v>
      </c>
      <c r="AI669" s="0" t="n">
        <v>199</v>
      </c>
      <c r="AJ669" s="0" t="n">
        <v>14</v>
      </c>
      <c r="AK669" s="0" t="n">
        <v>1536</v>
      </c>
      <c r="AL669" s="0" t="n">
        <v>1.51</v>
      </c>
    </row>
    <row r="670">
      <c r="A670" s="0" t="inlineStr">
        <is>
          <t>[송절동]</t>
        </is>
      </c>
      <c r="B670" s="0" t="n">
        <v>112540</v>
      </c>
      <c r="C670" s="0" t="n">
        <v>3</v>
      </c>
      <c r="D670" s="0" t="inlineStr">
        <is>
          <t>테크노폴리스우미린</t>
        </is>
      </c>
      <c r="E670" s="0" t="inlineStr">
        <is>
          <t>2018.07.</t>
        </is>
      </c>
      <c r="F670" s="0" t="n">
        <v>1020</v>
      </c>
      <c r="G670" s="0" t="n">
        <v>33.92</v>
      </c>
      <c r="H670" s="0" t="n">
        <v>112.15</v>
      </c>
      <c r="I670" s="0" t="n">
        <v>25.7</v>
      </c>
      <c r="J670" s="0" t="n">
        <v>84.98999999999999</v>
      </c>
      <c r="K670" s="0" t="n">
        <v>250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112A</t>
        </is>
      </c>
      <c r="X670" s="0" t="n">
        <v>27</v>
      </c>
      <c r="Y670" s="0" t="n">
        <v>16</v>
      </c>
      <c r="Z670" s="0" t="inlineStr">
        <is>
          <t>https://new.land.naver.com/complexes/112540?tab=detail&amp;rf=Y</t>
        </is>
      </c>
      <c r="AA670" s="0" t="inlineStr">
        <is>
          <t>충청북도 청주시 흥덕구 송절동 850</t>
        </is>
      </c>
      <c r="AB670" s="0" t="inlineStr">
        <is>
          <t>충청북도</t>
        </is>
      </c>
      <c r="AC670" s="0" t="inlineStr">
        <is>
          <t>청주시</t>
        </is>
      </c>
      <c r="AD670" s="0" t="inlineStr">
        <is>
          <t>흥덕구</t>
        </is>
      </c>
      <c r="AE670" s="0" t="inlineStr">
        <is>
          <t>송절동</t>
        </is>
      </c>
      <c r="AG670" s="0" t="inlineStr">
        <is>
          <t>충청북도 청주시 흥덕구 송화로214번길 29</t>
        </is>
      </c>
      <c r="AH670" s="0" t="n">
        <v>0</v>
      </c>
      <c r="AI670" s="0" t="n">
        <v>199</v>
      </c>
      <c r="AJ670" s="0" t="n">
        <v>14</v>
      </c>
      <c r="AK670" s="0" t="n">
        <v>1536</v>
      </c>
      <c r="AL670" s="0" t="n">
        <v>1.51</v>
      </c>
    </row>
    <row r="671">
      <c r="A671" s="0" t="inlineStr">
        <is>
          <t>[송절동]</t>
        </is>
      </c>
      <c r="B671" s="0" t="n">
        <v>112540</v>
      </c>
      <c r="C671" s="0" t="n">
        <v>4</v>
      </c>
      <c r="D671" s="0" t="inlineStr">
        <is>
          <t>테크노폴리스우미린</t>
        </is>
      </c>
      <c r="E671" s="0" t="inlineStr">
        <is>
          <t>2018.07.</t>
        </is>
      </c>
      <c r="F671" s="0" t="n">
        <v>1020</v>
      </c>
      <c r="G671" s="0" t="n">
        <v>33.99</v>
      </c>
      <c r="H671" s="0" t="n">
        <v>112.37</v>
      </c>
      <c r="I671" s="0" t="n">
        <v>25.69</v>
      </c>
      <c r="J671" s="0" t="n">
        <v>84.93000000000001</v>
      </c>
      <c r="K671" s="0" t="n">
        <v>211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112E</t>
        </is>
      </c>
      <c r="X671" s="0" t="n">
        <v>27</v>
      </c>
      <c r="Y671" s="0" t="n">
        <v>16</v>
      </c>
      <c r="Z671" s="0" t="inlineStr">
        <is>
          <t>https://new.land.naver.com/complexes/112540?tab=detail&amp;rf=Y</t>
        </is>
      </c>
      <c r="AA671" s="0" t="inlineStr">
        <is>
          <t>충청북도 청주시 흥덕구 송절동 850</t>
        </is>
      </c>
      <c r="AB671" s="0" t="inlineStr">
        <is>
          <t>충청북도</t>
        </is>
      </c>
      <c r="AC671" s="0" t="inlineStr">
        <is>
          <t>청주시</t>
        </is>
      </c>
      <c r="AD671" s="0" t="inlineStr">
        <is>
          <t>흥덕구</t>
        </is>
      </c>
      <c r="AE671" s="0" t="inlineStr">
        <is>
          <t>송절동</t>
        </is>
      </c>
      <c r="AG671" s="0" t="inlineStr">
        <is>
          <t>충청북도 청주시 흥덕구 송화로214번길 29</t>
        </is>
      </c>
      <c r="AH671" s="0" t="n">
        <v>0</v>
      </c>
      <c r="AI671" s="0" t="n">
        <v>199</v>
      </c>
      <c r="AJ671" s="0" t="n">
        <v>14</v>
      </c>
      <c r="AK671" s="0" t="n">
        <v>1536</v>
      </c>
      <c r="AL671" s="0" t="n">
        <v>1.51</v>
      </c>
    </row>
    <row r="672">
      <c r="A672" s="0" t="inlineStr">
        <is>
          <t>[송절동]</t>
        </is>
      </c>
      <c r="B672" s="0" t="n">
        <v>112540</v>
      </c>
      <c r="C672" s="0" t="n">
        <v>5</v>
      </c>
      <c r="D672" s="0" t="inlineStr">
        <is>
          <t>테크노폴리스우미린</t>
        </is>
      </c>
      <c r="E672" s="0" t="inlineStr">
        <is>
          <t>2018.07.</t>
        </is>
      </c>
      <c r="F672" s="0" t="n">
        <v>1020</v>
      </c>
      <c r="G672" s="0" t="n">
        <v>33.91</v>
      </c>
      <c r="H672" s="0" t="n">
        <v>112.13</v>
      </c>
      <c r="I672" s="0" t="n">
        <v>25.69</v>
      </c>
      <c r="J672" s="0" t="n">
        <v>84.93000000000001</v>
      </c>
      <c r="K672" s="0" t="n">
        <v>107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112D2</t>
        </is>
      </c>
      <c r="X672" s="0" t="n">
        <v>27</v>
      </c>
      <c r="Y672" s="0" t="n">
        <v>16</v>
      </c>
      <c r="Z672" s="0" t="inlineStr">
        <is>
          <t>https://new.land.naver.com/complexes/112540?tab=detail&amp;rf=Y</t>
        </is>
      </c>
      <c r="AA672" s="0" t="inlineStr">
        <is>
          <t>충청북도 청주시 흥덕구 송절동 850</t>
        </is>
      </c>
      <c r="AB672" s="0" t="inlineStr">
        <is>
          <t>충청북도</t>
        </is>
      </c>
      <c r="AC672" s="0" t="inlineStr">
        <is>
          <t>청주시</t>
        </is>
      </c>
      <c r="AD672" s="0" t="inlineStr">
        <is>
          <t>흥덕구</t>
        </is>
      </c>
      <c r="AE672" s="0" t="inlineStr">
        <is>
          <t>송절동</t>
        </is>
      </c>
      <c r="AG672" s="0" t="inlineStr">
        <is>
          <t>충청북도 청주시 흥덕구 송화로214번길 29</t>
        </is>
      </c>
      <c r="AH672" s="0" t="n">
        <v>0</v>
      </c>
      <c r="AI672" s="0" t="n">
        <v>199</v>
      </c>
      <c r="AJ672" s="0" t="n">
        <v>14</v>
      </c>
      <c r="AK672" s="0" t="n">
        <v>1536</v>
      </c>
      <c r="AL672" s="0" t="n">
        <v>1.51</v>
      </c>
    </row>
    <row r="673">
      <c r="A673" s="0" t="inlineStr">
        <is>
          <t>[송절동]</t>
        </is>
      </c>
      <c r="B673" s="0" t="n">
        <v>112540</v>
      </c>
      <c r="C673" s="0" t="n">
        <v>6</v>
      </c>
      <c r="D673" s="0" t="inlineStr">
        <is>
          <t>테크노폴리스우미린</t>
        </is>
      </c>
      <c r="E673" s="0" t="inlineStr">
        <is>
          <t>2018.07.</t>
        </is>
      </c>
      <c r="F673" s="0" t="n">
        <v>1020</v>
      </c>
      <c r="G673" s="0" t="n">
        <v>33.99</v>
      </c>
      <c r="H673" s="0" t="n">
        <v>112.39</v>
      </c>
      <c r="I673" s="0" t="n">
        <v>25.7</v>
      </c>
      <c r="J673" s="0" t="n">
        <v>84.95999999999999</v>
      </c>
      <c r="K673" s="0" t="n">
        <v>58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112C</t>
        </is>
      </c>
      <c r="X673" s="0" t="n">
        <v>27</v>
      </c>
      <c r="Y673" s="0" t="n">
        <v>16</v>
      </c>
      <c r="Z673" s="0" t="inlineStr">
        <is>
          <t>https://new.land.naver.com/complexes/112540?tab=detail&amp;rf=Y</t>
        </is>
      </c>
      <c r="AA673" s="0" t="inlineStr">
        <is>
          <t>충청북도 청주시 흥덕구 송절동 850</t>
        </is>
      </c>
      <c r="AB673" s="0" t="inlineStr">
        <is>
          <t>충청북도</t>
        </is>
      </c>
      <c r="AC673" s="0" t="inlineStr">
        <is>
          <t>청주시</t>
        </is>
      </c>
      <c r="AD673" s="0" t="inlineStr">
        <is>
          <t>흥덕구</t>
        </is>
      </c>
      <c r="AE673" s="0" t="inlineStr">
        <is>
          <t>송절동</t>
        </is>
      </c>
      <c r="AG673" s="0" t="inlineStr">
        <is>
          <t>충청북도 청주시 흥덕구 송화로214번길 29</t>
        </is>
      </c>
      <c r="AH673" s="0" t="n">
        <v>0</v>
      </c>
      <c r="AI673" s="0" t="n">
        <v>199</v>
      </c>
      <c r="AJ673" s="0" t="n">
        <v>14</v>
      </c>
      <c r="AK673" s="0" t="n">
        <v>1536</v>
      </c>
      <c r="AL673" s="0" t="n">
        <v>1.51</v>
      </c>
    </row>
    <row r="674">
      <c r="A674" s="0" t="inlineStr">
        <is>
          <t>[신봉동]</t>
        </is>
      </c>
      <c r="B674" s="0" t="n">
        <v>7433</v>
      </c>
      <c r="C674" s="0" t="n">
        <v>1</v>
      </c>
      <c r="D674" s="0" t="inlineStr">
        <is>
          <t>삼성(159)</t>
        </is>
      </c>
      <c r="E674" s="0" t="inlineStr">
        <is>
          <t>1992.11.</t>
        </is>
      </c>
      <c r="F674" s="0" t="n">
        <v>570</v>
      </c>
      <c r="G674" s="0" t="n">
        <v>27.83</v>
      </c>
      <c r="H674" s="0" t="n">
        <v>92.02</v>
      </c>
      <c r="I674" s="0" t="n">
        <v>22.41</v>
      </c>
      <c r="J674" s="0" t="n">
        <v>74.09999999999999</v>
      </c>
      <c r="K674" s="0" t="n">
        <v>72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92</v>
      </c>
      <c r="X674" s="0" t="n">
        <v>15</v>
      </c>
      <c r="Y674" s="0" t="n">
        <v>12</v>
      </c>
      <c r="Z674" s="0" t="inlineStr">
        <is>
          <t>https://new.land.naver.com/complexes/7433?tab=detail&amp;rf=Y</t>
        </is>
      </c>
      <c r="AA674" s="0" t="inlineStr">
        <is>
          <t>충청북도 청주시 흥덕구 신봉동 159</t>
        </is>
      </c>
      <c r="AB674" s="0" t="inlineStr">
        <is>
          <t>충청북도</t>
        </is>
      </c>
      <c r="AC674" s="0" t="inlineStr">
        <is>
          <t>청주시</t>
        </is>
      </c>
      <c r="AD674" s="0" t="inlineStr">
        <is>
          <t>흥덕구</t>
        </is>
      </c>
      <c r="AE674" s="0" t="inlineStr">
        <is>
          <t>신봉동</t>
        </is>
      </c>
      <c r="AG674" s="0" t="inlineStr">
        <is>
          <t>충청북도 청주시 흥덕구 사운로 335</t>
        </is>
      </c>
      <c r="AH674" s="0" t="n">
        <v>0</v>
      </c>
      <c r="AI674" s="0" t="n">
        <v>0</v>
      </c>
      <c r="AJ674" s="0" t="n">
        <v>0</v>
      </c>
      <c r="AK674" s="0" t="n">
        <v>241</v>
      </c>
      <c r="AL674" s="0" t="n">
        <v>0.42</v>
      </c>
    </row>
    <row r="675">
      <c r="A675" s="0" t="inlineStr">
        <is>
          <t>[신봉동]</t>
        </is>
      </c>
      <c r="B675" s="0" t="n">
        <v>7433</v>
      </c>
      <c r="C675" s="0" t="n">
        <v>2</v>
      </c>
      <c r="D675" s="0" t="inlineStr">
        <is>
          <t>삼성(159)</t>
        </is>
      </c>
      <c r="E675" s="0" t="inlineStr">
        <is>
          <t>1992.11.</t>
        </is>
      </c>
      <c r="F675" s="0" t="n">
        <v>570</v>
      </c>
      <c r="G675" s="0" t="n">
        <v>30.95</v>
      </c>
      <c r="H675" s="0" t="n">
        <v>102.34</v>
      </c>
      <c r="I675" s="0" t="n">
        <v>25.7</v>
      </c>
      <c r="J675" s="0" t="n">
        <v>84.98999999999999</v>
      </c>
      <c r="K675" s="0" t="n">
        <v>210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102B</t>
        </is>
      </c>
      <c r="X675" s="0" t="n">
        <v>15</v>
      </c>
      <c r="Y675" s="0" t="n">
        <v>12</v>
      </c>
      <c r="Z675" s="0" t="inlineStr">
        <is>
          <t>https://new.land.naver.com/complexes/7433?tab=detail&amp;rf=Y</t>
        </is>
      </c>
      <c r="AA675" s="0" t="inlineStr">
        <is>
          <t>충청북도 청주시 흥덕구 신봉동 159</t>
        </is>
      </c>
      <c r="AB675" s="0" t="inlineStr">
        <is>
          <t>충청북도</t>
        </is>
      </c>
      <c r="AC675" s="0" t="inlineStr">
        <is>
          <t>청주시</t>
        </is>
      </c>
      <c r="AD675" s="0" t="inlineStr">
        <is>
          <t>흥덕구</t>
        </is>
      </c>
      <c r="AE675" s="0" t="inlineStr">
        <is>
          <t>신봉동</t>
        </is>
      </c>
      <c r="AG675" s="0" t="inlineStr">
        <is>
          <t>충청북도 청주시 흥덕구 사운로 335</t>
        </is>
      </c>
      <c r="AH675" s="0" t="n">
        <v>0</v>
      </c>
      <c r="AI675" s="0" t="n">
        <v>0</v>
      </c>
      <c r="AJ675" s="0" t="n">
        <v>0</v>
      </c>
      <c r="AK675" s="0" t="n">
        <v>241</v>
      </c>
      <c r="AL675" s="0" t="n">
        <v>0.42</v>
      </c>
    </row>
    <row r="676">
      <c r="A676" s="0" t="inlineStr">
        <is>
          <t>[신봉동]</t>
        </is>
      </c>
      <c r="B676" s="0" t="n">
        <v>7433</v>
      </c>
      <c r="C676" s="0" t="n">
        <v>3</v>
      </c>
      <c r="D676" s="0" t="inlineStr">
        <is>
          <t>삼성(159)</t>
        </is>
      </c>
      <c r="E676" s="0" t="inlineStr">
        <is>
          <t>1992.11.</t>
        </is>
      </c>
      <c r="F676" s="0" t="n">
        <v>570</v>
      </c>
      <c r="G676" s="0" t="n">
        <v>30.98</v>
      </c>
      <c r="H676" s="0" t="n">
        <v>102.42</v>
      </c>
      <c r="I676" s="0" t="n">
        <v>25.67</v>
      </c>
      <c r="J676" s="0" t="n">
        <v>84.87</v>
      </c>
      <c r="K676" s="0" t="n">
        <v>198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102A</t>
        </is>
      </c>
      <c r="X676" s="0" t="n">
        <v>15</v>
      </c>
      <c r="Y676" s="0" t="n">
        <v>12</v>
      </c>
      <c r="Z676" s="0" t="inlineStr">
        <is>
          <t>https://new.land.naver.com/complexes/7433?tab=detail&amp;rf=Y</t>
        </is>
      </c>
      <c r="AA676" s="0" t="inlineStr">
        <is>
          <t>충청북도 청주시 흥덕구 신봉동 159</t>
        </is>
      </c>
      <c r="AB676" s="0" t="inlineStr">
        <is>
          <t>충청북도</t>
        </is>
      </c>
      <c r="AC676" s="0" t="inlineStr">
        <is>
          <t>청주시</t>
        </is>
      </c>
      <c r="AD676" s="0" t="inlineStr">
        <is>
          <t>흥덕구</t>
        </is>
      </c>
      <c r="AE676" s="0" t="inlineStr">
        <is>
          <t>신봉동</t>
        </is>
      </c>
      <c r="AG676" s="0" t="inlineStr">
        <is>
          <t>충청북도 청주시 흥덕구 사운로 335</t>
        </is>
      </c>
      <c r="AH676" s="0" t="n">
        <v>0</v>
      </c>
      <c r="AI676" s="0" t="n">
        <v>0</v>
      </c>
      <c r="AJ676" s="0" t="n">
        <v>0</v>
      </c>
      <c r="AK676" s="0" t="n">
        <v>241</v>
      </c>
      <c r="AL676" s="0" t="n">
        <v>0.42</v>
      </c>
    </row>
    <row r="677">
      <c r="A677" s="0" t="inlineStr">
        <is>
          <t>[신봉동]</t>
        </is>
      </c>
      <c r="B677" s="0" t="n">
        <v>7433</v>
      </c>
      <c r="C677" s="0" t="n">
        <v>4</v>
      </c>
      <c r="D677" s="0" t="inlineStr">
        <is>
          <t>삼성(159)</t>
        </is>
      </c>
      <c r="E677" s="0" t="inlineStr">
        <is>
          <t>1992.11.</t>
        </is>
      </c>
      <c r="F677" s="0" t="n">
        <v>570</v>
      </c>
      <c r="G677" s="0" t="n">
        <v>45.58</v>
      </c>
      <c r="H677" s="0" t="n">
        <v>150.7</v>
      </c>
      <c r="I677" s="0" t="n">
        <v>39.01</v>
      </c>
      <c r="J677" s="0" t="n">
        <v>128.98</v>
      </c>
      <c r="K677" s="0" t="n">
        <v>90</v>
      </c>
      <c r="T677" s="0" t="n">
        <v>4</v>
      </c>
      <c r="U677" s="0" t="n">
        <v>2</v>
      </c>
      <c r="V677" s="0" t="inlineStr">
        <is>
          <t>계단식</t>
        </is>
      </c>
      <c r="W677" s="0" t="n">
        <v>150</v>
      </c>
      <c r="X677" s="0" t="n">
        <v>15</v>
      </c>
      <c r="Y677" s="0" t="n">
        <v>12</v>
      </c>
      <c r="Z677" s="0" t="inlineStr">
        <is>
          <t>https://new.land.naver.com/complexes/7433?tab=detail&amp;rf=Y</t>
        </is>
      </c>
      <c r="AA677" s="0" t="inlineStr">
        <is>
          <t>충청북도 청주시 흥덕구 신봉동 159</t>
        </is>
      </c>
      <c r="AB677" s="0" t="inlineStr">
        <is>
          <t>충청북도</t>
        </is>
      </c>
      <c r="AC677" s="0" t="inlineStr">
        <is>
          <t>청주시</t>
        </is>
      </c>
      <c r="AD677" s="0" t="inlineStr">
        <is>
          <t>흥덕구</t>
        </is>
      </c>
      <c r="AE677" s="0" t="inlineStr">
        <is>
          <t>신봉동</t>
        </is>
      </c>
      <c r="AG677" s="0" t="inlineStr">
        <is>
          <t>충청북도 청주시 흥덕구 사운로 335</t>
        </is>
      </c>
      <c r="AH677" s="0" t="n">
        <v>0</v>
      </c>
      <c r="AI677" s="0" t="n">
        <v>0</v>
      </c>
      <c r="AJ677" s="0" t="n">
        <v>0</v>
      </c>
      <c r="AK677" s="0" t="n">
        <v>241</v>
      </c>
      <c r="AL677" s="0" t="n">
        <v>0.42</v>
      </c>
    </row>
    <row r="678">
      <c r="A678" s="0" t="inlineStr">
        <is>
          <t>[신봉동]</t>
        </is>
      </c>
      <c r="B678" s="0" t="n">
        <v>7427</v>
      </c>
      <c r="C678" s="0" t="n">
        <v>1</v>
      </c>
      <c r="D678" s="0" t="inlineStr">
        <is>
          <t>두진백로</t>
        </is>
      </c>
      <c r="E678" s="0" t="inlineStr">
        <is>
          <t>1993.11.</t>
        </is>
      </c>
      <c r="F678" s="0" t="n">
        <v>244</v>
      </c>
      <c r="G678" s="0" t="n">
        <v>26.83</v>
      </c>
      <c r="H678" s="0" t="n">
        <v>88.7</v>
      </c>
      <c r="I678" s="0" t="n">
        <v>18.13</v>
      </c>
      <c r="J678" s="0" t="n">
        <v>59.94</v>
      </c>
      <c r="K678" s="0" t="n">
        <v>162</v>
      </c>
      <c r="T678" s="0" t="n">
        <v>2</v>
      </c>
      <c r="U678" s="0" t="n">
        <v>1</v>
      </c>
      <c r="V678" s="0" t="inlineStr">
        <is>
          <t>복도식</t>
        </is>
      </c>
      <c r="W678" s="0" t="n">
        <v>88</v>
      </c>
      <c r="X678" s="0" t="n">
        <v>15</v>
      </c>
      <c r="Y678" s="0" t="n">
        <v>8</v>
      </c>
      <c r="Z678" s="0" t="inlineStr">
        <is>
          <t>https://new.land.naver.com/complexes/7427?tab=detail&amp;rf=Y</t>
        </is>
      </c>
      <c r="AA678" s="0" t="inlineStr">
        <is>
          <t>충청북도 청주시 흥덕구 신봉동 35-1</t>
        </is>
      </c>
      <c r="AB678" s="0" t="inlineStr">
        <is>
          <t>충청북도</t>
        </is>
      </c>
      <c r="AC678" s="0" t="inlineStr">
        <is>
          <t>청주시</t>
        </is>
      </c>
      <c r="AD678" s="0" t="inlineStr">
        <is>
          <t>흥덕구</t>
        </is>
      </c>
      <c r="AE678" s="0" t="inlineStr">
        <is>
          <t>신봉동</t>
        </is>
      </c>
      <c r="AG678" s="0" t="inlineStr">
        <is>
          <t>충청북도 청주시 흥덕구 사운로324번길 14</t>
        </is>
      </c>
      <c r="AH678" s="0" t="n">
        <v>0</v>
      </c>
      <c r="AI678" s="0" t="n">
        <v>0</v>
      </c>
      <c r="AJ678" s="0" t="n">
        <v>0</v>
      </c>
      <c r="AK678" s="0" t="n">
        <v>207</v>
      </c>
      <c r="AL678" s="0" t="n">
        <v>0.85</v>
      </c>
    </row>
    <row r="679">
      <c r="A679" s="0" t="inlineStr">
        <is>
          <t>[신봉동]</t>
        </is>
      </c>
      <c r="B679" s="0" t="n">
        <v>7427</v>
      </c>
      <c r="C679" s="0" t="n">
        <v>2</v>
      </c>
      <c r="D679" s="0" t="inlineStr">
        <is>
          <t>두진백로</t>
        </is>
      </c>
      <c r="E679" s="0" t="inlineStr">
        <is>
          <t>1993.11.</t>
        </is>
      </c>
      <c r="F679" s="0" t="n">
        <v>244</v>
      </c>
      <c r="G679" s="0" t="n">
        <v>31.31</v>
      </c>
      <c r="H679" s="0" t="n">
        <v>103.53</v>
      </c>
      <c r="I679" s="0" t="n">
        <v>21.16</v>
      </c>
      <c r="J679" s="0" t="n">
        <v>69.95999999999999</v>
      </c>
      <c r="K679" s="0" t="n">
        <v>30</v>
      </c>
      <c r="T679" s="0" t="n">
        <v>3</v>
      </c>
      <c r="U679" s="0" t="n">
        <v>1</v>
      </c>
      <c r="V679" s="0" t="inlineStr">
        <is>
          <t>복도식</t>
        </is>
      </c>
      <c r="W679" s="0" t="n">
        <v>103</v>
      </c>
      <c r="X679" s="0" t="n">
        <v>15</v>
      </c>
      <c r="Y679" s="0" t="n">
        <v>8</v>
      </c>
      <c r="Z679" s="0" t="inlineStr">
        <is>
          <t>https://new.land.naver.com/complexes/7427?tab=detail&amp;rf=Y</t>
        </is>
      </c>
      <c r="AA679" s="0" t="inlineStr">
        <is>
          <t>충청북도 청주시 흥덕구 신봉동 35-1</t>
        </is>
      </c>
      <c r="AB679" s="0" t="inlineStr">
        <is>
          <t>충청북도</t>
        </is>
      </c>
      <c r="AC679" s="0" t="inlineStr">
        <is>
          <t>청주시</t>
        </is>
      </c>
      <c r="AD679" s="0" t="inlineStr">
        <is>
          <t>흥덕구</t>
        </is>
      </c>
      <c r="AE679" s="0" t="inlineStr">
        <is>
          <t>신봉동</t>
        </is>
      </c>
      <c r="AG679" s="0" t="inlineStr">
        <is>
          <t>충청북도 청주시 흥덕구 사운로324번길 14</t>
        </is>
      </c>
      <c r="AH679" s="0" t="n">
        <v>0</v>
      </c>
      <c r="AI679" s="0" t="n">
        <v>0</v>
      </c>
      <c r="AJ679" s="0" t="n">
        <v>0</v>
      </c>
      <c r="AK679" s="0" t="n">
        <v>207</v>
      </c>
      <c r="AL679" s="0" t="n">
        <v>0.85</v>
      </c>
    </row>
    <row r="680">
      <c r="A680" s="0" t="inlineStr">
        <is>
          <t>[신봉동]</t>
        </is>
      </c>
      <c r="B680" s="0" t="n">
        <v>7427</v>
      </c>
      <c r="C680" s="0" t="n">
        <v>3</v>
      </c>
      <c r="D680" s="0" t="inlineStr">
        <is>
          <t>두진백로</t>
        </is>
      </c>
      <c r="E680" s="0" t="inlineStr">
        <is>
          <t>1993.11.</t>
        </is>
      </c>
      <c r="F680" s="0" t="n">
        <v>244</v>
      </c>
      <c r="G680" s="0" t="n">
        <v>34.92</v>
      </c>
      <c r="H680" s="0" t="n">
        <v>115.47</v>
      </c>
      <c r="I680" s="0" t="n">
        <v>25.67</v>
      </c>
      <c r="J680" s="0" t="n">
        <v>84.89</v>
      </c>
      <c r="K680" s="0" t="n">
        <v>52</v>
      </c>
      <c r="T680" s="0" t="n">
        <v>3</v>
      </c>
      <c r="U680" s="0" t="n">
        <v>2</v>
      </c>
      <c r="V680" s="0" t="inlineStr">
        <is>
          <t>복도식</t>
        </is>
      </c>
      <c r="W680" s="0" t="n">
        <v>115</v>
      </c>
      <c r="X680" s="0" t="n">
        <v>15</v>
      </c>
      <c r="Y680" s="0" t="n">
        <v>8</v>
      </c>
      <c r="Z680" s="0" t="inlineStr">
        <is>
          <t>https://new.land.naver.com/complexes/7427?tab=detail&amp;rf=Y</t>
        </is>
      </c>
      <c r="AA680" s="0" t="inlineStr">
        <is>
          <t>충청북도 청주시 흥덕구 신봉동 35-1</t>
        </is>
      </c>
      <c r="AB680" s="0" t="inlineStr">
        <is>
          <t>충청북도</t>
        </is>
      </c>
      <c r="AC680" s="0" t="inlineStr">
        <is>
          <t>청주시</t>
        </is>
      </c>
      <c r="AD680" s="0" t="inlineStr">
        <is>
          <t>흥덕구</t>
        </is>
      </c>
      <c r="AE680" s="0" t="inlineStr">
        <is>
          <t>신봉동</t>
        </is>
      </c>
      <c r="AG680" s="0" t="inlineStr">
        <is>
          <t>충청북도 청주시 흥덕구 사운로324번길 14</t>
        </is>
      </c>
      <c r="AH680" s="0" t="n">
        <v>0</v>
      </c>
      <c r="AI680" s="0" t="n">
        <v>0</v>
      </c>
      <c r="AJ680" s="0" t="n">
        <v>0</v>
      </c>
      <c r="AK680" s="0" t="n">
        <v>207</v>
      </c>
      <c r="AL680" s="0" t="n">
        <v>0.85</v>
      </c>
    </row>
    <row r="681">
      <c r="A681" s="0" t="inlineStr">
        <is>
          <t>[신봉동]</t>
        </is>
      </c>
      <c r="B681" s="0" t="n">
        <v>26213</v>
      </c>
      <c r="C681" s="0" t="n">
        <v>1</v>
      </c>
      <c r="D681" s="0" t="inlineStr">
        <is>
          <t>청주신봉우림필유</t>
        </is>
      </c>
      <c r="E681" s="0" t="inlineStr">
        <is>
          <t>2007.10.</t>
        </is>
      </c>
      <c r="F681" s="0" t="n">
        <v>427</v>
      </c>
      <c r="G681" s="0" t="n">
        <v>33.02</v>
      </c>
      <c r="H681" s="0" t="n">
        <v>109.17</v>
      </c>
      <c r="I681" s="0" t="n">
        <v>25.68</v>
      </c>
      <c r="J681" s="0" t="n">
        <v>84.90000000000001</v>
      </c>
      <c r="K681" s="0" t="n">
        <v>173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109</v>
      </c>
      <c r="X681" s="0" t="n">
        <v>15</v>
      </c>
      <c r="Y681" s="0" t="n">
        <v>12</v>
      </c>
      <c r="Z681" s="0" t="inlineStr">
        <is>
          <t>https://new.land.naver.com/complexes/26213?tab=detail&amp;rf=Y</t>
        </is>
      </c>
      <c r="AA681" s="0" t="inlineStr">
        <is>
          <t>충청북도 청주시 흥덕구 신봉동 177</t>
        </is>
      </c>
      <c r="AB681" s="0" t="inlineStr">
        <is>
          <t>충청북도</t>
        </is>
      </c>
      <c r="AC681" s="0" t="inlineStr">
        <is>
          <t>청주시</t>
        </is>
      </c>
      <c r="AD681" s="0" t="inlineStr">
        <is>
          <t>흥덕구</t>
        </is>
      </c>
      <c r="AE681" s="0" t="inlineStr">
        <is>
          <t>신봉동</t>
        </is>
      </c>
      <c r="AG681" s="0" t="inlineStr">
        <is>
          <t>충청북도 청주시 흥덕구 사운로359번길 13</t>
        </is>
      </c>
      <c r="AH681" s="0" t="n">
        <v>0</v>
      </c>
      <c r="AI681" s="0" t="n">
        <v>204</v>
      </c>
      <c r="AJ681" s="0" t="n">
        <v>18</v>
      </c>
      <c r="AK681" s="0" t="n">
        <v>684</v>
      </c>
      <c r="AL681" s="0" t="n">
        <v>1.6</v>
      </c>
    </row>
    <row r="682">
      <c r="A682" s="0" t="inlineStr">
        <is>
          <t>[신봉동]</t>
        </is>
      </c>
      <c r="B682" s="0" t="n">
        <v>26213</v>
      </c>
      <c r="C682" s="0" t="n">
        <v>2</v>
      </c>
      <c r="D682" s="0" t="inlineStr">
        <is>
          <t>청주신봉우림필유</t>
        </is>
      </c>
      <c r="E682" s="0" t="inlineStr">
        <is>
          <t>2007.10.</t>
        </is>
      </c>
      <c r="F682" s="0" t="n">
        <v>427</v>
      </c>
      <c r="G682" s="0" t="n">
        <v>39.87</v>
      </c>
      <c r="H682" s="0" t="n">
        <v>131.83</v>
      </c>
      <c r="I682" s="0" t="n">
        <v>32.27</v>
      </c>
      <c r="J682" s="0" t="n">
        <v>106.68</v>
      </c>
      <c r="K682" s="0" t="n">
        <v>84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131</v>
      </c>
      <c r="X682" s="0" t="n">
        <v>15</v>
      </c>
      <c r="Y682" s="0" t="n">
        <v>12</v>
      </c>
      <c r="Z682" s="0" t="inlineStr">
        <is>
          <t>https://new.land.naver.com/complexes/26213?tab=detail&amp;rf=Y</t>
        </is>
      </c>
      <c r="AA682" s="0" t="inlineStr">
        <is>
          <t>충청북도 청주시 흥덕구 신봉동 177</t>
        </is>
      </c>
      <c r="AB682" s="0" t="inlineStr">
        <is>
          <t>충청북도</t>
        </is>
      </c>
      <c r="AC682" s="0" t="inlineStr">
        <is>
          <t>청주시</t>
        </is>
      </c>
      <c r="AD682" s="0" t="inlineStr">
        <is>
          <t>흥덕구</t>
        </is>
      </c>
      <c r="AE682" s="0" t="inlineStr">
        <is>
          <t>신봉동</t>
        </is>
      </c>
      <c r="AG682" s="0" t="inlineStr">
        <is>
          <t>충청북도 청주시 흥덕구 사운로359번길 13</t>
        </is>
      </c>
      <c r="AH682" s="0" t="n">
        <v>0</v>
      </c>
      <c r="AI682" s="0" t="n">
        <v>204</v>
      </c>
      <c r="AJ682" s="0" t="n">
        <v>18</v>
      </c>
      <c r="AK682" s="0" t="n">
        <v>684</v>
      </c>
      <c r="AL682" s="0" t="n">
        <v>1.6</v>
      </c>
    </row>
    <row r="683">
      <c r="A683" s="0" t="inlineStr">
        <is>
          <t>[신봉동]</t>
        </is>
      </c>
      <c r="B683" s="0" t="n">
        <v>26213</v>
      </c>
      <c r="C683" s="0" t="n">
        <v>3</v>
      </c>
      <c r="D683" s="0" t="inlineStr">
        <is>
          <t>청주신봉우림필유</t>
        </is>
      </c>
      <c r="E683" s="0" t="inlineStr">
        <is>
          <t>2007.10.</t>
        </is>
      </c>
      <c r="F683" s="0" t="n">
        <v>427</v>
      </c>
      <c r="G683" s="0" t="n">
        <v>49.05</v>
      </c>
      <c r="H683" s="0" t="n">
        <v>162.18</v>
      </c>
      <c r="I683" s="0" t="n">
        <v>40.02</v>
      </c>
      <c r="J683" s="0" t="n">
        <v>132.32</v>
      </c>
      <c r="K683" s="0" t="n">
        <v>170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162</v>
      </c>
      <c r="X683" s="0" t="n">
        <v>15</v>
      </c>
      <c r="Y683" s="0" t="n">
        <v>12</v>
      </c>
      <c r="Z683" s="0" t="inlineStr">
        <is>
          <t>https://new.land.naver.com/complexes/26213?tab=detail&amp;rf=Y</t>
        </is>
      </c>
      <c r="AA683" s="0" t="inlineStr">
        <is>
          <t>충청북도 청주시 흥덕구 신봉동 177</t>
        </is>
      </c>
      <c r="AB683" s="0" t="inlineStr">
        <is>
          <t>충청북도</t>
        </is>
      </c>
      <c r="AC683" s="0" t="inlineStr">
        <is>
          <t>청주시</t>
        </is>
      </c>
      <c r="AD683" s="0" t="inlineStr">
        <is>
          <t>흥덕구</t>
        </is>
      </c>
      <c r="AE683" s="0" t="inlineStr">
        <is>
          <t>신봉동</t>
        </is>
      </c>
      <c r="AG683" s="0" t="inlineStr">
        <is>
          <t>충청북도 청주시 흥덕구 사운로359번길 13</t>
        </is>
      </c>
      <c r="AH683" s="0" t="n">
        <v>0</v>
      </c>
      <c r="AI683" s="0" t="n">
        <v>204</v>
      </c>
      <c r="AJ683" s="0" t="n">
        <v>18</v>
      </c>
      <c r="AK683" s="0" t="n">
        <v>684</v>
      </c>
      <c r="AL683" s="0" t="n">
        <v>1.6</v>
      </c>
    </row>
    <row r="684">
      <c r="A684" s="0" t="inlineStr">
        <is>
          <t>[신봉동]</t>
        </is>
      </c>
      <c r="B684" s="0" t="n">
        <v>15475</v>
      </c>
      <c r="C684" s="0" t="n">
        <v>1</v>
      </c>
      <c r="D684" s="0" t="inlineStr">
        <is>
          <t>한성</t>
        </is>
      </c>
      <c r="E684" s="0" t="inlineStr">
        <is>
          <t>1987.07.</t>
        </is>
      </c>
      <c r="F684" s="0" t="n">
        <v>290</v>
      </c>
      <c r="G684" s="0" t="n">
        <v>17.01</v>
      </c>
      <c r="H684" s="0" t="n">
        <v>56.26</v>
      </c>
      <c r="I684" s="0" t="n">
        <v>15.38</v>
      </c>
      <c r="J684" s="0" t="n">
        <v>50.86</v>
      </c>
      <c r="K684" s="0" t="n">
        <v>100</v>
      </c>
      <c r="T684" s="0" t="n">
        <v>2</v>
      </c>
      <c r="U684" s="0" t="n">
        <v>1</v>
      </c>
      <c r="V684" s="0" t="inlineStr">
        <is>
          <t>계단식</t>
        </is>
      </c>
      <c r="W684" s="0" t="n">
        <v>56</v>
      </c>
      <c r="X684" s="0" t="n">
        <v>5</v>
      </c>
      <c r="Y684" s="0" t="n">
        <v>5</v>
      </c>
      <c r="Z684" s="0" t="inlineStr">
        <is>
          <t>https://new.land.naver.com/complexes/15475?tab=detail&amp;rf=Y</t>
        </is>
      </c>
      <c r="AA684" s="0" t="inlineStr">
        <is>
          <t>충청북도 청주시 흥덕구 신봉동 529</t>
        </is>
      </c>
      <c r="AB684" s="0" t="inlineStr">
        <is>
          <t>충청북도</t>
        </is>
      </c>
      <c r="AC684" s="0" t="inlineStr">
        <is>
          <t>청주시</t>
        </is>
      </c>
      <c r="AD684" s="0" t="inlineStr">
        <is>
          <t>흥덕구</t>
        </is>
      </c>
      <c r="AE684" s="0" t="inlineStr">
        <is>
          <t>신봉동</t>
        </is>
      </c>
      <c r="AG684" s="0" t="inlineStr">
        <is>
          <t>충청북도 청주시 흥덕구 1순환로 451</t>
        </is>
      </c>
      <c r="AH684" s="0" t="n">
        <v>0</v>
      </c>
      <c r="AI684" s="0" t="n">
        <v>0</v>
      </c>
      <c r="AJ684" s="0" t="n">
        <v>0</v>
      </c>
      <c r="AK684" s="0" t="n">
        <v>0</v>
      </c>
      <c r="AL684" s="0" t="n">
        <v>0</v>
      </c>
    </row>
    <row r="685">
      <c r="A685" s="0" t="inlineStr">
        <is>
          <t>[신봉동]</t>
        </is>
      </c>
      <c r="B685" s="0" t="n">
        <v>15475</v>
      </c>
      <c r="C685" s="0" t="n">
        <v>2</v>
      </c>
      <c r="D685" s="0" t="inlineStr">
        <is>
          <t>한성</t>
        </is>
      </c>
      <c r="E685" s="0" t="inlineStr">
        <is>
          <t>1987.07.</t>
        </is>
      </c>
      <c r="F685" s="0" t="n">
        <v>290</v>
      </c>
      <c r="G685" s="0" t="n">
        <v>18.15</v>
      </c>
      <c r="H685" s="0" t="n">
        <v>60.03</v>
      </c>
      <c r="I685" s="0" t="n">
        <v>16.52</v>
      </c>
      <c r="J685" s="0" t="n">
        <v>54.63</v>
      </c>
      <c r="K685" s="0" t="n">
        <v>190</v>
      </c>
      <c r="T685" s="0" t="n">
        <v>2</v>
      </c>
      <c r="U685" s="0" t="n">
        <v>1</v>
      </c>
      <c r="V685" s="0" t="inlineStr">
        <is>
          <t>계단식</t>
        </is>
      </c>
      <c r="W685" s="0" t="n">
        <v>60</v>
      </c>
      <c r="X685" s="0" t="n">
        <v>5</v>
      </c>
      <c r="Y685" s="0" t="n">
        <v>5</v>
      </c>
      <c r="Z685" s="0" t="inlineStr">
        <is>
          <t>https://new.land.naver.com/complexes/15475?tab=detail&amp;rf=Y</t>
        </is>
      </c>
      <c r="AA685" s="0" t="inlineStr">
        <is>
          <t>충청북도 청주시 흥덕구 신봉동 529</t>
        </is>
      </c>
      <c r="AB685" s="0" t="inlineStr">
        <is>
          <t>충청북도</t>
        </is>
      </c>
      <c r="AC685" s="0" t="inlineStr">
        <is>
          <t>청주시</t>
        </is>
      </c>
      <c r="AD685" s="0" t="inlineStr">
        <is>
          <t>흥덕구</t>
        </is>
      </c>
      <c r="AE685" s="0" t="inlineStr">
        <is>
          <t>신봉동</t>
        </is>
      </c>
      <c r="AG685" s="0" t="inlineStr">
        <is>
          <t>충청북도 청주시 흥덕구 1순환로 451</t>
        </is>
      </c>
      <c r="AH685" s="0" t="n">
        <v>0</v>
      </c>
      <c r="AI685" s="0" t="n">
        <v>0</v>
      </c>
      <c r="AJ685" s="0" t="n">
        <v>0</v>
      </c>
      <c r="AK685" s="0" t="n">
        <v>0</v>
      </c>
      <c r="AL685" s="0" t="n">
        <v>0</v>
      </c>
    </row>
    <row r="686">
      <c r="A686" s="0" t="inlineStr">
        <is>
          <t>[신봉동]</t>
        </is>
      </c>
      <c r="B686" s="0" t="n">
        <v>109147</v>
      </c>
      <c r="C686" s="0" t="n">
        <v>1</v>
      </c>
      <c r="D686" s="0" t="inlineStr">
        <is>
          <t>삼성(167)</t>
        </is>
      </c>
      <c r="E686" s="0" t="inlineStr">
        <is>
          <t>1990.09.</t>
        </is>
      </c>
      <c r="F686" s="0" t="n">
        <v>72</v>
      </c>
      <c r="G686" s="0" t="n">
        <v>33.2</v>
      </c>
      <c r="H686" s="0" t="n">
        <v>109.78</v>
      </c>
      <c r="I686" s="0" t="n">
        <v>25.7</v>
      </c>
      <c r="J686" s="0" t="n">
        <v>84.95999999999999</v>
      </c>
      <c r="K686" s="0" t="n">
        <v>54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109</v>
      </c>
      <c r="X686" s="0" t="n">
        <v>9</v>
      </c>
      <c r="Y686" s="0" t="n">
        <v>9</v>
      </c>
      <c r="Z686" s="0" t="inlineStr">
        <is>
          <t>https://new.land.naver.com/complexes/109147?tab=detail&amp;rf=Y</t>
        </is>
      </c>
      <c r="AA686" s="0" t="inlineStr">
        <is>
          <t>충청북도 청주시 흥덕구 신봉동 167</t>
        </is>
      </c>
      <c r="AB686" s="0" t="inlineStr">
        <is>
          <t>충청북도</t>
        </is>
      </c>
      <c r="AC686" s="0" t="inlineStr">
        <is>
          <t>청주시</t>
        </is>
      </c>
      <c r="AD686" s="0" t="inlineStr">
        <is>
          <t>흥덕구</t>
        </is>
      </c>
      <c r="AE686" s="0" t="inlineStr">
        <is>
          <t>신봉동</t>
        </is>
      </c>
      <c r="AG686" s="0" t="inlineStr">
        <is>
          <t>충청북도 청주시 흥덕구 사운로 318</t>
        </is>
      </c>
      <c r="AH686" s="0" t="n">
        <v>0</v>
      </c>
      <c r="AI686" s="0" t="n">
        <v>0</v>
      </c>
      <c r="AJ686" s="0" t="n">
        <v>0</v>
      </c>
      <c r="AK686" s="0" t="n">
        <v>0</v>
      </c>
      <c r="AL686" s="0" t="n">
        <v>0</v>
      </c>
    </row>
    <row r="687">
      <c r="A687" s="0" t="inlineStr">
        <is>
          <t>[신봉동]</t>
        </is>
      </c>
      <c r="B687" s="0" t="n">
        <v>109147</v>
      </c>
      <c r="C687" s="0" t="n">
        <v>2</v>
      </c>
      <c r="D687" s="0" t="inlineStr">
        <is>
          <t>삼성(167)</t>
        </is>
      </c>
      <c r="E687" s="0" t="inlineStr">
        <is>
          <t>1990.09.</t>
        </is>
      </c>
      <c r="F687" s="0" t="n">
        <v>72</v>
      </c>
      <c r="G687" s="0" t="n">
        <v>44.89</v>
      </c>
      <c r="H687" s="0" t="n">
        <v>148.41</v>
      </c>
      <c r="I687" s="0" t="n">
        <v>36.02</v>
      </c>
      <c r="J687" s="0" t="n">
        <v>119.08</v>
      </c>
      <c r="K687" s="0" t="n">
        <v>18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148</v>
      </c>
      <c r="X687" s="0" t="n">
        <v>9</v>
      </c>
      <c r="Y687" s="0" t="n">
        <v>9</v>
      </c>
      <c r="Z687" s="0" t="inlineStr">
        <is>
          <t>https://new.land.naver.com/complexes/109147?tab=detail&amp;rf=Y</t>
        </is>
      </c>
      <c r="AA687" s="0" t="inlineStr">
        <is>
          <t>충청북도 청주시 흥덕구 신봉동 167</t>
        </is>
      </c>
      <c r="AB687" s="0" t="inlineStr">
        <is>
          <t>충청북도</t>
        </is>
      </c>
      <c r="AC687" s="0" t="inlineStr">
        <is>
          <t>청주시</t>
        </is>
      </c>
      <c r="AD687" s="0" t="inlineStr">
        <is>
          <t>흥덕구</t>
        </is>
      </c>
      <c r="AE687" s="0" t="inlineStr">
        <is>
          <t>신봉동</t>
        </is>
      </c>
      <c r="AG687" s="0" t="inlineStr">
        <is>
          <t>충청북도 청주시 흥덕구 사운로 318</t>
        </is>
      </c>
      <c r="AH687" s="0" t="n">
        <v>0</v>
      </c>
      <c r="AI687" s="0" t="n">
        <v>0</v>
      </c>
      <c r="AJ687" s="0" t="n">
        <v>0</v>
      </c>
      <c r="AK687" s="0" t="n">
        <v>0</v>
      </c>
      <c r="AL687" s="0" t="n">
        <v>0</v>
      </c>
    </row>
    <row r="688">
      <c r="A688" s="0" t="inlineStr">
        <is>
          <t>[신봉동]</t>
        </is>
      </c>
      <c r="B688" s="0" t="n">
        <v>7438</v>
      </c>
      <c r="C688" s="0" t="n">
        <v>1</v>
      </c>
      <c r="D688" s="0" t="inlineStr">
        <is>
          <t>주공</t>
        </is>
      </c>
      <c r="E688" s="0" t="inlineStr">
        <is>
          <t>1986.11.</t>
        </is>
      </c>
      <c r="F688" s="0" t="n">
        <v>1200</v>
      </c>
      <c r="G688" s="0" t="n">
        <v>13.45</v>
      </c>
      <c r="H688" s="0" t="n">
        <v>44.47</v>
      </c>
      <c r="I688" s="0" t="n">
        <v>11.93</v>
      </c>
      <c r="J688" s="0" t="n">
        <v>39.45</v>
      </c>
      <c r="K688" s="0" t="n">
        <v>5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44</v>
      </c>
      <c r="X688" s="0" t="n">
        <v>5</v>
      </c>
      <c r="Y688" s="0" t="n">
        <v>5</v>
      </c>
      <c r="Z688" s="0" t="inlineStr">
        <is>
          <t>https://new.land.naver.com/complexes/7438?tab=detail&amp;rf=Y</t>
        </is>
      </c>
      <c r="AA688" s="0" t="inlineStr">
        <is>
          <t>충청북도 청주시 흥덕구 신봉동 528</t>
        </is>
      </c>
      <c r="AB688" s="0" t="inlineStr">
        <is>
          <t>충청북도</t>
        </is>
      </c>
      <c r="AC688" s="0" t="inlineStr">
        <is>
          <t>청주시</t>
        </is>
      </c>
      <c r="AD688" s="0" t="inlineStr">
        <is>
          <t>흥덕구</t>
        </is>
      </c>
      <c r="AE688" s="0" t="inlineStr">
        <is>
          <t>신봉동</t>
        </is>
      </c>
      <c r="AG688" s="0" t="inlineStr">
        <is>
          <t>충청북도 청주시 흥덕구 1순환로501번길 15</t>
        </is>
      </c>
      <c r="AH688" s="0" t="n">
        <v>0</v>
      </c>
      <c r="AI688" s="0" t="n">
        <v>0</v>
      </c>
      <c r="AJ688" s="0" t="n">
        <v>0</v>
      </c>
      <c r="AK688" s="0" t="n">
        <v>840</v>
      </c>
      <c r="AL688" s="0" t="n">
        <v>0.7</v>
      </c>
    </row>
    <row r="689">
      <c r="A689" s="0" t="inlineStr">
        <is>
          <t>[신봉동]</t>
        </is>
      </c>
      <c r="B689" s="0" t="n">
        <v>7438</v>
      </c>
      <c r="C689" s="0" t="n">
        <v>2</v>
      </c>
      <c r="D689" s="0" t="inlineStr">
        <is>
          <t>주공</t>
        </is>
      </c>
      <c r="E689" s="0" t="inlineStr">
        <is>
          <t>1986.11.</t>
        </is>
      </c>
      <c r="F689" s="0" t="n">
        <v>1200</v>
      </c>
      <c r="G689" s="0" t="n">
        <v>13.5</v>
      </c>
      <c r="H689" s="0" t="n">
        <v>44.65</v>
      </c>
      <c r="I689" s="0" t="n">
        <v>11.98</v>
      </c>
      <c r="J689" s="0" t="n">
        <v>39.63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44A</t>
        </is>
      </c>
      <c r="X689" s="0" t="n">
        <v>5</v>
      </c>
      <c r="Y689" s="0" t="n">
        <v>5</v>
      </c>
      <c r="Z689" s="0" t="inlineStr">
        <is>
          <t>https://new.land.naver.com/complexes/7438?tab=detail&amp;rf=Y</t>
        </is>
      </c>
      <c r="AA689" s="0" t="inlineStr">
        <is>
          <t>충청북도 청주시 흥덕구 신봉동 528</t>
        </is>
      </c>
      <c r="AB689" s="0" t="inlineStr">
        <is>
          <t>충청북도</t>
        </is>
      </c>
      <c r="AC689" s="0" t="inlineStr">
        <is>
          <t>청주시</t>
        </is>
      </c>
      <c r="AD689" s="0" t="inlineStr">
        <is>
          <t>흥덕구</t>
        </is>
      </c>
      <c r="AE689" s="0" t="inlineStr">
        <is>
          <t>신봉동</t>
        </is>
      </c>
      <c r="AG689" s="0" t="inlineStr">
        <is>
          <t>충청북도 청주시 흥덕구 1순환로501번길 15</t>
        </is>
      </c>
      <c r="AH689" s="0" t="n">
        <v>0</v>
      </c>
      <c r="AI689" s="0" t="n">
        <v>0</v>
      </c>
      <c r="AJ689" s="0" t="n">
        <v>0</v>
      </c>
      <c r="AK689" s="0" t="n">
        <v>840</v>
      </c>
      <c r="AL689" s="0" t="n">
        <v>0.7</v>
      </c>
    </row>
    <row r="690">
      <c r="A690" s="0" t="inlineStr">
        <is>
          <t>[신봉동]</t>
        </is>
      </c>
      <c r="B690" s="0" t="n">
        <v>7438</v>
      </c>
      <c r="C690" s="0" t="n">
        <v>3</v>
      </c>
      <c r="D690" s="0" t="inlineStr">
        <is>
          <t>주공</t>
        </is>
      </c>
      <c r="E690" s="0" t="inlineStr">
        <is>
          <t>1986.11.</t>
        </is>
      </c>
      <c r="F690" s="0" t="n">
        <v>1200</v>
      </c>
      <c r="G690" s="0" t="n">
        <v>13.64</v>
      </c>
      <c r="H690" s="0" t="n">
        <v>45.12</v>
      </c>
      <c r="I690" s="0" t="n">
        <v>12.01</v>
      </c>
      <c r="J690" s="0" t="n">
        <v>39.72</v>
      </c>
      <c r="K690" s="0" t="n">
        <v>390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45B</t>
        </is>
      </c>
      <c r="X690" s="0" t="n">
        <v>5</v>
      </c>
      <c r="Y690" s="0" t="n">
        <v>5</v>
      </c>
      <c r="Z690" s="0" t="inlineStr">
        <is>
          <t>https://new.land.naver.com/complexes/7438?tab=detail&amp;rf=Y</t>
        </is>
      </c>
      <c r="AA690" s="0" t="inlineStr">
        <is>
          <t>충청북도 청주시 흥덕구 신봉동 528</t>
        </is>
      </c>
      <c r="AB690" s="0" t="inlineStr">
        <is>
          <t>충청북도</t>
        </is>
      </c>
      <c r="AC690" s="0" t="inlineStr">
        <is>
          <t>청주시</t>
        </is>
      </c>
      <c r="AD690" s="0" t="inlineStr">
        <is>
          <t>흥덕구</t>
        </is>
      </c>
      <c r="AE690" s="0" t="inlineStr">
        <is>
          <t>신봉동</t>
        </is>
      </c>
      <c r="AG690" s="0" t="inlineStr">
        <is>
          <t>충청북도 청주시 흥덕구 1순환로501번길 15</t>
        </is>
      </c>
      <c r="AH690" s="0" t="n">
        <v>0</v>
      </c>
      <c r="AI690" s="0" t="n">
        <v>0</v>
      </c>
      <c r="AJ690" s="0" t="n">
        <v>0</v>
      </c>
      <c r="AK690" s="0" t="n">
        <v>840</v>
      </c>
      <c r="AL690" s="0" t="n">
        <v>0.7</v>
      </c>
    </row>
    <row r="691">
      <c r="A691" s="0" t="inlineStr">
        <is>
          <t>[신봉동]</t>
        </is>
      </c>
      <c r="B691" s="0" t="n">
        <v>7438</v>
      </c>
      <c r="C691" s="0" t="n">
        <v>4</v>
      </c>
      <c r="D691" s="0" t="inlineStr">
        <is>
          <t>주공</t>
        </is>
      </c>
      <c r="E691" s="0" t="inlineStr">
        <is>
          <t>1986.11.</t>
        </is>
      </c>
      <c r="F691" s="0" t="n">
        <v>1200</v>
      </c>
      <c r="G691" s="0" t="n">
        <v>15.88</v>
      </c>
      <c r="H691" s="0" t="n">
        <v>52.5</v>
      </c>
      <c r="I691" s="0" t="n">
        <v>14.24</v>
      </c>
      <c r="J691" s="0" t="n">
        <v>47.1</v>
      </c>
      <c r="K691" s="0" t="n">
        <v>151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52B</t>
        </is>
      </c>
      <c r="X691" s="0" t="n">
        <v>5</v>
      </c>
      <c r="Y691" s="0" t="n">
        <v>5</v>
      </c>
      <c r="Z691" s="0" t="inlineStr">
        <is>
          <t>https://new.land.naver.com/complexes/7438?tab=detail&amp;rf=Y</t>
        </is>
      </c>
      <c r="AA691" s="0" t="inlineStr">
        <is>
          <t>충청북도 청주시 흥덕구 신봉동 528</t>
        </is>
      </c>
      <c r="AB691" s="0" t="inlineStr">
        <is>
          <t>충청북도</t>
        </is>
      </c>
      <c r="AC691" s="0" t="inlineStr">
        <is>
          <t>청주시</t>
        </is>
      </c>
      <c r="AD691" s="0" t="inlineStr">
        <is>
          <t>흥덕구</t>
        </is>
      </c>
      <c r="AE691" s="0" t="inlineStr">
        <is>
          <t>신봉동</t>
        </is>
      </c>
      <c r="AG691" s="0" t="inlineStr">
        <is>
          <t>충청북도 청주시 흥덕구 1순환로501번길 15</t>
        </is>
      </c>
      <c r="AH691" s="0" t="n">
        <v>0</v>
      </c>
      <c r="AI691" s="0" t="n">
        <v>0</v>
      </c>
      <c r="AJ691" s="0" t="n">
        <v>0</v>
      </c>
      <c r="AK691" s="0" t="n">
        <v>840</v>
      </c>
      <c r="AL691" s="0" t="n">
        <v>0.7</v>
      </c>
    </row>
    <row r="692">
      <c r="A692" s="0" t="inlineStr">
        <is>
          <t>[신봉동]</t>
        </is>
      </c>
      <c r="B692" s="0" t="n">
        <v>7438</v>
      </c>
      <c r="C692" s="0" t="n">
        <v>5</v>
      </c>
      <c r="D692" s="0" t="inlineStr">
        <is>
          <t>주공</t>
        </is>
      </c>
      <c r="E692" s="0" t="inlineStr">
        <is>
          <t>1986.11.</t>
        </is>
      </c>
      <c r="F692" s="0" t="n">
        <v>1200</v>
      </c>
      <c r="G692" s="0" t="n">
        <v>15.77</v>
      </c>
      <c r="H692" s="0" t="n">
        <v>52.14</v>
      </c>
      <c r="I692" s="0" t="n">
        <v>14.13</v>
      </c>
      <c r="J692" s="0" t="n">
        <v>46.74</v>
      </c>
      <c r="K692" s="0" t="n">
        <v>80</v>
      </c>
      <c r="T692" s="0" t="n">
        <v>2</v>
      </c>
      <c r="U692" s="0" t="n">
        <v>1</v>
      </c>
      <c r="V692" s="0" t="inlineStr">
        <is>
          <t>계단식</t>
        </is>
      </c>
      <c r="W692" s="0" t="inlineStr">
        <is>
          <t>52A</t>
        </is>
      </c>
      <c r="X692" s="0" t="n">
        <v>5</v>
      </c>
      <c r="Y692" s="0" t="n">
        <v>5</v>
      </c>
      <c r="Z692" s="0" t="inlineStr">
        <is>
          <t>https://new.land.naver.com/complexes/7438?tab=detail&amp;rf=Y</t>
        </is>
      </c>
      <c r="AA692" s="0" t="inlineStr">
        <is>
          <t>충청북도 청주시 흥덕구 신봉동 528</t>
        </is>
      </c>
      <c r="AB692" s="0" t="inlineStr">
        <is>
          <t>충청북도</t>
        </is>
      </c>
      <c r="AC692" s="0" t="inlineStr">
        <is>
          <t>청주시</t>
        </is>
      </c>
      <c r="AD692" s="0" t="inlineStr">
        <is>
          <t>흥덕구</t>
        </is>
      </c>
      <c r="AE692" s="0" t="inlineStr">
        <is>
          <t>신봉동</t>
        </is>
      </c>
      <c r="AG692" s="0" t="inlineStr">
        <is>
          <t>충청북도 청주시 흥덕구 1순환로501번길 15</t>
        </is>
      </c>
      <c r="AH692" s="0" t="n">
        <v>0</v>
      </c>
      <c r="AI692" s="0" t="n">
        <v>0</v>
      </c>
      <c r="AJ692" s="0" t="n">
        <v>0</v>
      </c>
      <c r="AK692" s="0" t="n">
        <v>840</v>
      </c>
      <c r="AL692" s="0" t="n">
        <v>0.7</v>
      </c>
    </row>
    <row r="693">
      <c r="A693" s="0" t="inlineStr">
        <is>
          <t>[신봉동]</t>
        </is>
      </c>
      <c r="B693" s="0" t="n">
        <v>7438</v>
      </c>
      <c r="C693" s="0" t="n">
        <v>6</v>
      </c>
      <c r="D693" s="0" t="inlineStr">
        <is>
          <t>주공</t>
        </is>
      </c>
      <c r="E693" s="0" t="inlineStr">
        <is>
          <t>1986.11.</t>
        </is>
      </c>
      <c r="F693" s="0" t="n">
        <v>1200</v>
      </c>
      <c r="G693" s="0" t="n">
        <v>15.96</v>
      </c>
      <c r="H693" s="0" t="n">
        <v>52.79</v>
      </c>
      <c r="I693" s="0" t="n">
        <v>14.16</v>
      </c>
      <c r="J693" s="0" t="n">
        <v>46.83</v>
      </c>
      <c r="K693" s="0" t="n">
        <v>4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52C</t>
        </is>
      </c>
      <c r="X693" s="0" t="n">
        <v>5</v>
      </c>
      <c r="Y693" s="0" t="n">
        <v>5</v>
      </c>
      <c r="Z693" s="0" t="inlineStr">
        <is>
          <t>https://new.land.naver.com/complexes/7438?tab=detail&amp;rf=Y</t>
        </is>
      </c>
      <c r="AA693" s="0" t="inlineStr">
        <is>
          <t>충청북도 청주시 흥덕구 신봉동 528</t>
        </is>
      </c>
      <c r="AB693" s="0" t="inlineStr">
        <is>
          <t>충청북도</t>
        </is>
      </c>
      <c r="AC693" s="0" t="inlineStr">
        <is>
          <t>청주시</t>
        </is>
      </c>
      <c r="AD693" s="0" t="inlineStr">
        <is>
          <t>흥덕구</t>
        </is>
      </c>
      <c r="AE693" s="0" t="inlineStr">
        <is>
          <t>신봉동</t>
        </is>
      </c>
      <c r="AG693" s="0" t="inlineStr">
        <is>
          <t>충청북도 청주시 흥덕구 1순환로501번길 15</t>
        </is>
      </c>
      <c r="AH693" s="0" t="n">
        <v>0</v>
      </c>
      <c r="AI693" s="0" t="n">
        <v>0</v>
      </c>
      <c r="AJ693" s="0" t="n">
        <v>0</v>
      </c>
      <c r="AK693" s="0" t="n">
        <v>840</v>
      </c>
      <c r="AL693" s="0" t="n">
        <v>0.7</v>
      </c>
    </row>
    <row r="694">
      <c r="A694" s="0" t="inlineStr">
        <is>
          <t>[신봉동]</t>
        </is>
      </c>
      <c r="B694" s="0" t="n">
        <v>7438</v>
      </c>
      <c r="C694" s="0" t="n">
        <v>7</v>
      </c>
      <c r="D694" s="0" t="inlineStr">
        <is>
          <t>주공</t>
        </is>
      </c>
      <c r="E694" s="0" t="inlineStr">
        <is>
          <t>1986.11.</t>
        </is>
      </c>
      <c r="F694" s="0" t="n">
        <v>1200</v>
      </c>
      <c r="G694" s="0" t="n">
        <v>17.81</v>
      </c>
      <c r="H694" s="0" t="n">
        <v>58.88</v>
      </c>
      <c r="I694" s="0" t="n">
        <v>16.28</v>
      </c>
      <c r="J694" s="0" t="n">
        <v>53.85</v>
      </c>
      <c r="K694" s="0" t="n">
        <v>306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58A</t>
        </is>
      </c>
      <c r="X694" s="0" t="n">
        <v>5</v>
      </c>
      <c r="Y694" s="0" t="n">
        <v>5</v>
      </c>
      <c r="Z694" s="0" t="inlineStr">
        <is>
          <t>https://new.land.naver.com/complexes/7438?tab=detail&amp;rf=Y</t>
        </is>
      </c>
      <c r="AA694" s="0" t="inlineStr">
        <is>
          <t>충청북도 청주시 흥덕구 신봉동 528</t>
        </is>
      </c>
      <c r="AB694" s="0" t="inlineStr">
        <is>
          <t>충청북도</t>
        </is>
      </c>
      <c r="AC694" s="0" t="inlineStr">
        <is>
          <t>청주시</t>
        </is>
      </c>
      <c r="AD694" s="0" t="inlineStr">
        <is>
          <t>흥덕구</t>
        </is>
      </c>
      <c r="AE694" s="0" t="inlineStr">
        <is>
          <t>신봉동</t>
        </is>
      </c>
      <c r="AG694" s="0" t="inlineStr">
        <is>
          <t>충청북도 청주시 흥덕구 1순환로501번길 15</t>
        </is>
      </c>
      <c r="AH694" s="0" t="n">
        <v>0</v>
      </c>
      <c r="AI694" s="0" t="n">
        <v>0</v>
      </c>
      <c r="AJ694" s="0" t="n">
        <v>0</v>
      </c>
      <c r="AK694" s="0" t="n">
        <v>840</v>
      </c>
      <c r="AL694" s="0" t="n">
        <v>0.7</v>
      </c>
    </row>
    <row r="695">
      <c r="A695" s="0" t="inlineStr">
        <is>
          <t>[신봉동]</t>
        </is>
      </c>
      <c r="B695" s="0" t="n">
        <v>7438</v>
      </c>
      <c r="C695" s="0" t="n">
        <v>8</v>
      </c>
      <c r="D695" s="0" t="inlineStr">
        <is>
          <t>주공</t>
        </is>
      </c>
      <c r="E695" s="0" t="inlineStr">
        <is>
          <t>1986.11.</t>
        </is>
      </c>
      <c r="F695" s="0" t="n">
        <v>1200</v>
      </c>
      <c r="G695" s="0" t="n">
        <v>17.95</v>
      </c>
      <c r="H695" s="0" t="n">
        <v>59.35</v>
      </c>
      <c r="I695" s="0" t="n">
        <v>16.32</v>
      </c>
      <c r="J695" s="0" t="n">
        <v>53.97</v>
      </c>
      <c r="K695" s="0" t="n">
        <v>2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59B</t>
        </is>
      </c>
      <c r="X695" s="0" t="n">
        <v>5</v>
      </c>
      <c r="Y695" s="0" t="n">
        <v>5</v>
      </c>
      <c r="Z695" s="0" t="inlineStr">
        <is>
          <t>https://new.land.naver.com/complexes/7438?tab=detail&amp;rf=Y</t>
        </is>
      </c>
      <c r="AA695" s="0" t="inlineStr">
        <is>
          <t>충청북도 청주시 흥덕구 신봉동 528</t>
        </is>
      </c>
      <c r="AB695" s="0" t="inlineStr">
        <is>
          <t>충청북도</t>
        </is>
      </c>
      <c r="AC695" s="0" t="inlineStr">
        <is>
          <t>청주시</t>
        </is>
      </c>
      <c r="AD695" s="0" t="inlineStr">
        <is>
          <t>흥덕구</t>
        </is>
      </c>
      <c r="AE695" s="0" t="inlineStr">
        <is>
          <t>신봉동</t>
        </is>
      </c>
      <c r="AG695" s="0" t="inlineStr">
        <is>
          <t>충청북도 청주시 흥덕구 1순환로501번길 15</t>
        </is>
      </c>
      <c r="AH695" s="0" t="n">
        <v>0</v>
      </c>
      <c r="AI695" s="0" t="n">
        <v>0</v>
      </c>
      <c r="AJ695" s="0" t="n">
        <v>0</v>
      </c>
      <c r="AK695" s="0" t="n">
        <v>840</v>
      </c>
      <c r="AL695" s="0" t="n">
        <v>0.7</v>
      </c>
    </row>
    <row r="696">
      <c r="A696" s="0" t="inlineStr">
        <is>
          <t>[신봉동]</t>
        </is>
      </c>
      <c r="B696" s="0" t="n">
        <v>7438</v>
      </c>
      <c r="C696" s="0" t="n">
        <v>9</v>
      </c>
      <c r="D696" s="0" t="inlineStr">
        <is>
          <t>주공</t>
        </is>
      </c>
      <c r="E696" s="0" t="inlineStr">
        <is>
          <t>1986.11.</t>
        </is>
      </c>
      <c r="F696" s="0" t="n">
        <v>1200</v>
      </c>
      <c r="G696" s="0" t="n">
        <v>17.97</v>
      </c>
      <c r="H696" s="0" t="n">
        <v>59.41</v>
      </c>
      <c r="I696" s="0" t="n">
        <v>16.34</v>
      </c>
      <c r="J696" s="0" t="n">
        <v>54.02</v>
      </c>
      <c r="K696" s="0" t="n">
        <v>2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59C</t>
        </is>
      </c>
      <c r="X696" s="0" t="n">
        <v>5</v>
      </c>
      <c r="Y696" s="0" t="n">
        <v>5</v>
      </c>
      <c r="Z696" s="0" t="inlineStr">
        <is>
          <t>https://new.land.naver.com/complexes/7438?tab=detail&amp;rf=Y</t>
        </is>
      </c>
      <c r="AA696" s="0" t="inlineStr">
        <is>
          <t>충청북도 청주시 흥덕구 신봉동 528</t>
        </is>
      </c>
      <c r="AB696" s="0" t="inlineStr">
        <is>
          <t>충청북도</t>
        </is>
      </c>
      <c r="AC696" s="0" t="inlineStr">
        <is>
          <t>청주시</t>
        </is>
      </c>
      <c r="AD696" s="0" t="inlineStr">
        <is>
          <t>흥덕구</t>
        </is>
      </c>
      <c r="AE696" s="0" t="inlineStr">
        <is>
          <t>신봉동</t>
        </is>
      </c>
      <c r="AG696" s="0" t="inlineStr">
        <is>
          <t>충청북도 청주시 흥덕구 1순환로501번길 15</t>
        </is>
      </c>
      <c r="AH696" s="0" t="n">
        <v>0</v>
      </c>
      <c r="AI696" s="0" t="n">
        <v>0</v>
      </c>
      <c r="AJ696" s="0" t="n">
        <v>0</v>
      </c>
      <c r="AK696" s="0" t="n">
        <v>840</v>
      </c>
      <c r="AL696" s="0" t="n">
        <v>0.7</v>
      </c>
    </row>
    <row r="697">
      <c r="A697" s="0" t="inlineStr">
        <is>
          <t>[신봉동]</t>
        </is>
      </c>
      <c r="B697" s="0" t="n">
        <v>7438</v>
      </c>
      <c r="C697" s="0" t="n">
        <v>10</v>
      </c>
      <c r="D697" s="0" t="inlineStr">
        <is>
          <t>주공</t>
        </is>
      </c>
      <c r="E697" s="0" t="inlineStr">
        <is>
          <t>1986.11.</t>
        </is>
      </c>
      <c r="F697" s="0" t="n">
        <v>1200</v>
      </c>
      <c r="G697" s="0" t="n">
        <v>20.43</v>
      </c>
      <c r="H697" s="0" t="n">
        <v>67.54000000000001</v>
      </c>
      <c r="I697" s="0" t="n">
        <v>18.68</v>
      </c>
      <c r="J697" s="0" t="n">
        <v>61.77</v>
      </c>
      <c r="K697" s="0" t="n">
        <v>246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67B</t>
        </is>
      </c>
      <c r="X697" s="0" t="n">
        <v>5</v>
      </c>
      <c r="Y697" s="0" t="n">
        <v>5</v>
      </c>
      <c r="Z697" s="0" t="inlineStr">
        <is>
          <t>https://new.land.naver.com/complexes/7438?tab=detail&amp;rf=Y</t>
        </is>
      </c>
      <c r="AA697" s="0" t="inlineStr">
        <is>
          <t>충청북도 청주시 흥덕구 신봉동 528</t>
        </is>
      </c>
      <c r="AB697" s="0" t="inlineStr">
        <is>
          <t>충청북도</t>
        </is>
      </c>
      <c r="AC697" s="0" t="inlineStr">
        <is>
          <t>청주시</t>
        </is>
      </c>
      <c r="AD697" s="0" t="inlineStr">
        <is>
          <t>흥덕구</t>
        </is>
      </c>
      <c r="AE697" s="0" t="inlineStr">
        <is>
          <t>신봉동</t>
        </is>
      </c>
      <c r="AG697" s="0" t="inlineStr">
        <is>
          <t>충청북도 청주시 흥덕구 1순환로501번길 15</t>
        </is>
      </c>
      <c r="AH697" s="0" t="n">
        <v>0</v>
      </c>
      <c r="AI697" s="0" t="n">
        <v>0</v>
      </c>
      <c r="AJ697" s="0" t="n">
        <v>0</v>
      </c>
      <c r="AK697" s="0" t="n">
        <v>840</v>
      </c>
      <c r="AL697" s="0" t="n">
        <v>0.7</v>
      </c>
    </row>
    <row r="698">
      <c r="A698" s="0" t="inlineStr">
        <is>
          <t>[신봉동]</t>
        </is>
      </c>
      <c r="B698" s="0" t="n">
        <v>7438</v>
      </c>
      <c r="C698" s="0" t="n">
        <v>11</v>
      </c>
      <c r="D698" s="0" t="inlineStr">
        <is>
          <t>주공</t>
        </is>
      </c>
      <c r="E698" s="0" t="inlineStr">
        <is>
          <t>1986.11.</t>
        </is>
      </c>
      <c r="F698" s="0" t="n">
        <v>1200</v>
      </c>
      <c r="G698" s="0" t="n">
        <v>20.53</v>
      </c>
      <c r="H698" s="0" t="n">
        <v>67.88</v>
      </c>
      <c r="I698" s="0" t="n">
        <v>18.67</v>
      </c>
      <c r="J698" s="0" t="n">
        <v>61.72</v>
      </c>
      <c r="K698" s="0" t="n">
        <v>13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67A</t>
        </is>
      </c>
      <c r="X698" s="0" t="n">
        <v>5</v>
      </c>
      <c r="Y698" s="0" t="n">
        <v>5</v>
      </c>
      <c r="Z698" s="0" t="inlineStr">
        <is>
          <t>https://new.land.naver.com/complexes/7438?tab=detail&amp;rf=Y</t>
        </is>
      </c>
      <c r="AA698" s="0" t="inlineStr">
        <is>
          <t>충청북도 청주시 흥덕구 신봉동 528</t>
        </is>
      </c>
      <c r="AB698" s="0" t="inlineStr">
        <is>
          <t>충청북도</t>
        </is>
      </c>
      <c r="AC698" s="0" t="inlineStr">
        <is>
          <t>청주시</t>
        </is>
      </c>
      <c r="AD698" s="0" t="inlineStr">
        <is>
          <t>흥덕구</t>
        </is>
      </c>
      <c r="AE698" s="0" t="inlineStr">
        <is>
          <t>신봉동</t>
        </is>
      </c>
      <c r="AG698" s="0" t="inlineStr">
        <is>
          <t>충청북도 청주시 흥덕구 1순환로501번길 15</t>
        </is>
      </c>
      <c r="AH698" s="0" t="n">
        <v>0</v>
      </c>
      <c r="AI698" s="0" t="n">
        <v>0</v>
      </c>
      <c r="AJ698" s="0" t="n">
        <v>0</v>
      </c>
      <c r="AK698" s="0" t="n">
        <v>840</v>
      </c>
      <c r="AL698" s="0" t="n">
        <v>0.7</v>
      </c>
    </row>
    <row r="699">
      <c r="A699" s="0" t="inlineStr">
        <is>
          <t>[신봉동]</t>
        </is>
      </c>
      <c r="B699" s="0" t="n">
        <v>13906</v>
      </c>
      <c r="C699" s="0" t="n">
        <v>1</v>
      </c>
      <c r="D699" s="0" t="inlineStr">
        <is>
          <t>삼정백조</t>
        </is>
      </c>
      <c r="E699" s="0" t="inlineStr">
        <is>
          <t>1995.07.</t>
        </is>
      </c>
      <c r="F699" s="0" t="n">
        <v>564</v>
      </c>
      <c r="G699" s="0" t="n">
        <v>23.37</v>
      </c>
      <c r="H699" s="0" t="n">
        <v>77.27</v>
      </c>
      <c r="I699" s="0" t="n">
        <v>18.13</v>
      </c>
      <c r="J699" s="0" t="n">
        <v>59.94</v>
      </c>
      <c r="K699" s="0" t="n">
        <v>264</v>
      </c>
      <c r="T699" s="0" t="n">
        <v>3</v>
      </c>
      <c r="U699" s="0" t="n">
        <v>1</v>
      </c>
      <c r="V699" s="0" t="inlineStr">
        <is>
          <t>계단식</t>
        </is>
      </c>
      <c r="W699" s="0" t="n">
        <v>77</v>
      </c>
      <c r="X699" s="0" t="n">
        <v>11</v>
      </c>
      <c r="Y699" s="0" t="n">
        <v>10</v>
      </c>
      <c r="Z699" s="0" t="inlineStr">
        <is>
          <t>https://new.land.naver.com/complexes/13906?tab=detail&amp;rf=Y</t>
        </is>
      </c>
      <c r="AA699" s="0" t="inlineStr">
        <is>
          <t>충청북도 청주시 흥덕구 신봉동 310</t>
        </is>
      </c>
      <c r="AB699" s="0" t="inlineStr">
        <is>
          <t>충청북도</t>
        </is>
      </c>
      <c r="AC699" s="0" t="inlineStr">
        <is>
          <t>청주시</t>
        </is>
      </c>
      <c r="AD699" s="0" t="inlineStr">
        <is>
          <t>흥덕구</t>
        </is>
      </c>
      <c r="AE699" s="0" t="inlineStr">
        <is>
          <t>신봉동</t>
        </is>
      </c>
      <c r="AG699" s="0" t="inlineStr">
        <is>
          <t>충청북도 청주시 흥덕구 1순환로513번길 33</t>
        </is>
      </c>
      <c r="AH699" s="0" t="n">
        <v>0</v>
      </c>
      <c r="AI699" s="0" t="n">
        <v>202</v>
      </c>
      <c r="AJ699" s="0" t="n">
        <v>27</v>
      </c>
      <c r="AK699" s="0" t="n">
        <v>509</v>
      </c>
      <c r="AL699" s="0" t="n">
        <v>0.9</v>
      </c>
    </row>
    <row r="700">
      <c r="A700" s="0" t="inlineStr">
        <is>
          <t>[신봉동]</t>
        </is>
      </c>
      <c r="B700" s="0" t="n">
        <v>13906</v>
      </c>
      <c r="C700" s="0" t="n">
        <v>2</v>
      </c>
      <c r="D700" s="0" t="inlineStr">
        <is>
          <t>삼정백조</t>
        </is>
      </c>
      <c r="E700" s="0" t="inlineStr">
        <is>
          <t>1995.07.</t>
        </is>
      </c>
      <c r="F700" s="0" t="n">
        <v>564</v>
      </c>
      <c r="G700" s="0" t="n">
        <v>32.63</v>
      </c>
      <c r="H700" s="0" t="n">
        <v>107.87</v>
      </c>
      <c r="I700" s="0" t="n">
        <v>25.65</v>
      </c>
      <c r="J700" s="0" t="n">
        <v>84.81</v>
      </c>
      <c r="K700" s="0" t="n">
        <v>220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107</v>
      </c>
      <c r="X700" s="0" t="n">
        <v>11</v>
      </c>
      <c r="Y700" s="0" t="n">
        <v>10</v>
      </c>
      <c r="Z700" s="0" t="inlineStr">
        <is>
          <t>https://new.land.naver.com/complexes/13906?tab=detail&amp;rf=Y</t>
        </is>
      </c>
      <c r="AA700" s="0" t="inlineStr">
        <is>
          <t>충청북도 청주시 흥덕구 신봉동 310</t>
        </is>
      </c>
      <c r="AB700" s="0" t="inlineStr">
        <is>
          <t>충청북도</t>
        </is>
      </c>
      <c r="AC700" s="0" t="inlineStr">
        <is>
          <t>청주시</t>
        </is>
      </c>
      <c r="AD700" s="0" t="inlineStr">
        <is>
          <t>흥덕구</t>
        </is>
      </c>
      <c r="AE700" s="0" t="inlineStr">
        <is>
          <t>신봉동</t>
        </is>
      </c>
      <c r="AG700" s="0" t="inlineStr">
        <is>
          <t>충청북도 청주시 흥덕구 1순환로513번길 33</t>
        </is>
      </c>
      <c r="AH700" s="0" t="n">
        <v>0</v>
      </c>
      <c r="AI700" s="0" t="n">
        <v>202</v>
      </c>
      <c r="AJ700" s="0" t="n">
        <v>27</v>
      </c>
      <c r="AK700" s="0" t="n">
        <v>509</v>
      </c>
      <c r="AL700" s="0" t="n">
        <v>0.9</v>
      </c>
    </row>
    <row r="701">
      <c r="A701" s="0" t="inlineStr">
        <is>
          <t>[신봉동]</t>
        </is>
      </c>
      <c r="B701" s="0" t="n">
        <v>13906</v>
      </c>
      <c r="C701" s="0" t="n">
        <v>3</v>
      </c>
      <c r="D701" s="0" t="inlineStr">
        <is>
          <t>삼정백조</t>
        </is>
      </c>
      <c r="E701" s="0" t="inlineStr">
        <is>
          <t>1995.07.</t>
        </is>
      </c>
      <c r="F701" s="0" t="n">
        <v>564</v>
      </c>
      <c r="G701" s="0" t="n">
        <v>48.23</v>
      </c>
      <c r="H701" s="0" t="n">
        <v>159.46</v>
      </c>
      <c r="I701" s="0" t="n">
        <v>38.94</v>
      </c>
      <c r="J701" s="0" t="n">
        <v>128.76</v>
      </c>
      <c r="K701" s="0" t="n">
        <v>40</v>
      </c>
      <c r="T701" s="0" t="n">
        <v>4</v>
      </c>
      <c r="U701" s="0" t="n">
        <v>2</v>
      </c>
      <c r="V701" s="0" t="inlineStr">
        <is>
          <t>계단식</t>
        </is>
      </c>
      <c r="W701" s="0" t="n">
        <v>159</v>
      </c>
      <c r="X701" s="0" t="n">
        <v>11</v>
      </c>
      <c r="Y701" s="0" t="n">
        <v>10</v>
      </c>
      <c r="Z701" s="0" t="inlineStr">
        <is>
          <t>https://new.land.naver.com/complexes/13906?tab=detail&amp;rf=Y</t>
        </is>
      </c>
      <c r="AA701" s="0" t="inlineStr">
        <is>
          <t>충청북도 청주시 흥덕구 신봉동 310</t>
        </is>
      </c>
      <c r="AB701" s="0" t="inlineStr">
        <is>
          <t>충청북도</t>
        </is>
      </c>
      <c r="AC701" s="0" t="inlineStr">
        <is>
          <t>청주시</t>
        </is>
      </c>
      <c r="AD701" s="0" t="inlineStr">
        <is>
          <t>흥덕구</t>
        </is>
      </c>
      <c r="AE701" s="0" t="inlineStr">
        <is>
          <t>신봉동</t>
        </is>
      </c>
      <c r="AG701" s="0" t="inlineStr">
        <is>
          <t>충청북도 청주시 흥덕구 1순환로513번길 33</t>
        </is>
      </c>
      <c r="AH701" s="0" t="n">
        <v>0</v>
      </c>
      <c r="AI701" s="0" t="n">
        <v>202</v>
      </c>
      <c r="AJ701" s="0" t="n">
        <v>27</v>
      </c>
      <c r="AK701" s="0" t="n">
        <v>509</v>
      </c>
      <c r="AL701" s="0" t="n">
        <v>0.9</v>
      </c>
    </row>
    <row r="702">
      <c r="A702" s="0" t="inlineStr">
        <is>
          <t>[신봉동]</t>
        </is>
      </c>
      <c r="B702" s="0" t="n">
        <v>13906</v>
      </c>
      <c r="C702" s="0" t="n">
        <v>4</v>
      </c>
      <c r="D702" s="0" t="inlineStr">
        <is>
          <t>삼정백조</t>
        </is>
      </c>
      <c r="E702" s="0" t="inlineStr">
        <is>
          <t>1995.07.</t>
        </is>
      </c>
      <c r="F702" s="0" t="n">
        <v>564</v>
      </c>
      <c r="G702" s="0" t="n">
        <v>60.26</v>
      </c>
      <c r="H702" s="0" t="n">
        <v>199.21</v>
      </c>
      <c r="I702" s="0" t="n">
        <v>49.78</v>
      </c>
      <c r="J702" s="0" t="n">
        <v>164.58</v>
      </c>
      <c r="K702" s="0" t="n">
        <v>20</v>
      </c>
      <c r="T702" s="0" t="n">
        <v>4</v>
      </c>
      <c r="U702" s="0" t="n">
        <v>2</v>
      </c>
      <c r="V702" s="0" t="inlineStr">
        <is>
          <t>계단식</t>
        </is>
      </c>
      <c r="W702" s="0" t="n">
        <v>199</v>
      </c>
      <c r="X702" s="0" t="n">
        <v>11</v>
      </c>
      <c r="Y702" s="0" t="n">
        <v>10</v>
      </c>
      <c r="Z702" s="0" t="inlineStr">
        <is>
          <t>https://new.land.naver.com/complexes/13906?tab=detail&amp;rf=Y</t>
        </is>
      </c>
      <c r="AA702" s="0" t="inlineStr">
        <is>
          <t>충청북도 청주시 흥덕구 신봉동 310</t>
        </is>
      </c>
      <c r="AB702" s="0" t="inlineStr">
        <is>
          <t>충청북도</t>
        </is>
      </c>
      <c r="AC702" s="0" t="inlineStr">
        <is>
          <t>청주시</t>
        </is>
      </c>
      <c r="AD702" s="0" t="inlineStr">
        <is>
          <t>흥덕구</t>
        </is>
      </c>
      <c r="AE702" s="0" t="inlineStr">
        <is>
          <t>신봉동</t>
        </is>
      </c>
      <c r="AG702" s="0" t="inlineStr">
        <is>
          <t>충청북도 청주시 흥덕구 1순환로513번길 33</t>
        </is>
      </c>
      <c r="AH702" s="0" t="n">
        <v>0</v>
      </c>
      <c r="AI702" s="0" t="n">
        <v>202</v>
      </c>
      <c r="AJ702" s="0" t="n">
        <v>27</v>
      </c>
      <c r="AK702" s="0" t="n">
        <v>509</v>
      </c>
      <c r="AL702" s="0" t="n">
        <v>0.9</v>
      </c>
    </row>
    <row r="703">
      <c r="A703" s="0" t="inlineStr">
        <is>
          <t>[신봉동]</t>
        </is>
      </c>
      <c r="B703" s="0" t="n">
        <v>13906</v>
      </c>
      <c r="C703" s="0" t="n">
        <v>5</v>
      </c>
      <c r="D703" s="0" t="inlineStr">
        <is>
          <t>삼정백조</t>
        </is>
      </c>
      <c r="E703" s="0" t="inlineStr">
        <is>
          <t>1995.07.</t>
        </is>
      </c>
      <c r="F703" s="0" t="n">
        <v>564</v>
      </c>
      <c r="G703" s="0" t="n">
        <v>73.72</v>
      </c>
      <c r="H703" s="0" t="n">
        <v>243.73</v>
      </c>
      <c r="I703" s="0" t="n">
        <v>61.45</v>
      </c>
      <c r="J703" s="0" t="n">
        <v>203.16</v>
      </c>
      <c r="K703" s="0" t="n">
        <v>20</v>
      </c>
      <c r="T703" s="0" t="n">
        <v>5</v>
      </c>
      <c r="U703" s="0" t="n">
        <v>3</v>
      </c>
      <c r="V703" s="0" t="inlineStr">
        <is>
          <t>계단식</t>
        </is>
      </c>
      <c r="W703" s="0" t="n">
        <v>243</v>
      </c>
      <c r="X703" s="0" t="n">
        <v>11</v>
      </c>
      <c r="Y703" s="0" t="n">
        <v>10</v>
      </c>
      <c r="Z703" s="0" t="inlineStr">
        <is>
          <t>https://new.land.naver.com/complexes/13906?tab=detail&amp;rf=Y</t>
        </is>
      </c>
      <c r="AA703" s="0" t="inlineStr">
        <is>
          <t>충청북도 청주시 흥덕구 신봉동 310</t>
        </is>
      </c>
      <c r="AB703" s="0" t="inlineStr">
        <is>
          <t>충청북도</t>
        </is>
      </c>
      <c r="AC703" s="0" t="inlineStr">
        <is>
          <t>청주시</t>
        </is>
      </c>
      <c r="AD703" s="0" t="inlineStr">
        <is>
          <t>흥덕구</t>
        </is>
      </c>
      <c r="AE703" s="0" t="inlineStr">
        <is>
          <t>신봉동</t>
        </is>
      </c>
      <c r="AG703" s="0" t="inlineStr">
        <is>
          <t>충청북도 청주시 흥덕구 1순환로513번길 33</t>
        </is>
      </c>
      <c r="AH703" s="0" t="n">
        <v>0</v>
      </c>
      <c r="AI703" s="0" t="n">
        <v>202</v>
      </c>
      <c r="AJ703" s="0" t="n">
        <v>27</v>
      </c>
      <c r="AK703" s="0" t="n">
        <v>509</v>
      </c>
      <c r="AL703" s="0" t="n">
        <v>0.9</v>
      </c>
    </row>
    <row r="704">
      <c r="A704" s="0" t="inlineStr">
        <is>
          <t>[오송읍]</t>
        </is>
      </c>
      <c r="B704" s="0" t="n">
        <v>26632</v>
      </c>
      <c r="C704" s="0" t="n">
        <v>1</v>
      </c>
      <c r="D704" s="0" t="inlineStr">
        <is>
          <t>오송힐데스하임</t>
        </is>
      </c>
      <c r="E704" s="0" t="inlineStr">
        <is>
          <t>2010.10.</t>
        </is>
      </c>
      <c r="F704" s="0" t="n">
        <v>402</v>
      </c>
      <c r="G704" s="0" t="n">
        <v>43.9</v>
      </c>
      <c r="H704" s="0" t="n">
        <v>145.13</v>
      </c>
      <c r="I704" s="0" t="n">
        <v>33.13</v>
      </c>
      <c r="J704" s="0" t="n">
        <v>109.53</v>
      </c>
      <c r="K704" s="0" t="n">
        <v>132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145</v>
      </c>
      <c r="X704" s="0" t="n">
        <v>28</v>
      </c>
      <c r="Y704" s="0" t="n">
        <v>23</v>
      </c>
      <c r="Z704" s="0" t="inlineStr">
        <is>
          <t>https://new.land.naver.com/complexes/26632?tab=detail&amp;rf=Y</t>
        </is>
      </c>
      <c r="AA704" s="0" t="inlineStr">
        <is>
          <t>충청북도 청주시 흥덕구 오송읍 연제리 700</t>
        </is>
      </c>
      <c r="AB704" s="0" t="inlineStr">
        <is>
          <t>충청북도</t>
        </is>
      </c>
      <c r="AC704" s="0" t="inlineStr">
        <is>
          <t>청주시</t>
        </is>
      </c>
      <c r="AD704" s="0" t="inlineStr">
        <is>
          <t>흥덕구</t>
        </is>
      </c>
      <c r="AE704" s="0" t="inlineStr">
        <is>
          <t>오송읍</t>
        </is>
      </c>
      <c r="AG704" s="0" t="inlineStr">
        <is>
          <t>충청북도 청주시 흥덕구 오송생명1로 152</t>
        </is>
      </c>
      <c r="AH704" s="0" t="n">
        <v>0</v>
      </c>
      <c r="AI704" s="0" t="n">
        <v>159</v>
      </c>
      <c r="AJ704" s="0" t="n">
        <v>8</v>
      </c>
      <c r="AK704" s="0" t="n">
        <v>639</v>
      </c>
      <c r="AL704" s="0" t="n">
        <v>1.59</v>
      </c>
    </row>
    <row r="705">
      <c r="A705" s="0" t="inlineStr">
        <is>
          <t>[오송읍]</t>
        </is>
      </c>
      <c r="B705" s="0" t="n">
        <v>26632</v>
      </c>
      <c r="C705" s="0" t="n">
        <v>2</v>
      </c>
      <c r="D705" s="0" t="inlineStr">
        <is>
          <t>오송힐데스하임</t>
        </is>
      </c>
      <c r="E705" s="0" t="inlineStr">
        <is>
          <t>2010.10.</t>
        </is>
      </c>
      <c r="F705" s="0" t="n">
        <v>402</v>
      </c>
      <c r="G705" s="0" t="n">
        <v>50.34</v>
      </c>
      <c r="H705" s="0" t="n">
        <v>166.43</v>
      </c>
      <c r="I705" s="0" t="n">
        <v>40.12</v>
      </c>
      <c r="J705" s="0" t="n">
        <v>132.63</v>
      </c>
      <c r="K705" s="0" t="n">
        <v>216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166</v>
      </c>
      <c r="X705" s="0" t="n">
        <v>28</v>
      </c>
      <c r="Y705" s="0" t="n">
        <v>23</v>
      </c>
      <c r="Z705" s="0" t="inlineStr">
        <is>
          <t>https://new.land.naver.com/complexes/26632?tab=detail&amp;rf=Y</t>
        </is>
      </c>
      <c r="AA705" s="0" t="inlineStr">
        <is>
          <t>충청북도 청주시 흥덕구 오송읍 연제리 700</t>
        </is>
      </c>
      <c r="AB705" s="0" t="inlineStr">
        <is>
          <t>충청북도</t>
        </is>
      </c>
      <c r="AC705" s="0" t="inlineStr">
        <is>
          <t>청주시</t>
        </is>
      </c>
      <c r="AD705" s="0" t="inlineStr">
        <is>
          <t>흥덕구</t>
        </is>
      </c>
      <c r="AE705" s="0" t="inlineStr">
        <is>
          <t>오송읍</t>
        </is>
      </c>
      <c r="AG705" s="0" t="inlineStr">
        <is>
          <t>충청북도 청주시 흥덕구 오송생명1로 152</t>
        </is>
      </c>
      <c r="AH705" s="0" t="n">
        <v>0</v>
      </c>
      <c r="AI705" s="0" t="n">
        <v>159</v>
      </c>
      <c r="AJ705" s="0" t="n">
        <v>8</v>
      </c>
      <c r="AK705" s="0" t="n">
        <v>639</v>
      </c>
      <c r="AL705" s="0" t="n">
        <v>1.59</v>
      </c>
    </row>
    <row r="706">
      <c r="A706" s="0" t="inlineStr">
        <is>
          <t>[오송읍]</t>
        </is>
      </c>
      <c r="B706" s="0" t="n">
        <v>26632</v>
      </c>
      <c r="C706" s="0" t="n">
        <v>3</v>
      </c>
      <c r="D706" s="0" t="inlineStr">
        <is>
          <t>오송힐데스하임</t>
        </is>
      </c>
      <c r="E706" s="0" t="inlineStr">
        <is>
          <t>2010.10.</t>
        </is>
      </c>
      <c r="F706" s="0" t="n">
        <v>402</v>
      </c>
      <c r="G706" s="0" t="n">
        <v>64.29000000000001</v>
      </c>
      <c r="H706" s="0" t="n">
        <v>212.56</v>
      </c>
      <c r="I706" s="0" t="n">
        <v>52.87</v>
      </c>
      <c r="J706" s="0" t="n">
        <v>174.79</v>
      </c>
      <c r="K706" s="0" t="n">
        <v>54</v>
      </c>
      <c r="T706" s="0" t="n">
        <v>3</v>
      </c>
      <c r="U706" s="0" t="n">
        <v>3</v>
      </c>
      <c r="V706" s="0" t="inlineStr">
        <is>
          <t>계단식</t>
        </is>
      </c>
      <c r="W706" s="0" t="n">
        <v>212</v>
      </c>
      <c r="X706" s="0" t="n">
        <v>28</v>
      </c>
      <c r="Y706" s="0" t="n">
        <v>23</v>
      </c>
      <c r="Z706" s="0" t="inlineStr">
        <is>
          <t>https://new.land.naver.com/complexes/26632?tab=detail&amp;rf=Y</t>
        </is>
      </c>
      <c r="AA706" s="0" t="inlineStr">
        <is>
          <t>충청북도 청주시 흥덕구 오송읍 연제리 700</t>
        </is>
      </c>
      <c r="AB706" s="0" t="inlineStr">
        <is>
          <t>충청북도</t>
        </is>
      </c>
      <c r="AC706" s="0" t="inlineStr">
        <is>
          <t>청주시</t>
        </is>
      </c>
      <c r="AD706" s="0" t="inlineStr">
        <is>
          <t>흥덕구</t>
        </is>
      </c>
      <c r="AE706" s="0" t="inlineStr">
        <is>
          <t>오송읍</t>
        </is>
      </c>
      <c r="AG706" s="0" t="inlineStr">
        <is>
          <t>충청북도 청주시 흥덕구 오송생명1로 152</t>
        </is>
      </c>
      <c r="AH706" s="0" t="n">
        <v>0</v>
      </c>
      <c r="AI706" s="0" t="n">
        <v>159</v>
      </c>
      <c r="AJ706" s="0" t="n">
        <v>8</v>
      </c>
      <c r="AK706" s="0" t="n">
        <v>639</v>
      </c>
      <c r="AL706" s="0" t="n">
        <v>1.59</v>
      </c>
    </row>
    <row r="707">
      <c r="A707" s="0" t="inlineStr">
        <is>
          <t>[오송읍]</t>
        </is>
      </c>
      <c r="B707" s="0" t="n">
        <v>100700</v>
      </c>
      <c r="C707" s="0" t="n">
        <v>1</v>
      </c>
      <c r="D707" s="0" t="inlineStr">
        <is>
          <t>오송상록롯데캐슬</t>
        </is>
      </c>
      <c r="E707" s="0" t="inlineStr">
        <is>
          <t>2010.09.</t>
        </is>
      </c>
      <c r="F707" s="0" t="n">
        <v>671</v>
      </c>
      <c r="G707" s="0" t="n">
        <v>35.22</v>
      </c>
      <c r="H707" s="0" t="n">
        <v>116.43</v>
      </c>
      <c r="I707" s="0" t="n">
        <v>25.69</v>
      </c>
      <c r="J707" s="0" t="n">
        <v>84.93000000000001</v>
      </c>
      <c r="K707" s="0" t="n">
        <v>342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116</v>
      </c>
      <c r="X707" s="0" t="n">
        <v>27</v>
      </c>
      <c r="Y707" s="0" t="n">
        <v>18</v>
      </c>
      <c r="Z707" s="0" t="inlineStr">
        <is>
          <t>https://new.land.naver.com/complexes/100700?tab=detail&amp;rf=Y</t>
        </is>
      </c>
      <c r="AA707" s="0" t="inlineStr">
        <is>
          <t>충청북도 청주시 흥덕구 오송읍 731</t>
        </is>
      </c>
      <c r="AB707" s="0" t="inlineStr">
        <is>
          <t>충청북도</t>
        </is>
      </c>
      <c r="AC707" s="0" t="inlineStr">
        <is>
          <t>청주시</t>
        </is>
      </c>
      <c r="AD707" s="0" t="inlineStr">
        <is>
          <t>흥덕구</t>
        </is>
      </c>
      <c r="AE707" s="0" t="inlineStr">
        <is>
          <t>오송읍</t>
        </is>
      </c>
      <c r="AG707" s="0" t="inlineStr">
        <is>
          <t>충청북도 청주시 흥덕구 오송생명5로 202</t>
        </is>
      </c>
      <c r="AH707" s="0" t="n">
        <v>0</v>
      </c>
      <c r="AI707" s="0" t="n">
        <v>179</v>
      </c>
      <c r="AJ707" s="0" t="n">
        <v>13</v>
      </c>
      <c r="AK707" s="0" t="n">
        <v>889</v>
      </c>
      <c r="AL707" s="0" t="n">
        <v>1.32</v>
      </c>
    </row>
    <row r="708">
      <c r="A708" s="0" t="inlineStr">
        <is>
          <t>[오송읍]</t>
        </is>
      </c>
      <c r="B708" s="0" t="n">
        <v>100700</v>
      </c>
      <c r="C708" s="0" t="n">
        <v>2</v>
      </c>
      <c r="D708" s="0" t="inlineStr">
        <is>
          <t>오송상록롯데캐슬</t>
        </is>
      </c>
      <c r="E708" s="0" t="inlineStr">
        <is>
          <t>2010.09.</t>
        </is>
      </c>
      <c r="F708" s="0" t="n">
        <v>671</v>
      </c>
      <c r="G708" s="0" t="n">
        <v>35.51</v>
      </c>
      <c r="H708" s="0" t="n">
        <v>117.41</v>
      </c>
      <c r="I708" s="0" t="n">
        <v>25.69</v>
      </c>
      <c r="J708" s="0" t="n">
        <v>84.94</v>
      </c>
      <c r="K708" s="0" t="n">
        <v>329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117</v>
      </c>
      <c r="X708" s="0" t="n">
        <v>27</v>
      </c>
      <c r="Y708" s="0" t="n">
        <v>18</v>
      </c>
      <c r="Z708" s="0" t="inlineStr">
        <is>
          <t>https://new.land.naver.com/complexes/100700?tab=detail&amp;rf=Y</t>
        </is>
      </c>
      <c r="AA708" s="0" t="inlineStr">
        <is>
          <t>충청북도 청주시 흥덕구 오송읍 731</t>
        </is>
      </c>
      <c r="AB708" s="0" t="inlineStr">
        <is>
          <t>충청북도</t>
        </is>
      </c>
      <c r="AC708" s="0" t="inlineStr">
        <is>
          <t>청주시</t>
        </is>
      </c>
      <c r="AD708" s="0" t="inlineStr">
        <is>
          <t>흥덕구</t>
        </is>
      </c>
      <c r="AE708" s="0" t="inlineStr">
        <is>
          <t>오송읍</t>
        </is>
      </c>
      <c r="AG708" s="0" t="inlineStr">
        <is>
          <t>충청북도 청주시 흥덕구 오송생명5로 202</t>
        </is>
      </c>
      <c r="AH708" s="0" t="n">
        <v>0</v>
      </c>
      <c r="AI708" s="0" t="n">
        <v>179</v>
      </c>
      <c r="AJ708" s="0" t="n">
        <v>13</v>
      </c>
      <c r="AK708" s="0" t="n">
        <v>889</v>
      </c>
      <c r="AL708" s="0" t="n">
        <v>1.32</v>
      </c>
    </row>
    <row r="709">
      <c r="A709" s="0" t="inlineStr">
        <is>
          <t>[오송읍]</t>
        </is>
      </c>
      <c r="B709" s="0" t="n">
        <v>137220</v>
      </c>
      <c r="C709" s="0" t="n">
        <v>1</v>
      </c>
      <c r="D709" s="0" t="inlineStr">
        <is>
          <t>KTX오송역대광로제비앙</t>
        </is>
      </c>
      <c r="F709" s="0" t="n">
        <v>1516</v>
      </c>
      <c r="G709" s="0" t="n">
        <v>25.44</v>
      </c>
      <c r="H709" s="0" t="n">
        <v>84.12</v>
      </c>
      <c r="I709" s="0" t="n">
        <v>18.13</v>
      </c>
      <c r="J709" s="0" t="n">
        <v>59.94</v>
      </c>
      <c r="K709" s="0" t="n">
        <v>1220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84A</t>
        </is>
      </c>
      <c r="X709" s="0" t="n">
        <v>25</v>
      </c>
      <c r="Y709" s="0" t="n">
        <v>19</v>
      </c>
      <c r="Z709" s="0" t="inlineStr">
        <is>
          <t>https://new.land.naver.com/complexes/137220?tab=detail&amp;rf=Y</t>
        </is>
      </c>
      <c r="AA709" s="0" t="inlineStr">
        <is>
          <t>충청북도 청주시 흥덕구 오송읍 봉산리 1510</t>
        </is>
      </c>
      <c r="AB709" s="0" t="inlineStr">
        <is>
          <t>충청북도</t>
        </is>
      </c>
      <c r="AC709" s="0" t="inlineStr">
        <is>
          <t>청주시</t>
        </is>
      </c>
      <c r="AD709" s="0" t="inlineStr">
        <is>
          <t>흥덕구</t>
        </is>
      </c>
      <c r="AE709" s="0" t="inlineStr">
        <is>
          <t>오송읍</t>
        </is>
      </c>
      <c r="AG709" s="0" t="inlineStr">
        <is>
          <t>충청북도 청주시 흥덕구</t>
        </is>
      </c>
      <c r="AH709" s="0" t="n">
        <v>1516</v>
      </c>
      <c r="AI709" s="0" t="n">
        <v>199</v>
      </c>
      <c r="AJ709" s="0" t="n">
        <v>16</v>
      </c>
      <c r="AK709" s="0" t="n">
        <v>0</v>
      </c>
      <c r="AL709" s="0" t="n">
        <v>0</v>
      </c>
    </row>
    <row r="710">
      <c r="A710" s="0" t="inlineStr">
        <is>
          <t>[오송읍]</t>
        </is>
      </c>
      <c r="B710" s="0" t="n">
        <v>137220</v>
      </c>
      <c r="C710" s="0" t="n">
        <v>2</v>
      </c>
      <c r="D710" s="0" t="inlineStr">
        <is>
          <t>KTX오송역대광로제비앙</t>
        </is>
      </c>
      <c r="F710" s="0" t="n">
        <v>1516</v>
      </c>
      <c r="G710" s="0" t="n">
        <v>25.6</v>
      </c>
      <c r="H710" s="0" t="n">
        <v>84.65000000000001</v>
      </c>
      <c r="I710" s="0" t="n">
        <v>18.11</v>
      </c>
      <c r="J710" s="0" t="n">
        <v>59.87</v>
      </c>
      <c r="K710" s="0" t="n">
        <v>149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84C</t>
        </is>
      </c>
      <c r="X710" s="0" t="n">
        <v>25</v>
      </c>
      <c r="Y710" s="0" t="n">
        <v>19</v>
      </c>
      <c r="Z710" s="0" t="inlineStr">
        <is>
          <t>https://new.land.naver.com/complexes/137220?tab=detail&amp;rf=Y</t>
        </is>
      </c>
      <c r="AA710" s="0" t="inlineStr">
        <is>
          <t>충청북도 청주시 흥덕구 오송읍 봉산리 1510</t>
        </is>
      </c>
      <c r="AB710" s="0" t="inlineStr">
        <is>
          <t>충청북도</t>
        </is>
      </c>
      <c r="AC710" s="0" t="inlineStr">
        <is>
          <t>청주시</t>
        </is>
      </c>
      <c r="AD710" s="0" t="inlineStr">
        <is>
          <t>흥덕구</t>
        </is>
      </c>
      <c r="AE710" s="0" t="inlineStr">
        <is>
          <t>오송읍</t>
        </is>
      </c>
      <c r="AG710" s="0" t="inlineStr">
        <is>
          <t>충청북도 청주시 흥덕구</t>
        </is>
      </c>
      <c r="AH710" s="0" t="n">
        <v>1516</v>
      </c>
      <c r="AI710" s="0" t="n">
        <v>199</v>
      </c>
      <c r="AJ710" s="0" t="n">
        <v>16</v>
      </c>
      <c r="AK710" s="0" t="n">
        <v>0</v>
      </c>
      <c r="AL710" s="0" t="n">
        <v>0</v>
      </c>
    </row>
    <row r="711">
      <c r="A711" s="0" t="inlineStr">
        <is>
          <t>[오송읍]</t>
        </is>
      </c>
      <c r="B711" s="0" t="n">
        <v>137220</v>
      </c>
      <c r="C711" s="0" t="n">
        <v>3</v>
      </c>
      <c r="D711" s="0" t="inlineStr">
        <is>
          <t>KTX오송역대광로제비앙</t>
        </is>
      </c>
      <c r="F711" s="0" t="n">
        <v>1516</v>
      </c>
      <c r="G711" s="0" t="n">
        <v>25.6</v>
      </c>
      <c r="H711" s="0" t="n">
        <v>84.66</v>
      </c>
      <c r="I711" s="0" t="n">
        <v>18.14</v>
      </c>
      <c r="J711" s="0" t="n">
        <v>59.99</v>
      </c>
      <c r="K711" s="0" t="n">
        <v>147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84B</t>
        </is>
      </c>
      <c r="X711" s="0" t="n">
        <v>25</v>
      </c>
      <c r="Y711" s="0" t="n">
        <v>19</v>
      </c>
      <c r="Z711" s="0" t="inlineStr">
        <is>
          <t>https://new.land.naver.com/complexes/137220?tab=detail&amp;rf=Y</t>
        </is>
      </c>
      <c r="AA711" s="0" t="inlineStr">
        <is>
          <t>충청북도 청주시 흥덕구 오송읍 봉산리 1510</t>
        </is>
      </c>
      <c r="AB711" s="0" t="inlineStr">
        <is>
          <t>충청북도</t>
        </is>
      </c>
      <c r="AC711" s="0" t="inlineStr">
        <is>
          <t>청주시</t>
        </is>
      </c>
      <c r="AD711" s="0" t="inlineStr">
        <is>
          <t>흥덕구</t>
        </is>
      </c>
      <c r="AE711" s="0" t="inlineStr">
        <is>
          <t>오송읍</t>
        </is>
      </c>
      <c r="AG711" s="0" t="inlineStr">
        <is>
          <t>충청북도 청주시 흥덕구</t>
        </is>
      </c>
      <c r="AH711" s="0" t="n">
        <v>1516</v>
      </c>
      <c r="AI711" s="0" t="n">
        <v>199</v>
      </c>
      <c r="AJ711" s="0" t="n">
        <v>16</v>
      </c>
      <c r="AK711" s="0" t="n">
        <v>0</v>
      </c>
      <c r="AL711" s="0" t="n">
        <v>0</v>
      </c>
    </row>
    <row r="712">
      <c r="A712" s="0" t="inlineStr">
        <is>
          <t>[오송읍]</t>
        </is>
      </c>
      <c r="B712" s="0" t="n">
        <v>101183</v>
      </c>
      <c r="C712" s="0" t="n">
        <v>1</v>
      </c>
      <c r="D712" s="0" t="inlineStr">
        <is>
          <t>삼진</t>
        </is>
      </c>
      <c r="E712" s="0" t="inlineStr">
        <is>
          <t>1996.04.</t>
        </is>
      </c>
      <c r="F712" s="0" t="n">
        <v>94</v>
      </c>
      <c r="G712" s="0" t="n">
        <v>16.3</v>
      </c>
      <c r="H712" s="0" t="n">
        <v>53.89</v>
      </c>
      <c r="I712" s="0" t="n">
        <v>11.76</v>
      </c>
      <c r="J712" s="0" t="n">
        <v>38.88</v>
      </c>
      <c r="K712" s="0" t="n">
        <v>28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53</v>
      </c>
      <c r="X712" s="0" t="n">
        <v>12</v>
      </c>
      <c r="Y712" s="0" t="n">
        <v>5</v>
      </c>
      <c r="Z712" s="0" t="inlineStr">
        <is>
          <t>https://new.land.naver.com/complexes/101183?tab=detail&amp;rf=Y</t>
        </is>
      </c>
      <c r="AA712" s="0" t="inlineStr">
        <is>
          <t>충청북도 청주시 흥덕구 오송읍 궁평리 271-3</t>
        </is>
      </c>
      <c r="AB712" s="0" t="inlineStr">
        <is>
          <t>충청북도</t>
        </is>
      </c>
      <c r="AC712" s="0" t="inlineStr">
        <is>
          <t>청주시</t>
        </is>
      </c>
      <c r="AD712" s="0" t="inlineStr">
        <is>
          <t>흥덕구</t>
        </is>
      </c>
      <c r="AE712" s="0" t="inlineStr">
        <is>
          <t>오송읍</t>
        </is>
      </c>
      <c r="AG712" s="0" t="inlineStr">
        <is>
          <t>충청북도 청주시 흥덕구 궁평길 117-3</t>
        </is>
      </c>
      <c r="AH712" s="0" t="n">
        <v>0</v>
      </c>
      <c r="AI712" s="0" t="n">
        <v>176</v>
      </c>
      <c r="AJ712" s="0" t="n">
        <v>25</v>
      </c>
      <c r="AK712" s="0" t="n">
        <v>39</v>
      </c>
      <c r="AL712" s="0" t="n">
        <v>0.41</v>
      </c>
    </row>
    <row r="713">
      <c r="A713" s="0" t="inlineStr">
        <is>
          <t>[오송읍]</t>
        </is>
      </c>
      <c r="B713" s="0" t="n">
        <v>101183</v>
      </c>
      <c r="C713" s="0" t="n">
        <v>2</v>
      </c>
      <c r="D713" s="0" t="inlineStr">
        <is>
          <t>삼진</t>
        </is>
      </c>
      <c r="E713" s="0" t="inlineStr">
        <is>
          <t>1996.04.</t>
        </is>
      </c>
      <c r="F713" s="0" t="n">
        <v>94</v>
      </c>
      <c r="G713" s="0" t="n">
        <v>25.04</v>
      </c>
      <c r="H713" s="0" t="n">
        <v>82.79000000000001</v>
      </c>
      <c r="I713" s="0" t="n">
        <v>18.06</v>
      </c>
      <c r="J713" s="0" t="n">
        <v>59.73</v>
      </c>
      <c r="K713" s="0" t="n">
        <v>66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82</v>
      </c>
      <c r="X713" s="0" t="n">
        <v>12</v>
      </c>
      <c r="Y713" s="0" t="n">
        <v>5</v>
      </c>
      <c r="Z713" s="0" t="inlineStr">
        <is>
          <t>https://new.land.naver.com/complexes/101183?tab=detail&amp;rf=Y</t>
        </is>
      </c>
      <c r="AA713" s="0" t="inlineStr">
        <is>
          <t>충청북도 청주시 흥덕구 오송읍 궁평리 271-3</t>
        </is>
      </c>
      <c r="AB713" s="0" t="inlineStr">
        <is>
          <t>충청북도</t>
        </is>
      </c>
      <c r="AC713" s="0" t="inlineStr">
        <is>
          <t>청주시</t>
        </is>
      </c>
      <c r="AD713" s="0" t="inlineStr">
        <is>
          <t>흥덕구</t>
        </is>
      </c>
      <c r="AE713" s="0" t="inlineStr">
        <is>
          <t>오송읍</t>
        </is>
      </c>
      <c r="AG713" s="0" t="inlineStr">
        <is>
          <t>충청북도 청주시 흥덕구 궁평길 117-3</t>
        </is>
      </c>
      <c r="AH713" s="0" t="n">
        <v>0</v>
      </c>
      <c r="AI713" s="0" t="n">
        <v>176</v>
      </c>
      <c r="AJ713" s="0" t="n">
        <v>25</v>
      </c>
      <c r="AK713" s="0" t="n">
        <v>39</v>
      </c>
      <c r="AL713" s="0" t="n">
        <v>0.41</v>
      </c>
    </row>
    <row r="714">
      <c r="A714" s="0" t="inlineStr">
        <is>
          <t>[오송읍]</t>
        </is>
      </c>
      <c r="B714" s="0" t="n">
        <v>102183</v>
      </c>
      <c r="C714" s="0" t="n">
        <v>1</v>
      </c>
      <c r="D714" s="0" t="inlineStr">
        <is>
          <t>오송마을휴먼시아2단지</t>
        </is>
      </c>
      <c r="E714" s="0" t="inlineStr">
        <is>
          <t>2009.07.</t>
        </is>
      </c>
      <c r="F714" s="0" t="n">
        <v>468</v>
      </c>
      <c r="G714" s="0" t="n">
        <v>33.19</v>
      </c>
      <c r="H714" s="0" t="n">
        <v>109.72</v>
      </c>
      <c r="I714" s="0" t="n">
        <v>25.68</v>
      </c>
      <c r="J714" s="0" t="n">
        <v>84.91</v>
      </c>
      <c r="K714" s="0" t="n">
        <v>194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109B</t>
        </is>
      </c>
      <c r="X714" s="0" t="n">
        <v>15</v>
      </c>
      <c r="Y714" s="0" t="n">
        <v>11</v>
      </c>
      <c r="Z714" s="0" t="inlineStr">
        <is>
          <t>https://new.land.naver.com/complexes/102183?tab=detail&amp;rf=Y</t>
        </is>
      </c>
      <c r="AA714" s="0" t="inlineStr">
        <is>
          <t>충청북도 청주시 흥덕구 오송읍 만수리 549</t>
        </is>
      </c>
      <c r="AB714" s="0" t="inlineStr">
        <is>
          <t>충청북도</t>
        </is>
      </c>
      <c r="AC714" s="0" t="inlineStr">
        <is>
          <t>청주시</t>
        </is>
      </c>
      <c r="AD714" s="0" t="inlineStr">
        <is>
          <t>흥덕구</t>
        </is>
      </c>
      <c r="AE714" s="0" t="inlineStr">
        <is>
          <t>오송읍</t>
        </is>
      </c>
      <c r="AG714" s="0" t="inlineStr">
        <is>
          <t>충청북도 청주시 흥덕구 오송생명5로 201</t>
        </is>
      </c>
      <c r="AH714" s="0" t="n">
        <v>0</v>
      </c>
      <c r="AI714" s="0" t="n">
        <v>170</v>
      </c>
      <c r="AJ714" s="0" t="n">
        <v>17</v>
      </c>
      <c r="AK714" s="0" t="n">
        <v>617</v>
      </c>
      <c r="AL714" s="0" t="n">
        <v>1.32</v>
      </c>
    </row>
    <row r="715">
      <c r="A715" s="0" t="inlineStr">
        <is>
          <t>[오송읍]</t>
        </is>
      </c>
      <c r="B715" s="0" t="n">
        <v>102183</v>
      </c>
      <c r="C715" s="0" t="n">
        <v>2</v>
      </c>
      <c r="D715" s="0" t="inlineStr">
        <is>
          <t>오송마을휴먼시아2단지</t>
        </is>
      </c>
      <c r="E715" s="0" t="inlineStr">
        <is>
          <t>2009.07.</t>
        </is>
      </c>
      <c r="F715" s="0" t="n">
        <v>468</v>
      </c>
      <c r="G715" s="0" t="n">
        <v>33.21</v>
      </c>
      <c r="H715" s="0" t="n">
        <v>109.8</v>
      </c>
      <c r="I715" s="0" t="n">
        <v>25.7</v>
      </c>
      <c r="J715" s="0" t="n">
        <v>84.97</v>
      </c>
      <c r="K715" s="0" t="n">
        <v>145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109A</t>
        </is>
      </c>
      <c r="X715" s="0" t="n">
        <v>15</v>
      </c>
      <c r="Y715" s="0" t="n">
        <v>11</v>
      </c>
      <c r="Z715" s="0" t="inlineStr">
        <is>
          <t>https://new.land.naver.com/complexes/102183?tab=detail&amp;rf=Y</t>
        </is>
      </c>
      <c r="AA715" s="0" t="inlineStr">
        <is>
          <t>충청북도 청주시 흥덕구 오송읍 만수리 549</t>
        </is>
      </c>
      <c r="AB715" s="0" t="inlineStr">
        <is>
          <t>충청북도</t>
        </is>
      </c>
      <c r="AC715" s="0" t="inlineStr">
        <is>
          <t>청주시</t>
        </is>
      </c>
      <c r="AD715" s="0" t="inlineStr">
        <is>
          <t>흥덕구</t>
        </is>
      </c>
      <c r="AE715" s="0" t="inlineStr">
        <is>
          <t>오송읍</t>
        </is>
      </c>
      <c r="AG715" s="0" t="inlineStr">
        <is>
          <t>충청북도 청주시 흥덕구 오송생명5로 201</t>
        </is>
      </c>
      <c r="AH715" s="0" t="n">
        <v>0</v>
      </c>
      <c r="AI715" s="0" t="n">
        <v>170</v>
      </c>
      <c r="AJ715" s="0" t="n">
        <v>17</v>
      </c>
      <c r="AK715" s="0" t="n">
        <v>617</v>
      </c>
      <c r="AL715" s="0" t="n">
        <v>1.32</v>
      </c>
    </row>
    <row r="716">
      <c r="A716" s="0" t="inlineStr">
        <is>
          <t>[오송읍]</t>
        </is>
      </c>
      <c r="B716" s="0" t="n">
        <v>102183</v>
      </c>
      <c r="C716" s="0" t="n">
        <v>3</v>
      </c>
      <c r="D716" s="0" t="inlineStr">
        <is>
          <t>오송마을휴먼시아2단지</t>
        </is>
      </c>
      <c r="E716" s="0" t="inlineStr">
        <is>
          <t>2009.07.</t>
        </is>
      </c>
      <c r="F716" s="0" t="n">
        <v>468</v>
      </c>
      <c r="G716" s="0" t="n">
        <v>33.2</v>
      </c>
      <c r="H716" s="0" t="n">
        <v>109.78</v>
      </c>
      <c r="I716" s="0" t="n">
        <v>25.69</v>
      </c>
      <c r="J716" s="0" t="n">
        <v>84.95</v>
      </c>
      <c r="K716" s="0" t="n">
        <v>69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109C</t>
        </is>
      </c>
      <c r="X716" s="0" t="n">
        <v>15</v>
      </c>
      <c r="Y716" s="0" t="n">
        <v>11</v>
      </c>
      <c r="Z716" s="0" t="inlineStr">
        <is>
          <t>https://new.land.naver.com/complexes/102183?tab=detail&amp;rf=Y</t>
        </is>
      </c>
      <c r="AA716" s="0" t="inlineStr">
        <is>
          <t>충청북도 청주시 흥덕구 오송읍 만수리 549</t>
        </is>
      </c>
      <c r="AB716" s="0" t="inlineStr">
        <is>
          <t>충청북도</t>
        </is>
      </c>
      <c r="AC716" s="0" t="inlineStr">
        <is>
          <t>청주시</t>
        </is>
      </c>
      <c r="AD716" s="0" t="inlineStr">
        <is>
          <t>흥덕구</t>
        </is>
      </c>
      <c r="AE716" s="0" t="inlineStr">
        <is>
          <t>오송읍</t>
        </is>
      </c>
      <c r="AG716" s="0" t="inlineStr">
        <is>
          <t>충청북도 청주시 흥덕구 오송생명5로 201</t>
        </is>
      </c>
      <c r="AH716" s="0" t="n">
        <v>0</v>
      </c>
      <c r="AI716" s="0" t="n">
        <v>170</v>
      </c>
      <c r="AJ716" s="0" t="n">
        <v>17</v>
      </c>
      <c r="AK716" s="0" t="n">
        <v>617</v>
      </c>
      <c r="AL716" s="0" t="n">
        <v>1.32</v>
      </c>
    </row>
    <row r="717">
      <c r="A717" s="0" t="inlineStr">
        <is>
          <t>[오송읍]</t>
        </is>
      </c>
      <c r="B717" s="0" t="n">
        <v>102183</v>
      </c>
      <c r="C717" s="0" t="n">
        <v>4</v>
      </c>
      <c r="D717" s="0" t="inlineStr">
        <is>
          <t>오송마을휴먼시아2단지</t>
        </is>
      </c>
      <c r="E717" s="0" t="inlineStr">
        <is>
          <t>2009.07.</t>
        </is>
      </c>
      <c r="F717" s="0" t="n">
        <v>468</v>
      </c>
      <c r="G717" s="0" t="n">
        <v>33.2</v>
      </c>
      <c r="H717" s="0" t="n">
        <v>109.76</v>
      </c>
      <c r="I717" s="0" t="n">
        <v>25.69</v>
      </c>
      <c r="J717" s="0" t="n">
        <v>84.94</v>
      </c>
      <c r="K717" s="0" t="n">
        <v>59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109D</t>
        </is>
      </c>
      <c r="X717" s="0" t="n">
        <v>15</v>
      </c>
      <c r="Y717" s="0" t="n">
        <v>11</v>
      </c>
      <c r="Z717" s="0" t="inlineStr">
        <is>
          <t>https://new.land.naver.com/complexes/102183?tab=detail&amp;rf=Y</t>
        </is>
      </c>
      <c r="AA717" s="0" t="inlineStr">
        <is>
          <t>충청북도 청주시 흥덕구 오송읍 만수리 549</t>
        </is>
      </c>
      <c r="AB717" s="0" t="inlineStr">
        <is>
          <t>충청북도</t>
        </is>
      </c>
      <c r="AC717" s="0" t="inlineStr">
        <is>
          <t>청주시</t>
        </is>
      </c>
      <c r="AD717" s="0" t="inlineStr">
        <is>
          <t>흥덕구</t>
        </is>
      </c>
      <c r="AE717" s="0" t="inlineStr">
        <is>
          <t>오송읍</t>
        </is>
      </c>
      <c r="AG717" s="0" t="inlineStr">
        <is>
          <t>충청북도 청주시 흥덕구 오송생명5로 201</t>
        </is>
      </c>
      <c r="AH717" s="0" t="n">
        <v>0</v>
      </c>
      <c r="AI717" s="0" t="n">
        <v>170</v>
      </c>
      <c r="AJ717" s="0" t="n">
        <v>17</v>
      </c>
      <c r="AK717" s="0" t="n">
        <v>617</v>
      </c>
      <c r="AL717" s="0" t="n">
        <v>1.32</v>
      </c>
    </row>
    <row r="718">
      <c r="A718" s="0" t="inlineStr">
        <is>
          <t>[오송읍]</t>
        </is>
      </c>
      <c r="B718" s="0" t="n">
        <v>102183</v>
      </c>
      <c r="C718" s="0" t="n">
        <v>5</v>
      </c>
      <c r="D718" s="0" t="inlineStr">
        <is>
          <t>오송마을휴먼시아2단지</t>
        </is>
      </c>
      <c r="E718" s="0" t="inlineStr">
        <is>
          <t>2009.07.</t>
        </is>
      </c>
      <c r="F718" s="0" t="n">
        <v>468</v>
      </c>
      <c r="G718" s="0" t="n">
        <v>33.19</v>
      </c>
      <c r="H718" s="0" t="n">
        <v>109.75</v>
      </c>
      <c r="I718" s="0" t="n">
        <v>25.68</v>
      </c>
      <c r="J718" s="0" t="n">
        <v>84.91</v>
      </c>
      <c r="K718" s="0" t="n">
        <v>1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109B1</t>
        </is>
      </c>
      <c r="X718" s="0" t="n">
        <v>15</v>
      </c>
      <c r="Y718" s="0" t="n">
        <v>11</v>
      </c>
      <c r="Z718" s="0" t="inlineStr">
        <is>
          <t>https://new.land.naver.com/complexes/102183?tab=detail&amp;rf=Y</t>
        </is>
      </c>
      <c r="AA718" s="0" t="inlineStr">
        <is>
          <t>충청북도 청주시 흥덕구 오송읍 만수리 549</t>
        </is>
      </c>
      <c r="AB718" s="0" t="inlineStr">
        <is>
          <t>충청북도</t>
        </is>
      </c>
      <c r="AC718" s="0" t="inlineStr">
        <is>
          <t>청주시</t>
        </is>
      </c>
      <c r="AD718" s="0" t="inlineStr">
        <is>
          <t>흥덕구</t>
        </is>
      </c>
      <c r="AE718" s="0" t="inlineStr">
        <is>
          <t>오송읍</t>
        </is>
      </c>
      <c r="AG718" s="0" t="inlineStr">
        <is>
          <t>충청북도 청주시 흥덕구 오송생명5로 201</t>
        </is>
      </c>
      <c r="AH718" s="0" t="n">
        <v>0</v>
      </c>
      <c r="AI718" s="0" t="n">
        <v>170</v>
      </c>
      <c r="AJ718" s="0" t="n">
        <v>17</v>
      </c>
      <c r="AK718" s="0" t="n">
        <v>617</v>
      </c>
      <c r="AL718" s="0" t="n">
        <v>1.32</v>
      </c>
    </row>
    <row r="719">
      <c r="A719" s="0" t="inlineStr">
        <is>
          <t>[오송읍]</t>
        </is>
      </c>
      <c r="B719" s="0" t="n">
        <v>103910</v>
      </c>
      <c r="C719" s="0" t="n">
        <v>1</v>
      </c>
      <c r="D719" s="0" t="inlineStr">
        <is>
          <t>진흥</t>
        </is>
      </c>
      <c r="E719" s="0" t="inlineStr">
        <is>
          <t>1991.11.</t>
        </is>
      </c>
      <c r="F719" s="0" t="n">
        <v>42</v>
      </c>
      <c r="G719" s="0" t="n">
        <v>18.45</v>
      </c>
      <c r="H719" s="0" t="n">
        <v>61</v>
      </c>
      <c r="I719" s="0" t="n">
        <v>16.2</v>
      </c>
      <c r="J719" s="0" t="n">
        <v>53.58</v>
      </c>
      <c r="K719" s="0" t="n">
        <v>6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61</v>
      </c>
      <c r="X719" s="0" t="n">
        <v>6</v>
      </c>
      <c r="Y719" s="0" t="n">
        <v>6</v>
      </c>
      <c r="Z719" s="0" t="inlineStr">
        <is>
          <t>https://new.land.naver.com/complexes/103910?tab=detail&amp;rf=Y</t>
        </is>
      </c>
      <c r="AA719" s="0" t="inlineStr">
        <is>
          <t>충청북도 청주시 흥덕구 오송읍 오송리 176-6</t>
        </is>
      </c>
      <c r="AB719" s="0" t="inlineStr">
        <is>
          <t>충청북도</t>
        </is>
      </c>
      <c r="AC719" s="0" t="inlineStr">
        <is>
          <t>청주시</t>
        </is>
      </c>
      <c r="AD719" s="0" t="inlineStr">
        <is>
          <t>흥덕구</t>
        </is>
      </c>
      <c r="AE719" s="0" t="inlineStr">
        <is>
          <t>오송읍</t>
        </is>
      </c>
      <c r="AG719" s="0" t="inlineStr">
        <is>
          <t>충청북도 청주시 흥덕구 오송길 37</t>
        </is>
      </c>
      <c r="AH719" s="0" t="n">
        <v>0</v>
      </c>
      <c r="AI719" s="0" t="n">
        <v>0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[오송읍]</t>
        </is>
      </c>
      <c r="B720" s="0" t="n">
        <v>103910</v>
      </c>
      <c r="C720" s="0" t="n">
        <v>2</v>
      </c>
      <c r="D720" s="0" t="inlineStr">
        <is>
          <t>진흥</t>
        </is>
      </c>
      <c r="E720" s="0" t="inlineStr">
        <is>
          <t>1991.11.</t>
        </is>
      </c>
      <c r="F720" s="0" t="n">
        <v>42</v>
      </c>
      <c r="G720" s="0" t="n">
        <v>19.57</v>
      </c>
      <c r="H720" s="0" t="n">
        <v>64.72</v>
      </c>
      <c r="I720" s="0" t="n">
        <v>17.44</v>
      </c>
      <c r="J720" s="0" t="n">
        <v>57.66</v>
      </c>
      <c r="K720" s="0" t="n">
        <v>12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64A</t>
        </is>
      </c>
      <c r="X720" s="0" t="n">
        <v>6</v>
      </c>
      <c r="Y720" s="0" t="n">
        <v>6</v>
      </c>
      <c r="Z720" s="0" t="inlineStr">
        <is>
          <t>https://new.land.naver.com/complexes/103910?tab=detail&amp;rf=Y</t>
        </is>
      </c>
      <c r="AA720" s="0" t="inlineStr">
        <is>
          <t>충청북도 청주시 흥덕구 오송읍 오송리 176-6</t>
        </is>
      </c>
      <c r="AB720" s="0" t="inlineStr">
        <is>
          <t>충청북도</t>
        </is>
      </c>
      <c r="AC720" s="0" t="inlineStr">
        <is>
          <t>청주시</t>
        </is>
      </c>
      <c r="AD720" s="0" t="inlineStr">
        <is>
          <t>흥덕구</t>
        </is>
      </c>
      <c r="AE720" s="0" t="inlineStr">
        <is>
          <t>오송읍</t>
        </is>
      </c>
      <c r="AG720" s="0" t="inlineStr">
        <is>
          <t>충청북도 청주시 흥덕구 오송길 37</t>
        </is>
      </c>
      <c r="AH720" s="0" t="n">
        <v>0</v>
      </c>
      <c r="AI720" s="0" t="n">
        <v>0</v>
      </c>
      <c r="AJ720" s="0" t="n">
        <v>0</v>
      </c>
      <c r="AK720" s="0" t="n">
        <v>0</v>
      </c>
      <c r="AL720" s="0" t="n">
        <v>0</v>
      </c>
    </row>
    <row r="721">
      <c r="A721" s="0" t="inlineStr">
        <is>
          <t>[오송읍]</t>
        </is>
      </c>
      <c r="B721" s="0" t="n">
        <v>103910</v>
      </c>
      <c r="C721" s="0" t="n">
        <v>3</v>
      </c>
      <c r="D721" s="0" t="inlineStr">
        <is>
          <t>진흥</t>
        </is>
      </c>
      <c r="E721" s="0" t="inlineStr">
        <is>
          <t>1991.11.</t>
        </is>
      </c>
      <c r="F721" s="0" t="n">
        <v>42</v>
      </c>
      <c r="G721" s="0" t="n">
        <v>19.36</v>
      </c>
      <c r="H721" s="0" t="n">
        <v>64.01000000000001</v>
      </c>
      <c r="I721" s="0" t="n">
        <v>17.22</v>
      </c>
      <c r="J721" s="0" t="n">
        <v>56.95</v>
      </c>
      <c r="K721" s="0" t="n">
        <v>6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64</v>
      </c>
      <c r="X721" s="0" t="n">
        <v>6</v>
      </c>
      <c r="Y721" s="0" t="n">
        <v>6</v>
      </c>
      <c r="Z721" s="0" t="inlineStr">
        <is>
          <t>https://new.land.naver.com/complexes/103910?tab=detail&amp;rf=Y</t>
        </is>
      </c>
      <c r="AA721" s="0" t="inlineStr">
        <is>
          <t>충청북도 청주시 흥덕구 오송읍 오송리 176-6</t>
        </is>
      </c>
      <c r="AB721" s="0" t="inlineStr">
        <is>
          <t>충청북도</t>
        </is>
      </c>
      <c r="AC721" s="0" t="inlineStr">
        <is>
          <t>청주시</t>
        </is>
      </c>
      <c r="AD721" s="0" t="inlineStr">
        <is>
          <t>흥덕구</t>
        </is>
      </c>
      <c r="AE721" s="0" t="inlineStr">
        <is>
          <t>오송읍</t>
        </is>
      </c>
      <c r="AG721" s="0" t="inlineStr">
        <is>
          <t>충청북도 청주시 흥덕구 오송길 37</t>
        </is>
      </c>
      <c r="AH721" s="0" t="n">
        <v>0</v>
      </c>
      <c r="AI721" s="0" t="n">
        <v>0</v>
      </c>
      <c r="AJ721" s="0" t="n">
        <v>0</v>
      </c>
      <c r="AK721" s="0" t="n">
        <v>0</v>
      </c>
      <c r="AL721" s="0" t="n">
        <v>0</v>
      </c>
    </row>
    <row r="722">
      <c r="A722" s="0" t="inlineStr">
        <is>
          <t>[오송읍]</t>
        </is>
      </c>
      <c r="B722" s="0" t="n">
        <v>103910</v>
      </c>
      <c r="C722" s="0" t="n">
        <v>4</v>
      </c>
      <c r="D722" s="0" t="inlineStr">
        <is>
          <t>진흥</t>
        </is>
      </c>
      <c r="E722" s="0" t="inlineStr">
        <is>
          <t>1991.11.</t>
        </is>
      </c>
      <c r="F722" s="0" t="n">
        <v>42</v>
      </c>
      <c r="G722" s="0" t="n">
        <v>20.23</v>
      </c>
      <c r="H722" s="0" t="n">
        <v>66.89</v>
      </c>
      <c r="I722" s="0" t="n">
        <v>18.09</v>
      </c>
      <c r="J722" s="0" t="n">
        <v>59.83</v>
      </c>
      <c r="K722" s="0" t="n">
        <v>6</v>
      </c>
      <c r="T722" s="0" t="n">
        <v>2</v>
      </c>
      <c r="U722" s="0" t="n">
        <v>1</v>
      </c>
      <c r="V722" s="0" t="inlineStr">
        <is>
          <t>계단식</t>
        </is>
      </c>
      <c r="W722" s="0" t="inlineStr">
        <is>
          <t>66B</t>
        </is>
      </c>
      <c r="X722" s="0" t="n">
        <v>6</v>
      </c>
      <c r="Y722" s="0" t="n">
        <v>6</v>
      </c>
      <c r="Z722" s="0" t="inlineStr">
        <is>
          <t>https://new.land.naver.com/complexes/103910?tab=detail&amp;rf=Y</t>
        </is>
      </c>
      <c r="AA722" s="0" t="inlineStr">
        <is>
          <t>충청북도 청주시 흥덕구 오송읍 오송리 176-6</t>
        </is>
      </c>
      <c r="AB722" s="0" t="inlineStr">
        <is>
          <t>충청북도</t>
        </is>
      </c>
      <c r="AC722" s="0" t="inlineStr">
        <is>
          <t>청주시</t>
        </is>
      </c>
      <c r="AD722" s="0" t="inlineStr">
        <is>
          <t>흥덕구</t>
        </is>
      </c>
      <c r="AE722" s="0" t="inlineStr">
        <is>
          <t>오송읍</t>
        </is>
      </c>
      <c r="AG722" s="0" t="inlineStr">
        <is>
          <t>충청북도 청주시 흥덕구 오송길 37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[오송읍]</t>
        </is>
      </c>
      <c r="B723" s="0" t="n">
        <v>103910</v>
      </c>
      <c r="C723" s="0" t="n">
        <v>5</v>
      </c>
      <c r="D723" s="0" t="inlineStr">
        <is>
          <t>진흥</t>
        </is>
      </c>
      <c r="E723" s="0" t="inlineStr">
        <is>
          <t>1991.11.</t>
        </is>
      </c>
      <c r="F723" s="0" t="n">
        <v>42</v>
      </c>
      <c r="G723" s="0" t="n">
        <v>20.16</v>
      </c>
      <c r="H723" s="0" t="n">
        <v>66.67</v>
      </c>
      <c r="I723" s="0" t="n">
        <v>17.92</v>
      </c>
      <c r="J723" s="0" t="n">
        <v>59.25</v>
      </c>
      <c r="K723" s="0" t="n">
        <v>6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66C</t>
        </is>
      </c>
      <c r="X723" s="0" t="n">
        <v>6</v>
      </c>
      <c r="Y723" s="0" t="n">
        <v>6</v>
      </c>
      <c r="Z723" s="0" t="inlineStr">
        <is>
          <t>https://new.land.naver.com/complexes/103910?tab=detail&amp;rf=Y</t>
        </is>
      </c>
      <c r="AA723" s="0" t="inlineStr">
        <is>
          <t>충청북도 청주시 흥덕구 오송읍 오송리 176-6</t>
        </is>
      </c>
      <c r="AB723" s="0" t="inlineStr">
        <is>
          <t>충청북도</t>
        </is>
      </c>
      <c r="AC723" s="0" t="inlineStr">
        <is>
          <t>청주시</t>
        </is>
      </c>
      <c r="AD723" s="0" t="inlineStr">
        <is>
          <t>흥덕구</t>
        </is>
      </c>
      <c r="AE723" s="0" t="inlineStr">
        <is>
          <t>오송읍</t>
        </is>
      </c>
      <c r="AG723" s="0" t="inlineStr">
        <is>
          <t>충청북도 청주시 흥덕구 오송길 37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[오송읍]</t>
        </is>
      </c>
      <c r="B724" s="0" t="n">
        <v>103910</v>
      </c>
      <c r="C724" s="0" t="n">
        <v>6</v>
      </c>
      <c r="D724" s="0" t="inlineStr">
        <is>
          <t>진흥</t>
        </is>
      </c>
      <c r="E724" s="0" t="inlineStr">
        <is>
          <t>1991.11.</t>
        </is>
      </c>
      <c r="F724" s="0" t="n">
        <v>42</v>
      </c>
      <c r="G724" s="0" t="n">
        <v>22.01</v>
      </c>
      <c r="H724" s="0" t="n">
        <v>72.77</v>
      </c>
      <c r="I724" s="0" t="n">
        <v>17.77</v>
      </c>
      <c r="J724" s="0" t="n">
        <v>58.77</v>
      </c>
      <c r="K724" s="0" t="n">
        <v>6</v>
      </c>
      <c r="T724" s="0" t="n">
        <v>2</v>
      </c>
      <c r="U724" s="0" t="n">
        <v>1</v>
      </c>
      <c r="V724" s="0" t="inlineStr">
        <is>
          <t>계단식</t>
        </is>
      </c>
      <c r="W724" s="0" t="n">
        <v>72</v>
      </c>
      <c r="X724" s="0" t="n">
        <v>6</v>
      </c>
      <c r="Y724" s="0" t="n">
        <v>6</v>
      </c>
      <c r="Z724" s="0" t="inlineStr">
        <is>
          <t>https://new.land.naver.com/complexes/103910?tab=detail&amp;rf=Y</t>
        </is>
      </c>
      <c r="AA724" s="0" t="inlineStr">
        <is>
          <t>충청북도 청주시 흥덕구 오송읍 오송리 176-6</t>
        </is>
      </c>
      <c r="AB724" s="0" t="inlineStr">
        <is>
          <t>충청북도</t>
        </is>
      </c>
      <c r="AC724" s="0" t="inlineStr">
        <is>
          <t>청주시</t>
        </is>
      </c>
      <c r="AD724" s="0" t="inlineStr">
        <is>
          <t>흥덕구</t>
        </is>
      </c>
      <c r="AE724" s="0" t="inlineStr">
        <is>
          <t>오송읍</t>
        </is>
      </c>
      <c r="AG724" s="0" t="inlineStr">
        <is>
          <t>충청북도 청주시 흥덕구 오송길 37</t>
        </is>
      </c>
      <c r="AH724" s="0" t="n">
        <v>0</v>
      </c>
      <c r="AI724" s="0" t="n">
        <v>0</v>
      </c>
      <c r="AJ724" s="0" t="n">
        <v>0</v>
      </c>
      <c r="AK724" s="0" t="n">
        <v>0</v>
      </c>
      <c r="AL724" s="0" t="n">
        <v>0</v>
      </c>
    </row>
    <row r="725">
      <c r="A725" s="0" t="inlineStr">
        <is>
          <t>[오송읍]</t>
        </is>
      </c>
      <c r="B725" s="0" t="n">
        <v>15373</v>
      </c>
      <c r="C725" s="0" t="n">
        <v>1</v>
      </c>
      <c r="D725" s="0" t="inlineStr">
        <is>
          <t>보영2차</t>
        </is>
      </c>
      <c r="E725" s="0" t="inlineStr">
        <is>
          <t>1995.06.</t>
        </is>
      </c>
      <c r="F725" s="0" t="n">
        <v>92</v>
      </c>
      <c r="G725" s="0" t="n">
        <v>24.17</v>
      </c>
      <c r="H725" s="0" t="n">
        <v>79.93000000000001</v>
      </c>
      <c r="I725" s="0" t="n">
        <v>18.13</v>
      </c>
      <c r="J725" s="0" t="n">
        <v>59.94</v>
      </c>
      <c r="K725" s="0" t="n">
        <v>92</v>
      </c>
      <c r="T725" s="0" t="n">
        <v>3</v>
      </c>
      <c r="U725" s="0" t="n">
        <v>1</v>
      </c>
      <c r="V725" s="0" t="inlineStr">
        <is>
          <t>복도식</t>
        </is>
      </c>
      <c r="W725" s="0" t="n">
        <v>79</v>
      </c>
      <c r="X725" s="0" t="n">
        <v>13</v>
      </c>
      <c r="Y725" s="0" t="n">
        <v>7</v>
      </c>
      <c r="Z725" s="0" t="inlineStr">
        <is>
          <t>https://new.land.naver.com/complexes/15373?tab=detail&amp;rf=Y</t>
        </is>
      </c>
      <c r="AA725" s="0" t="inlineStr">
        <is>
          <t>충청북도 청주시 흥덕구 오송읍 서평리 29-3</t>
        </is>
      </c>
      <c r="AB725" s="0" t="inlineStr">
        <is>
          <t>충청북도</t>
        </is>
      </c>
      <c r="AC725" s="0" t="inlineStr">
        <is>
          <t>청주시</t>
        </is>
      </c>
      <c r="AD725" s="0" t="inlineStr">
        <is>
          <t>흥덕구</t>
        </is>
      </c>
      <c r="AE725" s="0" t="inlineStr">
        <is>
          <t>오송읍</t>
        </is>
      </c>
      <c r="AG725" s="0" t="inlineStr">
        <is>
          <t>충청북도 청주시 흥덕구 동평서평길 52</t>
        </is>
      </c>
      <c r="AH725" s="0" t="n">
        <v>0</v>
      </c>
      <c r="AI725" s="0" t="n">
        <v>253</v>
      </c>
      <c r="AJ725" s="0" t="n">
        <v>33</v>
      </c>
      <c r="AK725" s="0" t="n">
        <v>38</v>
      </c>
      <c r="AL725" s="0" t="n">
        <v>0.41</v>
      </c>
    </row>
    <row r="726">
      <c r="A726" s="0" t="inlineStr">
        <is>
          <t>[오송읍]</t>
        </is>
      </c>
      <c r="B726" s="0" t="n">
        <v>142018</v>
      </c>
      <c r="C726" s="0" t="n">
        <v>1</v>
      </c>
      <c r="D726" s="0" t="inlineStr">
        <is>
          <t>오송역파라곤센트럴시티</t>
        </is>
      </c>
      <c r="E726" s="0" t="inlineStr">
        <is>
          <t>2023.06.</t>
        </is>
      </c>
      <c r="F726" s="0" t="n">
        <v>2415</v>
      </c>
      <c r="G726" s="0" t="n">
        <v>25.82</v>
      </c>
      <c r="H726" s="0" t="n">
        <v>85.38</v>
      </c>
      <c r="I726" s="0" t="n">
        <v>18.1</v>
      </c>
      <c r="J726" s="0" t="n">
        <v>59.84</v>
      </c>
      <c r="K726" s="0" t="n">
        <v>890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85C</t>
        </is>
      </c>
      <c r="X726" s="0" t="n">
        <v>25</v>
      </c>
      <c r="Y726" s="0" t="n">
        <v>13</v>
      </c>
      <c r="Z726" s="0" t="inlineStr">
        <is>
          <t>https://new.land.naver.com/complexes/142018?tab=detail&amp;rf=Y</t>
        </is>
      </c>
      <c r="AA726" s="0" t="inlineStr">
        <is>
          <t>충청북도 청주시 흥덕구 오송읍 봉산리 오송바이오폴리스지구 B2블럭</t>
        </is>
      </c>
      <c r="AB726" s="0" t="inlineStr">
        <is>
          <t>충청북도</t>
        </is>
      </c>
      <c r="AC726" s="0" t="inlineStr">
        <is>
          <t>청주시</t>
        </is>
      </c>
      <c r="AD726" s="0" t="inlineStr">
        <is>
          <t>흥덕구</t>
        </is>
      </c>
      <c r="AE726" s="0" t="inlineStr">
        <is>
          <t>오송읍</t>
        </is>
      </c>
      <c r="AG726" s="0" t="inlineStr">
        <is>
          <t>충청북도 청주시 흥덕구</t>
        </is>
      </c>
      <c r="AH726" s="0" t="n">
        <v>0</v>
      </c>
      <c r="AI726" s="0" t="n">
        <v>199</v>
      </c>
      <c r="AJ726" s="0" t="n">
        <v>16</v>
      </c>
      <c r="AK726" s="0" t="n">
        <v>3275</v>
      </c>
      <c r="AL726" s="0" t="n">
        <v>1.36</v>
      </c>
    </row>
    <row r="727">
      <c r="A727" s="0" t="inlineStr">
        <is>
          <t>[오송읍]</t>
        </is>
      </c>
      <c r="B727" s="0" t="n">
        <v>142018</v>
      </c>
      <c r="C727" s="0" t="n">
        <v>2</v>
      </c>
      <c r="D727" s="0" t="inlineStr">
        <is>
          <t>오송역파라곤센트럴시티</t>
        </is>
      </c>
      <c r="E727" s="0" t="inlineStr">
        <is>
          <t>2023.06.</t>
        </is>
      </c>
      <c r="F727" s="0" t="n">
        <v>2415</v>
      </c>
      <c r="G727" s="0" t="n">
        <v>25.94</v>
      </c>
      <c r="H727" s="0" t="n">
        <v>85.78</v>
      </c>
      <c r="I727" s="0" t="n">
        <v>18.14</v>
      </c>
      <c r="J727" s="0" t="n">
        <v>59.98</v>
      </c>
      <c r="K727" s="0" t="n">
        <v>452</v>
      </c>
      <c r="T727" s="0" t="n">
        <v>2</v>
      </c>
      <c r="U727" s="0" t="n">
        <v>2</v>
      </c>
      <c r="V727" s="0" t="inlineStr">
        <is>
          <t>계단식</t>
        </is>
      </c>
      <c r="W727" s="0" t="inlineStr">
        <is>
          <t>85A</t>
        </is>
      </c>
      <c r="X727" s="0" t="n">
        <v>25</v>
      </c>
      <c r="Y727" s="0" t="n">
        <v>13</v>
      </c>
      <c r="Z727" s="0" t="inlineStr">
        <is>
          <t>https://new.land.naver.com/complexes/142018?tab=detail&amp;rf=Y</t>
        </is>
      </c>
      <c r="AA727" s="0" t="inlineStr">
        <is>
          <t>충청북도 청주시 흥덕구 오송읍 봉산리 오송바이오폴리스지구 B2블럭</t>
        </is>
      </c>
      <c r="AB727" s="0" t="inlineStr">
        <is>
          <t>충청북도</t>
        </is>
      </c>
      <c r="AC727" s="0" t="inlineStr">
        <is>
          <t>청주시</t>
        </is>
      </c>
      <c r="AD727" s="0" t="inlineStr">
        <is>
          <t>흥덕구</t>
        </is>
      </c>
      <c r="AE727" s="0" t="inlineStr">
        <is>
          <t>오송읍</t>
        </is>
      </c>
      <c r="AG727" s="0" t="inlineStr">
        <is>
          <t>충청북도 청주시 흥덕구</t>
        </is>
      </c>
      <c r="AH727" s="0" t="n">
        <v>0</v>
      </c>
      <c r="AI727" s="0" t="n">
        <v>199</v>
      </c>
      <c r="AJ727" s="0" t="n">
        <v>16</v>
      </c>
      <c r="AK727" s="0" t="n">
        <v>3275</v>
      </c>
      <c r="AL727" s="0" t="n">
        <v>1.36</v>
      </c>
    </row>
    <row r="728">
      <c r="A728" s="0" t="inlineStr">
        <is>
          <t>[오송읍]</t>
        </is>
      </c>
      <c r="B728" s="0" t="n">
        <v>142018</v>
      </c>
      <c r="C728" s="0" t="n">
        <v>3</v>
      </c>
      <c r="D728" s="0" t="inlineStr">
        <is>
          <t>오송역파라곤센트럴시티</t>
        </is>
      </c>
      <c r="E728" s="0" t="inlineStr">
        <is>
          <t>2023.06.</t>
        </is>
      </c>
      <c r="F728" s="0" t="n">
        <v>2415</v>
      </c>
      <c r="G728" s="0" t="n">
        <v>25.9</v>
      </c>
      <c r="H728" s="0" t="n">
        <v>85.63</v>
      </c>
      <c r="I728" s="0" t="n">
        <v>18.06</v>
      </c>
      <c r="J728" s="0" t="n">
        <v>59.73</v>
      </c>
      <c r="K728" s="0" t="n">
        <v>451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85D</t>
        </is>
      </c>
      <c r="X728" s="0" t="n">
        <v>25</v>
      </c>
      <c r="Y728" s="0" t="n">
        <v>13</v>
      </c>
      <c r="Z728" s="0" t="inlineStr">
        <is>
          <t>https://new.land.naver.com/complexes/142018?tab=detail&amp;rf=Y</t>
        </is>
      </c>
      <c r="AA728" s="0" t="inlineStr">
        <is>
          <t>충청북도 청주시 흥덕구 오송읍 봉산리 오송바이오폴리스지구 B2블럭</t>
        </is>
      </c>
      <c r="AB728" s="0" t="inlineStr">
        <is>
          <t>충청북도</t>
        </is>
      </c>
      <c r="AC728" s="0" t="inlineStr">
        <is>
          <t>청주시</t>
        </is>
      </c>
      <c r="AD728" s="0" t="inlineStr">
        <is>
          <t>흥덕구</t>
        </is>
      </c>
      <c r="AE728" s="0" t="inlineStr">
        <is>
          <t>오송읍</t>
        </is>
      </c>
      <c r="AG728" s="0" t="inlineStr">
        <is>
          <t>충청북도 청주시 흥덕구</t>
        </is>
      </c>
      <c r="AH728" s="0" t="n">
        <v>0</v>
      </c>
      <c r="AI728" s="0" t="n">
        <v>199</v>
      </c>
      <c r="AJ728" s="0" t="n">
        <v>16</v>
      </c>
      <c r="AK728" s="0" t="n">
        <v>3275</v>
      </c>
      <c r="AL728" s="0" t="n">
        <v>1.36</v>
      </c>
    </row>
    <row r="729">
      <c r="A729" s="0" t="inlineStr">
        <is>
          <t>[오송읍]</t>
        </is>
      </c>
      <c r="B729" s="0" t="n">
        <v>142018</v>
      </c>
      <c r="C729" s="0" t="n">
        <v>4</v>
      </c>
      <c r="D729" s="0" t="inlineStr">
        <is>
          <t>오송역파라곤센트럴시티</t>
        </is>
      </c>
      <c r="E729" s="0" t="inlineStr">
        <is>
          <t>2023.06.</t>
        </is>
      </c>
      <c r="F729" s="0" t="n">
        <v>2415</v>
      </c>
      <c r="G729" s="0" t="n">
        <v>26.05</v>
      </c>
      <c r="H729" s="0" t="n">
        <v>86.12</v>
      </c>
      <c r="I729" s="0" t="n">
        <v>18.14</v>
      </c>
      <c r="J729" s="0" t="n">
        <v>59.98</v>
      </c>
      <c r="K729" s="0" t="n">
        <v>622</v>
      </c>
      <c r="T729" s="0" t="n">
        <v>2</v>
      </c>
      <c r="U729" s="0" t="n">
        <v>2</v>
      </c>
      <c r="V729" s="0" t="inlineStr">
        <is>
          <t>계단식</t>
        </is>
      </c>
      <c r="W729" s="0" t="inlineStr">
        <is>
          <t>86B</t>
        </is>
      </c>
      <c r="X729" s="0" t="n">
        <v>25</v>
      </c>
      <c r="Y729" s="0" t="n">
        <v>13</v>
      </c>
      <c r="Z729" s="0" t="inlineStr">
        <is>
          <t>https://new.land.naver.com/complexes/142018?tab=detail&amp;rf=Y</t>
        </is>
      </c>
      <c r="AA729" s="0" t="inlineStr">
        <is>
          <t>충청북도 청주시 흥덕구 오송읍 봉산리 오송바이오폴리스지구 B2블럭</t>
        </is>
      </c>
      <c r="AB729" s="0" t="inlineStr">
        <is>
          <t>충청북도</t>
        </is>
      </c>
      <c r="AC729" s="0" t="inlineStr">
        <is>
          <t>청주시</t>
        </is>
      </c>
      <c r="AD729" s="0" t="inlineStr">
        <is>
          <t>흥덕구</t>
        </is>
      </c>
      <c r="AE729" s="0" t="inlineStr">
        <is>
          <t>오송읍</t>
        </is>
      </c>
      <c r="AG729" s="0" t="inlineStr">
        <is>
          <t>충청북도 청주시 흥덕구</t>
        </is>
      </c>
      <c r="AH729" s="0" t="n">
        <v>0</v>
      </c>
      <c r="AI729" s="0" t="n">
        <v>199</v>
      </c>
      <c r="AJ729" s="0" t="n">
        <v>16</v>
      </c>
      <c r="AK729" s="0" t="n">
        <v>3275</v>
      </c>
      <c r="AL729" s="0" t="n">
        <v>1.36</v>
      </c>
    </row>
    <row r="730">
      <c r="A730" s="0" t="inlineStr">
        <is>
          <t>[오송읍]</t>
        </is>
      </c>
      <c r="B730" s="0" t="n">
        <v>25529</v>
      </c>
      <c r="C730" s="0" t="n">
        <v>1</v>
      </c>
      <c r="D730" s="0" t="inlineStr">
        <is>
          <t>삼부청솔</t>
        </is>
      </c>
      <c r="E730" s="0" t="inlineStr">
        <is>
          <t>1996.02.</t>
        </is>
      </c>
      <c r="F730" s="0" t="n">
        <v>199</v>
      </c>
      <c r="G730" s="0" t="n">
        <v>10.84</v>
      </c>
      <c r="H730" s="0" t="n">
        <v>35.84</v>
      </c>
      <c r="I730" s="0" t="n">
        <v>8.66</v>
      </c>
      <c r="J730" s="0" t="n">
        <v>28.65</v>
      </c>
      <c r="K730" s="0" t="n">
        <v>100</v>
      </c>
      <c r="T730" s="0" t="n">
        <v>1</v>
      </c>
      <c r="U730" s="0" t="n">
        <v>1</v>
      </c>
      <c r="V730" s="0" t="inlineStr">
        <is>
          <t>복도식</t>
        </is>
      </c>
      <c r="W730" s="0" t="n">
        <v>35</v>
      </c>
      <c r="X730" s="0" t="n">
        <v>11</v>
      </c>
      <c r="Y730" s="0" t="n">
        <v>4</v>
      </c>
      <c r="Z730" s="0" t="inlineStr">
        <is>
          <t>https://new.land.naver.com/complexes/25529?tab=detail&amp;rf=Y</t>
        </is>
      </c>
      <c r="AA730" s="0" t="inlineStr">
        <is>
          <t>충청북도 청주시 흥덕구 오송읍 봉산리 612-6</t>
        </is>
      </c>
      <c r="AB730" s="0" t="inlineStr">
        <is>
          <t>충청북도</t>
        </is>
      </c>
      <c r="AC730" s="0" t="inlineStr">
        <is>
          <t>청주시</t>
        </is>
      </c>
      <c r="AD730" s="0" t="inlineStr">
        <is>
          <t>흥덕구</t>
        </is>
      </c>
      <c r="AE730" s="0" t="inlineStr">
        <is>
          <t>오송읍</t>
        </is>
      </c>
      <c r="AG730" s="0" t="inlineStr">
        <is>
          <t>충청북도 청주시 흥덕구 가로수로 11-8</t>
        </is>
      </c>
      <c r="AH730" s="0" t="n">
        <v>0</v>
      </c>
      <c r="AI730" s="0" t="n">
        <v>234</v>
      </c>
      <c r="AJ730" s="0" t="n">
        <v>42</v>
      </c>
      <c r="AK730" s="0" t="n">
        <v>65</v>
      </c>
      <c r="AL730" s="0" t="n">
        <v>0.33</v>
      </c>
    </row>
    <row r="731">
      <c r="A731" s="0" t="inlineStr">
        <is>
          <t>[오송읍]</t>
        </is>
      </c>
      <c r="B731" s="0" t="n">
        <v>25529</v>
      </c>
      <c r="C731" s="0" t="n">
        <v>2</v>
      </c>
      <c r="D731" s="0" t="inlineStr">
        <is>
          <t>삼부청솔</t>
        </is>
      </c>
      <c r="E731" s="0" t="inlineStr">
        <is>
          <t>1996.02.</t>
        </is>
      </c>
      <c r="F731" s="0" t="n">
        <v>199</v>
      </c>
      <c r="G731" s="0" t="n">
        <v>16.38</v>
      </c>
      <c r="H731" s="0" t="n">
        <v>54.15</v>
      </c>
      <c r="I731" s="0" t="n">
        <v>13.09</v>
      </c>
      <c r="J731" s="0" t="n">
        <v>43.29</v>
      </c>
      <c r="K731" s="0" t="n">
        <v>79</v>
      </c>
      <c r="T731" s="0" t="n">
        <v>1</v>
      </c>
      <c r="U731" s="0" t="n">
        <v>1</v>
      </c>
      <c r="V731" s="0" t="inlineStr">
        <is>
          <t>복도식</t>
        </is>
      </c>
      <c r="W731" s="0" t="n">
        <v>54</v>
      </c>
      <c r="X731" s="0" t="n">
        <v>11</v>
      </c>
      <c r="Y731" s="0" t="n">
        <v>4</v>
      </c>
      <c r="Z731" s="0" t="inlineStr">
        <is>
          <t>https://new.land.naver.com/complexes/25529?tab=detail&amp;rf=Y</t>
        </is>
      </c>
      <c r="AA731" s="0" t="inlineStr">
        <is>
          <t>충청북도 청주시 흥덕구 오송읍 봉산리 612-6</t>
        </is>
      </c>
      <c r="AB731" s="0" t="inlineStr">
        <is>
          <t>충청북도</t>
        </is>
      </c>
      <c r="AC731" s="0" t="inlineStr">
        <is>
          <t>청주시</t>
        </is>
      </c>
      <c r="AD731" s="0" t="inlineStr">
        <is>
          <t>흥덕구</t>
        </is>
      </c>
      <c r="AE731" s="0" t="inlineStr">
        <is>
          <t>오송읍</t>
        </is>
      </c>
      <c r="AG731" s="0" t="inlineStr">
        <is>
          <t>충청북도 청주시 흥덕구 가로수로 11-8</t>
        </is>
      </c>
      <c r="AH731" s="0" t="n">
        <v>0</v>
      </c>
      <c r="AI731" s="0" t="n">
        <v>234</v>
      </c>
      <c r="AJ731" s="0" t="n">
        <v>42</v>
      </c>
      <c r="AK731" s="0" t="n">
        <v>65</v>
      </c>
      <c r="AL731" s="0" t="n">
        <v>0.33</v>
      </c>
    </row>
    <row r="732">
      <c r="A732" s="0" t="inlineStr">
        <is>
          <t>[오송읍]</t>
        </is>
      </c>
      <c r="B732" s="0" t="n">
        <v>25529</v>
      </c>
      <c r="C732" s="0" t="n">
        <v>3</v>
      </c>
      <c r="D732" s="0" t="inlineStr">
        <is>
          <t>삼부청솔</t>
        </is>
      </c>
      <c r="E732" s="0" t="inlineStr">
        <is>
          <t>1996.02.</t>
        </is>
      </c>
      <c r="F732" s="0" t="n">
        <v>199</v>
      </c>
      <c r="G732" s="0" t="n">
        <v>33.75</v>
      </c>
      <c r="H732" s="0" t="n">
        <v>111.58</v>
      </c>
      <c r="I732" s="0" t="n">
        <v>31.29</v>
      </c>
      <c r="J732" s="0" t="n">
        <v>103.47</v>
      </c>
      <c r="K732" s="0" t="n">
        <v>20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111</v>
      </c>
      <c r="X732" s="0" t="n">
        <v>11</v>
      </c>
      <c r="Y732" s="0" t="n">
        <v>4</v>
      </c>
      <c r="Z732" s="0" t="inlineStr">
        <is>
          <t>https://new.land.naver.com/complexes/25529?tab=detail&amp;rf=Y</t>
        </is>
      </c>
      <c r="AA732" s="0" t="inlineStr">
        <is>
          <t>충청북도 청주시 흥덕구 오송읍 봉산리 612-6</t>
        </is>
      </c>
      <c r="AB732" s="0" t="inlineStr">
        <is>
          <t>충청북도</t>
        </is>
      </c>
      <c r="AC732" s="0" t="inlineStr">
        <is>
          <t>청주시</t>
        </is>
      </c>
      <c r="AD732" s="0" t="inlineStr">
        <is>
          <t>흥덕구</t>
        </is>
      </c>
      <c r="AE732" s="0" t="inlineStr">
        <is>
          <t>오송읍</t>
        </is>
      </c>
      <c r="AG732" s="0" t="inlineStr">
        <is>
          <t>충청북도 청주시 흥덕구 가로수로 11-8</t>
        </is>
      </c>
      <c r="AH732" s="0" t="n">
        <v>0</v>
      </c>
      <c r="AI732" s="0" t="n">
        <v>234</v>
      </c>
      <c r="AJ732" s="0" t="n">
        <v>42</v>
      </c>
      <c r="AK732" s="0" t="n">
        <v>65</v>
      </c>
      <c r="AL732" s="0" t="n">
        <v>0.33</v>
      </c>
    </row>
    <row r="733">
      <c r="A733" s="0" t="inlineStr">
        <is>
          <t>[오송읍]</t>
        </is>
      </c>
      <c r="B733" s="0" t="n">
        <v>100391</v>
      </c>
      <c r="C733" s="0" t="n">
        <v>1</v>
      </c>
      <c r="D733" s="0" t="inlineStr">
        <is>
          <t>모아미래도</t>
        </is>
      </c>
      <c r="E733" s="0" t="inlineStr">
        <is>
          <t>2010.11.</t>
        </is>
      </c>
      <c r="F733" s="0" t="n">
        <v>400</v>
      </c>
      <c r="G733" s="0" t="n">
        <v>33.05</v>
      </c>
      <c r="H733" s="0" t="n">
        <v>109.26</v>
      </c>
      <c r="I733" s="0" t="n">
        <v>25.63</v>
      </c>
      <c r="J733" s="0" t="n">
        <v>84.76000000000001</v>
      </c>
      <c r="K733" s="0" t="n">
        <v>298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109A</t>
        </is>
      </c>
      <c r="X733" s="0" t="n">
        <v>30</v>
      </c>
      <c r="Y733" s="0" t="n">
        <v>24</v>
      </c>
      <c r="Z733" s="0" t="inlineStr">
        <is>
          <t>https://new.land.naver.com/complexes/100391?tab=detail&amp;rf=Y</t>
        </is>
      </c>
      <c r="AA733" s="0" t="inlineStr">
        <is>
          <t>충청북도 청주시 흥덕구 오송읍 연제리 726</t>
        </is>
      </c>
      <c r="AB733" s="0" t="inlineStr">
        <is>
          <t>충청북도</t>
        </is>
      </c>
      <c r="AC733" s="0" t="inlineStr">
        <is>
          <t>청주시</t>
        </is>
      </c>
      <c r="AD733" s="0" t="inlineStr">
        <is>
          <t>흥덕구</t>
        </is>
      </c>
      <c r="AE733" s="0" t="inlineStr">
        <is>
          <t>오송읍</t>
        </is>
      </c>
      <c r="AG733" s="0" t="inlineStr">
        <is>
          <t>충청북도 청주시 흥덕구 오송생명3로 87</t>
        </is>
      </c>
      <c r="AH733" s="0" t="n">
        <v>0</v>
      </c>
      <c r="AI733" s="0" t="n">
        <v>179</v>
      </c>
      <c r="AJ733" s="0" t="n">
        <v>14</v>
      </c>
      <c r="AK733" s="0" t="n">
        <v>589</v>
      </c>
      <c r="AL733" s="0" t="n">
        <v>1.47</v>
      </c>
    </row>
    <row r="734">
      <c r="A734" s="0" t="inlineStr">
        <is>
          <t>[오송읍]</t>
        </is>
      </c>
      <c r="B734" s="0" t="n">
        <v>100391</v>
      </c>
      <c r="C734" s="0" t="n">
        <v>2</v>
      </c>
      <c r="D734" s="0" t="inlineStr">
        <is>
          <t>모아미래도</t>
        </is>
      </c>
      <c r="E734" s="0" t="inlineStr">
        <is>
          <t>2010.11.</t>
        </is>
      </c>
      <c r="F734" s="0" t="n">
        <v>400</v>
      </c>
      <c r="G734" s="0" t="n">
        <v>33.13</v>
      </c>
      <c r="H734" s="0" t="n">
        <v>109.54</v>
      </c>
      <c r="I734" s="0" t="n">
        <v>25.67</v>
      </c>
      <c r="J734" s="0" t="n">
        <v>84.86</v>
      </c>
      <c r="K734" s="0" t="n">
        <v>102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109B</t>
        </is>
      </c>
      <c r="X734" s="0" t="n">
        <v>30</v>
      </c>
      <c r="Y734" s="0" t="n">
        <v>24</v>
      </c>
      <c r="Z734" s="0" t="inlineStr">
        <is>
          <t>https://new.land.naver.com/complexes/100391?tab=detail&amp;rf=Y</t>
        </is>
      </c>
      <c r="AA734" s="0" t="inlineStr">
        <is>
          <t>충청북도 청주시 흥덕구 오송읍 연제리 726</t>
        </is>
      </c>
      <c r="AB734" s="0" t="inlineStr">
        <is>
          <t>충청북도</t>
        </is>
      </c>
      <c r="AC734" s="0" t="inlineStr">
        <is>
          <t>청주시</t>
        </is>
      </c>
      <c r="AD734" s="0" t="inlineStr">
        <is>
          <t>흥덕구</t>
        </is>
      </c>
      <c r="AE734" s="0" t="inlineStr">
        <is>
          <t>오송읍</t>
        </is>
      </c>
      <c r="AG734" s="0" t="inlineStr">
        <is>
          <t>충청북도 청주시 흥덕구 오송생명3로 87</t>
        </is>
      </c>
      <c r="AH734" s="0" t="n">
        <v>0</v>
      </c>
      <c r="AI734" s="0" t="n">
        <v>179</v>
      </c>
      <c r="AJ734" s="0" t="n">
        <v>14</v>
      </c>
      <c r="AK734" s="0" t="n">
        <v>589</v>
      </c>
      <c r="AL734" s="0" t="n">
        <v>1.47</v>
      </c>
    </row>
    <row r="735">
      <c r="A735" s="0" t="inlineStr">
        <is>
          <t>[오송읍]</t>
        </is>
      </c>
      <c r="B735" s="0" t="n">
        <v>117313</v>
      </c>
      <c r="C735" s="0" t="n">
        <v>1</v>
      </c>
      <c r="D735" s="0" t="inlineStr">
        <is>
          <t>오송역동아라이크텐</t>
        </is>
      </c>
      <c r="E735" s="0" t="inlineStr">
        <is>
          <t>2020.05.</t>
        </is>
      </c>
      <c r="F735" s="0" t="n">
        <v>970</v>
      </c>
      <c r="G735" s="0" t="n">
        <v>30.39</v>
      </c>
      <c r="H735" s="0" t="n">
        <v>100.49</v>
      </c>
      <c r="I735" s="0" t="n">
        <v>23.43</v>
      </c>
      <c r="J735" s="0" t="n">
        <v>77.47</v>
      </c>
      <c r="K735" s="0" t="n">
        <v>100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100A</t>
        </is>
      </c>
      <c r="X735" s="0" t="n">
        <v>25</v>
      </c>
      <c r="Y735" s="0" t="n">
        <v>23</v>
      </c>
      <c r="Z735" s="0" t="inlineStr">
        <is>
          <t>https://new.land.naver.com/complexes/117313?tab=detail&amp;rf=Y</t>
        </is>
      </c>
      <c r="AA735" s="0" t="inlineStr">
        <is>
          <t>충청북도 청주시 흥덕구 오송읍 봉산리 1527</t>
        </is>
      </c>
      <c r="AB735" s="0" t="inlineStr">
        <is>
          <t>충청북도</t>
        </is>
      </c>
      <c r="AC735" s="0" t="inlineStr">
        <is>
          <t>청주시</t>
        </is>
      </c>
      <c r="AD735" s="0" t="inlineStr">
        <is>
          <t>흥덕구</t>
        </is>
      </c>
      <c r="AE735" s="0" t="inlineStr">
        <is>
          <t>오송읍</t>
        </is>
      </c>
      <c r="AG735" s="0" t="inlineStr">
        <is>
          <t>충청북도 청주시 흥덕구 오송생명14로 215</t>
        </is>
      </c>
      <c r="AH735" s="0" t="n">
        <v>970</v>
      </c>
      <c r="AI735" s="0" t="n">
        <v>0</v>
      </c>
      <c r="AJ735" s="0" t="n">
        <v>0</v>
      </c>
      <c r="AK735" s="0" t="n">
        <v>1249</v>
      </c>
      <c r="AL735" s="0" t="n">
        <v>1.29</v>
      </c>
    </row>
    <row r="736">
      <c r="A736" s="0" t="inlineStr">
        <is>
          <t>[오송읍]</t>
        </is>
      </c>
      <c r="B736" s="0" t="n">
        <v>117313</v>
      </c>
      <c r="C736" s="0" t="n">
        <v>2</v>
      </c>
      <c r="D736" s="0" t="inlineStr">
        <is>
          <t>오송역동아라이크텐</t>
        </is>
      </c>
      <c r="E736" s="0" t="inlineStr">
        <is>
          <t>2020.05.</t>
        </is>
      </c>
      <c r="F736" s="0" t="n">
        <v>970</v>
      </c>
      <c r="G736" s="0" t="n">
        <v>30.68</v>
      </c>
      <c r="H736" s="0" t="n">
        <v>101.44</v>
      </c>
      <c r="I736" s="0" t="n">
        <v>23.54</v>
      </c>
      <c r="J736" s="0" t="n">
        <v>77.81999999999999</v>
      </c>
      <c r="K736" s="0" t="n">
        <v>90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101B</t>
        </is>
      </c>
      <c r="X736" s="0" t="n">
        <v>25</v>
      </c>
      <c r="Y736" s="0" t="n">
        <v>23</v>
      </c>
      <c r="Z736" s="0" t="inlineStr">
        <is>
          <t>https://new.land.naver.com/complexes/117313?tab=detail&amp;rf=Y</t>
        </is>
      </c>
      <c r="AA736" s="0" t="inlineStr">
        <is>
          <t>충청북도 청주시 흥덕구 오송읍 봉산리 1527</t>
        </is>
      </c>
      <c r="AB736" s="0" t="inlineStr">
        <is>
          <t>충청북도</t>
        </is>
      </c>
      <c r="AC736" s="0" t="inlineStr">
        <is>
          <t>청주시</t>
        </is>
      </c>
      <c r="AD736" s="0" t="inlineStr">
        <is>
          <t>흥덕구</t>
        </is>
      </c>
      <c r="AE736" s="0" t="inlineStr">
        <is>
          <t>오송읍</t>
        </is>
      </c>
      <c r="AG736" s="0" t="inlineStr">
        <is>
          <t>충청북도 청주시 흥덕구 오송생명14로 215</t>
        </is>
      </c>
      <c r="AH736" s="0" t="n">
        <v>970</v>
      </c>
      <c r="AI736" s="0" t="n">
        <v>0</v>
      </c>
      <c r="AJ736" s="0" t="n">
        <v>0</v>
      </c>
      <c r="AK736" s="0" t="n">
        <v>1249</v>
      </c>
      <c r="AL736" s="0" t="n">
        <v>1.29</v>
      </c>
    </row>
    <row r="737">
      <c r="A737" s="0" t="inlineStr">
        <is>
          <t>[오송읍]</t>
        </is>
      </c>
      <c r="B737" s="0" t="n">
        <v>117313</v>
      </c>
      <c r="C737" s="0" t="n">
        <v>3</v>
      </c>
      <c r="D737" s="0" t="inlineStr">
        <is>
          <t>오송역동아라이크텐</t>
        </is>
      </c>
      <c r="E737" s="0" t="inlineStr">
        <is>
          <t>2020.05.</t>
        </is>
      </c>
      <c r="F737" s="0" t="n">
        <v>970</v>
      </c>
      <c r="G737" s="0" t="n">
        <v>33.38</v>
      </c>
      <c r="H737" s="0" t="n">
        <v>110.35</v>
      </c>
      <c r="I737" s="0" t="n">
        <v>25.7</v>
      </c>
      <c r="J737" s="0" t="n">
        <v>84.98999999999999</v>
      </c>
      <c r="K737" s="0" t="n">
        <v>780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110</v>
      </c>
      <c r="X737" s="0" t="n">
        <v>25</v>
      </c>
      <c r="Y737" s="0" t="n">
        <v>23</v>
      </c>
      <c r="Z737" s="0" t="inlineStr">
        <is>
          <t>https://new.land.naver.com/complexes/117313?tab=detail&amp;rf=Y</t>
        </is>
      </c>
      <c r="AA737" s="0" t="inlineStr">
        <is>
          <t>충청북도 청주시 흥덕구 오송읍 봉산리 1527</t>
        </is>
      </c>
      <c r="AB737" s="0" t="inlineStr">
        <is>
          <t>충청북도</t>
        </is>
      </c>
      <c r="AC737" s="0" t="inlineStr">
        <is>
          <t>청주시</t>
        </is>
      </c>
      <c r="AD737" s="0" t="inlineStr">
        <is>
          <t>흥덕구</t>
        </is>
      </c>
      <c r="AE737" s="0" t="inlineStr">
        <is>
          <t>오송읍</t>
        </is>
      </c>
      <c r="AG737" s="0" t="inlineStr">
        <is>
          <t>충청북도 청주시 흥덕구 오송생명14로 215</t>
        </is>
      </c>
      <c r="AH737" s="0" t="n">
        <v>970</v>
      </c>
      <c r="AI737" s="0" t="n">
        <v>0</v>
      </c>
      <c r="AJ737" s="0" t="n">
        <v>0</v>
      </c>
      <c r="AK737" s="0" t="n">
        <v>1249</v>
      </c>
      <c r="AL737" s="0" t="n">
        <v>1.29</v>
      </c>
    </row>
    <row r="738">
      <c r="A738" s="0" t="inlineStr">
        <is>
          <t>[오송읍]</t>
        </is>
      </c>
      <c r="B738" s="0" t="n">
        <v>26318</v>
      </c>
      <c r="C738" s="0" t="n">
        <v>1</v>
      </c>
      <c r="D738" s="0" t="inlineStr">
        <is>
          <t>오송호반베르디움</t>
        </is>
      </c>
      <c r="E738" s="0" t="inlineStr">
        <is>
          <t>2010.08.</t>
        </is>
      </c>
      <c r="F738" s="0" t="n">
        <v>634</v>
      </c>
      <c r="G738" s="0" t="n">
        <v>33.49</v>
      </c>
      <c r="H738" s="0" t="n">
        <v>110.73</v>
      </c>
      <c r="I738" s="0" t="n">
        <v>25.67</v>
      </c>
      <c r="J738" s="0" t="n">
        <v>84.88</v>
      </c>
      <c r="K738" s="0" t="n">
        <v>224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110A</t>
        </is>
      </c>
      <c r="X738" s="0" t="n">
        <v>30</v>
      </c>
      <c r="Y738" s="0" t="n">
        <v>25</v>
      </c>
      <c r="Z738" s="0" t="inlineStr">
        <is>
          <t>https://new.land.naver.com/complexes/26318?tab=detail&amp;rf=Y</t>
        </is>
      </c>
      <c r="AA738" s="0" t="inlineStr">
        <is>
          <t>충청북도 청주시 흥덕구 오송읍 연제리 736</t>
        </is>
      </c>
      <c r="AB738" s="0" t="inlineStr">
        <is>
          <t>충청북도</t>
        </is>
      </c>
      <c r="AC738" s="0" t="inlineStr">
        <is>
          <t>청주시</t>
        </is>
      </c>
      <c r="AD738" s="0" t="inlineStr">
        <is>
          <t>흥덕구</t>
        </is>
      </c>
      <c r="AE738" s="0" t="inlineStr">
        <is>
          <t>오송읍</t>
        </is>
      </c>
      <c r="AG738" s="0" t="inlineStr">
        <is>
          <t>충청북도 청주시 흥덕구 오송생명3로 111</t>
        </is>
      </c>
      <c r="AH738" s="0" t="n">
        <v>0</v>
      </c>
      <c r="AI738" s="0" t="n">
        <v>179</v>
      </c>
      <c r="AJ738" s="0" t="n">
        <v>13</v>
      </c>
      <c r="AK738" s="0" t="n">
        <v>729</v>
      </c>
      <c r="AL738" s="0" t="n">
        <v>1.15</v>
      </c>
    </row>
    <row r="739">
      <c r="A739" s="0" t="inlineStr">
        <is>
          <t>[오송읍]</t>
        </is>
      </c>
      <c r="B739" s="0" t="n">
        <v>26318</v>
      </c>
      <c r="C739" s="0" t="n">
        <v>2</v>
      </c>
      <c r="D739" s="0" t="inlineStr">
        <is>
          <t>오송호반베르디움</t>
        </is>
      </c>
      <c r="E739" s="0" t="inlineStr">
        <is>
          <t>2010.08.</t>
        </is>
      </c>
      <c r="F739" s="0" t="n">
        <v>634</v>
      </c>
      <c r="G739" s="0" t="n">
        <v>33.61</v>
      </c>
      <c r="H739" s="0" t="n">
        <v>111.12</v>
      </c>
      <c r="I739" s="0" t="n">
        <v>25.67</v>
      </c>
      <c r="J739" s="0" t="n">
        <v>84.88</v>
      </c>
      <c r="K739" s="0" t="n">
        <v>270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111B</t>
        </is>
      </c>
      <c r="X739" s="0" t="n">
        <v>30</v>
      </c>
      <c r="Y739" s="0" t="n">
        <v>25</v>
      </c>
      <c r="Z739" s="0" t="inlineStr">
        <is>
          <t>https://new.land.naver.com/complexes/26318?tab=detail&amp;rf=Y</t>
        </is>
      </c>
      <c r="AA739" s="0" t="inlineStr">
        <is>
          <t>충청북도 청주시 흥덕구 오송읍 연제리 736</t>
        </is>
      </c>
      <c r="AB739" s="0" t="inlineStr">
        <is>
          <t>충청북도</t>
        </is>
      </c>
      <c r="AC739" s="0" t="inlineStr">
        <is>
          <t>청주시</t>
        </is>
      </c>
      <c r="AD739" s="0" t="inlineStr">
        <is>
          <t>흥덕구</t>
        </is>
      </c>
      <c r="AE739" s="0" t="inlineStr">
        <is>
          <t>오송읍</t>
        </is>
      </c>
      <c r="AG739" s="0" t="inlineStr">
        <is>
          <t>충청북도 청주시 흥덕구 오송생명3로 111</t>
        </is>
      </c>
      <c r="AH739" s="0" t="n">
        <v>0</v>
      </c>
      <c r="AI739" s="0" t="n">
        <v>179</v>
      </c>
      <c r="AJ739" s="0" t="n">
        <v>13</v>
      </c>
      <c r="AK739" s="0" t="n">
        <v>729</v>
      </c>
      <c r="AL739" s="0" t="n">
        <v>1.15</v>
      </c>
    </row>
    <row r="740">
      <c r="A740" s="0" t="inlineStr">
        <is>
          <t>[오송읍]</t>
        </is>
      </c>
      <c r="B740" s="0" t="n">
        <v>26318</v>
      </c>
      <c r="C740" s="0" t="n">
        <v>3</v>
      </c>
      <c r="D740" s="0" t="inlineStr">
        <is>
          <t>오송호반베르디움</t>
        </is>
      </c>
      <c r="E740" s="0" t="inlineStr">
        <is>
          <t>2010.08.</t>
        </is>
      </c>
      <c r="F740" s="0" t="n">
        <v>634</v>
      </c>
      <c r="G740" s="0" t="n">
        <v>33.89</v>
      </c>
      <c r="H740" s="0" t="n">
        <v>112.05</v>
      </c>
      <c r="I740" s="0" t="n">
        <v>25.7</v>
      </c>
      <c r="J740" s="0" t="n">
        <v>84.95999999999999</v>
      </c>
      <c r="K740" s="0" t="n">
        <v>140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112C</t>
        </is>
      </c>
      <c r="X740" s="0" t="n">
        <v>30</v>
      </c>
      <c r="Y740" s="0" t="n">
        <v>25</v>
      </c>
      <c r="Z740" s="0" t="inlineStr">
        <is>
          <t>https://new.land.naver.com/complexes/26318?tab=detail&amp;rf=Y</t>
        </is>
      </c>
      <c r="AA740" s="0" t="inlineStr">
        <is>
          <t>충청북도 청주시 흥덕구 오송읍 연제리 736</t>
        </is>
      </c>
      <c r="AB740" s="0" t="inlineStr">
        <is>
          <t>충청북도</t>
        </is>
      </c>
      <c r="AC740" s="0" t="inlineStr">
        <is>
          <t>청주시</t>
        </is>
      </c>
      <c r="AD740" s="0" t="inlineStr">
        <is>
          <t>흥덕구</t>
        </is>
      </c>
      <c r="AE740" s="0" t="inlineStr">
        <is>
          <t>오송읍</t>
        </is>
      </c>
      <c r="AG740" s="0" t="inlineStr">
        <is>
          <t>충청북도 청주시 흥덕구 오송생명3로 111</t>
        </is>
      </c>
      <c r="AH740" s="0" t="n">
        <v>0</v>
      </c>
      <c r="AI740" s="0" t="n">
        <v>179</v>
      </c>
      <c r="AJ740" s="0" t="n">
        <v>13</v>
      </c>
      <c r="AK740" s="0" t="n">
        <v>729</v>
      </c>
      <c r="AL740" s="0" t="n">
        <v>1.15</v>
      </c>
    </row>
    <row r="741">
      <c r="A741" s="0" t="inlineStr">
        <is>
          <t>[오송읍]</t>
        </is>
      </c>
      <c r="B741" s="0" t="n">
        <v>101276</v>
      </c>
      <c r="C741" s="0" t="n">
        <v>1</v>
      </c>
      <c r="D741" s="0" t="inlineStr">
        <is>
          <t>오송대원칸타빌</t>
        </is>
      </c>
      <c r="E741" s="0" t="inlineStr">
        <is>
          <t>2011.03.</t>
        </is>
      </c>
      <c r="F741" s="0" t="n">
        <v>304</v>
      </c>
      <c r="G741" s="0" t="n">
        <v>34.22</v>
      </c>
      <c r="H741" s="0" t="n">
        <v>113.13</v>
      </c>
      <c r="I741" s="0" t="n">
        <v>25.7</v>
      </c>
      <c r="J741" s="0" t="n">
        <v>84.98999999999999</v>
      </c>
      <c r="K741" s="0" t="n">
        <v>184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113A</t>
        </is>
      </c>
      <c r="X741" s="0" t="n">
        <v>28</v>
      </c>
      <c r="Y741" s="0" t="n">
        <v>19</v>
      </c>
      <c r="Z741" s="0" t="inlineStr">
        <is>
          <t>https://new.land.naver.com/complexes/101276?tab=detail&amp;rf=Y</t>
        </is>
      </c>
      <c r="AA741" s="0" t="inlineStr">
        <is>
          <t>충청북도 청주시 흥덕구 오송읍 연제리 740</t>
        </is>
      </c>
      <c r="AB741" s="0" t="inlineStr">
        <is>
          <t>충청북도</t>
        </is>
      </c>
      <c r="AC741" s="0" t="inlineStr">
        <is>
          <t>청주시</t>
        </is>
      </c>
      <c r="AD741" s="0" t="inlineStr">
        <is>
          <t>흥덕구</t>
        </is>
      </c>
      <c r="AE741" s="0" t="inlineStr">
        <is>
          <t>오송읍</t>
        </is>
      </c>
      <c r="AG741" s="0" t="inlineStr">
        <is>
          <t>충청북도 청주시 흥덕구 연제만수길 15</t>
        </is>
      </c>
      <c r="AH741" s="0" t="n">
        <v>0</v>
      </c>
      <c r="AI741" s="0" t="n">
        <v>179</v>
      </c>
      <c r="AJ741" s="0" t="n">
        <v>15</v>
      </c>
      <c r="AK741" s="0" t="n">
        <v>410</v>
      </c>
      <c r="AL741" s="0" t="n">
        <v>1.35</v>
      </c>
    </row>
    <row r="742">
      <c r="A742" s="0" t="inlineStr">
        <is>
          <t>[오송읍]</t>
        </is>
      </c>
      <c r="B742" s="0" t="n">
        <v>101276</v>
      </c>
      <c r="C742" s="0" t="n">
        <v>2</v>
      </c>
      <c r="D742" s="0" t="inlineStr">
        <is>
          <t>오송대원칸타빌</t>
        </is>
      </c>
      <c r="E742" s="0" t="inlineStr">
        <is>
          <t>2011.03.</t>
        </is>
      </c>
      <c r="F742" s="0" t="n">
        <v>304</v>
      </c>
      <c r="G742" s="0" t="n">
        <v>34.22</v>
      </c>
      <c r="H742" s="0" t="n">
        <v>113.13</v>
      </c>
      <c r="I742" s="0" t="n">
        <v>25.7</v>
      </c>
      <c r="J742" s="0" t="n">
        <v>84.98999999999999</v>
      </c>
      <c r="K742" s="0" t="n">
        <v>120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113B</t>
        </is>
      </c>
      <c r="X742" s="0" t="n">
        <v>28</v>
      </c>
      <c r="Y742" s="0" t="n">
        <v>19</v>
      </c>
      <c r="Z742" s="0" t="inlineStr">
        <is>
          <t>https://new.land.naver.com/complexes/101276?tab=detail&amp;rf=Y</t>
        </is>
      </c>
      <c r="AA742" s="0" t="inlineStr">
        <is>
          <t>충청북도 청주시 흥덕구 오송읍 연제리 740</t>
        </is>
      </c>
      <c r="AB742" s="0" t="inlineStr">
        <is>
          <t>충청북도</t>
        </is>
      </c>
      <c r="AC742" s="0" t="inlineStr">
        <is>
          <t>청주시</t>
        </is>
      </c>
      <c r="AD742" s="0" t="inlineStr">
        <is>
          <t>흥덕구</t>
        </is>
      </c>
      <c r="AE742" s="0" t="inlineStr">
        <is>
          <t>오송읍</t>
        </is>
      </c>
      <c r="AG742" s="0" t="inlineStr">
        <is>
          <t>충청북도 청주시 흥덕구 연제만수길 15</t>
        </is>
      </c>
      <c r="AH742" s="0" t="n">
        <v>0</v>
      </c>
      <c r="AI742" s="0" t="n">
        <v>179</v>
      </c>
      <c r="AJ742" s="0" t="n">
        <v>15</v>
      </c>
      <c r="AK742" s="0" t="n">
        <v>410</v>
      </c>
      <c r="AL742" s="0" t="n">
        <v>1.35</v>
      </c>
    </row>
    <row r="743">
      <c r="A743" s="0" t="inlineStr">
        <is>
          <t>[오송읍]</t>
        </is>
      </c>
      <c r="B743" s="0" t="n">
        <v>15374</v>
      </c>
      <c r="C743" s="0" t="n">
        <v>1</v>
      </c>
      <c r="D743" s="0" t="inlineStr">
        <is>
          <t>개나리</t>
        </is>
      </c>
      <c r="E743" s="0" t="inlineStr">
        <is>
          <t>1994.12.</t>
        </is>
      </c>
      <c r="F743" s="0" t="n">
        <v>110</v>
      </c>
      <c r="G743" s="0" t="n">
        <v>23.78</v>
      </c>
      <c r="H743" s="0" t="n">
        <v>78.63</v>
      </c>
      <c r="I743" s="0" t="n">
        <v>18.14</v>
      </c>
      <c r="J743" s="0" t="n">
        <v>59.99</v>
      </c>
      <c r="K743" s="0" t="n">
        <v>50</v>
      </c>
      <c r="T743" s="0" t="n">
        <v>3</v>
      </c>
      <c r="U743" s="0" t="n">
        <v>1</v>
      </c>
      <c r="V743" s="0" t="inlineStr">
        <is>
          <t>계단식</t>
        </is>
      </c>
      <c r="W743" s="0" t="n">
        <v>78</v>
      </c>
      <c r="X743" s="0" t="n">
        <v>15</v>
      </c>
      <c r="Y743" s="0" t="n">
        <v>8</v>
      </c>
      <c r="Z743" s="0" t="inlineStr">
        <is>
          <t>https://new.land.naver.com/complexes/15374?tab=detail&amp;rf=Y</t>
        </is>
      </c>
      <c r="AA743" s="0" t="inlineStr">
        <is>
          <t>충청북도 청주시 흥덕구 오송읍 정중리 562-8</t>
        </is>
      </c>
      <c r="AB743" s="0" t="inlineStr">
        <is>
          <t>충청북도</t>
        </is>
      </c>
      <c r="AC743" s="0" t="inlineStr">
        <is>
          <t>청주시</t>
        </is>
      </c>
      <c r="AD743" s="0" t="inlineStr">
        <is>
          <t>흥덕구</t>
        </is>
      </c>
      <c r="AE743" s="0" t="inlineStr">
        <is>
          <t>오송읍</t>
        </is>
      </c>
      <c r="AG743" s="0" t="inlineStr">
        <is>
          <t>충청북도 청주시 흥덕구 정중연제로 24-5</t>
        </is>
      </c>
      <c r="AH743" s="0" t="n">
        <v>0</v>
      </c>
      <c r="AI743" s="0" t="n">
        <v>222</v>
      </c>
      <c r="AJ743" s="0" t="n">
        <v>23</v>
      </c>
      <c r="AK743" s="0" t="n">
        <v>83</v>
      </c>
      <c r="AL743" s="0" t="n">
        <v>0.75</v>
      </c>
    </row>
    <row r="744">
      <c r="A744" s="0" t="inlineStr">
        <is>
          <t>[오송읍]</t>
        </is>
      </c>
      <c r="B744" s="0" t="n">
        <v>15374</v>
      </c>
      <c r="C744" s="0" t="n">
        <v>2</v>
      </c>
      <c r="D744" s="0" t="inlineStr">
        <is>
          <t>개나리</t>
        </is>
      </c>
      <c r="E744" s="0" t="inlineStr">
        <is>
          <t>1994.12.</t>
        </is>
      </c>
      <c r="F744" s="0" t="n">
        <v>110</v>
      </c>
      <c r="G744" s="0" t="n">
        <v>32.02</v>
      </c>
      <c r="H744" s="0" t="n">
        <v>105.87</v>
      </c>
      <c r="I744" s="0" t="n">
        <v>25.7</v>
      </c>
      <c r="J744" s="0" t="n">
        <v>84.95999999999999</v>
      </c>
      <c r="K744" s="0" t="n">
        <v>60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105</v>
      </c>
      <c r="X744" s="0" t="n">
        <v>15</v>
      </c>
      <c r="Y744" s="0" t="n">
        <v>8</v>
      </c>
      <c r="Z744" s="0" t="inlineStr">
        <is>
          <t>https://new.land.naver.com/complexes/15374?tab=detail&amp;rf=Y</t>
        </is>
      </c>
      <c r="AA744" s="0" t="inlineStr">
        <is>
          <t>충청북도 청주시 흥덕구 오송읍 정중리 562-8</t>
        </is>
      </c>
      <c r="AB744" s="0" t="inlineStr">
        <is>
          <t>충청북도</t>
        </is>
      </c>
      <c r="AC744" s="0" t="inlineStr">
        <is>
          <t>청주시</t>
        </is>
      </c>
      <c r="AD744" s="0" t="inlineStr">
        <is>
          <t>흥덕구</t>
        </is>
      </c>
      <c r="AE744" s="0" t="inlineStr">
        <is>
          <t>오송읍</t>
        </is>
      </c>
      <c r="AG744" s="0" t="inlineStr">
        <is>
          <t>충청북도 청주시 흥덕구 정중연제로 24-5</t>
        </is>
      </c>
      <c r="AH744" s="0" t="n">
        <v>0</v>
      </c>
      <c r="AI744" s="0" t="n">
        <v>222</v>
      </c>
      <c r="AJ744" s="0" t="n">
        <v>23</v>
      </c>
      <c r="AK744" s="0" t="n">
        <v>83</v>
      </c>
      <c r="AL744" s="0" t="n">
        <v>0.75</v>
      </c>
    </row>
    <row r="745">
      <c r="A745" s="0" t="inlineStr">
        <is>
          <t>[오송읍]</t>
        </is>
      </c>
      <c r="B745" s="0" t="n">
        <v>24261</v>
      </c>
      <c r="C745" s="0" t="n">
        <v>1</v>
      </c>
      <c r="D745" s="0" t="inlineStr">
        <is>
          <t>강외재원</t>
        </is>
      </c>
      <c r="E745" s="0" t="inlineStr">
        <is>
          <t>1996.06.</t>
        </is>
      </c>
      <c r="F745" s="0" t="n">
        <v>120</v>
      </c>
      <c r="G745" s="0" t="n">
        <v>21.84</v>
      </c>
      <c r="H745" s="0" t="n">
        <v>72.20999999999999</v>
      </c>
      <c r="I745" s="0" t="n">
        <v>18.03</v>
      </c>
      <c r="J745" s="0" t="n">
        <v>59.62</v>
      </c>
      <c r="K745" s="0" t="n">
        <v>120</v>
      </c>
      <c r="T745" s="0" t="n">
        <v>3</v>
      </c>
      <c r="U745" s="0" t="n">
        <v>1</v>
      </c>
      <c r="V745" s="0" t="inlineStr">
        <is>
          <t>계단식</t>
        </is>
      </c>
      <c r="W745" s="0" t="n">
        <v>72</v>
      </c>
      <c r="X745" s="0" t="n">
        <v>15</v>
      </c>
      <c r="Y745" s="0" t="n">
        <v>15</v>
      </c>
      <c r="Z745" s="0" t="inlineStr">
        <is>
          <t>https://new.land.naver.com/complexes/24261?tab=detail&amp;rf=Y</t>
        </is>
      </c>
      <c r="AA745" s="0" t="inlineStr">
        <is>
          <t>충청북도 청주시 흥덕구 오송읍 오송리 263-3</t>
        </is>
      </c>
      <c r="AB745" s="0" t="inlineStr">
        <is>
          <t>충청북도</t>
        </is>
      </c>
      <c r="AC745" s="0" t="inlineStr">
        <is>
          <t>청주시</t>
        </is>
      </c>
      <c r="AD745" s="0" t="inlineStr">
        <is>
          <t>흥덕구</t>
        </is>
      </c>
      <c r="AE745" s="0" t="inlineStr">
        <is>
          <t>오송읍</t>
        </is>
      </c>
      <c r="AG745" s="0" t="inlineStr">
        <is>
          <t>충청북도 청주시 흥덕구 가로수로 162</t>
        </is>
      </c>
      <c r="AH745" s="0" t="n">
        <v>0</v>
      </c>
      <c r="AI745" s="0" t="n">
        <v>0</v>
      </c>
      <c r="AJ745" s="0" t="n">
        <v>0</v>
      </c>
      <c r="AK745" s="0" t="n">
        <v>70</v>
      </c>
      <c r="AL745" s="0" t="n">
        <v>0.58</v>
      </c>
    </row>
    <row r="746">
      <c r="A746" s="0" t="inlineStr">
        <is>
          <t>[오송읍]</t>
        </is>
      </c>
      <c r="B746" s="0" t="n">
        <v>109064</v>
      </c>
      <c r="C746" s="0" t="n">
        <v>1</v>
      </c>
      <c r="D746" s="0" t="inlineStr">
        <is>
          <t>그린나래</t>
        </is>
      </c>
      <c r="E746" s="0" t="inlineStr">
        <is>
          <t>2006.04.</t>
        </is>
      </c>
      <c r="F746" s="0" t="n">
        <v>127</v>
      </c>
      <c r="G746" s="0" t="n">
        <v>10.15</v>
      </c>
      <c r="H746" s="0" t="n">
        <v>33.57</v>
      </c>
      <c r="I746" s="0" t="n">
        <v>6.44</v>
      </c>
      <c r="J746" s="0" t="n">
        <v>21.31</v>
      </c>
      <c r="K746" s="0" t="n">
        <v>87</v>
      </c>
      <c r="T746" s="0" t="n">
        <v>1</v>
      </c>
      <c r="U746" s="0" t="n">
        <v>1</v>
      </c>
      <c r="V746" s="0" t="inlineStr">
        <is>
          <t>계단식</t>
        </is>
      </c>
      <c r="W746" s="0" t="n">
        <v>33</v>
      </c>
      <c r="X746" s="0" t="n">
        <v>8</v>
      </c>
      <c r="Y746" s="0" t="n">
        <v>8</v>
      </c>
      <c r="Z746" s="0" t="inlineStr">
        <is>
          <t>https://new.land.naver.com/complexes/109064?tab=detail&amp;rf=Y</t>
        </is>
      </c>
      <c r="AA746" s="0" t="inlineStr">
        <is>
          <t>충청북도 청주시 흥덕구 오송읍 서평리 621-4</t>
        </is>
      </c>
      <c r="AB746" s="0" t="inlineStr">
        <is>
          <t>충청북도</t>
        </is>
      </c>
      <c r="AC746" s="0" t="inlineStr">
        <is>
          <t>청주시</t>
        </is>
      </c>
      <c r="AD746" s="0" t="inlineStr">
        <is>
          <t>흥덕구</t>
        </is>
      </c>
      <c r="AE746" s="0" t="inlineStr">
        <is>
          <t>오송읍</t>
        </is>
      </c>
      <c r="AG746" s="0" t="inlineStr">
        <is>
          <t>충청북도 청주시 흥덕구 서평길 31-9</t>
        </is>
      </c>
      <c r="AH746" s="0" t="n">
        <v>0</v>
      </c>
      <c r="AI746" s="0" t="n">
        <v>96</v>
      </c>
      <c r="AJ746" s="0" t="n">
        <v>17</v>
      </c>
      <c r="AK746" s="0" t="n">
        <v>93</v>
      </c>
      <c r="AL746" s="0" t="n">
        <v>0.73</v>
      </c>
    </row>
    <row r="747">
      <c r="A747" s="0" t="inlineStr">
        <is>
          <t>[오송읍]</t>
        </is>
      </c>
      <c r="B747" s="0" t="n">
        <v>109064</v>
      </c>
      <c r="C747" s="0" t="n">
        <v>2</v>
      </c>
      <c r="D747" s="0" t="inlineStr">
        <is>
          <t>그린나래</t>
        </is>
      </c>
      <c r="E747" s="0" t="inlineStr">
        <is>
          <t>2006.04.</t>
        </is>
      </c>
      <c r="F747" s="0" t="n">
        <v>127</v>
      </c>
      <c r="G747" s="0" t="n">
        <v>16.13</v>
      </c>
      <c r="H747" s="0" t="n">
        <v>53.34</v>
      </c>
      <c r="I747" s="0" t="n">
        <v>10.42</v>
      </c>
      <c r="J747" s="0" t="n">
        <v>34.45</v>
      </c>
      <c r="K747" s="0" t="n">
        <v>40</v>
      </c>
      <c r="T747" s="0" t="n">
        <v>1</v>
      </c>
      <c r="U747" s="0" t="n">
        <v>1</v>
      </c>
      <c r="V747" s="0" t="inlineStr">
        <is>
          <t>계단식</t>
        </is>
      </c>
      <c r="W747" s="0" t="n">
        <v>53</v>
      </c>
      <c r="X747" s="0" t="n">
        <v>8</v>
      </c>
      <c r="Y747" s="0" t="n">
        <v>8</v>
      </c>
      <c r="Z747" s="0" t="inlineStr">
        <is>
          <t>https://new.land.naver.com/complexes/109064?tab=detail&amp;rf=Y</t>
        </is>
      </c>
      <c r="AA747" s="0" t="inlineStr">
        <is>
          <t>충청북도 청주시 흥덕구 오송읍 서평리 621-4</t>
        </is>
      </c>
      <c r="AB747" s="0" t="inlineStr">
        <is>
          <t>충청북도</t>
        </is>
      </c>
      <c r="AC747" s="0" t="inlineStr">
        <is>
          <t>청주시</t>
        </is>
      </c>
      <c r="AD747" s="0" t="inlineStr">
        <is>
          <t>흥덕구</t>
        </is>
      </c>
      <c r="AE747" s="0" t="inlineStr">
        <is>
          <t>오송읍</t>
        </is>
      </c>
      <c r="AG747" s="0" t="inlineStr">
        <is>
          <t>충청북도 청주시 흥덕구 서평길 31-9</t>
        </is>
      </c>
      <c r="AH747" s="0" t="n">
        <v>0</v>
      </c>
      <c r="AI747" s="0" t="n">
        <v>96</v>
      </c>
      <c r="AJ747" s="0" t="n">
        <v>17</v>
      </c>
      <c r="AK747" s="0" t="n">
        <v>93</v>
      </c>
      <c r="AL747" s="0" t="n">
        <v>0.73</v>
      </c>
    </row>
    <row r="748">
      <c r="A748" s="0" t="inlineStr">
        <is>
          <t>[옥산면]</t>
        </is>
      </c>
      <c r="B748" s="0" t="n">
        <v>15386</v>
      </c>
      <c r="C748" s="0" t="n">
        <v>1</v>
      </c>
      <c r="D748" s="0" t="inlineStr">
        <is>
          <t>화인테크노빌</t>
        </is>
      </c>
      <c r="E748" s="0" t="inlineStr">
        <is>
          <t>2002.02.</t>
        </is>
      </c>
      <c r="F748" s="0" t="n">
        <v>288</v>
      </c>
      <c r="G748" s="0" t="n">
        <v>23.21</v>
      </c>
      <c r="H748" s="0" t="n">
        <v>76.75</v>
      </c>
      <c r="I748" s="0" t="n">
        <v>18.12</v>
      </c>
      <c r="J748" s="0" t="n">
        <v>59.93</v>
      </c>
      <c r="K748" s="0" t="n">
        <v>288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76</v>
      </c>
      <c r="X748" s="0" t="n">
        <v>12</v>
      </c>
      <c r="Y748" s="0" t="n">
        <v>12</v>
      </c>
      <c r="Z748" s="0" t="inlineStr">
        <is>
          <t>https://new.land.naver.com/complexes/15386?tab=detail&amp;rf=Y</t>
        </is>
      </c>
      <c r="AA748" s="0" t="inlineStr">
        <is>
          <t>충청북도 청주시 흥덕구 옥산면 가락리 455-1</t>
        </is>
      </c>
      <c r="AB748" s="0" t="inlineStr">
        <is>
          <t>충청북도</t>
        </is>
      </c>
      <c r="AC748" s="0" t="inlineStr">
        <is>
          <t>청주시</t>
        </is>
      </c>
      <c r="AD748" s="0" t="inlineStr">
        <is>
          <t>흥덕구</t>
        </is>
      </c>
      <c r="AE748" s="0" t="inlineStr">
        <is>
          <t>옥산면</t>
        </is>
      </c>
      <c r="AG748" s="0" t="inlineStr">
        <is>
          <t>충청북도 청주시 흥덕구 오송가락로 937</t>
        </is>
      </c>
      <c r="AH748" s="0" t="n">
        <v>0</v>
      </c>
      <c r="AI748" s="0" t="n">
        <v>154</v>
      </c>
      <c r="AJ748" s="0" t="n">
        <v>18</v>
      </c>
      <c r="AK748" s="0" t="n">
        <v>224</v>
      </c>
      <c r="AL748" s="0" t="n">
        <v>0.78</v>
      </c>
    </row>
    <row r="749">
      <c r="A749" s="0" t="inlineStr">
        <is>
          <t>[옥산면]</t>
        </is>
      </c>
      <c r="B749" s="0" t="n">
        <v>121170</v>
      </c>
      <c r="C749" s="0" t="n">
        <v>1</v>
      </c>
      <c r="D749" s="0" t="inlineStr">
        <is>
          <t>대창</t>
        </is>
      </c>
      <c r="E749" s="0" t="inlineStr">
        <is>
          <t>1992.06.</t>
        </is>
      </c>
      <c r="F749" s="0" t="n">
        <v>49</v>
      </c>
      <c r="G749" s="0" t="n">
        <v>22.29</v>
      </c>
      <c r="H749" s="0" t="n">
        <v>73.7</v>
      </c>
      <c r="I749" s="0" t="n">
        <v>18.1</v>
      </c>
      <c r="J749" s="0" t="n">
        <v>59.85</v>
      </c>
      <c r="K749" s="0" t="n">
        <v>44</v>
      </c>
      <c r="T749" s="0" t="n">
        <v>3</v>
      </c>
      <c r="U749" s="0" t="n">
        <v>1</v>
      </c>
      <c r="V749" s="0" t="inlineStr">
        <is>
          <t>복도식</t>
        </is>
      </c>
      <c r="W749" s="0" t="n">
        <v>73</v>
      </c>
      <c r="X749" s="0" t="n">
        <v>6</v>
      </c>
      <c r="Y749" s="0" t="n">
        <v>5</v>
      </c>
      <c r="Z749" s="0" t="inlineStr">
        <is>
          <t>https://new.land.naver.com/complexes/121170?tab=detail&amp;rf=Y</t>
        </is>
      </c>
      <c r="AA749" s="0" t="inlineStr">
        <is>
          <t>충청북도 청주시 흥덕구 옥산면 오산리 384-2</t>
        </is>
      </c>
      <c r="AB749" s="0" t="inlineStr">
        <is>
          <t>충청북도</t>
        </is>
      </c>
      <c r="AC749" s="0" t="inlineStr">
        <is>
          <t>청주시</t>
        </is>
      </c>
      <c r="AD749" s="0" t="inlineStr">
        <is>
          <t>흥덕구</t>
        </is>
      </c>
      <c r="AE749" s="0" t="inlineStr">
        <is>
          <t>옥산면</t>
        </is>
      </c>
      <c r="AG749" s="0" t="inlineStr">
        <is>
          <t>충청북도 청주시 흥덕구 옥산시내1길 3-3</t>
        </is>
      </c>
      <c r="AH749" s="0" t="n">
        <v>0</v>
      </c>
      <c r="AI749" s="0" t="n">
        <v>0</v>
      </c>
      <c r="AJ749" s="0" t="n">
        <v>0</v>
      </c>
      <c r="AK749" s="0" t="n">
        <v>0</v>
      </c>
      <c r="AL749" s="0" t="n">
        <v>0</v>
      </c>
    </row>
    <row r="750">
      <c r="A750" s="0" t="inlineStr">
        <is>
          <t>[옥산면]</t>
        </is>
      </c>
      <c r="B750" s="0" t="n">
        <v>121170</v>
      </c>
      <c r="C750" s="0" t="n">
        <v>2</v>
      </c>
      <c r="D750" s="0" t="inlineStr">
        <is>
          <t>대창</t>
        </is>
      </c>
      <c r="E750" s="0" t="inlineStr">
        <is>
          <t>1992.06.</t>
        </is>
      </c>
      <c r="F750" s="0" t="n">
        <v>49</v>
      </c>
      <c r="G750" s="0" t="n">
        <v>24.26</v>
      </c>
      <c r="H750" s="0" t="n">
        <v>80.2</v>
      </c>
      <c r="I750" s="0" t="n">
        <v>18.1</v>
      </c>
      <c r="J750" s="0" t="n">
        <v>59.85</v>
      </c>
      <c r="K750" s="0" t="n">
        <v>5</v>
      </c>
      <c r="T750" s="0" t="n">
        <v>3</v>
      </c>
      <c r="U750" s="0" t="n">
        <v>1</v>
      </c>
      <c r="V750" s="0" t="inlineStr">
        <is>
          <t>복도식</t>
        </is>
      </c>
      <c r="W750" s="0" t="n">
        <v>80</v>
      </c>
      <c r="X750" s="0" t="n">
        <v>6</v>
      </c>
      <c r="Y750" s="0" t="n">
        <v>5</v>
      </c>
      <c r="Z750" s="0" t="inlineStr">
        <is>
          <t>https://new.land.naver.com/complexes/121170?tab=detail&amp;rf=Y</t>
        </is>
      </c>
      <c r="AA750" s="0" t="inlineStr">
        <is>
          <t>충청북도 청주시 흥덕구 옥산면 오산리 384-2</t>
        </is>
      </c>
      <c r="AB750" s="0" t="inlineStr">
        <is>
          <t>충청북도</t>
        </is>
      </c>
      <c r="AC750" s="0" t="inlineStr">
        <is>
          <t>청주시</t>
        </is>
      </c>
      <c r="AD750" s="0" t="inlineStr">
        <is>
          <t>흥덕구</t>
        </is>
      </c>
      <c r="AE750" s="0" t="inlineStr">
        <is>
          <t>옥산면</t>
        </is>
      </c>
      <c r="AG750" s="0" t="inlineStr">
        <is>
          <t>충청북도 청주시 흥덕구 옥산시내1길 3-3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[옥산면]</t>
        </is>
      </c>
      <c r="B751" s="0" t="n">
        <v>107318</v>
      </c>
      <c r="C751" s="0" t="n">
        <v>1</v>
      </c>
      <c r="D751" s="0" t="inlineStr">
        <is>
          <t>삼영</t>
        </is>
      </c>
      <c r="E751" s="0" t="inlineStr">
        <is>
          <t>1989..</t>
        </is>
      </c>
      <c r="F751" s="0" t="n">
        <v>60</v>
      </c>
      <c r="G751" s="0" t="n">
        <v>17.04</v>
      </c>
      <c r="H751" s="0" t="n">
        <v>56.34</v>
      </c>
      <c r="I751" s="0" t="n">
        <v>13.06</v>
      </c>
      <c r="J751" s="0" t="n">
        <v>43.2</v>
      </c>
      <c r="K751" s="0" t="n">
        <v>60</v>
      </c>
      <c r="T751" s="0" t="n">
        <v>2</v>
      </c>
      <c r="U751" s="0" t="n">
        <v>1</v>
      </c>
      <c r="V751" s="0" t="inlineStr">
        <is>
          <t>복도식</t>
        </is>
      </c>
      <c r="W751" s="0" t="n">
        <v>56</v>
      </c>
      <c r="X751" s="0" t="n">
        <v>6</v>
      </c>
      <c r="Y751" s="0" t="n">
        <v>6</v>
      </c>
      <c r="Z751" s="0" t="inlineStr">
        <is>
          <t>https://new.land.naver.com/complexes/107318?tab=detail&amp;rf=Y</t>
        </is>
      </c>
      <c r="AA751" s="0" t="inlineStr">
        <is>
          <t>충청북도 청주시 흥덕구 옥산면 오산리 159-2</t>
        </is>
      </c>
      <c r="AB751" s="0" t="inlineStr">
        <is>
          <t>충청북도</t>
        </is>
      </c>
      <c r="AC751" s="0" t="inlineStr">
        <is>
          <t>청주시</t>
        </is>
      </c>
      <c r="AD751" s="0" t="inlineStr">
        <is>
          <t>흥덕구</t>
        </is>
      </c>
      <c r="AE751" s="0" t="inlineStr">
        <is>
          <t>옥산면</t>
        </is>
      </c>
      <c r="AG751" s="0" t="inlineStr">
        <is>
          <t>충청북도 청주시 흥덕구 청주역로 703</t>
        </is>
      </c>
      <c r="AH751" s="0" t="n">
        <v>0</v>
      </c>
      <c r="AI751" s="0" t="n">
        <v>119</v>
      </c>
      <c r="AJ751" s="0" t="n">
        <v>25</v>
      </c>
      <c r="AK751" s="0" t="n">
        <v>0</v>
      </c>
      <c r="AL751" s="0" t="n">
        <v>0</v>
      </c>
    </row>
    <row r="752">
      <c r="A752" s="0" t="inlineStr">
        <is>
          <t>[옥산면]</t>
        </is>
      </c>
      <c r="B752" s="0" t="n">
        <v>17227</v>
      </c>
      <c r="C752" s="0" t="n">
        <v>1</v>
      </c>
      <c r="D752" s="0" t="inlineStr">
        <is>
          <t>옥산금정1차</t>
        </is>
      </c>
      <c r="E752" s="0" t="inlineStr">
        <is>
          <t>1997.10.</t>
        </is>
      </c>
      <c r="F752" s="0" t="n">
        <v>225</v>
      </c>
      <c r="G752" s="0" t="n">
        <v>12.59</v>
      </c>
      <c r="H752" s="0" t="n">
        <v>41.64</v>
      </c>
      <c r="I752" s="0" t="n">
        <v>9.390000000000001</v>
      </c>
      <c r="J752" s="0" t="n">
        <v>31.05</v>
      </c>
      <c r="K752" s="0" t="n">
        <v>225</v>
      </c>
      <c r="T752" s="0" t="n">
        <v>1</v>
      </c>
      <c r="U752" s="0" t="n">
        <v>1</v>
      </c>
      <c r="V752" s="0" t="inlineStr">
        <is>
          <t>복도식</t>
        </is>
      </c>
      <c r="W752" s="0" t="n">
        <v>41</v>
      </c>
      <c r="X752" s="0" t="n">
        <v>15</v>
      </c>
      <c r="Y752" s="0" t="n">
        <v>9</v>
      </c>
      <c r="Z752" s="0" t="inlineStr">
        <is>
          <t>https://new.land.naver.com/complexes/17227?tab=detail&amp;rf=Y</t>
        </is>
      </c>
      <c r="AA752" s="0" t="inlineStr">
        <is>
          <t>충청북도 청주시 흥덕구 옥산면 오산리 589-1</t>
        </is>
      </c>
      <c r="AB752" s="0" t="inlineStr">
        <is>
          <t>충청북도</t>
        </is>
      </c>
      <c r="AC752" s="0" t="inlineStr">
        <is>
          <t>청주시</t>
        </is>
      </c>
      <c r="AD752" s="0" t="inlineStr">
        <is>
          <t>흥덕구</t>
        </is>
      </c>
      <c r="AE752" s="0" t="inlineStr">
        <is>
          <t>옥산면</t>
        </is>
      </c>
      <c r="AG752" s="0" t="inlineStr">
        <is>
          <t>충청북도 청주시 흥덕구 오송가락로 760</t>
        </is>
      </c>
      <c r="AH752" s="0" t="n">
        <v>0</v>
      </c>
      <c r="AI752" s="0" t="n">
        <v>249</v>
      </c>
      <c r="AJ752" s="0" t="n">
        <v>23</v>
      </c>
      <c r="AK752" s="0" t="n">
        <v>111</v>
      </c>
      <c r="AL752" s="0" t="n">
        <v>0.49</v>
      </c>
    </row>
    <row r="753">
      <c r="A753" s="0" t="inlineStr">
        <is>
          <t>[옥산면]</t>
        </is>
      </c>
      <c r="B753" s="0" t="n">
        <v>120219</v>
      </c>
      <c r="C753" s="0" t="n">
        <v>1</v>
      </c>
      <c r="D753" s="0" t="inlineStr">
        <is>
          <t>옥산삼덕</t>
        </is>
      </c>
      <c r="E753" s="0" t="inlineStr">
        <is>
          <t>1992.08.</t>
        </is>
      </c>
      <c r="F753" s="0" t="n">
        <v>48</v>
      </c>
      <c r="G753" s="0" t="n">
        <v>23.05</v>
      </c>
      <c r="H753" s="0" t="n">
        <v>76.2</v>
      </c>
      <c r="I753" s="0" t="n">
        <v>18.1</v>
      </c>
      <c r="J753" s="0" t="n">
        <v>59.85</v>
      </c>
      <c r="K753" s="0" t="n">
        <v>48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76</v>
      </c>
      <c r="X753" s="0" t="n">
        <v>6</v>
      </c>
      <c r="Y753" s="0" t="n">
        <v>6</v>
      </c>
      <c r="Z753" s="0" t="inlineStr">
        <is>
          <t>https://new.land.naver.com/complexes/120219?tab=detail&amp;rf=Y</t>
        </is>
      </c>
      <c r="AA753" s="0" t="inlineStr">
        <is>
          <t>충청북도 청주시 흥덕구 옥산면 오산리 159-4</t>
        </is>
      </c>
      <c r="AB753" s="0" t="inlineStr">
        <is>
          <t>충청북도</t>
        </is>
      </c>
      <c r="AC753" s="0" t="inlineStr">
        <is>
          <t>청주시</t>
        </is>
      </c>
      <c r="AD753" s="0" t="inlineStr">
        <is>
          <t>흥덕구</t>
        </is>
      </c>
      <c r="AE753" s="0" t="inlineStr">
        <is>
          <t>옥산면</t>
        </is>
      </c>
      <c r="AG753" s="0" t="inlineStr">
        <is>
          <t>충청북도 청주시 흥덕구 청주역로 697</t>
        </is>
      </c>
      <c r="AH753" s="0" t="n">
        <v>0</v>
      </c>
      <c r="AI753" s="0" t="n">
        <v>148</v>
      </c>
      <c r="AJ753" s="0" t="n">
        <v>28</v>
      </c>
      <c r="AK753" s="0" t="n">
        <v>19</v>
      </c>
      <c r="AL753" s="0" t="n">
        <v>0.4</v>
      </c>
    </row>
    <row r="754">
      <c r="A754" s="0" t="inlineStr">
        <is>
          <t>[옥산면]</t>
        </is>
      </c>
      <c r="B754" s="0" t="n">
        <v>17228</v>
      </c>
      <c r="C754" s="0" t="n">
        <v>1</v>
      </c>
      <c r="D754" s="0" t="inlineStr">
        <is>
          <t>아트빌</t>
        </is>
      </c>
      <c r="E754" s="0" t="inlineStr">
        <is>
          <t>1998.06.</t>
        </is>
      </c>
      <c r="F754" s="0" t="n">
        <v>618</v>
      </c>
      <c r="G754" s="0" t="n">
        <v>15.99</v>
      </c>
      <c r="H754" s="0" t="n">
        <v>52.89</v>
      </c>
      <c r="I754" s="0" t="n">
        <v>12.08</v>
      </c>
      <c r="J754" s="0" t="n">
        <v>39.96</v>
      </c>
      <c r="K754" s="0" t="n">
        <v>114</v>
      </c>
      <c r="T754" s="0" t="n">
        <v>2</v>
      </c>
      <c r="U754" s="0" t="n">
        <v>1</v>
      </c>
      <c r="V754" s="0" t="inlineStr">
        <is>
          <t>복도식</t>
        </is>
      </c>
      <c r="W754" s="0" t="n">
        <v>52</v>
      </c>
      <c r="X754" s="0" t="n">
        <v>15</v>
      </c>
      <c r="Y754" s="0" t="n">
        <v>8</v>
      </c>
      <c r="Z754" s="0" t="inlineStr">
        <is>
          <t>https://new.land.naver.com/complexes/17228?tab=detail&amp;rf=Y</t>
        </is>
      </c>
      <c r="AA754" s="0" t="inlineStr">
        <is>
          <t>충청북도 청주시 흥덕구 옥산면 오산리 590-1</t>
        </is>
      </c>
      <c r="AB754" s="0" t="inlineStr">
        <is>
          <t>충청북도</t>
        </is>
      </c>
      <c r="AC754" s="0" t="inlineStr">
        <is>
          <t>청주시</t>
        </is>
      </c>
      <c r="AD754" s="0" t="inlineStr">
        <is>
          <t>흥덕구</t>
        </is>
      </c>
      <c r="AE754" s="0" t="inlineStr">
        <is>
          <t>옥산면</t>
        </is>
      </c>
      <c r="AG754" s="0" t="inlineStr">
        <is>
          <t>충청북도 청주시 흥덕구 오송가락로 718</t>
        </is>
      </c>
      <c r="AH754" s="0" t="n">
        <v>0</v>
      </c>
      <c r="AI754" s="0" t="n">
        <v>189</v>
      </c>
      <c r="AJ754" s="0" t="n">
        <v>19</v>
      </c>
      <c r="AK754" s="0" t="n">
        <v>463</v>
      </c>
      <c r="AL754" s="0" t="n">
        <v>0.75</v>
      </c>
    </row>
    <row r="755">
      <c r="A755" s="0" t="inlineStr">
        <is>
          <t>[옥산면]</t>
        </is>
      </c>
      <c r="B755" s="0" t="n">
        <v>17228</v>
      </c>
      <c r="C755" s="0" t="n">
        <v>2</v>
      </c>
      <c r="D755" s="0" t="inlineStr">
        <is>
          <t>아트빌</t>
        </is>
      </c>
      <c r="E755" s="0" t="inlineStr">
        <is>
          <t>1998.06.</t>
        </is>
      </c>
      <c r="F755" s="0" t="n">
        <v>618</v>
      </c>
      <c r="G755" s="0" t="n">
        <v>17</v>
      </c>
      <c r="H755" s="0" t="n">
        <v>56.2</v>
      </c>
      <c r="I755" s="0" t="n">
        <v>12.08</v>
      </c>
      <c r="J755" s="0" t="n">
        <v>39.96</v>
      </c>
      <c r="K755" s="0" t="n">
        <v>78</v>
      </c>
      <c r="T755" s="0" t="n">
        <v>2</v>
      </c>
      <c r="U755" s="0" t="n">
        <v>1</v>
      </c>
      <c r="V755" s="0" t="inlineStr">
        <is>
          <t>복도식</t>
        </is>
      </c>
      <c r="W755" s="0" t="n">
        <v>56</v>
      </c>
      <c r="X755" s="0" t="n">
        <v>15</v>
      </c>
      <c r="Y755" s="0" t="n">
        <v>8</v>
      </c>
      <c r="Z755" s="0" t="inlineStr">
        <is>
          <t>https://new.land.naver.com/complexes/17228?tab=detail&amp;rf=Y</t>
        </is>
      </c>
      <c r="AA755" s="0" t="inlineStr">
        <is>
          <t>충청북도 청주시 흥덕구 옥산면 오산리 590-1</t>
        </is>
      </c>
      <c r="AB755" s="0" t="inlineStr">
        <is>
          <t>충청북도</t>
        </is>
      </c>
      <c r="AC755" s="0" t="inlineStr">
        <is>
          <t>청주시</t>
        </is>
      </c>
      <c r="AD755" s="0" t="inlineStr">
        <is>
          <t>흥덕구</t>
        </is>
      </c>
      <c r="AE755" s="0" t="inlineStr">
        <is>
          <t>옥산면</t>
        </is>
      </c>
      <c r="AG755" s="0" t="inlineStr">
        <is>
          <t>충청북도 청주시 흥덕구 오송가락로 718</t>
        </is>
      </c>
      <c r="AH755" s="0" t="n">
        <v>0</v>
      </c>
      <c r="AI755" s="0" t="n">
        <v>189</v>
      </c>
      <c r="AJ755" s="0" t="n">
        <v>19</v>
      </c>
      <c r="AK755" s="0" t="n">
        <v>463</v>
      </c>
      <c r="AL755" s="0" t="n">
        <v>0.75</v>
      </c>
    </row>
    <row r="756">
      <c r="A756" s="0" t="inlineStr">
        <is>
          <t>[옥산면]</t>
        </is>
      </c>
      <c r="B756" s="0" t="n">
        <v>17228</v>
      </c>
      <c r="C756" s="0" t="n">
        <v>3</v>
      </c>
      <c r="D756" s="0" t="inlineStr">
        <is>
          <t>아트빌</t>
        </is>
      </c>
      <c r="E756" s="0" t="inlineStr">
        <is>
          <t>1998.06.</t>
        </is>
      </c>
      <c r="F756" s="0" t="n">
        <v>618</v>
      </c>
      <c r="G756" s="0" t="n">
        <v>24</v>
      </c>
      <c r="H756" s="0" t="n">
        <v>79.34</v>
      </c>
      <c r="I756" s="0" t="n">
        <v>18.13</v>
      </c>
      <c r="J756" s="0" t="n">
        <v>59.94</v>
      </c>
      <c r="K756" s="0" t="n">
        <v>300</v>
      </c>
      <c r="T756" s="0" t="n">
        <v>3</v>
      </c>
      <c r="U756" s="0" t="n">
        <v>1</v>
      </c>
      <c r="V756" s="0" t="inlineStr">
        <is>
          <t>복도식</t>
        </is>
      </c>
      <c r="W756" s="0" t="n">
        <v>79</v>
      </c>
      <c r="X756" s="0" t="n">
        <v>15</v>
      </c>
      <c r="Y756" s="0" t="n">
        <v>8</v>
      </c>
      <c r="Z756" s="0" t="inlineStr">
        <is>
          <t>https://new.land.naver.com/complexes/17228?tab=detail&amp;rf=Y</t>
        </is>
      </c>
      <c r="AA756" s="0" t="inlineStr">
        <is>
          <t>충청북도 청주시 흥덕구 옥산면 오산리 590-1</t>
        </is>
      </c>
      <c r="AB756" s="0" t="inlineStr">
        <is>
          <t>충청북도</t>
        </is>
      </c>
      <c r="AC756" s="0" t="inlineStr">
        <is>
          <t>청주시</t>
        </is>
      </c>
      <c r="AD756" s="0" t="inlineStr">
        <is>
          <t>흥덕구</t>
        </is>
      </c>
      <c r="AE756" s="0" t="inlineStr">
        <is>
          <t>옥산면</t>
        </is>
      </c>
      <c r="AG756" s="0" t="inlineStr">
        <is>
          <t>충청북도 청주시 흥덕구 오송가락로 718</t>
        </is>
      </c>
      <c r="AH756" s="0" t="n">
        <v>0</v>
      </c>
      <c r="AI756" s="0" t="n">
        <v>189</v>
      </c>
      <c r="AJ756" s="0" t="n">
        <v>19</v>
      </c>
      <c r="AK756" s="0" t="n">
        <v>463</v>
      </c>
      <c r="AL756" s="0" t="n">
        <v>0.75</v>
      </c>
    </row>
    <row r="757">
      <c r="A757" s="0" t="inlineStr">
        <is>
          <t>[옥산면]</t>
        </is>
      </c>
      <c r="B757" s="0" t="n">
        <v>17228</v>
      </c>
      <c r="C757" s="0" t="n">
        <v>4</v>
      </c>
      <c r="D757" s="0" t="inlineStr">
        <is>
          <t>아트빌</t>
        </is>
      </c>
      <c r="E757" s="0" t="inlineStr">
        <is>
          <t>1998.06.</t>
        </is>
      </c>
      <c r="F757" s="0" t="n">
        <v>618</v>
      </c>
      <c r="G757" s="0" t="n">
        <v>25</v>
      </c>
      <c r="H757" s="0" t="n">
        <v>82.65000000000001</v>
      </c>
      <c r="I757" s="0" t="n">
        <v>18.13</v>
      </c>
      <c r="J757" s="0" t="n">
        <v>59.94</v>
      </c>
      <c r="K757" s="0" t="n">
        <v>90</v>
      </c>
      <c r="T757" s="0" t="n">
        <v>3</v>
      </c>
      <c r="U757" s="0" t="n">
        <v>1</v>
      </c>
      <c r="V757" s="0" t="inlineStr">
        <is>
          <t>복도식</t>
        </is>
      </c>
      <c r="W757" s="0" t="n">
        <v>82</v>
      </c>
      <c r="X757" s="0" t="n">
        <v>15</v>
      </c>
      <c r="Y757" s="0" t="n">
        <v>8</v>
      </c>
      <c r="Z757" s="0" t="inlineStr">
        <is>
          <t>https://new.land.naver.com/complexes/17228?tab=detail&amp;rf=Y</t>
        </is>
      </c>
      <c r="AA757" s="0" t="inlineStr">
        <is>
          <t>충청북도 청주시 흥덕구 옥산면 오산리 590-1</t>
        </is>
      </c>
      <c r="AB757" s="0" t="inlineStr">
        <is>
          <t>충청북도</t>
        </is>
      </c>
      <c r="AC757" s="0" t="inlineStr">
        <is>
          <t>청주시</t>
        </is>
      </c>
      <c r="AD757" s="0" t="inlineStr">
        <is>
          <t>흥덕구</t>
        </is>
      </c>
      <c r="AE757" s="0" t="inlineStr">
        <is>
          <t>옥산면</t>
        </is>
      </c>
      <c r="AG757" s="0" t="inlineStr">
        <is>
          <t>충청북도 청주시 흥덕구 오송가락로 718</t>
        </is>
      </c>
      <c r="AH757" s="0" t="n">
        <v>0</v>
      </c>
      <c r="AI757" s="0" t="n">
        <v>189</v>
      </c>
      <c r="AJ757" s="0" t="n">
        <v>19</v>
      </c>
      <c r="AK757" s="0" t="n">
        <v>463</v>
      </c>
      <c r="AL757" s="0" t="n">
        <v>0.75</v>
      </c>
    </row>
    <row r="758">
      <c r="A758" s="0" t="inlineStr">
        <is>
          <t>[옥산면]</t>
        </is>
      </c>
      <c r="B758" s="0" t="n">
        <v>17228</v>
      </c>
      <c r="C758" s="0" t="n">
        <v>5</v>
      </c>
      <c r="D758" s="0" t="inlineStr">
        <is>
          <t>아트빌</t>
        </is>
      </c>
      <c r="E758" s="0" t="inlineStr">
        <is>
          <t>1998.06.</t>
        </is>
      </c>
      <c r="F758" s="0" t="n">
        <v>618</v>
      </c>
      <c r="G758" s="0" t="n">
        <v>25.99</v>
      </c>
      <c r="H758" s="0" t="n">
        <v>85.95</v>
      </c>
      <c r="I758" s="0" t="n">
        <v>18.13</v>
      </c>
      <c r="J758" s="0" t="n">
        <v>59.94</v>
      </c>
      <c r="K758" s="0" t="n">
        <v>36</v>
      </c>
      <c r="T758" s="0" t="n">
        <v>3</v>
      </c>
      <c r="U758" s="0" t="n">
        <v>1</v>
      </c>
      <c r="V758" s="0" t="inlineStr">
        <is>
          <t>복도식</t>
        </is>
      </c>
      <c r="W758" s="0" t="n">
        <v>85</v>
      </c>
      <c r="X758" s="0" t="n">
        <v>15</v>
      </c>
      <c r="Y758" s="0" t="n">
        <v>8</v>
      </c>
      <c r="Z758" s="0" t="inlineStr">
        <is>
          <t>https://new.land.naver.com/complexes/17228?tab=detail&amp;rf=Y</t>
        </is>
      </c>
      <c r="AA758" s="0" t="inlineStr">
        <is>
          <t>충청북도 청주시 흥덕구 옥산면 오산리 590-1</t>
        </is>
      </c>
      <c r="AB758" s="0" t="inlineStr">
        <is>
          <t>충청북도</t>
        </is>
      </c>
      <c r="AC758" s="0" t="inlineStr">
        <is>
          <t>청주시</t>
        </is>
      </c>
      <c r="AD758" s="0" t="inlineStr">
        <is>
          <t>흥덕구</t>
        </is>
      </c>
      <c r="AE758" s="0" t="inlineStr">
        <is>
          <t>옥산면</t>
        </is>
      </c>
      <c r="AG758" s="0" t="inlineStr">
        <is>
          <t>충청북도 청주시 흥덕구 오송가락로 718</t>
        </is>
      </c>
      <c r="AH758" s="0" t="n">
        <v>0</v>
      </c>
      <c r="AI758" s="0" t="n">
        <v>189</v>
      </c>
      <c r="AJ758" s="0" t="n">
        <v>19</v>
      </c>
      <c r="AK758" s="0" t="n">
        <v>463</v>
      </c>
      <c r="AL758" s="0" t="n">
        <v>0.75</v>
      </c>
    </row>
    <row r="759">
      <c r="A759" s="0" t="inlineStr">
        <is>
          <t>[옥산면]</t>
        </is>
      </c>
      <c r="B759" s="0" t="n">
        <v>109403</v>
      </c>
      <c r="C759" s="0" t="n">
        <v>1</v>
      </c>
      <c r="D759" s="0" t="inlineStr">
        <is>
          <t>흥덕코오롱하늘채</t>
        </is>
      </c>
      <c r="E759" s="0" t="inlineStr">
        <is>
          <t>2016.11.</t>
        </is>
      </c>
      <c r="F759" s="0" t="n">
        <v>1206</v>
      </c>
      <c r="G759" s="0" t="n">
        <v>25.69</v>
      </c>
      <c r="H759" s="0" t="n">
        <v>84.95</v>
      </c>
      <c r="I759" s="0" t="n">
        <v>18.12</v>
      </c>
      <c r="J759" s="0" t="n">
        <v>59.93</v>
      </c>
      <c r="K759" s="0" t="n">
        <v>604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84</v>
      </c>
      <c r="X759" s="0" t="n">
        <v>15</v>
      </c>
      <c r="Y759" s="0" t="n">
        <v>15</v>
      </c>
      <c r="Z759" s="0" t="inlineStr">
        <is>
          <t>https://new.land.naver.com/complexes/109403?tab=detail&amp;rf=Y</t>
        </is>
      </c>
      <c r="AA759" s="0" t="inlineStr">
        <is>
          <t>충청북도 청주시 흥덕구 옥산면 가락리 953</t>
        </is>
      </c>
      <c r="AB759" s="0" t="inlineStr">
        <is>
          <t>충청북도</t>
        </is>
      </c>
      <c r="AC759" s="0" t="inlineStr">
        <is>
          <t>청주시</t>
        </is>
      </c>
      <c r="AD759" s="0" t="inlineStr">
        <is>
          <t>흥덕구</t>
        </is>
      </c>
      <c r="AE759" s="0" t="inlineStr">
        <is>
          <t>옥산면</t>
        </is>
      </c>
      <c r="AG759" s="0" t="inlineStr">
        <is>
          <t>충청북도 청주시 흥덕구 가락길 60</t>
        </is>
      </c>
      <c r="AH759" s="0" t="n">
        <v>0</v>
      </c>
      <c r="AI759" s="0" t="n">
        <v>148</v>
      </c>
      <c r="AJ759" s="0" t="n">
        <v>16</v>
      </c>
      <c r="AK759" s="0" t="n">
        <v>1561</v>
      </c>
      <c r="AL759" s="0" t="n">
        <v>1.29</v>
      </c>
    </row>
    <row r="760">
      <c r="A760" s="0" t="inlineStr">
        <is>
          <t>[옥산면]</t>
        </is>
      </c>
      <c r="B760" s="0" t="n">
        <v>109403</v>
      </c>
      <c r="C760" s="0" t="n">
        <v>2</v>
      </c>
      <c r="D760" s="0" t="inlineStr">
        <is>
          <t>흥덕코오롱하늘채</t>
        </is>
      </c>
      <c r="E760" s="0" t="inlineStr">
        <is>
          <t>2016.11.</t>
        </is>
      </c>
      <c r="F760" s="0" t="n">
        <v>1206</v>
      </c>
      <c r="G760" s="0" t="n">
        <v>34.38</v>
      </c>
      <c r="H760" s="0" t="n">
        <v>113.68</v>
      </c>
      <c r="I760" s="0" t="n">
        <v>25.7</v>
      </c>
      <c r="J760" s="0" t="n">
        <v>84.98</v>
      </c>
      <c r="K760" s="0" t="n">
        <v>477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113A</t>
        </is>
      </c>
      <c r="X760" s="0" t="n">
        <v>15</v>
      </c>
      <c r="Y760" s="0" t="n">
        <v>15</v>
      </c>
      <c r="Z760" s="0" t="inlineStr">
        <is>
          <t>https://new.land.naver.com/complexes/109403?tab=detail&amp;rf=Y</t>
        </is>
      </c>
      <c r="AA760" s="0" t="inlineStr">
        <is>
          <t>충청북도 청주시 흥덕구 옥산면 가락리 953</t>
        </is>
      </c>
      <c r="AB760" s="0" t="inlineStr">
        <is>
          <t>충청북도</t>
        </is>
      </c>
      <c r="AC760" s="0" t="inlineStr">
        <is>
          <t>청주시</t>
        </is>
      </c>
      <c r="AD760" s="0" t="inlineStr">
        <is>
          <t>흥덕구</t>
        </is>
      </c>
      <c r="AE760" s="0" t="inlineStr">
        <is>
          <t>옥산면</t>
        </is>
      </c>
      <c r="AG760" s="0" t="inlineStr">
        <is>
          <t>충청북도 청주시 흥덕구 가락길 60</t>
        </is>
      </c>
      <c r="AH760" s="0" t="n">
        <v>0</v>
      </c>
      <c r="AI760" s="0" t="n">
        <v>148</v>
      </c>
      <c r="AJ760" s="0" t="n">
        <v>16</v>
      </c>
      <c r="AK760" s="0" t="n">
        <v>1561</v>
      </c>
      <c r="AL760" s="0" t="n">
        <v>1.29</v>
      </c>
    </row>
    <row r="761">
      <c r="A761" s="0" t="inlineStr">
        <is>
          <t>[옥산면]</t>
        </is>
      </c>
      <c r="B761" s="0" t="n">
        <v>109403</v>
      </c>
      <c r="C761" s="0" t="n">
        <v>3</v>
      </c>
      <c r="D761" s="0" t="inlineStr">
        <is>
          <t>흥덕코오롱하늘채</t>
        </is>
      </c>
      <c r="E761" s="0" t="inlineStr">
        <is>
          <t>2016.11.</t>
        </is>
      </c>
      <c r="F761" s="0" t="n">
        <v>1206</v>
      </c>
      <c r="G761" s="0" t="n">
        <v>34.2</v>
      </c>
      <c r="H761" s="0" t="n">
        <v>113.07</v>
      </c>
      <c r="I761" s="0" t="n">
        <v>25.67</v>
      </c>
      <c r="J761" s="0" t="n">
        <v>84.86</v>
      </c>
      <c r="K761" s="0" t="n">
        <v>125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113B</t>
        </is>
      </c>
      <c r="X761" s="0" t="n">
        <v>15</v>
      </c>
      <c r="Y761" s="0" t="n">
        <v>15</v>
      </c>
      <c r="Z761" s="0" t="inlineStr">
        <is>
          <t>https://new.land.naver.com/complexes/109403?tab=detail&amp;rf=Y</t>
        </is>
      </c>
      <c r="AA761" s="0" t="inlineStr">
        <is>
          <t>충청북도 청주시 흥덕구 옥산면 가락리 953</t>
        </is>
      </c>
      <c r="AB761" s="0" t="inlineStr">
        <is>
          <t>충청북도</t>
        </is>
      </c>
      <c r="AC761" s="0" t="inlineStr">
        <is>
          <t>청주시</t>
        </is>
      </c>
      <c r="AD761" s="0" t="inlineStr">
        <is>
          <t>흥덕구</t>
        </is>
      </c>
      <c r="AE761" s="0" t="inlineStr">
        <is>
          <t>옥산면</t>
        </is>
      </c>
      <c r="AG761" s="0" t="inlineStr">
        <is>
          <t>충청북도 청주시 흥덕구 가락길 60</t>
        </is>
      </c>
      <c r="AH761" s="0" t="n">
        <v>0</v>
      </c>
      <c r="AI761" s="0" t="n">
        <v>148</v>
      </c>
      <c r="AJ761" s="0" t="n">
        <v>16</v>
      </c>
      <c r="AK761" s="0" t="n">
        <v>1561</v>
      </c>
      <c r="AL761" s="0" t="n">
        <v>1.29</v>
      </c>
    </row>
    <row r="762">
      <c r="A762" s="0" t="inlineStr">
        <is>
          <t>[옥산면]</t>
        </is>
      </c>
      <c r="B762" s="0" t="n">
        <v>116749</v>
      </c>
      <c r="C762" s="0" t="n">
        <v>1</v>
      </c>
      <c r="D762" s="0" t="inlineStr">
        <is>
          <t>청주리버파크자이</t>
        </is>
      </c>
      <c r="E762" s="0" t="inlineStr">
        <is>
          <t>2019.07.</t>
        </is>
      </c>
      <c r="F762" s="0" t="n">
        <v>2529</v>
      </c>
      <c r="G762" s="0" t="n">
        <v>27.89</v>
      </c>
      <c r="H762" s="0" t="n">
        <v>92.22</v>
      </c>
      <c r="I762" s="0" t="n">
        <v>20.25</v>
      </c>
      <c r="J762" s="0" t="n">
        <v>66.95</v>
      </c>
      <c r="K762" s="0" t="n">
        <v>337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92</v>
      </c>
      <c r="X762" s="0" t="n">
        <v>29</v>
      </c>
      <c r="Y762" s="0" t="n">
        <v>21</v>
      </c>
      <c r="Z762" s="0" t="inlineStr">
        <is>
          <t>https://new.land.naver.com/complexes/116749?tab=detail&amp;rf=Y</t>
        </is>
      </c>
      <c r="AA762" s="0" t="inlineStr">
        <is>
          <t>충청북도 청주시 흥덕구 옥산면 가락리 981</t>
        </is>
      </c>
      <c r="AB762" s="0" t="inlineStr">
        <is>
          <t>충청북도</t>
        </is>
      </c>
      <c r="AC762" s="0" t="inlineStr">
        <is>
          <t>청주시</t>
        </is>
      </c>
      <c r="AD762" s="0" t="inlineStr">
        <is>
          <t>흥덕구</t>
        </is>
      </c>
      <c r="AE762" s="0" t="inlineStr">
        <is>
          <t>옥산면</t>
        </is>
      </c>
      <c r="AG762" s="0" t="inlineStr">
        <is>
          <t>충청북도 청주시 흥덕구 오송가락로 1056</t>
        </is>
      </c>
      <c r="AH762" s="0" t="n">
        <v>0</v>
      </c>
      <c r="AI762" s="0" t="n">
        <v>0</v>
      </c>
      <c r="AJ762" s="0" t="n">
        <v>0</v>
      </c>
      <c r="AK762" s="0" t="n">
        <v>3289</v>
      </c>
      <c r="AL762" s="0" t="n">
        <v>1.3</v>
      </c>
    </row>
    <row r="763">
      <c r="A763" s="0" t="inlineStr">
        <is>
          <t>[옥산면]</t>
        </is>
      </c>
      <c r="B763" s="0" t="n">
        <v>116749</v>
      </c>
      <c r="C763" s="0" t="n">
        <v>2</v>
      </c>
      <c r="D763" s="0" t="inlineStr">
        <is>
          <t>청주리버파크자이</t>
        </is>
      </c>
      <c r="E763" s="0" t="inlineStr">
        <is>
          <t>2019.07.</t>
        </is>
      </c>
      <c r="F763" s="0" t="n">
        <v>2529</v>
      </c>
      <c r="G763" s="0" t="n">
        <v>31.92</v>
      </c>
      <c r="H763" s="0" t="n">
        <v>105.55</v>
      </c>
      <c r="I763" s="0" t="n">
        <v>23.37</v>
      </c>
      <c r="J763" s="0" t="n">
        <v>77.27</v>
      </c>
      <c r="K763" s="0" t="n">
        <v>586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105</v>
      </c>
      <c r="X763" s="0" t="n">
        <v>29</v>
      </c>
      <c r="Y763" s="0" t="n">
        <v>21</v>
      </c>
      <c r="Z763" s="0" t="inlineStr">
        <is>
          <t>https://new.land.naver.com/complexes/116749?tab=detail&amp;rf=Y</t>
        </is>
      </c>
      <c r="AA763" s="0" t="inlineStr">
        <is>
          <t>충청북도 청주시 흥덕구 옥산면 가락리 981</t>
        </is>
      </c>
      <c r="AB763" s="0" t="inlineStr">
        <is>
          <t>충청북도</t>
        </is>
      </c>
      <c r="AC763" s="0" t="inlineStr">
        <is>
          <t>청주시</t>
        </is>
      </c>
      <c r="AD763" s="0" t="inlineStr">
        <is>
          <t>흥덕구</t>
        </is>
      </c>
      <c r="AE763" s="0" t="inlineStr">
        <is>
          <t>옥산면</t>
        </is>
      </c>
      <c r="AG763" s="0" t="inlineStr">
        <is>
          <t>충청북도 청주시 흥덕구 오송가락로 1056</t>
        </is>
      </c>
      <c r="AH763" s="0" t="n">
        <v>0</v>
      </c>
      <c r="AI763" s="0" t="n">
        <v>0</v>
      </c>
      <c r="AJ763" s="0" t="n">
        <v>0</v>
      </c>
      <c r="AK763" s="0" t="n">
        <v>3289</v>
      </c>
      <c r="AL763" s="0" t="n">
        <v>1.3</v>
      </c>
    </row>
    <row r="764">
      <c r="A764" s="0" t="inlineStr">
        <is>
          <t>[옥산면]</t>
        </is>
      </c>
      <c r="B764" s="0" t="n">
        <v>116749</v>
      </c>
      <c r="C764" s="0" t="n">
        <v>3</v>
      </c>
      <c r="D764" s="0" t="inlineStr">
        <is>
          <t>청주리버파크자이</t>
        </is>
      </c>
      <c r="E764" s="0" t="inlineStr">
        <is>
          <t>2019.07.</t>
        </is>
      </c>
      <c r="F764" s="0" t="n">
        <v>2529</v>
      </c>
      <c r="G764" s="0" t="n">
        <v>35.05</v>
      </c>
      <c r="H764" s="0" t="n">
        <v>115.89</v>
      </c>
      <c r="I764" s="0" t="n">
        <v>25.7</v>
      </c>
      <c r="J764" s="0" t="n">
        <v>84.95999999999999</v>
      </c>
      <c r="K764" s="0" t="n">
        <v>459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115A</t>
        </is>
      </c>
      <c r="X764" s="0" t="n">
        <v>29</v>
      </c>
      <c r="Y764" s="0" t="n">
        <v>21</v>
      </c>
      <c r="Z764" s="0" t="inlineStr">
        <is>
          <t>https://new.land.naver.com/complexes/116749?tab=detail&amp;rf=Y</t>
        </is>
      </c>
      <c r="AA764" s="0" t="inlineStr">
        <is>
          <t>충청북도 청주시 흥덕구 옥산면 가락리 981</t>
        </is>
      </c>
      <c r="AB764" s="0" t="inlineStr">
        <is>
          <t>충청북도</t>
        </is>
      </c>
      <c r="AC764" s="0" t="inlineStr">
        <is>
          <t>청주시</t>
        </is>
      </c>
      <c r="AD764" s="0" t="inlineStr">
        <is>
          <t>흥덕구</t>
        </is>
      </c>
      <c r="AE764" s="0" t="inlineStr">
        <is>
          <t>옥산면</t>
        </is>
      </c>
      <c r="AG764" s="0" t="inlineStr">
        <is>
          <t>충청북도 청주시 흥덕구 오송가락로 1056</t>
        </is>
      </c>
      <c r="AH764" s="0" t="n">
        <v>0</v>
      </c>
      <c r="AI764" s="0" t="n">
        <v>0</v>
      </c>
      <c r="AJ764" s="0" t="n">
        <v>0</v>
      </c>
      <c r="AK764" s="0" t="n">
        <v>3289</v>
      </c>
      <c r="AL764" s="0" t="n">
        <v>1.3</v>
      </c>
    </row>
    <row r="765">
      <c r="A765" s="0" t="inlineStr">
        <is>
          <t>[옥산면]</t>
        </is>
      </c>
      <c r="B765" s="0" t="n">
        <v>116749</v>
      </c>
      <c r="C765" s="0" t="n">
        <v>4</v>
      </c>
      <c r="D765" s="0" t="inlineStr">
        <is>
          <t>청주리버파크자이</t>
        </is>
      </c>
      <c r="E765" s="0" t="inlineStr">
        <is>
          <t>2019.07.</t>
        </is>
      </c>
      <c r="F765" s="0" t="n">
        <v>2529</v>
      </c>
      <c r="G765" s="0" t="n">
        <v>35.13</v>
      </c>
      <c r="H765" s="0" t="n">
        <v>116.15</v>
      </c>
      <c r="I765" s="0" t="n">
        <v>25.69</v>
      </c>
      <c r="J765" s="0" t="n">
        <v>84.93000000000001</v>
      </c>
      <c r="K765" s="0" t="n">
        <v>758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116B</t>
        </is>
      </c>
      <c r="X765" s="0" t="n">
        <v>29</v>
      </c>
      <c r="Y765" s="0" t="n">
        <v>21</v>
      </c>
      <c r="Z765" s="0" t="inlineStr">
        <is>
          <t>https://new.land.naver.com/complexes/116749?tab=detail&amp;rf=Y</t>
        </is>
      </c>
      <c r="AA765" s="0" t="inlineStr">
        <is>
          <t>충청북도 청주시 흥덕구 옥산면 가락리 981</t>
        </is>
      </c>
      <c r="AB765" s="0" t="inlineStr">
        <is>
          <t>충청북도</t>
        </is>
      </c>
      <c r="AC765" s="0" t="inlineStr">
        <is>
          <t>청주시</t>
        </is>
      </c>
      <c r="AD765" s="0" t="inlineStr">
        <is>
          <t>흥덕구</t>
        </is>
      </c>
      <c r="AE765" s="0" t="inlineStr">
        <is>
          <t>옥산면</t>
        </is>
      </c>
      <c r="AG765" s="0" t="inlineStr">
        <is>
          <t>충청북도 청주시 흥덕구 오송가락로 1056</t>
        </is>
      </c>
      <c r="AH765" s="0" t="n">
        <v>0</v>
      </c>
      <c r="AI765" s="0" t="n">
        <v>0</v>
      </c>
      <c r="AJ765" s="0" t="n">
        <v>0</v>
      </c>
      <c r="AK765" s="0" t="n">
        <v>3289</v>
      </c>
      <c r="AL765" s="0" t="n">
        <v>1.3</v>
      </c>
    </row>
    <row r="766">
      <c r="A766" s="0" t="inlineStr">
        <is>
          <t>[옥산면]</t>
        </is>
      </c>
      <c r="B766" s="0" t="n">
        <v>116749</v>
      </c>
      <c r="C766" s="0" t="n">
        <v>5</v>
      </c>
      <c r="D766" s="0" t="inlineStr">
        <is>
          <t>청주리버파크자이</t>
        </is>
      </c>
      <c r="E766" s="0" t="inlineStr">
        <is>
          <t>2019.07.</t>
        </is>
      </c>
      <c r="F766" s="0" t="n">
        <v>2529</v>
      </c>
      <c r="G766" s="0" t="n">
        <v>35.35</v>
      </c>
      <c r="H766" s="0" t="n">
        <v>116.86</v>
      </c>
      <c r="I766" s="0" t="n">
        <v>25.7</v>
      </c>
      <c r="J766" s="0" t="n">
        <v>84.98</v>
      </c>
      <c r="K766" s="0" t="n">
        <v>389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116C</t>
        </is>
      </c>
      <c r="X766" s="0" t="n">
        <v>29</v>
      </c>
      <c r="Y766" s="0" t="n">
        <v>21</v>
      </c>
      <c r="Z766" s="0" t="inlineStr">
        <is>
          <t>https://new.land.naver.com/complexes/116749?tab=detail&amp;rf=Y</t>
        </is>
      </c>
      <c r="AA766" s="0" t="inlineStr">
        <is>
          <t>충청북도 청주시 흥덕구 옥산면 가락리 981</t>
        </is>
      </c>
      <c r="AB766" s="0" t="inlineStr">
        <is>
          <t>충청북도</t>
        </is>
      </c>
      <c r="AC766" s="0" t="inlineStr">
        <is>
          <t>청주시</t>
        </is>
      </c>
      <c r="AD766" s="0" t="inlineStr">
        <is>
          <t>흥덕구</t>
        </is>
      </c>
      <c r="AE766" s="0" t="inlineStr">
        <is>
          <t>옥산면</t>
        </is>
      </c>
      <c r="AG766" s="0" t="inlineStr">
        <is>
          <t>충청북도 청주시 흥덕구 오송가락로 1056</t>
        </is>
      </c>
      <c r="AH766" s="0" t="n">
        <v>0</v>
      </c>
      <c r="AI766" s="0" t="n">
        <v>0</v>
      </c>
      <c r="AJ766" s="0" t="n">
        <v>0</v>
      </c>
      <c r="AK766" s="0" t="n">
        <v>3289</v>
      </c>
      <c r="AL766" s="0" t="n">
        <v>1.3</v>
      </c>
    </row>
    <row r="767">
      <c r="A767" s="0" t="inlineStr">
        <is>
          <t>[옥산면]</t>
        </is>
      </c>
      <c r="B767" s="0" t="n">
        <v>15384</v>
      </c>
      <c r="C767" s="0" t="n">
        <v>1</v>
      </c>
      <c r="D767" s="0" t="inlineStr">
        <is>
          <t>옥산한울</t>
        </is>
      </c>
      <c r="E767" s="0" t="inlineStr">
        <is>
          <t>1992.12.</t>
        </is>
      </c>
      <c r="F767" s="0" t="n">
        <v>119</v>
      </c>
      <c r="G767" s="0" t="n">
        <v>24.8</v>
      </c>
      <c r="H767" s="0" t="n">
        <v>81.98999999999999</v>
      </c>
      <c r="I767" s="0" t="n">
        <v>18.09</v>
      </c>
      <c r="J767" s="0" t="n">
        <v>59.82</v>
      </c>
      <c r="K767" s="0" t="n">
        <v>93</v>
      </c>
      <c r="T767" s="0" t="n">
        <v>2</v>
      </c>
      <c r="U767" s="0" t="n">
        <v>1</v>
      </c>
      <c r="V767" s="0" t="inlineStr">
        <is>
          <t>복도식</t>
        </is>
      </c>
      <c r="W767" s="0" t="n">
        <v>81</v>
      </c>
      <c r="X767" s="0" t="n">
        <v>15</v>
      </c>
      <c r="Y767" s="0" t="n">
        <v>7</v>
      </c>
      <c r="Z767" s="0" t="inlineStr">
        <is>
          <t>https://new.land.naver.com/complexes/15384?tab=detail&amp;rf=Y</t>
        </is>
      </c>
      <c r="AA767" s="0" t="inlineStr">
        <is>
          <t>충청북도 청주시 흥덕구 옥산면 오산리 160-1</t>
        </is>
      </c>
      <c r="AB767" s="0" t="inlineStr">
        <is>
          <t>충청북도</t>
        </is>
      </c>
      <c r="AC767" s="0" t="inlineStr">
        <is>
          <t>청주시</t>
        </is>
      </c>
      <c r="AD767" s="0" t="inlineStr">
        <is>
          <t>흥덕구</t>
        </is>
      </c>
      <c r="AE767" s="0" t="inlineStr">
        <is>
          <t>옥산면</t>
        </is>
      </c>
      <c r="AG767" s="0" t="inlineStr">
        <is>
          <t>충청북도 청주시 흥덕구 청주역로 705</t>
        </is>
      </c>
      <c r="AH767" s="0" t="n">
        <v>0</v>
      </c>
      <c r="AI767" s="0" t="n">
        <v>281</v>
      </c>
      <c r="AJ767" s="0" t="n">
        <v>28</v>
      </c>
      <c r="AK767" s="0" t="n">
        <v>52</v>
      </c>
      <c r="AL767" s="0" t="n">
        <v>0.44</v>
      </c>
    </row>
    <row r="768">
      <c r="A768" s="0" t="inlineStr">
        <is>
          <t>[옥산면]</t>
        </is>
      </c>
      <c r="B768" s="0" t="n">
        <v>15384</v>
      </c>
      <c r="C768" s="0" t="n">
        <v>2</v>
      </c>
      <c r="D768" s="0" t="inlineStr">
        <is>
          <t>옥산한울</t>
        </is>
      </c>
      <c r="E768" s="0" t="inlineStr">
        <is>
          <t>1992.12.</t>
        </is>
      </c>
      <c r="F768" s="0" t="n">
        <v>119</v>
      </c>
      <c r="G768" s="0" t="n">
        <v>31.37</v>
      </c>
      <c r="H768" s="0" t="n">
        <v>103.73</v>
      </c>
      <c r="I768" s="0" t="n">
        <v>25.69</v>
      </c>
      <c r="J768" s="0" t="n">
        <v>84.94</v>
      </c>
      <c r="K768" s="0" t="n">
        <v>26</v>
      </c>
      <c r="T768" s="0" t="n">
        <v>3</v>
      </c>
      <c r="U768" s="0" t="n">
        <v>2</v>
      </c>
      <c r="V768" s="0" t="inlineStr">
        <is>
          <t>계단식</t>
        </is>
      </c>
      <c r="W768" s="0" t="n">
        <v>103</v>
      </c>
      <c r="X768" s="0" t="n">
        <v>15</v>
      </c>
      <c r="Y768" s="0" t="n">
        <v>7</v>
      </c>
      <c r="Z768" s="0" t="inlineStr">
        <is>
          <t>https://new.land.naver.com/complexes/15384?tab=detail&amp;rf=Y</t>
        </is>
      </c>
      <c r="AA768" s="0" t="inlineStr">
        <is>
          <t>충청북도 청주시 흥덕구 옥산면 오산리 160-1</t>
        </is>
      </c>
      <c r="AB768" s="0" t="inlineStr">
        <is>
          <t>충청북도</t>
        </is>
      </c>
      <c r="AC768" s="0" t="inlineStr">
        <is>
          <t>청주시</t>
        </is>
      </c>
      <c r="AD768" s="0" t="inlineStr">
        <is>
          <t>흥덕구</t>
        </is>
      </c>
      <c r="AE768" s="0" t="inlineStr">
        <is>
          <t>옥산면</t>
        </is>
      </c>
      <c r="AG768" s="0" t="inlineStr">
        <is>
          <t>충청북도 청주시 흥덕구 청주역로 705</t>
        </is>
      </c>
      <c r="AH768" s="0" t="n">
        <v>0</v>
      </c>
      <c r="AI768" s="0" t="n">
        <v>281</v>
      </c>
      <c r="AJ768" s="0" t="n">
        <v>28</v>
      </c>
      <c r="AK768" s="0" t="n">
        <v>52</v>
      </c>
      <c r="AL768" s="0" t="n">
        <v>0.44</v>
      </c>
    </row>
    <row r="769">
      <c r="A769" s="0" t="inlineStr">
        <is>
          <t>[옥산면]</t>
        </is>
      </c>
      <c r="B769" s="0" t="n">
        <v>11566</v>
      </c>
      <c r="C769" s="0" t="n">
        <v>1</v>
      </c>
      <c r="D769" s="0" t="inlineStr">
        <is>
          <t>옥산금정2차</t>
        </is>
      </c>
      <c r="E769" s="0" t="inlineStr">
        <is>
          <t>1997.10.</t>
        </is>
      </c>
      <c r="F769" s="0" t="n">
        <v>230</v>
      </c>
      <c r="G769" s="0" t="n">
        <v>14.28</v>
      </c>
      <c r="H769" s="0" t="n">
        <v>47.21</v>
      </c>
      <c r="I769" s="0" t="n">
        <v>12.03</v>
      </c>
      <c r="J769" s="0" t="n">
        <v>39.78</v>
      </c>
      <c r="K769" s="0" t="n">
        <v>20</v>
      </c>
      <c r="T769" s="0" t="n">
        <v>1</v>
      </c>
      <c r="U769" s="0" t="n">
        <v>1</v>
      </c>
      <c r="V769" s="0" t="inlineStr">
        <is>
          <t>계단식</t>
        </is>
      </c>
      <c r="W769" s="0" t="n">
        <v>47</v>
      </c>
      <c r="X769" s="0" t="n">
        <v>15</v>
      </c>
      <c r="Y769" s="0" t="n">
        <v>9</v>
      </c>
      <c r="Z769" s="0" t="inlineStr">
        <is>
          <t>https://new.land.naver.com/complexes/11566?tab=detail&amp;rf=Y</t>
        </is>
      </c>
      <c r="AA769" s="0" t="inlineStr">
        <is>
          <t>충청북도 청주시 흥덕구 옥산면 오산리 589-5</t>
        </is>
      </c>
      <c r="AB769" s="0" t="inlineStr">
        <is>
          <t>충청북도</t>
        </is>
      </c>
      <c r="AC769" s="0" t="inlineStr">
        <is>
          <t>청주시</t>
        </is>
      </c>
      <c r="AD769" s="0" t="inlineStr">
        <is>
          <t>흥덕구</t>
        </is>
      </c>
      <c r="AE769" s="0" t="inlineStr">
        <is>
          <t>옥산면</t>
        </is>
      </c>
      <c r="AG769" s="0" t="inlineStr">
        <is>
          <t>충청북도 청주시 흥덕구 오송가락로 752</t>
        </is>
      </c>
      <c r="AH769" s="0" t="n">
        <v>0</v>
      </c>
      <c r="AI769" s="0" t="n">
        <v>207</v>
      </c>
      <c r="AJ769" s="0" t="n">
        <v>26</v>
      </c>
      <c r="AK769" s="0" t="n">
        <v>187</v>
      </c>
      <c r="AL769" s="0" t="n">
        <v>0.8100000000000001</v>
      </c>
    </row>
    <row r="770">
      <c r="A770" s="0" t="inlineStr">
        <is>
          <t>[옥산면]</t>
        </is>
      </c>
      <c r="B770" s="0" t="n">
        <v>11566</v>
      </c>
      <c r="C770" s="0" t="n">
        <v>2</v>
      </c>
      <c r="D770" s="0" t="inlineStr">
        <is>
          <t>옥산금정2차</t>
        </is>
      </c>
      <c r="E770" s="0" t="inlineStr">
        <is>
          <t>1997.10.</t>
        </is>
      </c>
      <c r="F770" s="0" t="n">
        <v>230</v>
      </c>
      <c r="G770" s="0" t="n">
        <v>21.51</v>
      </c>
      <c r="H770" s="0" t="n">
        <v>71.14</v>
      </c>
      <c r="I770" s="0" t="n">
        <v>18.13</v>
      </c>
      <c r="J770" s="0" t="n">
        <v>59.94</v>
      </c>
      <c r="K770" s="0" t="n">
        <v>210</v>
      </c>
      <c r="T770" s="0" t="n">
        <v>3</v>
      </c>
      <c r="U770" s="0" t="n">
        <v>1</v>
      </c>
      <c r="V770" s="0" t="inlineStr">
        <is>
          <t>계단식</t>
        </is>
      </c>
      <c r="W770" s="0" t="n">
        <v>71</v>
      </c>
      <c r="X770" s="0" t="n">
        <v>15</v>
      </c>
      <c r="Y770" s="0" t="n">
        <v>9</v>
      </c>
      <c r="Z770" s="0" t="inlineStr">
        <is>
          <t>https://new.land.naver.com/complexes/11566?tab=detail&amp;rf=Y</t>
        </is>
      </c>
      <c r="AA770" s="0" t="inlineStr">
        <is>
          <t>충청북도 청주시 흥덕구 옥산면 오산리 589-5</t>
        </is>
      </c>
      <c r="AB770" s="0" t="inlineStr">
        <is>
          <t>충청북도</t>
        </is>
      </c>
      <c r="AC770" s="0" t="inlineStr">
        <is>
          <t>청주시</t>
        </is>
      </c>
      <c r="AD770" s="0" t="inlineStr">
        <is>
          <t>흥덕구</t>
        </is>
      </c>
      <c r="AE770" s="0" t="inlineStr">
        <is>
          <t>옥산면</t>
        </is>
      </c>
      <c r="AG770" s="0" t="inlineStr">
        <is>
          <t>충청북도 청주시 흥덕구 오송가락로 752</t>
        </is>
      </c>
      <c r="AH770" s="0" t="n">
        <v>0</v>
      </c>
      <c r="AI770" s="0" t="n">
        <v>207</v>
      </c>
      <c r="AJ770" s="0" t="n">
        <v>26</v>
      </c>
      <c r="AK770" s="0" t="n">
        <v>187</v>
      </c>
      <c r="AL770" s="0" t="n">
        <v>0.8100000000000001</v>
      </c>
    </row>
    <row r="771">
      <c r="A771" s="0" t="inlineStr">
        <is>
          <t>[옥산면]</t>
        </is>
      </c>
      <c r="B771" s="0" t="n">
        <v>15385</v>
      </c>
      <c r="C771" s="0" t="n">
        <v>1</v>
      </c>
      <c r="D771" s="0" t="inlineStr">
        <is>
          <t>옥산한울2차</t>
        </is>
      </c>
      <c r="E771" s="0" t="inlineStr">
        <is>
          <t>1994.07.</t>
        </is>
      </c>
      <c r="F771" s="0" t="n">
        <v>212</v>
      </c>
      <c r="G771" s="0" t="n">
        <v>24.78</v>
      </c>
      <c r="H771" s="0" t="n">
        <v>81.92</v>
      </c>
      <c r="I771" s="0" t="n">
        <v>18.09</v>
      </c>
      <c r="J771" s="0" t="n">
        <v>59.82</v>
      </c>
      <c r="K771" s="0" t="n">
        <v>203</v>
      </c>
      <c r="T771" s="0" t="n">
        <v>3</v>
      </c>
      <c r="U771" s="0" t="n">
        <v>1</v>
      </c>
      <c r="V771" s="0" t="inlineStr">
        <is>
          <t>복도식</t>
        </is>
      </c>
      <c r="W771" s="0" t="n">
        <v>81</v>
      </c>
      <c r="X771" s="0" t="n">
        <v>15</v>
      </c>
      <c r="Y771" s="0" t="n">
        <v>9</v>
      </c>
      <c r="Z771" s="0" t="inlineStr">
        <is>
          <t>https://new.land.naver.com/complexes/15385?tab=detail&amp;rf=Y</t>
        </is>
      </c>
      <c r="AA771" s="0" t="inlineStr">
        <is>
          <t>충청북도 청주시 흥덕구 옥산면 오산리 247-1</t>
        </is>
      </c>
      <c r="AB771" s="0" t="inlineStr">
        <is>
          <t>충청북도</t>
        </is>
      </c>
      <c r="AC771" s="0" t="inlineStr">
        <is>
          <t>청주시</t>
        </is>
      </c>
      <c r="AD771" s="0" t="inlineStr">
        <is>
          <t>흥덕구</t>
        </is>
      </c>
      <c r="AE771" s="0" t="inlineStr">
        <is>
          <t>옥산면</t>
        </is>
      </c>
      <c r="AG771" s="0" t="inlineStr">
        <is>
          <t>충청북도 청주시 흥덕구 오산5길 13</t>
        </is>
      </c>
      <c r="AH771" s="0" t="n">
        <v>0</v>
      </c>
      <c r="AI771" s="0" t="n">
        <v>277</v>
      </c>
      <c r="AJ771" s="0" t="n">
        <v>24</v>
      </c>
      <c r="AK771" s="0" t="n">
        <v>95</v>
      </c>
      <c r="AL771" s="0" t="n">
        <v>0.45</v>
      </c>
    </row>
    <row r="772">
      <c r="A772" s="0" t="inlineStr">
        <is>
          <t>[옥산면]</t>
        </is>
      </c>
      <c r="B772" s="0" t="n">
        <v>15385</v>
      </c>
      <c r="C772" s="0" t="n">
        <v>2</v>
      </c>
      <c r="D772" s="0" t="inlineStr">
        <is>
          <t>옥산한울2차</t>
        </is>
      </c>
      <c r="E772" s="0" t="inlineStr">
        <is>
          <t>1994.07.</t>
        </is>
      </c>
      <c r="F772" s="0" t="n">
        <v>212</v>
      </c>
      <c r="G772" s="0" t="n">
        <v>24.85</v>
      </c>
      <c r="H772" s="0" t="n">
        <v>82.16</v>
      </c>
      <c r="I772" s="0" t="n">
        <v>18.15</v>
      </c>
      <c r="J772" s="0" t="n">
        <v>60</v>
      </c>
      <c r="K772" s="0" t="n">
        <v>9</v>
      </c>
      <c r="T772" s="0" t="n">
        <v>3</v>
      </c>
      <c r="U772" s="0" t="n">
        <v>1</v>
      </c>
      <c r="V772" s="0" t="inlineStr">
        <is>
          <t>복도식</t>
        </is>
      </c>
      <c r="W772" s="0" t="n">
        <v>82</v>
      </c>
      <c r="X772" s="0" t="n">
        <v>15</v>
      </c>
      <c r="Y772" s="0" t="n">
        <v>9</v>
      </c>
      <c r="Z772" s="0" t="inlineStr">
        <is>
          <t>https://new.land.naver.com/complexes/15385?tab=detail&amp;rf=Y</t>
        </is>
      </c>
      <c r="AA772" s="0" t="inlineStr">
        <is>
          <t>충청북도 청주시 흥덕구 옥산면 오산리 247-1</t>
        </is>
      </c>
      <c r="AB772" s="0" t="inlineStr">
        <is>
          <t>충청북도</t>
        </is>
      </c>
      <c r="AC772" s="0" t="inlineStr">
        <is>
          <t>청주시</t>
        </is>
      </c>
      <c r="AD772" s="0" t="inlineStr">
        <is>
          <t>흥덕구</t>
        </is>
      </c>
      <c r="AE772" s="0" t="inlineStr">
        <is>
          <t>옥산면</t>
        </is>
      </c>
      <c r="AG772" s="0" t="inlineStr">
        <is>
          <t>충청북도 청주시 흥덕구 오산5길 13</t>
        </is>
      </c>
      <c r="AH772" s="0" t="n">
        <v>0</v>
      </c>
      <c r="AI772" s="0" t="n">
        <v>277</v>
      </c>
      <c r="AJ772" s="0" t="n">
        <v>24</v>
      </c>
      <c r="AK772" s="0" t="n">
        <v>95</v>
      </c>
      <c r="AL772" s="0" t="n">
        <v>0.45</v>
      </c>
    </row>
    <row r="773">
      <c r="A773" s="0" t="inlineStr">
        <is>
          <t>[옥산면]</t>
        </is>
      </c>
      <c r="B773" s="0" t="n">
        <v>15383</v>
      </c>
      <c r="C773" s="0" t="n">
        <v>1</v>
      </c>
      <c r="D773" s="0" t="inlineStr">
        <is>
          <t>대신</t>
        </is>
      </c>
      <c r="E773" s="0" t="inlineStr">
        <is>
          <t>1993.01.</t>
        </is>
      </c>
      <c r="F773" s="0" t="n">
        <v>110</v>
      </c>
      <c r="G773" s="0" t="n">
        <v>28.53</v>
      </c>
      <c r="H773" s="0" t="n">
        <v>94.31999999999999</v>
      </c>
      <c r="I773" s="0" t="n">
        <v>18.14</v>
      </c>
      <c r="J773" s="0" t="n">
        <v>59.99</v>
      </c>
      <c r="K773" s="0" t="n">
        <v>54</v>
      </c>
      <c r="T773" s="0" t="n">
        <v>3</v>
      </c>
      <c r="U773" s="0" t="n">
        <v>1</v>
      </c>
      <c r="V773" s="0" t="inlineStr">
        <is>
          <t>복도식</t>
        </is>
      </c>
      <c r="W773" s="0" t="n">
        <v>94</v>
      </c>
      <c r="X773" s="0" t="n">
        <v>15</v>
      </c>
      <c r="Y773" s="0" t="n">
        <v>12</v>
      </c>
      <c r="Z773" s="0" t="inlineStr">
        <is>
          <t>https://new.land.naver.com/complexes/15383?tab=detail&amp;rf=Y</t>
        </is>
      </c>
      <c r="AA773" s="0" t="inlineStr">
        <is>
          <t>충청북도 청주시 흥덕구 옥산면 오산리 384-17</t>
        </is>
      </c>
      <c r="AB773" s="0" t="inlineStr">
        <is>
          <t>충청북도</t>
        </is>
      </c>
      <c r="AC773" s="0" t="inlineStr">
        <is>
          <t>청주시</t>
        </is>
      </c>
      <c r="AD773" s="0" t="inlineStr">
        <is>
          <t>흥덕구</t>
        </is>
      </c>
      <c r="AE773" s="0" t="inlineStr">
        <is>
          <t>옥산면</t>
        </is>
      </c>
      <c r="AG773" s="0" t="inlineStr">
        <is>
          <t>충청북도 청주시 흥덕구 옥산시내1길 3-6</t>
        </is>
      </c>
      <c r="AH773" s="0" t="n">
        <v>0</v>
      </c>
      <c r="AI773" s="0" t="n">
        <v>0</v>
      </c>
      <c r="AJ773" s="0" t="n">
        <v>0</v>
      </c>
      <c r="AK773" s="0" t="n">
        <v>53</v>
      </c>
      <c r="AL773" s="0" t="n">
        <v>0.48</v>
      </c>
    </row>
    <row r="774">
      <c r="A774" s="0" t="inlineStr">
        <is>
          <t>[옥산면]</t>
        </is>
      </c>
      <c r="B774" s="0" t="n">
        <v>15383</v>
      </c>
      <c r="C774" s="0" t="n">
        <v>2</v>
      </c>
      <c r="D774" s="0" t="inlineStr">
        <is>
          <t>대신</t>
        </is>
      </c>
      <c r="E774" s="0" t="inlineStr">
        <is>
          <t>1993.01.</t>
        </is>
      </c>
      <c r="F774" s="0" t="n">
        <v>110</v>
      </c>
      <c r="G774" s="0" t="n">
        <v>35.16</v>
      </c>
      <c r="H774" s="0" t="n">
        <v>116.24</v>
      </c>
      <c r="I774" s="0" t="n">
        <v>25.69</v>
      </c>
      <c r="J774" s="0" t="n">
        <v>84.94</v>
      </c>
      <c r="K774" s="0" t="n">
        <v>56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116</v>
      </c>
      <c r="X774" s="0" t="n">
        <v>15</v>
      </c>
      <c r="Y774" s="0" t="n">
        <v>12</v>
      </c>
      <c r="Z774" s="0" t="inlineStr">
        <is>
          <t>https://new.land.naver.com/complexes/15383?tab=detail&amp;rf=Y</t>
        </is>
      </c>
      <c r="AA774" s="0" t="inlineStr">
        <is>
          <t>충청북도 청주시 흥덕구 옥산면 오산리 384-17</t>
        </is>
      </c>
      <c r="AB774" s="0" t="inlineStr">
        <is>
          <t>충청북도</t>
        </is>
      </c>
      <c r="AC774" s="0" t="inlineStr">
        <is>
          <t>청주시</t>
        </is>
      </c>
      <c r="AD774" s="0" t="inlineStr">
        <is>
          <t>흥덕구</t>
        </is>
      </c>
      <c r="AE774" s="0" t="inlineStr">
        <is>
          <t>옥산면</t>
        </is>
      </c>
      <c r="AG774" s="0" t="inlineStr">
        <is>
          <t>충청북도 청주시 흥덕구 옥산시내1길 3-6</t>
        </is>
      </c>
      <c r="AH774" s="0" t="n">
        <v>0</v>
      </c>
      <c r="AI774" s="0" t="n">
        <v>0</v>
      </c>
      <c r="AJ774" s="0" t="n">
        <v>0</v>
      </c>
      <c r="AK774" s="0" t="n">
        <v>53</v>
      </c>
      <c r="AL774" s="0" t="n">
        <v>0.48</v>
      </c>
    </row>
    <row r="775">
      <c r="A775" s="0" t="inlineStr">
        <is>
          <t>[운천동]</t>
        </is>
      </c>
      <c r="B775" s="0" t="n">
        <v>127085</v>
      </c>
      <c r="C775" s="0" t="n">
        <v>1</v>
      </c>
      <c r="D775" s="0" t="inlineStr">
        <is>
          <t>일심</t>
        </is>
      </c>
      <c r="E775" s="0" t="inlineStr">
        <is>
          <t>1984.07.</t>
        </is>
      </c>
      <c r="F775" s="0" t="n">
        <v>75</v>
      </c>
      <c r="G775" s="0" t="n">
        <v>15.13</v>
      </c>
      <c r="H775" s="0" t="n">
        <v>50.04</v>
      </c>
      <c r="I775" s="0" t="n">
        <v>13.31</v>
      </c>
      <c r="J775" s="0" t="n">
        <v>44.01</v>
      </c>
      <c r="K775" s="0" t="n">
        <v>75</v>
      </c>
      <c r="T775" s="0" t="n">
        <v>2</v>
      </c>
      <c r="U775" s="0" t="n">
        <v>1</v>
      </c>
      <c r="V775" s="0" t="inlineStr">
        <is>
          <t>계단식</t>
        </is>
      </c>
      <c r="W775" s="0" t="n">
        <v>50</v>
      </c>
      <c r="X775" s="0" t="n">
        <v>5</v>
      </c>
      <c r="Y775" s="0" t="n">
        <v>5</v>
      </c>
      <c r="Z775" s="0" t="inlineStr">
        <is>
          <t>https://new.land.naver.com/complexes/127085?tab=detail&amp;rf=Y</t>
        </is>
      </c>
      <c r="AA775" s="0" t="inlineStr">
        <is>
          <t>충청북도 청주시 흥덕구 운천동 536-1</t>
        </is>
      </c>
      <c r="AB775" s="0" t="inlineStr">
        <is>
          <t>충청북도</t>
        </is>
      </c>
      <c r="AC775" s="0" t="inlineStr">
        <is>
          <t>청주시</t>
        </is>
      </c>
      <c r="AD775" s="0" t="inlineStr">
        <is>
          <t>흥덕구</t>
        </is>
      </c>
      <c r="AE775" s="0" t="inlineStr">
        <is>
          <t>운천동</t>
        </is>
      </c>
      <c r="AG775" s="0" t="inlineStr">
        <is>
          <t>충청북도 청주시 흥덕구 무심서로 741</t>
        </is>
      </c>
      <c r="AH775" s="0" t="n">
        <v>0</v>
      </c>
      <c r="AI775" s="0" t="n">
        <v>0</v>
      </c>
      <c r="AJ775" s="0" t="n">
        <v>0</v>
      </c>
      <c r="AK775" s="0" t="n">
        <v>0</v>
      </c>
      <c r="AL775" s="0" t="n">
        <v>0</v>
      </c>
    </row>
    <row r="776">
      <c r="A776" s="0" t="inlineStr">
        <is>
          <t>[운천동]</t>
        </is>
      </c>
      <c r="B776" s="0" t="n">
        <v>7461</v>
      </c>
      <c r="C776" s="0" t="n">
        <v>1</v>
      </c>
      <c r="D776" s="0" t="inlineStr">
        <is>
          <t>형석</t>
        </is>
      </c>
      <c r="E776" s="0" t="inlineStr">
        <is>
          <t>1987.11.</t>
        </is>
      </c>
      <c r="F776" s="0" t="n">
        <v>290</v>
      </c>
      <c r="G776" s="0" t="n">
        <v>14.77</v>
      </c>
      <c r="H776" s="0" t="n">
        <v>48.85</v>
      </c>
      <c r="I776" s="0" t="n">
        <v>12</v>
      </c>
      <c r="J776" s="0" t="n">
        <v>39.69</v>
      </c>
      <c r="K776" s="0" t="n">
        <v>260</v>
      </c>
      <c r="T776" s="0" t="n">
        <v>2</v>
      </c>
      <c r="U776" s="0" t="n">
        <v>1</v>
      </c>
      <c r="V776" s="0" t="inlineStr">
        <is>
          <t>계단식</t>
        </is>
      </c>
      <c r="W776" s="0" t="n">
        <v>48</v>
      </c>
      <c r="X776" s="0" t="n">
        <v>5</v>
      </c>
      <c r="Y776" s="0" t="n">
        <v>5</v>
      </c>
      <c r="Z776" s="0" t="inlineStr">
        <is>
          <t>https://new.land.naver.com/complexes/7461?tab=detail&amp;rf=Y</t>
        </is>
      </c>
      <c r="AA776" s="0" t="inlineStr">
        <is>
          <t>충청북도 청주시 흥덕구 운천동 676</t>
        </is>
      </c>
      <c r="AB776" s="0" t="inlineStr">
        <is>
          <t>충청북도</t>
        </is>
      </c>
      <c r="AC776" s="0" t="inlineStr">
        <is>
          <t>청주시</t>
        </is>
      </c>
      <c r="AD776" s="0" t="inlineStr">
        <is>
          <t>흥덕구</t>
        </is>
      </c>
      <c r="AE776" s="0" t="inlineStr">
        <is>
          <t>운천동</t>
        </is>
      </c>
      <c r="AG776" s="0" t="inlineStr">
        <is>
          <t>충청북도 청주시 흥덕구 사운로 283</t>
        </is>
      </c>
      <c r="AH776" s="0" t="n">
        <v>0</v>
      </c>
      <c r="AI776" s="0" t="n">
        <v>0</v>
      </c>
      <c r="AJ776" s="0" t="n">
        <v>0</v>
      </c>
      <c r="AK776" s="0" t="n">
        <v>290</v>
      </c>
      <c r="AL776" s="0" t="n">
        <v>1</v>
      </c>
    </row>
    <row r="777">
      <c r="A777" s="0" t="inlineStr">
        <is>
          <t>[운천동]</t>
        </is>
      </c>
      <c r="B777" s="0" t="n">
        <v>7461</v>
      </c>
      <c r="C777" s="0" t="n">
        <v>2</v>
      </c>
      <c r="D777" s="0" t="inlineStr">
        <is>
          <t>형석</t>
        </is>
      </c>
      <c r="E777" s="0" t="inlineStr">
        <is>
          <t>1987.11.</t>
        </is>
      </c>
      <c r="F777" s="0" t="n">
        <v>290</v>
      </c>
      <c r="G777" s="0" t="n">
        <v>18.72</v>
      </c>
      <c r="H777" s="0" t="n">
        <v>61.9</v>
      </c>
      <c r="I777" s="0" t="n">
        <v>15.95</v>
      </c>
      <c r="J777" s="0" t="n">
        <v>52.74</v>
      </c>
      <c r="K777" s="0" t="n">
        <v>30</v>
      </c>
      <c r="T777" s="0" t="n">
        <v>3</v>
      </c>
      <c r="U777" s="0" t="n">
        <v>1</v>
      </c>
      <c r="V777" s="0" t="inlineStr">
        <is>
          <t>계단식</t>
        </is>
      </c>
      <c r="W777" s="0" t="n">
        <v>61</v>
      </c>
      <c r="X777" s="0" t="n">
        <v>5</v>
      </c>
      <c r="Y777" s="0" t="n">
        <v>5</v>
      </c>
      <c r="Z777" s="0" t="inlineStr">
        <is>
          <t>https://new.land.naver.com/complexes/7461?tab=detail&amp;rf=Y</t>
        </is>
      </c>
      <c r="AA777" s="0" t="inlineStr">
        <is>
          <t>충청북도 청주시 흥덕구 운천동 676</t>
        </is>
      </c>
      <c r="AB777" s="0" t="inlineStr">
        <is>
          <t>충청북도</t>
        </is>
      </c>
      <c r="AC777" s="0" t="inlineStr">
        <is>
          <t>청주시</t>
        </is>
      </c>
      <c r="AD777" s="0" t="inlineStr">
        <is>
          <t>흥덕구</t>
        </is>
      </c>
      <c r="AE777" s="0" t="inlineStr">
        <is>
          <t>운천동</t>
        </is>
      </c>
      <c r="AG777" s="0" t="inlineStr">
        <is>
          <t>충청북도 청주시 흥덕구 사운로 283</t>
        </is>
      </c>
      <c r="AH777" s="0" t="n">
        <v>0</v>
      </c>
      <c r="AI777" s="0" t="n">
        <v>0</v>
      </c>
      <c r="AJ777" s="0" t="n">
        <v>0</v>
      </c>
      <c r="AK777" s="0" t="n">
        <v>290</v>
      </c>
      <c r="AL777" s="0" t="n">
        <v>1</v>
      </c>
    </row>
    <row r="778">
      <c r="A778" s="0" t="inlineStr">
        <is>
          <t>[운천동]</t>
        </is>
      </c>
      <c r="B778" s="0" t="n">
        <v>7454</v>
      </c>
      <c r="C778" s="0" t="n">
        <v>1</v>
      </c>
      <c r="D778" s="0" t="inlineStr">
        <is>
          <t>세원</t>
        </is>
      </c>
      <c r="E778" s="0" t="inlineStr">
        <is>
          <t>1986.10.</t>
        </is>
      </c>
      <c r="F778" s="0" t="n">
        <v>270</v>
      </c>
      <c r="G778" s="0" t="n">
        <v>17.47</v>
      </c>
      <c r="H778" s="0" t="n">
        <v>57.76</v>
      </c>
      <c r="I778" s="0" t="n">
        <v>15.05</v>
      </c>
      <c r="J778" s="0" t="n">
        <v>49.77</v>
      </c>
      <c r="K778" s="0" t="n">
        <v>50</v>
      </c>
      <c r="T778" s="0" t="n">
        <v>2</v>
      </c>
      <c r="U778" s="0" t="n">
        <v>1</v>
      </c>
      <c r="V778" s="0" t="inlineStr">
        <is>
          <t>계단식</t>
        </is>
      </c>
      <c r="W778" s="0" t="n">
        <v>57</v>
      </c>
      <c r="X778" s="0" t="n">
        <v>5</v>
      </c>
      <c r="Y778" s="0" t="n">
        <v>5</v>
      </c>
      <c r="Z778" s="0" t="inlineStr">
        <is>
          <t>https://new.land.naver.com/complexes/7454?tab=detail&amp;rf=Y</t>
        </is>
      </c>
      <c r="AA778" s="0" t="inlineStr">
        <is>
          <t>충청북도 청주시 흥덕구 운천동 677</t>
        </is>
      </c>
      <c r="AB778" s="0" t="inlineStr">
        <is>
          <t>충청북도</t>
        </is>
      </c>
      <c r="AC778" s="0" t="inlineStr">
        <is>
          <t>청주시</t>
        </is>
      </c>
      <c r="AD778" s="0" t="inlineStr">
        <is>
          <t>흥덕구</t>
        </is>
      </c>
      <c r="AE778" s="0" t="inlineStr">
        <is>
          <t>운천동</t>
        </is>
      </c>
      <c r="AG778" s="0" t="inlineStr">
        <is>
          <t>충청북도 청주시 흥덕구 사운로 267</t>
        </is>
      </c>
      <c r="AH778" s="0" t="n">
        <v>0</v>
      </c>
      <c r="AI778" s="0" t="n">
        <v>0</v>
      </c>
      <c r="AJ778" s="0" t="n">
        <v>0</v>
      </c>
      <c r="AK778" s="0" t="n">
        <v>135</v>
      </c>
      <c r="AL778" s="0" t="n">
        <v>0.5</v>
      </c>
    </row>
    <row r="779">
      <c r="A779" s="0" t="inlineStr">
        <is>
          <t>[운천동]</t>
        </is>
      </c>
      <c r="B779" s="0" t="n">
        <v>7454</v>
      </c>
      <c r="C779" s="0" t="n">
        <v>2</v>
      </c>
      <c r="D779" s="0" t="inlineStr">
        <is>
          <t>세원</t>
        </is>
      </c>
      <c r="E779" s="0" t="inlineStr">
        <is>
          <t>1986.10.</t>
        </is>
      </c>
      <c r="F779" s="0" t="n">
        <v>270</v>
      </c>
      <c r="G779" s="0" t="n">
        <v>20.2</v>
      </c>
      <c r="H779" s="0" t="n">
        <v>66.78</v>
      </c>
      <c r="I779" s="0" t="n">
        <v>15.1</v>
      </c>
      <c r="J779" s="0" t="n">
        <v>49.95</v>
      </c>
      <c r="K779" s="0" t="n">
        <v>20</v>
      </c>
      <c r="T779" s="0" t="n">
        <v>2</v>
      </c>
      <c r="U779" s="0" t="n">
        <v>1</v>
      </c>
      <c r="V779" s="0" t="inlineStr">
        <is>
          <t>복도식</t>
        </is>
      </c>
      <c r="W779" s="0" t="n">
        <v>66</v>
      </c>
      <c r="X779" s="0" t="n">
        <v>5</v>
      </c>
      <c r="Y779" s="0" t="n">
        <v>5</v>
      </c>
      <c r="Z779" s="0" t="inlineStr">
        <is>
          <t>https://new.land.naver.com/complexes/7454?tab=detail&amp;rf=Y</t>
        </is>
      </c>
      <c r="AA779" s="0" t="inlineStr">
        <is>
          <t>충청북도 청주시 흥덕구 운천동 677</t>
        </is>
      </c>
      <c r="AB779" s="0" t="inlineStr">
        <is>
          <t>충청북도</t>
        </is>
      </c>
      <c r="AC779" s="0" t="inlineStr">
        <is>
          <t>청주시</t>
        </is>
      </c>
      <c r="AD779" s="0" t="inlineStr">
        <is>
          <t>흥덕구</t>
        </is>
      </c>
      <c r="AE779" s="0" t="inlineStr">
        <is>
          <t>운천동</t>
        </is>
      </c>
      <c r="AG779" s="0" t="inlineStr">
        <is>
          <t>충청북도 청주시 흥덕구 사운로 267</t>
        </is>
      </c>
      <c r="AH779" s="0" t="n">
        <v>0</v>
      </c>
      <c r="AI779" s="0" t="n">
        <v>0</v>
      </c>
      <c r="AJ779" s="0" t="n">
        <v>0</v>
      </c>
      <c r="AK779" s="0" t="n">
        <v>135</v>
      </c>
      <c r="AL779" s="0" t="n">
        <v>0.5</v>
      </c>
    </row>
    <row r="780">
      <c r="A780" s="0" t="inlineStr">
        <is>
          <t>[운천동]</t>
        </is>
      </c>
      <c r="B780" s="0" t="n">
        <v>7454</v>
      </c>
      <c r="C780" s="0" t="n">
        <v>3</v>
      </c>
      <c r="D780" s="0" t="inlineStr">
        <is>
          <t>세원</t>
        </is>
      </c>
      <c r="E780" s="0" t="inlineStr">
        <is>
          <t>1986.10.</t>
        </is>
      </c>
      <c r="F780" s="0" t="n">
        <v>270</v>
      </c>
      <c r="G780" s="0" t="n">
        <v>20.52</v>
      </c>
      <c r="H780" s="0" t="n">
        <v>67.86</v>
      </c>
      <c r="I780" s="0" t="n">
        <v>18.07</v>
      </c>
      <c r="J780" s="0" t="n">
        <v>59.76</v>
      </c>
      <c r="K780" s="0" t="n">
        <v>200</v>
      </c>
      <c r="T780" s="0" t="n">
        <v>3</v>
      </c>
      <c r="U780" s="0" t="n">
        <v>1</v>
      </c>
      <c r="V780" s="0" t="inlineStr">
        <is>
          <t>계단식</t>
        </is>
      </c>
      <c r="W780" s="0" t="n">
        <v>67</v>
      </c>
      <c r="X780" s="0" t="n">
        <v>5</v>
      </c>
      <c r="Y780" s="0" t="n">
        <v>5</v>
      </c>
      <c r="Z780" s="0" t="inlineStr">
        <is>
          <t>https://new.land.naver.com/complexes/7454?tab=detail&amp;rf=Y</t>
        </is>
      </c>
      <c r="AA780" s="0" t="inlineStr">
        <is>
          <t>충청북도 청주시 흥덕구 운천동 677</t>
        </is>
      </c>
      <c r="AB780" s="0" t="inlineStr">
        <is>
          <t>충청북도</t>
        </is>
      </c>
      <c r="AC780" s="0" t="inlineStr">
        <is>
          <t>청주시</t>
        </is>
      </c>
      <c r="AD780" s="0" t="inlineStr">
        <is>
          <t>흥덕구</t>
        </is>
      </c>
      <c r="AE780" s="0" t="inlineStr">
        <is>
          <t>운천동</t>
        </is>
      </c>
      <c r="AG780" s="0" t="inlineStr">
        <is>
          <t>충청북도 청주시 흥덕구 사운로 267</t>
        </is>
      </c>
      <c r="AH780" s="0" t="n">
        <v>0</v>
      </c>
      <c r="AI780" s="0" t="n">
        <v>0</v>
      </c>
      <c r="AJ780" s="0" t="n">
        <v>0</v>
      </c>
      <c r="AK780" s="0" t="n">
        <v>135</v>
      </c>
      <c r="AL780" s="0" t="n">
        <v>0.5</v>
      </c>
    </row>
    <row r="781">
      <c r="A781" s="0" t="inlineStr">
        <is>
          <t>[운천동]</t>
        </is>
      </c>
      <c r="B781" s="0" t="n">
        <v>120489</v>
      </c>
      <c r="C781" s="0" t="n">
        <v>1</v>
      </c>
      <c r="D781" s="0" t="inlineStr">
        <is>
          <t>운천거성하모니</t>
        </is>
      </c>
      <c r="E781" s="0" t="inlineStr">
        <is>
          <t>2016.01.</t>
        </is>
      </c>
      <c r="F781" s="0" t="n">
        <v>164</v>
      </c>
      <c r="G781" s="0" t="n">
        <v>5.78</v>
      </c>
      <c r="H781" s="0" t="n">
        <v>19.14</v>
      </c>
      <c r="I781" s="0" t="n">
        <v>4.29</v>
      </c>
      <c r="J781" s="0" t="n">
        <v>14.19</v>
      </c>
      <c r="K781" s="0" t="n">
        <v>4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19A</t>
        </is>
      </c>
      <c r="X781" s="0" t="n">
        <v>10</v>
      </c>
      <c r="Y781" s="0" t="n">
        <v>9</v>
      </c>
      <c r="Z781" s="0" t="inlineStr">
        <is>
          <t>https://new.land.naver.com/complexes/120489?tab=detail&amp;rf=Y</t>
        </is>
      </c>
      <c r="AA781" s="0" t="inlineStr">
        <is>
          <t>충청북도 청주시 흥덕구 운천동 556-3</t>
        </is>
      </c>
      <c r="AB781" s="0" t="inlineStr">
        <is>
          <t>충청북도</t>
        </is>
      </c>
      <c r="AC781" s="0" t="inlineStr">
        <is>
          <t>청주시</t>
        </is>
      </c>
      <c r="AD781" s="0" t="inlineStr">
        <is>
          <t>흥덕구</t>
        </is>
      </c>
      <c r="AE781" s="0" t="inlineStr">
        <is>
          <t>운천동</t>
        </is>
      </c>
      <c r="AG781" s="0" t="inlineStr">
        <is>
          <t>충청북도 청주시 흥덕구 사운로 294-2</t>
        </is>
      </c>
      <c r="AH781" s="0" t="n">
        <v>0</v>
      </c>
      <c r="AI781" s="0" t="n">
        <v>249</v>
      </c>
      <c r="AJ781" s="0" t="n">
        <v>33</v>
      </c>
      <c r="AK781" s="0" t="n">
        <v>62</v>
      </c>
      <c r="AL781" s="0" t="n">
        <v>0.38</v>
      </c>
    </row>
    <row r="782">
      <c r="A782" s="0" t="inlineStr">
        <is>
          <t>[운천동]</t>
        </is>
      </c>
      <c r="B782" s="0" t="n">
        <v>120489</v>
      </c>
      <c r="C782" s="0" t="n">
        <v>2</v>
      </c>
      <c r="D782" s="0" t="inlineStr">
        <is>
          <t>운천거성하모니</t>
        </is>
      </c>
      <c r="E782" s="0" t="inlineStr">
        <is>
          <t>2016.01.</t>
        </is>
      </c>
      <c r="F782" s="0" t="n">
        <v>164</v>
      </c>
      <c r="G782" s="0" t="n">
        <v>6.21</v>
      </c>
      <c r="H782" s="0" t="n">
        <v>20.55</v>
      </c>
      <c r="I782" s="0" t="n">
        <v>4.6</v>
      </c>
      <c r="J782" s="0" t="n">
        <v>15.23</v>
      </c>
      <c r="K782" s="0" t="n">
        <v>9</v>
      </c>
      <c r="T782" s="0" t="n">
        <v>1</v>
      </c>
      <c r="U782" s="0" t="n">
        <v>1</v>
      </c>
      <c r="V782" s="0" t="inlineStr">
        <is>
          <t>복도식</t>
        </is>
      </c>
      <c r="W782" s="0" t="inlineStr">
        <is>
          <t>20B</t>
        </is>
      </c>
      <c r="X782" s="0" t="n">
        <v>10</v>
      </c>
      <c r="Y782" s="0" t="n">
        <v>9</v>
      </c>
      <c r="Z782" s="0" t="inlineStr">
        <is>
          <t>https://new.land.naver.com/complexes/120489?tab=detail&amp;rf=Y</t>
        </is>
      </c>
      <c r="AA782" s="0" t="inlineStr">
        <is>
          <t>충청북도 청주시 흥덕구 운천동 556-3</t>
        </is>
      </c>
      <c r="AB782" s="0" t="inlineStr">
        <is>
          <t>충청북도</t>
        </is>
      </c>
      <c r="AC782" s="0" t="inlineStr">
        <is>
          <t>청주시</t>
        </is>
      </c>
      <c r="AD782" s="0" t="inlineStr">
        <is>
          <t>흥덕구</t>
        </is>
      </c>
      <c r="AE782" s="0" t="inlineStr">
        <is>
          <t>운천동</t>
        </is>
      </c>
      <c r="AG782" s="0" t="inlineStr">
        <is>
          <t>충청북도 청주시 흥덕구 사운로 294-2</t>
        </is>
      </c>
      <c r="AH782" s="0" t="n">
        <v>0</v>
      </c>
      <c r="AI782" s="0" t="n">
        <v>249</v>
      </c>
      <c r="AJ782" s="0" t="n">
        <v>33</v>
      </c>
      <c r="AK782" s="0" t="n">
        <v>62</v>
      </c>
      <c r="AL782" s="0" t="n">
        <v>0.38</v>
      </c>
    </row>
    <row r="783">
      <c r="A783" s="0" t="inlineStr">
        <is>
          <t>[운천동]</t>
        </is>
      </c>
      <c r="B783" s="0" t="n">
        <v>120489</v>
      </c>
      <c r="C783" s="0" t="n">
        <v>3</v>
      </c>
      <c r="D783" s="0" t="inlineStr">
        <is>
          <t>운천거성하모니</t>
        </is>
      </c>
      <c r="E783" s="0" t="inlineStr">
        <is>
          <t>2016.01.</t>
        </is>
      </c>
      <c r="F783" s="0" t="n">
        <v>164</v>
      </c>
      <c r="G783" s="0" t="n">
        <v>8.050000000000001</v>
      </c>
      <c r="H783" s="0" t="n">
        <v>26.62</v>
      </c>
      <c r="I783" s="0" t="n">
        <v>5.96</v>
      </c>
      <c r="J783" s="0" t="n">
        <v>19.73</v>
      </c>
      <c r="K783" s="0" t="n">
        <v>63</v>
      </c>
      <c r="T783" s="0" t="n">
        <v>1</v>
      </c>
      <c r="U783" s="0" t="n">
        <v>1</v>
      </c>
      <c r="V783" s="0" t="inlineStr">
        <is>
          <t>복도식</t>
        </is>
      </c>
      <c r="W783" s="0" t="inlineStr">
        <is>
          <t>26A</t>
        </is>
      </c>
      <c r="X783" s="0" t="n">
        <v>10</v>
      </c>
      <c r="Y783" s="0" t="n">
        <v>9</v>
      </c>
      <c r="Z783" s="0" t="inlineStr">
        <is>
          <t>https://new.land.naver.com/complexes/120489?tab=detail&amp;rf=Y</t>
        </is>
      </c>
      <c r="AA783" s="0" t="inlineStr">
        <is>
          <t>충청북도 청주시 흥덕구 운천동 556-3</t>
        </is>
      </c>
      <c r="AB783" s="0" t="inlineStr">
        <is>
          <t>충청북도</t>
        </is>
      </c>
      <c r="AC783" s="0" t="inlineStr">
        <is>
          <t>청주시</t>
        </is>
      </c>
      <c r="AD783" s="0" t="inlineStr">
        <is>
          <t>흥덕구</t>
        </is>
      </c>
      <c r="AE783" s="0" t="inlineStr">
        <is>
          <t>운천동</t>
        </is>
      </c>
      <c r="AG783" s="0" t="inlineStr">
        <is>
          <t>충청북도 청주시 흥덕구 사운로 294-2</t>
        </is>
      </c>
      <c r="AH783" s="0" t="n">
        <v>0</v>
      </c>
      <c r="AI783" s="0" t="n">
        <v>249</v>
      </c>
      <c r="AJ783" s="0" t="n">
        <v>33</v>
      </c>
      <c r="AK783" s="0" t="n">
        <v>62</v>
      </c>
      <c r="AL783" s="0" t="n">
        <v>0.38</v>
      </c>
    </row>
    <row r="784">
      <c r="A784" s="0" t="inlineStr">
        <is>
          <t>[운천동]</t>
        </is>
      </c>
      <c r="B784" s="0" t="n">
        <v>120489</v>
      </c>
      <c r="C784" s="0" t="n">
        <v>4</v>
      </c>
      <c r="D784" s="0" t="inlineStr">
        <is>
          <t>운천거성하모니</t>
        </is>
      </c>
      <c r="E784" s="0" t="inlineStr">
        <is>
          <t>2016.01.</t>
        </is>
      </c>
      <c r="F784" s="0" t="n">
        <v>164</v>
      </c>
      <c r="G784" s="0" t="n">
        <v>8.15</v>
      </c>
      <c r="H784" s="0" t="n">
        <v>26.95</v>
      </c>
      <c r="I784" s="0" t="n">
        <v>6.04</v>
      </c>
      <c r="J784" s="0" t="n">
        <v>19.97</v>
      </c>
      <c r="K784" s="0" t="n">
        <v>46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26B</t>
        </is>
      </c>
      <c r="X784" s="0" t="n">
        <v>10</v>
      </c>
      <c r="Y784" s="0" t="n">
        <v>9</v>
      </c>
      <c r="Z784" s="0" t="inlineStr">
        <is>
          <t>https://new.land.naver.com/complexes/120489?tab=detail&amp;rf=Y</t>
        </is>
      </c>
      <c r="AA784" s="0" t="inlineStr">
        <is>
          <t>충청북도 청주시 흥덕구 운천동 556-3</t>
        </is>
      </c>
      <c r="AB784" s="0" t="inlineStr">
        <is>
          <t>충청북도</t>
        </is>
      </c>
      <c r="AC784" s="0" t="inlineStr">
        <is>
          <t>청주시</t>
        </is>
      </c>
      <c r="AD784" s="0" t="inlineStr">
        <is>
          <t>흥덕구</t>
        </is>
      </c>
      <c r="AE784" s="0" t="inlineStr">
        <is>
          <t>운천동</t>
        </is>
      </c>
      <c r="AG784" s="0" t="inlineStr">
        <is>
          <t>충청북도 청주시 흥덕구 사운로 294-2</t>
        </is>
      </c>
      <c r="AH784" s="0" t="n">
        <v>0</v>
      </c>
      <c r="AI784" s="0" t="n">
        <v>249</v>
      </c>
      <c r="AJ784" s="0" t="n">
        <v>33</v>
      </c>
      <c r="AK784" s="0" t="n">
        <v>62</v>
      </c>
      <c r="AL784" s="0" t="n">
        <v>0.38</v>
      </c>
    </row>
    <row r="785">
      <c r="A785" s="0" t="inlineStr">
        <is>
          <t>[운천동]</t>
        </is>
      </c>
      <c r="B785" s="0" t="n">
        <v>120489</v>
      </c>
      <c r="C785" s="0" t="n">
        <v>5</v>
      </c>
      <c r="D785" s="0" t="inlineStr">
        <is>
          <t>운천거성하모니</t>
        </is>
      </c>
      <c r="E785" s="0" t="inlineStr">
        <is>
          <t>2016.01.</t>
        </is>
      </c>
      <c r="F785" s="0" t="n">
        <v>164</v>
      </c>
      <c r="G785" s="0" t="n">
        <v>8.49</v>
      </c>
      <c r="H785" s="0" t="n">
        <v>28.07</v>
      </c>
      <c r="I785" s="0" t="n">
        <v>6.29</v>
      </c>
      <c r="J785" s="0" t="n">
        <v>20.8</v>
      </c>
      <c r="K785" s="0" t="n">
        <v>2</v>
      </c>
      <c r="T785" s="0" t="n">
        <v>1</v>
      </c>
      <c r="U785" s="0" t="n">
        <v>1</v>
      </c>
      <c r="V785" s="0" t="inlineStr">
        <is>
          <t>복도식</t>
        </is>
      </c>
      <c r="W785" s="0" t="inlineStr">
        <is>
          <t>28C</t>
        </is>
      </c>
      <c r="X785" s="0" t="n">
        <v>10</v>
      </c>
      <c r="Y785" s="0" t="n">
        <v>9</v>
      </c>
      <c r="Z785" s="0" t="inlineStr">
        <is>
          <t>https://new.land.naver.com/complexes/120489?tab=detail&amp;rf=Y</t>
        </is>
      </c>
      <c r="AA785" s="0" t="inlineStr">
        <is>
          <t>충청북도 청주시 흥덕구 운천동 556-3</t>
        </is>
      </c>
      <c r="AB785" s="0" t="inlineStr">
        <is>
          <t>충청북도</t>
        </is>
      </c>
      <c r="AC785" s="0" t="inlineStr">
        <is>
          <t>청주시</t>
        </is>
      </c>
      <c r="AD785" s="0" t="inlineStr">
        <is>
          <t>흥덕구</t>
        </is>
      </c>
      <c r="AE785" s="0" t="inlineStr">
        <is>
          <t>운천동</t>
        </is>
      </c>
      <c r="AG785" s="0" t="inlineStr">
        <is>
          <t>충청북도 청주시 흥덕구 사운로 294-2</t>
        </is>
      </c>
      <c r="AH785" s="0" t="n">
        <v>0</v>
      </c>
      <c r="AI785" s="0" t="n">
        <v>249</v>
      </c>
      <c r="AJ785" s="0" t="n">
        <v>33</v>
      </c>
      <c r="AK785" s="0" t="n">
        <v>62</v>
      </c>
      <c r="AL785" s="0" t="n">
        <v>0.38</v>
      </c>
    </row>
    <row r="786">
      <c r="A786" s="0" t="inlineStr">
        <is>
          <t>[운천동]</t>
        </is>
      </c>
      <c r="B786" s="0" t="n">
        <v>120489</v>
      </c>
      <c r="C786" s="0" t="n">
        <v>6</v>
      </c>
      <c r="D786" s="0" t="inlineStr">
        <is>
          <t>운천거성하모니</t>
        </is>
      </c>
      <c r="E786" s="0" t="inlineStr">
        <is>
          <t>2016.01.</t>
        </is>
      </c>
      <c r="F786" s="0" t="n">
        <v>164</v>
      </c>
      <c r="G786" s="0" t="n">
        <v>8.99</v>
      </c>
      <c r="H786" s="0" t="n">
        <v>29.72</v>
      </c>
      <c r="I786" s="0" t="n">
        <v>6.66</v>
      </c>
      <c r="J786" s="0" t="n">
        <v>22.02</v>
      </c>
      <c r="K786" s="0" t="n">
        <v>3</v>
      </c>
      <c r="T786" s="0" t="n">
        <v>1</v>
      </c>
      <c r="U786" s="0" t="n">
        <v>1</v>
      </c>
      <c r="V786" s="0" t="inlineStr">
        <is>
          <t>복도식</t>
        </is>
      </c>
      <c r="W786" s="0" t="n">
        <v>29</v>
      </c>
      <c r="X786" s="0" t="n">
        <v>10</v>
      </c>
      <c r="Y786" s="0" t="n">
        <v>9</v>
      </c>
      <c r="Z786" s="0" t="inlineStr">
        <is>
          <t>https://new.land.naver.com/complexes/120489?tab=detail&amp;rf=Y</t>
        </is>
      </c>
      <c r="AA786" s="0" t="inlineStr">
        <is>
          <t>충청북도 청주시 흥덕구 운천동 556-3</t>
        </is>
      </c>
      <c r="AB786" s="0" t="inlineStr">
        <is>
          <t>충청북도</t>
        </is>
      </c>
      <c r="AC786" s="0" t="inlineStr">
        <is>
          <t>청주시</t>
        </is>
      </c>
      <c r="AD786" s="0" t="inlineStr">
        <is>
          <t>흥덕구</t>
        </is>
      </c>
      <c r="AE786" s="0" t="inlineStr">
        <is>
          <t>운천동</t>
        </is>
      </c>
      <c r="AG786" s="0" t="inlineStr">
        <is>
          <t>충청북도 청주시 흥덕구 사운로 294-2</t>
        </is>
      </c>
      <c r="AH786" s="0" t="n">
        <v>0</v>
      </c>
      <c r="AI786" s="0" t="n">
        <v>249</v>
      </c>
      <c r="AJ786" s="0" t="n">
        <v>33</v>
      </c>
      <c r="AK786" s="0" t="n">
        <v>62</v>
      </c>
      <c r="AL786" s="0" t="n">
        <v>0.38</v>
      </c>
    </row>
    <row r="787">
      <c r="A787" s="0" t="inlineStr">
        <is>
          <t>[운천동]</t>
        </is>
      </c>
      <c r="B787" s="0" t="n">
        <v>120489</v>
      </c>
      <c r="C787" s="0" t="n">
        <v>7</v>
      </c>
      <c r="D787" s="0" t="inlineStr">
        <is>
          <t>운천거성하모니</t>
        </is>
      </c>
      <c r="E787" s="0" t="inlineStr">
        <is>
          <t>2016.01.</t>
        </is>
      </c>
      <c r="F787" s="0" t="n">
        <v>164</v>
      </c>
      <c r="G787" s="0" t="n">
        <v>11.11</v>
      </c>
      <c r="H787" s="0" t="n">
        <v>36.74</v>
      </c>
      <c r="I787" s="0" t="n">
        <v>8.23</v>
      </c>
      <c r="J787" s="0" t="n">
        <v>27.23</v>
      </c>
      <c r="K787" s="0" t="n">
        <v>18</v>
      </c>
      <c r="T787" s="0" t="n">
        <v>1</v>
      </c>
      <c r="U787" s="0" t="n">
        <v>1</v>
      </c>
      <c r="V787" s="0" t="inlineStr">
        <is>
          <t>복도식</t>
        </is>
      </c>
      <c r="W787" s="0" t="n">
        <v>36</v>
      </c>
      <c r="X787" s="0" t="n">
        <v>10</v>
      </c>
      <c r="Y787" s="0" t="n">
        <v>9</v>
      </c>
      <c r="Z787" s="0" t="inlineStr">
        <is>
          <t>https://new.land.naver.com/complexes/120489?tab=detail&amp;rf=Y</t>
        </is>
      </c>
      <c r="AA787" s="0" t="inlineStr">
        <is>
          <t>충청북도 청주시 흥덕구 운천동 556-3</t>
        </is>
      </c>
      <c r="AB787" s="0" t="inlineStr">
        <is>
          <t>충청북도</t>
        </is>
      </c>
      <c r="AC787" s="0" t="inlineStr">
        <is>
          <t>청주시</t>
        </is>
      </c>
      <c r="AD787" s="0" t="inlineStr">
        <is>
          <t>흥덕구</t>
        </is>
      </c>
      <c r="AE787" s="0" t="inlineStr">
        <is>
          <t>운천동</t>
        </is>
      </c>
      <c r="AG787" s="0" t="inlineStr">
        <is>
          <t>충청북도 청주시 흥덕구 사운로 294-2</t>
        </is>
      </c>
      <c r="AH787" s="0" t="n">
        <v>0</v>
      </c>
      <c r="AI787" s="0" t="n">
        <v>249</v>
      </c>
      <c r="AJ787" s="0" t="n">
        <v>33</v>
      </c>
      <c r="AK787" s="0" t="n">
        <v>62</v>
      </c>
      <c r="AL787" s="0" t="n">
        <v>0.38</v>
      </c>
    </row>
    <row r="788">
      <c r="A788" s="0" t="inlineStr">
        <is>
          <t>[운천동]</t>
        </is>
      </c>
      <c r="B788" s="0" t="n">
        <v>120489</v>
      </c>
      <c r="C788" s="0" t="n">
        <v>8</v>
      </c>
      <c r="D788" s="0" t="inlineStr">
        <is>
          <t>운천거성하모니</t>
        </is>
      </c>
      <c r="E788" s="0" t="inlineStr">
        <is>
          <t>2016.01.</t>
        </is>
      </c>
      <c r="F788" s="0" t="n">
        <v>164</v>
      </c>
      <c r="G788" s="0" t="n">
        <v>13.21</v>
      </c>
      <c r="H788" s="0" t="n">
        <v>43.68</v>
      </c>
      <c r="I788" s="0" t="n">
        <v>9.789999999999999</v>
      </c>
      <c r="J788" s="0" t="n">
        <v>32.38</v>
      </c>
      <c r="K788" s="0" t="n">
        <v>1</v>
      </c>
      <c r="T788" s="0" t="n">
        <v>1</v>
      </c>
      <c r="U788" s="0" t="n">
        <v>1</v>
      </c>
      <c r="V788" s="0" t="inlineStr">
        <is>
          <t>복도식</t>
        </is>
      </c>
      <c r="W788" s="0" t="n">
        <v>43</v>
      </c>
      <c r="X788" s="0" t="n">
        <v>10</v>
      </c>
      <c r="Y788" s="0" t="n">
        <v>9</v>
      </c>
      <c r="Z788" s="0" t="inlineStr">
        <is>
          <t>https://new.land.naver.com/complexes/120489?tab=detail&amp;rf=Y</t>
        </is>
      </c>
      <c r="AA788" s="0" t="inlineStr">
        <is>
          <t>충청북도 청주시 흥덕구 운천동 556-3</t>
        </is>
      </c>
      <c r="AB788" s="0" t="inlineStr">
        <is>
          <t>충청북도</t>
        </is>
      </c>
      <c r="AC788" s="0" t="inlineStr">
        <is>
          <t>청주시</t>
        </is>
      </c>
      <c r="AD788" s="0" t="inlineStr">
        <is>
          <t>흥덕구</t>
        </is>
      </c>
      <c r="AE788" s="0" t="inlineStr">
        <is>
          <t>운천동</t>
        </is>
      </c>
      <c r="AG788" s="0" t="inlineStr">
        <is>
          <t>충청북도 청주시 흥덕구 사운로 294-2</t>
        </is>
      </c>
      <c r="AH788" s="0" t="n">
        <v>0</v>
      </c>
      <c r="AI788" s="0" t="n">
        <v>249</v>
      </c>
      <c r="AJ788" s="0" t="n">
        <v>33</v>
      </c>
      <c r="AK788" s="0" t="n">
        <v>62</v>
      </c>
      <c r="AL788" s="0" t="n">
        <v>0.38</v>
      </c>
    </row>
    <row r="789">
      <c r="A789" s="0" t="inlineStr">
        <is>
          <t>[운천동]</t>
        </is>
      </c>
      <c r="B789" s="0" t="n">
        <v>120489</v>
      </c>
      <c r="C789" s="0" t="n">
        <v>9</v>
      </c>
      <c r="D789" s="0" t="inlineStr">
        <is>
          <t>운천거성하모니</t>
        </is>
      </c>
      <c r="E789" s="0" t="inlineStr">
        <is>
          <t>2016.01.</t>
        </is>
      </c>
      <c r="F789" s="0" t="n">
        <v>164</v>
      </c>
      <c r="G789" s="0" t="n">
        <v>16.61</v>
      </c>
      <c r="H789" s="0" t="n">
        <v>54.93</v>
      </c>
      <c r="I789" s="0" t="n">
        <v>12.31</v>
      </c>
      <c r="J789" s="0" t="n">
        <v>40.71</v>
      </c>
      <c r="K789" s="0" t="n">
        <v>18</v>
      </c>
      <c r="T789" s="0" t="n">
        <v>2</v>
      </c>
      <c r="U789" s="0" t="n">
        <v>1</v>
      </c>
      <c r="V789" s="0" t="inlineStr">
        <is>
          <t>복도식</t>
        </is>
      </c>
      <c r="W789" s="0" t="n">
        <v>54</v>
      </c>
      <c r="X789" s="0" t="n">
        <v>10</v>
      </c>
      <c r="Y789" s="0" t="n">
        <v>9</v>
      </c>
      <c r="Z789" s="0" t="inlineStr">
        <is>
          <t>https://new.land.naver.com/complexes/120489?tab=detail&amp;rf=Y</t>
        </is>
      </c>
      <c r="AA789" s="0" t="inlineStr">
        <is>
          <t>충청북도 청주시 흥덕구 운천동 556-3</t>
        </is>
      </c>
      <c r="AB789" s="0" t="inlineStr">
        <is>
          <t>충청북도</t>
        </is>
      </c>
      <c r="AC789" s="0" t="inlineStr">
        <is>
          <t>청주시</t>
        </is>
      </c>
      <c r="AD789" s="0" t="inlineStr">
        <is>
          <t>흥덕구</t>
        </is>
      </c>
      <c r="AE789" s="0" t="inlineStr">
        <is>
          <t>운천동</t>
        </is>
      </c>
      <c r="AG789" s="0" t="inlineStr">
        <is>
          <t>충청북도 청주시 흥덕구 사운로 294-2</t>
        </is>
      </c>
      <c r="AH789" s="0" t="n">
        <v>0</v>
      </c>
      <c r="AI789" s="0" t="n">
        <v>249</v>
      </c>
      <c r="AJ789" s="0" t="n">
        <v>33</v>
      </c>
      <c r="AK789" s="0" t="n">
        <v>62</v>
      </c>
      <c r="AL789" s="0" t="n">
        <v>0.38</v>
      </c>
    </row>
    <row r="790">
      <c r="A790" s="0" t="inlineStr">
        <is>
          <t>[운천동]</t>
        </is>
      </c>
      <c r="B790" s="0" t="n">
        <v>7459</v>
      </c>
      <c r="C790" s="0" t="n">
        <v>1</v>
      </c>
      <c r="D790" s="0" t="inlineStr">
        <is>
          <t>진양</t>
        </is>
      </c>
      <c r="E790" s="0" t="inlineStr">
        <is>
          <t>1986.09.</t>
        </is>
      </c>
      <c r="F790" s="0" t="n">
        <v>420</v>
      </c>
      <c r="G790" s="0" t="n">
        <v>16.33</v>
      </c>
      <c r="H790" s="0" t="n">
        <v>54.01</v>
      </c>
      <c r="I790" s="0" t="n">
        <v>14.56</v>
      </c>
      <c r="J790" s="0" t="n">
        <v>48.15</v>
      </c>
      <c r="K790" s="0" t="n">
        <v>4</v>
      </c>
      <c r="T790" s="0" t="n">
        <v>2</v>
      </c>
      <c r="U790" s="0" t="n">
        <v>1</v>
      </c>
      <c r="V790" s="0" t="inlineStr">
        <is>
          <t>복도식</t>
        </is>
      </c>
      <c r="W790" s="0" t="n">
        <v>54</v>
      </c>
      <c r="X790" s="0" t="n">
        <v>5</v>
      </c>
      <c r="Y790" s="0" t="n">
        <v>5</v>
      </c>
      <c r="Z790" s="0" t="inlineStr">
        <is>
          <t>https://new.land.naver.com/complexes/7459?tab=detail&amp;rf=Y</t>
        </is>
      </c>
      <c r="AA790" s="0" t="inlineStr">
        <is>
          <t>충청북도 청주시 흥덕구 운천동 677-1</t>
        </is>
      </c>
      <c r="AB790" s="0" t="inlineStr">
        <is>
          <t>충청북도</t>
        </is>
      </c>
      <c r="AC790" s="0" t="inlineStr">
        <is>
          <t>청주시</t>
        </is>
      </c>
      <c r="AD790" s="0" t="inlineStr">
        <is>
          <t>흥덕구</t>
        </is>
      </c>
      <c r="AE790" s="0" t="inlineStr">
        <is>
          <t>운천동</t>
        </is>
      </c>
      <c r="AG790" s="0" t="inlineStr">
        <is>
          <t>충청북도 청주시 흥덕구 사운로 257</t>
        </is>
      </c>
      <c r="AH790" s="0" t="n">
        <v>0</v>
      </c>
      <c r="AI790" s="0" t="n">
        <v>0</v>
      </c>
      <c r="AJ790" s="0" t="n">
        <v>0</v>
      </c>
      <c r="AK790" s="0" t="n">
        <v>336</v>
      </c>
      <c r="AL790" s="0" t="n">
        <v>0.8</v>
      </c>
    </row>
    <row r="791">
      <c r="A791" s="0" t="inlineStr">
        <is>
          <t>[운천동]</t>
        </is>
      </c>
      <c r="B791" s="0" t="n">
        <v>7459</v>
      </c>
      <c r="C791" s="0" t="n">
        <v>2</v>
      </c>
      <c r="D791" s="0" t="inlineStr">
        <is>
          <t>진양</t>
        </is>
      </c>
      <c r="E791" s="0" t="inlineStr">
        <is>
          <t>1986.09.</t>
        </is>
      </c>
      <c r="F791" s="0" t="n">
        <v>420</v>
      </c>
      <c r="G791" s="0" t="n">
        <v>18.62</v>
      </c>
      <c r="H791" s="0" t="n">
        <v>61.56</v>
      </c>
      <c r="I791" s="0" t="n">
        <v>16.87</v>
      </c>
      <c r="J791" s="0" t="n">
        <v>55.8</v>
      </c>
      <c r="K791" s="0" t="n">
        <v>296</v>
      </c>
      <c r="T791" s="0" t="n">
        <v>2</v>
      </c>
      <c r="U791" s="0" t="n">
        <v>1</v>
      </c>
      <c r="V791" s="0" t="inlineStr">
        <is>
          <t>계단식</t>
        </is>
      </c>
      <c r="W791" s="0" t="inlineStr">
        <is>
          <t>61A</t>
        </is>
      </c>
      <c r="X791" s="0" t="n">
        <v>5</v>
      </c>
      <c r="Y791" s="0" t="n">
        <v>5</v>
      </c>
      <c r="Z791" s="0" t="inlineStr">
        <is>
          <t>https://new.land.naver.com/complexes/7459?tab=detail&amp;rf=Y</t>
        </is>
      </c>
      <c r="AA791" s="0" t="inlineStr">
        <is>
          <t>충청북도 청주시 흥덕구 운천동 677-1</t>
        </is>
      </c>
      <c r="AB791" s="0" t="inlineStr">
        <is>
          <t>충청북도</t>
        </is>
      </c>
      <c r="AC791" s="0" t="inlineStr">
        <is>
          <t>청주시</t>
        </is>
      </c>
      <c r="AD791" s="0" t="inlineStr">
        <is>
          <t>흥덕구</t>
        </is>
      </c>
      <c r="AE791" s="0" t="inlineStr">
        <is>
          <t>운천동</t>
        </is>
      </c>
      <c r="AG791" s="0" t="inlineStr">
        <is>
          <t>충청북도 청주시 흥덕구 사운로 257</t>
        </is>
      </c>
      <c r="AH791" s="0" t="n">
        <v>0</v>
      </c>
      <c r="AI791" s="0" t="n">
        <v>0</v>
      </c>
      <c r="AJ791" s="0" t="n">
        <v>0</v>
      </c>
      <c r="AK791" s="0" t="n">
        <v>336</v>
      </c>
      <c r="AL791" s="0" t="n">
        <v>0.8</v>
      </c>
    </row>
    <row r="792">
      <c r="A792" s="0" t="inlineStr">
        <is>
          <t>[운천동]</t>
        </is>
      </c>
      <c r="B792" s="0" t="n">
        <v>7459</v>
      </c>
      <c r="C792" s="0" t="n">
        <v>3</v>
      </c>
      <c r="D792" s="0" t="inlineStr">
        <is>
          <t>진양</t>
        </is>
      </c>
      <c r="E792" s="0" t="inlineStr">
        <is>
          <t>1986.09.</t>
        </is>
      </c>
      <c r="F792" s="0" t="n">
        <v>420</v>
      </c>
      <c r="G792" s="0" t="n">
        <v>20.06</v>
      </c>
      <c r="H792" s="0" t="n">
        <v>66.31999999999999</v>
      </c>
      <c r="I792" s="0" t="n">
        <v>18.13</v>
      </c>
      <c r="J792" s="0" t="n">
        <v>59.94</v>
      </c>
      <c r="K792" s="0" t="n">
        <v>120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66B</t>
        </is>
      </c>
      <c r="X792" s="0" t="n">
        <v>5</v>
      </c>
      <c r="Y792" s="0" t="n">
        <v>5</v>
      </c>
      <c r="Z792" s="0" t="inlineStr">
        <is>
          <t>https://new.land.naver.com/complexes/7459?tab=detail&amp;rf=Y</t>
        </is>
      </c>
      <c r="AA792" s="0" t="inlineStr">
        <is>
          <t>충청북도 청주시 흥덕구 운천동 677-1</t>
        </is>
      </c>
      <c r="AB792" s="0" t="inlineStr">
        <is>
          <t>충청북도</t>
        </is>
      </c>
      <c r="AC792" s="0" t="inlineStr">
        <is>
          <t>청주시</t>
        </is>
      </c>
      <c r="AD792" s="0" t="inlineStr">
        <is>
          <t>흥덕구</t>
        </is>
      </c>
      <c r="AE792" s="0" t="inlineStr">
        <is>
          <t>운천동</t>
        </is>
      </c>
      <c r="AG792" s="0" t="inlineStr">
        <is>
          <t>충청북도 청주시 흥덕구 사운로 257</t>
        </is>
      </c>
      <c r="AH792" s="0" t="n">
        <v>0</v>
      </c>
      <c r="AI792" s="0" t="n">
        <v>0</v>
      </c>
      <c r="AJ792" s="0" t="n">
        <v>0</v>
      </c>
      <c r="AK792" s="0" t="n">
        <v>336</v>
      </c>
      <c r="AL792" s="0" t="n">
        <v>0.8</v>
      </c>
    </row>
    <row r="793">
      <c r="A793" s="0" t="inlineStr">
        <is>
          <t>[운천동]</t>
        </is>
      </c>
      <c r="B793" s="0" t="n">
        <v>7450</v>
      </c>
      <c r="C793" s="0" t="n">
        <v>1</v>
      </c>
      <c r="D793" s="0" t="inlineStr">
        <is>
          <t>무지개</t>
        </is>
      </c>
      <c r="E793" s="0" t="inlineStr">
        <is>
          <t>1994.08.</t>
        </is>
      </c>
      <c r="F793" s="0" t="n">
        <v>639</v>
      </c>
      <c r="G793" s="0" t="n">
        <v>12.24</v>
      </c>
      <c r="H793" s="0" t="n">
        <v>40.49</v>
      </c>
      <c r="I793" s="0" t="n">
        <v>9.199999999999999</v>
      </c>
      <c r="J793" s="0" t="n">
        <v>30.42</v>
      </c>
      <c r="K793" s="0" t="n">
        <v>206</v>
      </c>
      <c r="T793" s="0" t="n">
        <v>1</v>
      </c>
      <c r="U793" s="0" t="n">
        <v>1</v>
      </c>
      <c r="V793" s="0" t="inlineStr">
        <is>
          <t>복도식</t>
        </is>
      </c>
      <c r="W793" s="0" t="n">
        <v>40</v>
      </c>
      <c r="X793" s="0" t="n">
        <v>15</v>
      </c>
      <c r="Y793" s="0" t="n">
        <v>11</v>
      </c>
      <c r="Z793" s="0" t="inlineStr">
        <is>
          <t>https://new.land.naver.com/complexes/7450?tab=detail&amp;rf=Y</t>
        </is>
      </c>
      <c r="AA793" s="0" t="inlineStr">
        <is>
          <t>충청북도 청주시 흥덕구 운천동 577</t>
        </is>
      </c>
      <c r="AB793" s="0" t="inlineStr">
        <is>
          <t>충청북도</t>
        </is>
      </c>
      <c r="AC793" s="0" t="inlineStr">
        <is>
          <t>청주시</t>
        </is>
      </c>
      <c r="AD793" s="0" t="inlineStr">
        <is>
          <t>흥덕구</t>
        </is>
      </c>
      <c r="AE793" s="0" t="inlineStr">
        <is>
          <t>운천동</t>
        </is>
      </c>
      <c r="AG793" s="0" t="inlineStr">
        <is>
          <t>충청북도 청주시 흥덕구 사운로 278</t>
        </is>
      </c>
      <c r="AH793" s="0" t="n">
        <v>0</v>
      </c>
      <c r="AI793" s="0" t="n">
        <v>284</v>
      </c>
      <c r="AJ793" s="0" t="n">
        <v>26</v>
      </c>
      <c r="AK793" s="0" t="n">
        <v>584</v>
      </c>
      <c r="AL793" s="0" t="n">
        <v>0.91</v>
      </c>
    </row>
    <row r="794">
      <c r="A794" s="0" t="inlineStr">
        <is>
          <t>[운천동]</t>
        </is>
      </c>
      <c r="B794" s="0" t="n">
        <v>7450</v>
      </c>
      <c r="C794" s="0" t="n">
        <v>2</v>
      </c>
      <c r="D794" s="0" t="inlineStr">
        <is>
          <t>무지개</t>
        </is>
      </c>
      <c r="E794" s="0" t="inlineStr">
        <is>
          <t>1994.08.</t>
        </is>
      </c>
      <c r="F794" s="0" t="n">
        <v>639</v>
      </c>
      <c r="G794" s="0" t="n">
        <v>19.26</v>
      </c>
      <c r="H794" s="0" t="n">
        <v>63.7</v>
      </c>
      <c r="I794" s="0" t="n">
        <v>14.48</v>
      </c>
      <c r="J794" s="0" t="n">
        <v>47.88</v>
      </c>
      <c r="K794" s="0" t="n">
        <v>30</v>
      </c>
      <c r="T794" s="0" t="n">
        <v>2</v>
      </c>
      <c r="U794" s="0" t="n">
        <v>1</v>
      </c>
      <c r="V794" s="0" t="inlineStr">
        <is>
          <t>복도식</t>
        </is>
      </c>
      <c r="W794" s="0" t="n">
        <v>63</v>
      </c>
      <c r="X794" s="0" t="n">
        <v>15</v>
      </c>
      <c r="Y794" s="0" t="n">
        <v>11</v>
      </c>
      <c r="Z794" s="0" t="inlineStr">
        <is>
          <t>https://new.land.naver.com/complexes/7450?tab=detail&amp;rf=Y</t>
        </is>
      </c>
      <c r="AA794" s="0" t="inlineStr">
        <is>
          <t>충청북도 청주시 흥덕구 운천동 577</t>
        </is>
      </c>
      <c r="AB794" s="0" t="inlineStr">
        <is>
          <t>충청북도</t>
        </is>
      </c>
      <c r="AC794" s="0" t="inlineStr">
        <is>
          <t>청주시</t>
        </is>
      </c>
      <c r="AD794" s="0" t="inlineStr">
        <is>
          <t>흥덕구</t>
        </is>
      </c>
      <c r="AE794" s="0" t="inlineStr">
        <is>
          <t>운천동</t>
        </is>
      </c>
      <c r="AG794" s="0" t="inlineStr">
        <is>
          <t>충청북도 청주시 흥덕구 사운로 278</t>
        </is>
      </c>
      <c r="AH794" s="0" t="n">
        <v>0</v>
      </c>
      <c r="AI794" s="0" t="n">
        <v>284</v>
      </c>
      <c r="AJ794" s="0" t="n">
        <v>26</v>
      </c>
      <c r="AK794" s="0" t="n">
        <v>584</v>
      </c>
      <c r="AL794" s="0" t="n">
        <v>0.91</v>
      </c>
    </row>
    <row r="795">
      <c r="A795" s="0" t="inlineStr">
        <is>
          <t>[운천동]</t>
        </is>
      </c>
      <c r="B795" s="0" t="n">
        <v>7450</v>
      </c>
      <c r="C795" s="0" t="n">
        <v>3</v>
      </c>
      <c r="D795" s="0" t="inlineStr">
        <is>
          <t>무지개</t>
        </is>
      </c>
      <c r="E795" s="0" t="inlineStr">
        <is>
          <t>1994.08.</t>
        </is>
      </c>
      <c r="F795" s="0" t="n">
        <v>639</v>
      </c>
      <c r="G795" s="0" t="n">
        <v>31.49</v>
      </c>
      <c r="H795" s="0" t="n">
        <v>104.1</v>
      </c>
      <c r="I795" s="0" t="n">
        <v>25.67</v>
      </c>
      <c r="J795" s="0" t="n">
        <v>84.89</v>
      </c>
      <c r="K795" s="0" t="n">
        <v>238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104</v>
      </c>
      <c r="X795" s="0" t="n">
        <v>15</v>
      </c>
      <c r="Y795" s="0" t="n">
        <v>11</v>
      </c>
      <c r="Z795" s="0" t="inlineStr">
        <is>
          <t>https://new.land.naver.com/complexes/7450?tab=detail&amp;rf=Y</t>
        </is>
      </c>
      <c r="AA795" s="0" t="inlineStr">
        <is>
          <t>충청북도 청주시 흥덕구 운천동 577</t>
        </is>
      </c>
      <c r="AB795" s="0" t="inlineStr">
        <is>
          <t>충청북도</t>
        </is>
      </c>
      <c r="AC795" s="0" t="inlineStr">
        <is>
          <t>청주시</t>
        </is>
      </c>
      <c r="AD795" s="0" t="inlineStr">
        <is>
          <t>흥덕구</t>
        </is>
      </c>
      <c r="AE795" s="0" t="inlineStr">
        <is>
          <t>운천동</t>
        </is>
      </c>
      <c r="AG795" s="0" t="inlineStr">
        <is>
          <t>충청북도 청주시 흥덕구 사운로 278</t>
        </is>
      </c>
      <c r="AH795" s="0" t="n">
        <v>0</v>
      </c>
      <c r="AI795" s="0" t="n">
        <v>284</v>
      </c>
      <c r="AJ795" s="0" t="n">
        <v>26</v>
      </c>
      <c r="AK795" s="0" t="n">
        <v>584</v>
      </c>
      <c r="AL795" s="0" t="n">
        <v>0.91</v>
      </c>
    </row>
    <row r="796">
      <c r="A796" s="0" t="inlineStr">
        <is>
          <t>[운천동]</t>
        </is>
      </c>
      <c r="B796" s="0" t="n">
        <v>7450</v>
      </c>
      <c r="C796" s="0" t="n">
        <v>4</v>
      </c>
      <c r="D796" s="0" t="inlineStr">
        <is>
          <t>무지개</t>
        </is>
      </c>
      <c r="E796" s="0" t="inlineStr">
        <is>
          <t>1994.08.</t>
        </is>
      </c>
      <c r="F796" s="0" t="n">
        <v>639</v>
      </c>
      <c r="G796" s="0" t="n">
        <v>31.52</v>
      </c>
      <c r="H796" s="0" t="n">
        <v>104.23</v>
      </c>
      <c r="I796" s="0" t="n">
        <v>25.7</v>
      </c>
      <c r="J796" s="0" t="n">
        <v>84.98999999999999</v>
      </c>
      <c r="K796" s="0" t="n">
        <v>143</v>
      </c>
      <c r="T796" s="0" t="n">
        <v>3</v>
      </c>
      <c r="U796" s="0" t="n">
        <v>2</v>
      </c>
      <c r="V796" s="0" t="inlineStr">
        <is>
          <t>복도식</t>
        </is>
      </c>
      <c r="W796" s="0" t="n">
        <v>104</v>
      </c>
      <c r="X796" s="0" t="n">
        <v>15</v>
      </c>
      <c r="Y796" s="0" t="n">
        <v>11</v>
      </c>
      <c r="Z796" s="0" t="inlineStr">
        <is>
          <t>https://new.land.naver.com/complexes/7450?tab=detail&amp;rf=Y</t>
        </is>
      </c>
      <c r="AA796" s="0" t="inlineStr">
        <is>
          <t>충청북도 청주시 흥덕구 운천동 577</t>
        </is>
      </c>
      <c r="AB796" s="0" t="inlineStr">
        <is>
          <t>충청북도</t>
        </is>
      </c>
      <c r="AC796" s="0" t="inlineStr">
        <is>
          <t>청주시</t>
        </is>
      </c>
      <c r="AD796" s="0" t="inlineStr">
        <is>
          <t>흥덕구</t>
        </is>
      </c>
      <c r="AE796" s="0" t="inlineStr">
        <is>
          <t>운천동</t>
        </is>
      </c>
      <c r="AG796" s="0" t="inlineStr">
        <is>
          <t>충청북도 청주시 흥덕구 사운로 278</t>
        </is>
      </c>
      <c r="AH796" s="0" t="n">
        <v>0</v>
      </c>
      <c r="AI796" s="0" t="n">
        <v>284</v>
      </c>
      <c r="AJ796" s="0" t="n">
        <v>26</v>
      </c>
      <c r="AK796" s="0" t="n">
        <v>584</v>
      </c>
      <c r="AL796" s="0" t="n">
        <v>0.91</v>
      </c>
    </row>
    <row r="797">
      <c r="A797" s="0" t="inlineStr">
        <is>
          <t>[운천동]</t>
        </is>
      </c>
      <c r="B797" s="0" t="n">
        <v>7450</v>
      </c>
      <c r="C797" s="0" t="n">
        <v>5</v>
      </c>
      <c r="D797" s="0" t="inlineStr">
        <is>
          <t>무지개</t>
        </is>
      </c>
      <c r="E797" s="0" t="inlineStr">
        <is>
          <t>1994.08.</t>
        </is>
      </c>
      <c r="F797" s="0" t="n">
        <v>639</v>
      </c>
      <c r="G797" s="0" t="n">
        <v>47.18</v>
      </c>
      <c r="H797" s="0" t="n">
        <v>155.97</v>
      </c>
      <c r="I797" s="0" t="n">
        <v>40.77</v>
      </c>
      <c r="J797" s="0" t="n">
        <v>134.78</v>
      </c>
      <c r="K797" s="0" t="n">
        <v>22</v>
      </c>
      <c r="T797" s="0" t="n">
        <v>4</v>
      </c>
      <c r="U797" s="0" t="n">
        <v>2</v>
      </c>
      <c r="V797" s="0" t="inlineStr">
        <is>
          <t>계단식</t>
        </is>
      </c>
      <c r="W797" s="0" t="n">
        <v>155</v>
      </c>
      <c r="X797" s="0" t="n">
        <v>15</v>
      </c>
      <c r="Y797" s="0" t="n">
        <v>11</v>
      </c>
      <c r="Z797" s="0" t="inlineStr">
        <is>
          <t>https://new.land.naver.com/complexes/7450?tab=detail&amp;rf=Y</t>
        </is>
      </c>
      <c r="AA797" s="0" t="inlineStr">
        <is>
          <t>충청북도 청주시 흥덕구 운천동 577</t>
        </is>
      </c>
      <c r="AB797" s="0" t="inlineStr">
        <is>
          <t>충청북도</t>
        </is>
      </c>
      <c r="AC797" s="0" t="inlineStr">
        <is>
          <t>청주시</t>
        </is>
      </c>
      <c r="AD797" s="0" t="inlineStr">
        <is>
          <t>흥덕구</t>
        </is>
      </c>
      <c r="AE797" s="0" t="inlineStr">
        <is>
          <t>운천동</t>
        </is>
      </c>
      <c r="AG797" s="0" t="inlineStr">
        <is>
          <t>충청북도 청주시 흥덕구 사운로 278</t>
        </is>
      </c>
      <c r="AH797" s="0" t="n">
        <v>0</v>
      </c>
      <c r="AI797" s="0" t="n">
        <v>284</v>
      </c>
      <c r="AJ797" s="0" t="n">
        <v>26</v>
      </c>
      <c r="AK797" s="0" t="n">
        <v>584</v>
      </c>
      <c r="AL797" s="0" t="n">
        <v>0.91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5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28" sqref="I2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가경동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가로수마을선광로즈웰</t>
        </is>
      </c>
      <c r="B6" s="16" t="inlineStr">
        <is>
          <t>'08.07.</t>
        </is>
      </c>
      <c r="C6" s="164" t="n">
        <v>256</v>
      </c>
      <c r="D6" s="161" t="n">
        <v>110</v>
      </c>
      <c r="E6" s="163" t="n">
        <v>33</v>
      </c>
      <c r="F6" s="161" t="n">
        <v>84.90000000000001</v>
      </c>
      <c r="G6" s="27" t="n">
        <v>26</v>
      </c>
      <c r="H6" s="164" t="n">
        <v>170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복</t>
        </is>
      </c>
      <c r="T6" s="8" t="n">
        <v>110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가로수마을선광로즈웰</t>
        </is>
      </c>
      <c r="B7" s="16" t="inlineStr">
        <is>
          <t>'08.07.</t>
        </is>
      </c>
      <c r="C7" s="164" t="n">
        <v>256</v>
      </c>
      <c r="D7" s="161" t="n">
        <v>112.4</v>
      </c>
      <c r="E7" s="163" t="n">
        <v>34</v>
      </c>
      <c r="F7" s="161" t="n">
        <v>85</v>
      </c>
      <c r="G7" s="27" t="n">
        <v>26</v>
      </c>
      <c r="H7" s="164" t="n">
        <v>86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가경주공2단지</t>
        </is>
      </c>
      <c r="B9" s="16" t="inlineStr">
        <is>
          <t>'02.12.</t>
        </is>
      </c>
      <c r="C9" s="164" t="n">
        <v>704</v>
      </c>
      <c r="D9" s="161" t="n">
        <v>67.90000000000001</v>
      </c>
      <c r="E9" s="163" t="n">
        <v>21</v>
      </c>
      <c r="F9" s="161" t="n">
        <v>49.8</v>
      </c>
      <c r="G9" s="27" t="n">
        <v>15</v>
      </c>
      <c r="H9" s="164" t="n">
        <v>82</v>
      </c>
      <c r="I9" s="165" t="n">
        <v>17500</v>
      </c>
      <c r="J9" s="165" t="inlineStr">
        <is>
          <t>13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67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가경주공2단지</t>
        </is>
      </c>
      <c r="B10" s="16" t="inlineStr">
        <is>
          <t>'02.12.</t>
        </is>
      </c>
      <c r="C10" s="164" t="n">
        <v>704</v>
      </c>
      <c r="D10" s="161" t="n">
        <v>81.7</v>
      </c>
      <c r="E10" s="163" t="n">
        <v>25</v>
      </c>
      <c r="F10" s="161" t="n">
        <v>59.9</v>
      </c>
      <c r="G10" s="27" t="n">
        <v>18</v>
      </c>
      <c r="H10" s="164" t="n">
        <v>622</v>
      </c>
      <c r="I10" s="165" t="n">
        <v>21000</v>
      </c>
      <c r="J10" s="165" t="inlineStr">
        <is>
          <t>8</t>
        </is>
      </c>
      <c r="K10" s="165" t="n">
        <v>22000</v>
      </c>
      <c r="L10" s="165" t="inlineStr">
        <is>
          <t>5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81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청주가경아이파크4단지</t>
        </is>
      </c>
      <c r="B12" s="16" t="inlineStr">
        <is>
          <t>'22.03.</t>
        </is>
      </c>
      <c r="C12" s="164" t="n">
        <v>201</v>
      </c>
      <c r="D12" s="161" t="n">
        <v>109.6</v>
      </c>
      <c r="E12" s="163" t="n">
        <v>33</v>
      </c>
      <c r="F12" s="161" t="n">
        <v>84.90000000000001</v>
      </c>
      <c r="G12" s="27" t="n">
        <v>26</v>
      </c>
      <c r="H12" s="164" t="n">
        <v>175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109A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청주가경아이파크4단지</t>
        </is>
      </c>
      <c r="B13" s="16" t="inlineStr">
        <is>
          <t>'22.03.</t>
        </is>
      </c>
      <c r="C13" s="164" t="n">
        <v>201</v>
      </c>
      <c r="D13" s="161" t="n">
        <v>109.4</v>
      </c>
      <c r="E13" s="163" t="n">
        <v>33</v>
      </c>
      <c r="F13" s="161" t="n">
        <v>84.40000000000001</v>
      </c>
      <c r="G13" s="27" t="n">
        <v>26</v>
      </c>
      <c r="H13" s="164" t="n">
        <v>26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109B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가경자이</t>
        </is>
      </c>
      <c r="B15" s="16" t="inlineStr">
        <is>
          <t>'20.11.</t>
        </is>
      </c>
      <c r="C15" s="164" t="n">
        <v>992</v>
      </c>
      <c r="D15" s="161" t="n">
        <v>99.90000000000001</v>
      </c>
      <c r="E15" s="163" t="n">
        <v>30</v>
      </c>
      <c r="F15" s="161" t="n">
        <v>75.8</v>
      </c>
      <c r="G15" s="27" t="n">
        <v>23</v>
      </c>
      <c r="H15" s="164" t="n">
        <v>468</v>
      </c>
      <c r="I15" s="165" t="n">
        <v>65000</v>
      </c>
      <c r="J15" s="165" t="inlineStr">
        <is>
          <t>20</t>
        </is>
      </c>
      <c r="K15" s="165" t="n">
        <v>30000</v>
      </c>
      <c r="L15" s="165" t="inlineStr">
        <is>
          <t>10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99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가경자이</t>
        </is>
      </c>
      <c r="B16" s="16" t="inlineStr">
        <is>
          <t>'20.11.</t>
        </is>
      </c>
      <c r="C16" s="164" t="n">
        <v>992</v>
      </c>
      <c r="D16" s="161" t="n">
        <v>110.8</v>
      </c>
      <c r="E16" s="163" t="n">
        <v>34</v>
      </c>
      <c r="F16" s="161" t="n">
        <v>84.8</v>
      </c>
      <c r="G16" s="27" t="n">
        <v>26</v>
      </c>
      <c r="H16" s="164" t="n">
        <v>91</v>
      </c>
      <c r="I16" s="165" t="n">
        <v>75000</v>
      </c>
      <c r="J16" s="165" t="inlineStr">
        <is>
          <t>14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110B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가경자이</t>
        </is>
      </c>
      <c r="B17" s="16" t="inlineStr">
        <is>
          <t>'20.11.</t>
        </is>
      </c>
      <c r="C17" s="164" t="n">
        <v>992</v>
      </c>
      <c r="D17" s="161" t="n">
        <v>111.2</v>
      </c>
      <c r="E17" s="163" t="n">
        <v>34</v>
      </c>
      <c r="F17" s="161" t="n">
        <v>84.8</v>
      </c>
      <c r="G17" s="27" t="n">
        <v>26</v>
      </c>
      <c r="H17" s="164" t="n">
        <v>433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111A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가경e-편한세상</t>
        </is>
      </c>
      <c r="B19" s="16" t="inlineStr">
        <is>
          <t>'08.09.</t>
        </is>
      </c>
      <c r="C19" s="164" t="n">
        <v>385</v>
      </c>
      <c r="D19" s="161" t="n">
        <v>159.4</v>
      </c>
      <c r="E19" s="163" t="n">
        <v>48</v>
      </c>
      <c r="F19" s="161" t="n">
        <v>133.6</v>
      </c>
      <c r="G19" s="27" t="n">
        <v>40</v>
      </c>
      <c r="H19" s="164" t="n">
        <v>83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159B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가경e-편한세상</t>
        </is>
      </c>
      <c r="B20" s="16" t="inlineStr">
        <is>
          <t>'08.09.</t>
        </is>
      </c>
      <c r="C20" s="164" t="n">
        <v>385</v>
      </c>
      <c r="D20" s="161" t="n">
        <v>160.8</v>
      </c>
      <c r="E20" s="163" t="n">
        <v>49</v>
      </c>
      <c r="F20" s="161" t="n">
        <v>133.8</v>
      </c>
      <c r="G20" s="27" t="n">
        <v>40</v>
      </c>
      <c r="H20" s="164" t="n">
        <v>90</v>
      </c>
      <c r="I20" s="165" t="n">
        <v>76000</v>
      </c>
      <c r="J20" s="165" t="inlineStr">
        <is>
          <t>7</t>
        </is>
      </c>
      <c r="K20" s="165" t="n">
        <v>50000</v>
      </c>
      <c r="L20" s="165" t="inlineStr">
        <is>
          <t>11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160A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가경e-편한세상</t>
        </is>
      </c>
      <c r="B21" s="16" t="inlineStr">
        <is>
          <t>'08.09.</t>
        </is>
      </c>
      <c r="C21" s="164" t="n">
        <v>385</v>
      </c>
      <c r="D21" s="161" t="n">
        <v>163.9</v>
      </c>
      <c r="E21" s="163" t="n">
        <v>50</v>
      </c>
      <c r="F21" s="161" t="n">
        <v>133.6</v>
      </c>
      <c r="G21" s="27" t="n">
        <v>40</v>
      </c>
      <c r="H21" s="164" t="n">
        <v>42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inlineStr">
        <is>
          <t>163B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가경e-편한세상</t>
        </is>
      </c>
      <c r="B22" s="16" t="inlineStr">
        <is>
          <t>'08.09.</t>
        </is>
      </c>
      <c r="C22" s="164" t="n">
        <v>385</v>
      </c>
      <c r="D22" s="161" t="n">
        <v>165.3</v>
      </c>
      <c r="E22" s="163" t="n">
        <v>50</v>
      </c>
      <c r="F22" s="161" t="n">
        <v>133.8</v>
      </c>
      <c r="G22" s="27" t="n">
        <v>40</v>
      </c>
      <c r="H22" s="164" t="n">
        <v>90</v>
      </c>
      <c r="I22" s="165" t="n">
        <v>68000</v>
      </c>
      <c r="J22" s="165" t="inlineStr">
        <is>
          <t>중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inlineStr">
        <is>
          <t>165A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가경e-편한세상</t>
        </is>
      </c>
      <c r="B23" s="16" t="inlineStr">
        <is>
          <t>'08.09.</t>
        </is>
      </c>
      <c r="C23" s="164" t="n">
        <v>385</v>
      </c>
      <c r="D23" s="161" t="n">
        <v>194.3</v>
      </c>
      <c r="E23" s="163" t="n">
        <v>59</v>
      </c>
      <c r="F23" s="161" t="n">
        <v>159.8</v>
      </c>
      <c r="G23" s="27" t="n">
        <v>48</v>
      </c>
      <c r="H23" s="164" t="n">
        <v>80</v>
      </c>
      <c r="I23" s="165" t="n">
        <v>85000</v>
      </c>
      <c r="J23" s="165" t="inlineStr">
        <is>
          <t>중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3</v>
      </c>
      <c r="S23" s="113" t="inlineStr">
        <is>
          <t>계</t>
        </is>
      </c>
      <c r="T23" s="8" t="n">
        <v>194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가경대원</t>
        </is>
      </c>
      <c r="B25" s="16" t="inlineStr">
        <is>
          <t>'97.07.</t>
        </is>
      </c>
      <c r="C25" s="164" t="n">
        <v>940</v>
      </c>
      <c r="D25" s="161" t="n">
        <v>65.09999999999999</v>
      </c>
      <c r="E25" s="163" t="n">
        <v>20</v>
      </c>
      <c r="F25" s="161" t="n">
        <v>49.8</v>
      </c>
      <c r="G25" s="27" t="n">
        <v>15</v>
      </c>
      <c r="H25" s="164" t="n">
        <v>60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2</v>
      </c>
      <c r="R25" s="113" t="n">
        <v>1</v>
      </c>
      <c r="S25" s="113" t="inlineStr">
        <is>
          <t>계</t>
        </is>
      </c>
      <c r="T25" s="8" t="n">
        <v>65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가경대원</t>
        </is>
      </c>
      <c r="B26" s="16" t="inlineStr">
        <is>
          <t>'97.07.</t>
        </is>
      </c>
      <c r="C26" s="164" t="n">
        <v>940</v>
      </c>
      <c r="D26" s="161" t="n">
        <v>75.5</v>
      </c>
      <c r="E26" s="163" t="n">
        <v>23</v>
      </c>
      <c r="F26" s="161" t="n">
        <v>59.9</v>
      </c>
      <c r="G26" s="27" t="n">
        <v>18</v>
      </c>
      <c r="H26" s="164" t="n">
        <v>600</v>
      </c>
      <c r="I26" s="165" t="n">
        <v>19000</v>
      </c>
      <c r="J26" s="165" t="inlineStr">
        <is>
          <t>5</t>
        </is>
      </c>
      <c r="K26" s="165" t="n">
        <v>17500</v>
      </c>
      <c r="L26" s="165" t="inlineStr">
        <is>
          <t>13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1</v>
      </c>
      <c r="S26" s="113" t="inlineStr">
        <is>
          <t>계</t>
        </is>
      </c>
      <c r="T26" s="8" t="inlineStr">
        <is>
          <t>75A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가경대원</t>
        </is>
      </c>
      <c r="B27" s="16" t="inlineStr">
        <is>
          <t>'97.07.</t>
        </is>
      </c>
      <c r="C27" s="164" t="n">
        <v>940</v>
      </c>
      <c r="D27" s="161" t="n">
        <v>75.2</v>
      </c>
      <c r="E27" s="163" t="n">
        <v>23</v>
      </c>
      <c r="F27" s="161" t="n">
        <v>60</v>
      </c>
      <c r="G27" s="27" t="n">
        <v>18</v>
      </c>
      <c r="H27" s="164" t="n">
        <v>280</v>
      </c>
      <c r="I27" s="165" t="n">
        <v>19200</v>
      </c>
      <c r="J27" s="165" t="inlineStr">
        <is>
          <t>6</t>
        </is>
      </c>
      <c r="K27" s="165" t="n">
        <v>18000</v>
      </c>
      <c r="L27" s="165" t="inlineStr">
        <is>
          <t>10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inlineStr">
        <is>
          <t>75B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가경세원2차</t>
        </is>
      </c>
      <c r="B29" s="16" t="inlineStr">
        <is>
          <t>'92.11.</t>
        </is>
      </c>
      <c r="C29" s="164" t="n">
        <v>620</v>
      </c>
      <c r="D29" s="161" t="n">
        <v>78.5</v>
      </c>
      <c r="E29" s="163" t="n">
        <v>24</v>
      </c>
      <c r="F29" s="161" t="n">
        <v>59.9</v>
      </c>
      <c r="G29" s="27" t="n">
        <v>18</v>
      </c>
      <c r="H29" s="164" t="n">
        <v>420</v>
      </c>
      <c r="I29" s="165" t="n">
        <v>14700</v>
      </c>
      <c r="J29" s="165" t="inlineStr">
        <is>
          <t>5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복</t>
        </is>
      </c>
      <c r="T29" s="8" t="n">
        <v>78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가경세원2차</t>
        </is>
      </c>
      <c r="B30" s="16" t="inlineStr">
        <is>
          <t>'92.11.</t>
        </is>
      </c>
      <c r="C30" s="164" t="n">
        <v>620</v>
      </c>
      <c r="D30" s="161" t="n">
        <v>105.5</v>
      </c>
      <c r="E30" s="163" t="n">
        <v>32</v>
      </c>
      <c r="F30" s="161" t="n">
        <v>85</v>
      </c>
      <c r="G30" s="27" t="n">
        <v>26</v>
      </c>
      <c r="H30" s="164" t="n">
        <v>200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105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가경푸르지오</t>
        </is>
      </c>
      <c r="B32" s="16" t="inlineStr">
        <is>
          <t>'06.01.</t>
        </is>
      </c>
      <c r="C32" s="164" t="n">
        <v>575</v>
      </c>
      <c r="D32" s="161" t="n">
        <v>130.8</v>
      </c>
      <c r="E32" s="163" t="n">
        <v>40</v>
      </c>
      <c r="F32" s="161" t="n">
        <v>104</v>
      </c>
      <c r="G32" s="27" t="n">
        <v>31</v>
      </c>
      <c r="H32" s="164" t="n">
        <v>80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130A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가경푸르지오</t>
        </is>
      </c>
      <c r="B33" s="16" t="inlineStr">
        <is>
          <t>'06.01.</t>
        </is>
      </c>
      <c r="C33" s="164" t="n">
        <v>575</v>
      </c>
      <c r="D33" s="161" t="n">
        <v>131.1</v>
      </c>
      <c r="E33" s="163" t="n">
        <v>40</v>
      </c>
      <c r="F33" s="161" t="n">
        <v>104</v>
      </c>
      <c r="G33" s="27" t="n">
        <v>31</v>
      </c>
      <c r="H33" s="164" t="n">
        <v>232</v>
      </c>
      <c r="I33" s="165" t="n">
        <v>46000</v>
      </c>
      <c r="J33" s="165" t="inlineStr">
        <is>
          <t>20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131B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가경푸르지오</t>
        </is>
      </c>
      <c r="B34" s="16" t="inlineStr">
        <is>
          <t>'06.01.</t>
        </is>
      </c>
      <c r="C34" s="164" t="n">
        <v>575</v>
      </c>
      <c r="D34" s="161" t="n">
        <v>156.6</v>
      </c>
      <c r="E34" s="163" t="n">
        <v>47</v>
      </c>
      <c r="F34" s="161" t="n">
        <v>125.1</v>
      </c>
      <c r="G34" s="27" t="n">
        <v>38</v>
      </c>
      <c r="H34" s="164" t="n">
        <v>150</v>
      </c>
      <c r="I34" s="165" t="n">
        <v>51000</v>
      </c>
      <c r="J34" s="165" t="inlineStr">
        <is>
          <t>5</t>
        </is>
      </c>
      <c r="K34" s="165" t="n">
        <v>45000</v>
      </c>
      <c r="L34" s="165" t="inlineStr">
        <is>
          <t>8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156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가경푸르지오</t>
        </is>
      </c>
      <c r="B35" s="16" t="inlineStr">
        <is>
          <t>'06.01.</t>
        </is>
      </c>
      <c r="C35" s="164" t="n">
        <v>575</v>
      </c>
      <c r="D35" s="161" t="n">
        <v>160</v>
      </c>
      <c r="E35" s="163" t="n">
        <v>48</v>
      </c>
      <c r="F35" s="161" t="n">
        <v>128.4</v>
      </c>
      <c r="G35" s="27" t="n">
        <v>39</v>
      </c>
      <c r="H35" s="164" t="n">
        <v>36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159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가경푸르지오</t>
        </is>
      </c>
      <c r="B36" s="16" t="inlineStr">
        <is>
          <t>'06.01.</t>
        </is>
      </c>
      <c r="C36" s="164" t="n">
        <v>575</v>
      </c>
      <c r="D36" s="161" t="n">
        <v>175.1</v>
      </c>
      <c r="E36" s="163" t="n">
        <v>53</v>
      </c>
      <c r="F36" s="161" t="n">
        <v>140.9</v>
      </c>
      <c r="G36" s="27" t="n">
        <v>43</v>
      </c>
      <c r="H36" s="164" t="n">
        <v>77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175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가경태암수정</t>
        </is>
      </c>
      <c r="B38" s="16" t="inlineStr">
        <is>
          <t>'97.07.</t>
        </is>
      </c>
      <c r="C38" s="164" t="n">
        <v>450</v>
      </c>
      <c r="D38" s="161" t="n">
        <v>91.2</v>
      </c>
      <c r="E38" s="163" t="n">
        <v>28</v>
      </c>
      <c r="F38" s="161" t="n">
        <v>73.09999999999999</v>
      </c>
      <c r="G38" s="27" t="n">
        <v>22</v>
      </c>
      <c r="H38" s="164" t="n">
        <v>75</v>
      </c>
      <c r="I38" s="165" t="n">
        <v>18500</v>
      </c>
      <c r="J38" s="165" t="inlineStr">
        <is>
          <t>11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n">
        <v>91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가경태암수정</t>
        </is>
      </c>
      <c r="B39" s="16" t="inlineStr">
        <is>
          <t>'97.07.</t>
        </is>
      </c>
      <c r="C39" s="164" t="n">
        <v>450</v>
      </c>
      <c r="D39" s="161" t="n">
        <v>103.2</v>
      </c>
      <c r="E39" s="163" t="n">
        <v>31</v>
      </c>
      <c r="F39" s="161" t="n">
        <v>84.90000000000001</v>
      </c>
      <c r="G39" s="27" t="n">
        <v>26</v>
      </c>
      <c r="H39" s="164" t="n">
        <v>360</v>
      </c>
      <c r="I39" s="165" t="n">
        <v>23000</v>
      </c>
      <c r="J39" s="165" t="inlineStr">
        <is>
          <t>9</t>
        </is>
      </c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103A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가경태암수정</t>
        </is>
      </c>
      <c r="B40" s="16" t="inlineStr">
        <is>
          <t>'97.07.</t>
        </is>
      </c>
      <c r="C40" s="164" t="n">
        <v>450</v>
      </c>
      <c r="D40" s="161" t="n">
        <v>103.2</v>
      </c>
      <c r="E40" s="163" t="n">
        <v>31</v>
      </c>
      <c r="F40" s="161" t="n">
        <v>84.90000000000001</v>
      </c>
      <c r="G40" s="27" t="n">
        <v>26</v>
      </c>
      <c r="H40" s="164" t="n">
        <v>15</v>
      </c>
      <c r="I40" s="165" t="n">
        <v>23000</v>
      </c>
      <c r="J40" s="165" t="inlineStr">
        <is>
          <t>9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103B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동부</t>
        </is>
      </c>
      <c r="B42" s="16" t="inlineStr">
        <is>
          <t>'98.06.</t>
        </is>
      </c>
      <c r="C42" s="164" t="n">
        <v>455</v>
      </c>
      <c r="D42" s="161" t="n">
        <v>93.5</v>
      </c>
      <c r="E42" s="163" t="n">
        <v>28</v>
      </c>
      <c r="F42" s="161" t="n">
        <v>72.59999999999999</v>
      </c>
      <c r="G42" s="27" t="n">
        <v>22</v>
      </c>
      <c r="H42" s="164" t="n">
        <v>227</v>
      </c>
      <c r="I42" s="165" t="n">
        <v>21000</v>
      </c>
      <c r="J42" s="165" t="inlineStr">
        <is>
          <t>5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93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동부</t>
        </is>
      </c>
      <c r="B43" s="16" t="inlineStr">
        <is>
          <t>'98.06.</t>
        </is>
      </c>
      <c r="C43" s="164" t="n">
        <v>455</v>
      </c>
      <c r="D43" s="161" t="n">
        <v>109.7</v>
      </c>
      <c r="E43" s="163" t="n">
        <v>33</v>
      </c>
      <c r="F43" s="161" t="n">
        <v>84.90000000000001</v>
      </c>
      <c r="G43" s="27" t="n">
        <v>26</v>
      </c>
      <c r="H43" s="164" t="n">
        <v>228</v>
      </c>
      <c r="I43" s="165" t="n">
        <v>26500</v>
      </c>
      <c r="J43" s="165" t="inlineStr">
        <is>
          <t>14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109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청주가경뜨란채8단지</t>
        </is>
      </c>
      <c r="B45" s="16" t="inlineStr">
        <is>
          <t>'05.10.</t>
        </is>
      </c>
      <c r="C45" s="164" t="n">
        <v>321</v>
      </c>
      <c r="D45" s="161" t="n">
        <v>109.8</v>
      </c>
      <c r="E45" s="163" t="n">
        <v>33</v>
      </c>
      <c r="F45" s="161" t="n">
        <v>84.90000000000001</v>
      </c>
      <c r="G45" s="27" t="n">
        <v>26</v>
      </c>
      <c r="H45" s="164" t="n">
        <v>321</v>
      </c>
      <c r="I45" s="165" t="n">
        <v>35000</v>
      </c>
      <c r="J45" s="165" t="inlineStr">
        <is>
          <t>10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n">
        <v>109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청주가경아이파크3단지</t>
        </is>
      </c>
      <c r="B47" s="16" t="inlineStr">
        <is>
          <t>'21.05.</t>
        </is>
      </c>
      <c r="C47" s="164" t="n">
        <v>983</v>
      </c>
      <c r="D47" s="161" t="n">
        <v>109.3</v>
      </c>
      <c r="E47" s="163" t="n">
        <v>33</v>
      </c>
      <c r="F47" s="161" t="n">
        <v>84.8</v>
      </c>
      <c r="G47" s="27" t="n">
        <v>26</v>
      </c>
      <c r="H47" s="164" t="n">
        <v>397</v>
      </c>
      <c r="I47" s="165" t="n"/>
      <c r="J47" s="165" t="n"/>
      <c r="K47" s="165" t="n">
        <v>50000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109A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청주가경아이파크3단지</t>
        </is>
      </c>
      <c r="B48" s="16" t="inlineStr">
        <is>
          <t>'21.05.</t>
        </is>
      </c>
      <c r="C48" s="164" t="n">
        <v>983</v>
      </c>
      <c r="D48" s="161" t="n">
        <v>109.8</v>
      </c>
      <c r="E48" s="163" t="n">
        <v>33</v>
      </c>
      <c r="F48" s="161" t="n">
        <v>85</v>
      </c>
      <c r="G48" s="27" t="n">
        <v>26</v>
      </c>
      <c r="H48" s="164" t="n">
        <v>152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109B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청주가경아이파크3단지</t>
        </is>
      </c>
      <c r="B49" s="16" t="inlineStr">
        <is>
          <t>'21.05.</t>
        </is>
      </c>
      <c r="C49" s="164" t="n">
        <v>983</v>
      </c>
      <c r="D49" s="161" t="n">
        <v>110.1</v>
      </c>
      <c r="E49" s="163" t="n">
        <v>33</v>
      </c>
      <c r="F49" s="161" t="n">
        <v>85</v>
      </c>
      <c r="G49" s="27" t="n">
        <v>26</v>
      </c>
      <c r="H49" s="164" t="n">
        <v>86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110C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청주가경아이파크3단지</t>
        </is>
      </c>
      <c r="B50" s="16" t="inlineStr">
        <is>
          <t>'21.05.</t>
        </is>
      </c>
      <c r="C50" s="164" t="n">
        <v>983</v>
      </c>
      <c r="D50" s="161" t="n">
        <v>135.4</v>
      </c>
      <c r="E50" s="163" t="n">
        <v>41</v>
      </c>
      <c r="F50" s="161" t="n">
        <v>105.6</v>
      </c>
      <c r="G50" s="27" t="n">
        <v>32</v>
      </c>
      <c r="H50" s="164" t="n">
        <v>335</v>
      </c>
      <c r="I50" s="165" t="n"/>
      <c r="J50" s="165" t="n"/>
      <c r="K50" s="165" t="n">
        <v>63000</v>
      </c>
      <c r="L50" s="165" t="inlineStr">
        <is>
          <t>27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135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청주가경아이파크3단지</t>
        </is>
      </c>
      <c r="B51" s="16" t="inlineStr">
        <is>
          <t>'21.05.</t>
        </is>
      </c>
      <c r="C51" s="164" t="n">
        <v>983</v>
      </c>
      <c r="D51" s="161" t="n">
        <v>185</v>
      </c>
      <c r="E51" s="163" t="n">
        <v>56</v>
      </c>
      <c r="F51" s="161" t="n">
        <v>144.4</v>
      </c>
      <c r="G51" s="27" t="n">
        <v>44</v>
      </c>
      <c r="H51" s="164" t="n">
        <v>13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3</v>
      </c>
      <c r="S51" s="113" t="inlineStr">
        <is>
          <t>계</t>
        </is>
      </c>
      <c r="T51" s="8" t="n">
        <v>184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청주가경아이파크2단지</t>
        </is>
      </c>
      <c r="B53" s="16" t="inlineStr">
        <is>
          <t>'20.02.</t>
        </is>
      </c>
      <c r="C53" s="164" t="n">
        <v>664</v>
      </c>
      <c r="D53" s="161" t="n">
        <v>97.59999999999999</v>
      </c>
      <c r="E53" s="163" t="n">
        <v>30</v>
      </c>
      <c r="F53" s="161" t="n">
        <v>76</v>
      </c>
      <c r="G53" s="27" t="n">
        <v>23</v>
      </c>
      <c r="H53" s="164" t="n">
        <v>73</v>
      </c>
      <c r="I53" s="165" t="n">
        <v>55000</v>
      </c>
      <c r="J53" s="165" t="inlineStr">
        <is>
          <t>고</t>
        </is>
      </c>
      <c r="K53" s="165" t="n">
        <v>35000</v>
      </c>
      <c r="L53" s="165" t="inlineStr">
        <is>
          <t>20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n">
        <v>97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청주가경아이파크2단지</t>
        </is>
      </c>
      <c r="B54" s="16" t="inlineStr">
        <is>
          <t>'20.02.</t>
        </is>
      </c>
      <c r="C54" s="164" t="n">
        <v>664</v>
      </c>
      <c r="D54" s="161" t="n">
        <v>108</v>
      </c>
      <c r="E54" s="163" t="n">
        <v>33</v>
      </c>
      <c r="F54" s="161" t="n">
        <v>85</v>
      </c>
      <c r="G54" s="27" t="n">
        <v>26</v>
      </c>
      <c r="H54" s="164" t="n">
        <v>346</v>
      </c>
      <c r="I54" s="165" t="n">
        <v>70000</v>
      </c>
      <c r="J54" s="165" t="inlineStr">
        <is>
          <t>6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107A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청주가경아이파크2단지</t>
        </is>
      </c>
      <c r="B55" s="16" t="inlineStr">
        <is>
          <t>'20.02.</t>
        </is>
      </c>
      <c r="C55" s="164" t="n">
        <v>664</v>
      </c>
      <c r="D55" s="161" t="n">
        <v>108.6</v>
      </c>
      <c r="E55" s="163" t="n">
        <v>33</v>
      </c>
      <c r="F55" s="161" t="n">
        <v>85</v>
      </c>
      <c r="G55" s="27" t="n">
        <v>26</v>
      </c>
      <c r="H55" s="164" t="n">
        <v>84</v>
      </c>
      <c r="I55" s="165" t="n">
        <v>67000</v>
      </c>
      <c r="J55" s="165" t="inlineStr">
        <is>
          <t>11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108B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청주가경아이파크2단지</t>
        </is>
      </c>
      <c r="B56" s="16" t="inlineStr">
        <is>
          <t>'20.02.</t>
        </is>
      </c>
      <c r="C56" s="164" t="n">
        <v>664</v>
      </c>
      <c r="D56" s="161" t="n">
        <v>134</v>
      </c>
      <c r="E56" s="163" t="n">
        <v>41</v>
      </c>
      <c r="F56" s="161" t="n">
        <v>105.4</v>
      </c>
      <c r="G56" s="27" t="n">
        <v>32</v>
      </c>
      <c r="H56" s="164" t="n">
        <v>99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133A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청주가경아이파크2단지</t>
        </is>
      </c>
      <c r="B57" s="16" t="inlineStr">
        <is>
          <t>'20.02.</t>
        </is>
      </c>
      <c r="C57" s="164" t="n">
        <v>664</v>
      </c>
      <c r="D57" s="161" t="n">
        <v>134.3</v>
      </c>
      <c r="E57" s="163" t="n">
        <v>41</v>
      </c>
      <c r="F57" s="161" t="n">
        <v>105.6</v>
      </c>
      <c r="G57" s="27" t="n">
        <v>32</v>
      </c>
      <c r="H57" s="164" t="n">
        <v>57</v>
      </c>
      <c r="I57" s="165" t="n">
        <v>95000</v>
      </c>
      <c r="J57" s="165" t="inlineStr">
        <is>
          <t>고</t>
        </is>
      </c>
      <c r="K57" s="165" t="n">
        <v>53000</v>
      </c>
      <c r="L57" s="165" t="inlineStr">
        <is>
          <t>14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134B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청주가경아이파크2단지</t>
        </is>
      </c>
      <c r="B58" s="16" t="inlineStr">
        <is>
          <t>'20.02.</t>
        </is>
      </c>
      <c r="C58" s="164" t="n">
        <v>664</v>
      </c>
      <c r="D58" s="161" t="n">
        <v>154.1</v>
      </c>
      <c r="E58" s="163" t="n">
        <v>47</v>
      </c>
      <c r="F58" s="161" t="n">
        <v>119.8</v>
      </c>
      <c r="G58" s="27" t="n">
        <v>36</v>
      </c>
      <c r="H58" s="164" t="n">
        <v>5</v>
      </c>
      <c r="I58" s="165" t="n">
        <v>125000</v>
      </c>
      <c r="J58" s="165" t="inlineStr">
        <is>
          <t>27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3</v>
      </c>
      <c r="S58" s="113" t="inlineStr">
        <is>
          <t>계</t>
        </is>
      </c>
      <c r="T58" s="8" t="n">
        <v>154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1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2" t="n"/>
      <c r="P59" s="162" t="n"/>
      <c r="Q59" s="163" t="n"/>
      <c r="R59" s="163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0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청주가경뜨란채7단지</t>
        </is>
      </c>
      <c r="B60" s="16" t="inlineStr">
        <is>
          <t>'05.09.</t>
        </is>
      </c>
      <c r="C60" s="164" t="n">
        <v>370</v>
      </c>
      <c r="D60" s="161" t="n">
        <v>98</v>
      </c>
      <c r="E60" s="163" t="n">
        <v>30</v>
      </c>
      <c r="F60" s="161" t="n">
        <v>75.2</v>
      </c>
      <c r="G60" s="27" t="n">
        <v>23</v>
      </c>
      <c r="H60" s="164" t="n">
        <v>30</v>
      </c>
      <c r="I60" s="165" t="n">
        <v>31500</v>
      </c>
      <c r="J60" s="165" t="inlineStr">
        <is>
          <t>중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97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청주가경뜨란채7단지</t>
        </is>
      </c>
      <c r="B61" s="16" t="inlineStr">
        <is>
          <t>'05.09.</t>
        </is>
      </c>
      <c r="C61" s="164" t="n">
        <v>370</v>
      </c>
      <c r="D61" s="161" t="n">
        <v>110.6</v>
      </c>
      <c r="E61" s="163" t="n">
        <v>33</v>
      </c>
      <c r="F61" s="161" t="n">
        <v>84.90000000000001</v>
      </c>
      <c r="G61" s="27" t="n">
        <v>26</v>
      </c>
      <c r="H61" s="164" t="n">
        <v>340</v>
      </c>
      <c r="I61" s="165" t="n">
        <v>33500</v>
      </c>
      <c r="J61" s="165" t="inlineStr">
        <is>
          <t>7</t>
        </is>
      </c>
      <c r="K61" s="165" t="n">
        <v>31000</v>
      </c>
      <c r="L61" s="165" t="inlineStr">
        <is>
          <t>12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110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1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2" t="n"/>
      <c r="P62" s="162" t="n"/>
      <c r="Q62" s="163" t="n"/>
      <c r="R62" s="163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0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가경아이파크5단지</t>
        </is>
      </c>
      <c r="B63" s="16" t="inlineStr">
        <is>
          <t>'23.02.</t>
        </is>
      </c>
      <c r="C63" s="164" t="n">
        <v>925</v>
      </c>
      <c r="D63" s="161" t="n">
        <v>109.4</v>
      </c>
      <c r="E63" s="163" t="n">
        <v>33</v>
      </c>
      <c r="F63" s="161" t="n">
        <v>84.90000000000001</v>
      </c>
      <c r="G63" s="27" t="n">
        <v>26</v>
      </c>
      <c r="H63" s="164" t="n">
        <v>206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109B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가경아이파크5단지</t>
        </is>
      </c>
      <c r="B64" s="16" t="inlineStr">
        <is>
          <t>'23.02.</t>
        </is>
      </c>
      <c r="C64" s="164" t="n">
        <v>925</v>
      </c>
      <c r="D64" s="161" t="n">
        <v>109.3</v>
      </c>
      <c r="E64" s="163" t="n">
        <v>33</v>
      </c>
      <c r="F64" s="161" t="n">
        <v>84.8</v>
      </c>
      <c r="G64" s="27" t="n">
        <v>26</v>
      </c>
      <c r="H64" s="164" t="n">
        <v>199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109A1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가경아이파크5단지</t>
        </is>
      </c>
      <c r="B65" s="16" t="inlineStr">
        <is>
          <t>'23.02.</t>
        </is>
      </c>
      <c r="C65" s="164" t="n">
        <v>925</v>
      </c>
      <c r="D65" s="161" t="n">
        <v>109.1</v>
      </c>
      <c r="E65" s="163" t="n">
        <v>33</v>
      </c>
      <c r="F65" s="161" t="n">
        <v>84.90000000000001</v>
      </c>
      <c r="G65" s="27" t="n">
        <v>26</v>
      </c>
      <c r="H65" s="164" t="n">
        <v>177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109A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가경아이파크5단지</t>
        </is>
      </c>
      <c r="B66" s="16" t="inlineStr">
        <is>
          <t>'23.02.</t>
        </is>
      </c>
      <c r="C66" s="164" t="n">
        <v>925</v>
      </c>
      <c r="D66" s="161" t="n">
        <v>130.4</v>
      </c>
      <c r="E66" s="163" t="n">
        <v>39</v>
      </c>
      <c r="F66" s="161" t="n">
        <v>101.6</v>
      </c>
      <c r="G66" s="27" t="n">
        <v>31</v>
      </c>
      <c r="H66" s="164" t="n">
        <v>237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130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가경아이파크5단지</t>
        </is>
      </c>
      <c r="B67" s="16" t="inlineStr">
        <is>
          <t>'23.02.</t>
        </is>
      </c>
      <c r="C67" s="164" t="n">
        <v>925</v>
      </c>
      <c r="D67" s="161" t="n">
        <v>148.9</v>
      </c>
      <c r="E67" s="163" t="n">
        <v>45</v>
      </c>
      <c r="F67" s="161" t="n">
        <v>117</v>
      </c>
      <c r="G67" s="27" t="n">
        <v>35</v>
      </c>
      <c r="H67" s="164" t="n">
        <v>106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148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n"/>
      <c r="B68" s="113" t="n"/>
      <c r="C68" s="10" t="n"/>
      <c r="D68" s="13" t="n"/>
      <c r="E68" s="20" t="n"/>
      <c r="F68" s="161" t="n"/>
      <c r="G68" s="13" t="n"/>
      <c r="H68" s="13" t="n"/>
      <c r="I68" s="13" t="n"/>
      <c r="J68" s="13" t="n"/>
      <c r="K68" s="13" t="n"/>
      <c r="L68" s="13" t="n"/>
      <c r="M68" s="13" t="n"/>
      <c r="N68" s="13" t="n"/>
      <c r="O68" s="162" t="n"/>
      <c r="P68" s="162" t="n"/>
      <c r="Q68" s="163" t="n"/>
      <c r="R68" s="163" t="n"/>
      <c r="S68" s="13" t="n"/>
      <c r="T68" s="70" t="n"/>
      <c r="U68" s="13" t="n"/>
      <c r="W68" s="107">
        <f>$A$4&amp;" "&amp;A69&amp;"("&amp;B69&amp;","&amp;C69&amp;"^)"</f>
        <v/>
      </c>
      <c r="X68" s="108" t="n"/>
      <c r="Y68" s="108" t="n"/>
      <c r="Z68" s="108" t="n"/>
      <c r="AA68" s="108" t="n"/>
      <c r="AB68" s="108" t="n"/>
      <c r="AC68" s="108" t="n"/>
      <c r="AD68" s="108" t="n"/>
      <c r="AE68" s="108" t="n"/>
      <c r="AF68" s="109" t="n"/>
      <c r="AH68" s="36">
        <f>IF(A68="","",A68)</f>
        <v/>
      </c>
      <c r="AI68" s="160">
        <f>IF(E68="","",E68)</f>
        <v/>
      </c>
      <c r="AJ68" s="113" t="n"/>
      <c r="AK68" s="113" t="n"/>
      <c r="AL68" s="113" t="n"/>
      <c r="AM68" s="113" t="n"/>
      <c r="AN68" s="113" t="n"/>
      <c r="AO68" s="113" t="n"/>
      <c r="AP68" s="113" t="n"/>
      <c r="AQ68" s="113" t="n"/>
      <c r="AR68" s="113" t="n"/>
      <c r="AS68" s="113" t="n"/>
      <c r="AT68" s="113" t="n"/>
      <c r="AU68" s="113" t="n"/>
      <c r="AV68" s="113" t="n"/>
    </row>
    <row r="69">
      <c r="A69" s="13" t="inlineStr">
        <is>
          <t>대림가경</t>
        </is>
      </c>
      <c r="B69" s="16" t="inlineStr">
        <is>
          <t>'93.01.</t>
        </is>
      </c>
      <c r="C69" s="164" t="n">
        <v>386</v>
      </c>
      <c r="D69" s="161" t="n">
        <v>80.5</v>
      </c>
      <c r="E69" s="163" t="n">
        <v>24</v>
      </c>
      <c r="F69" s="161" t="n">
        <v>64.7</v>
      </c>
      <c r="G69" s="27" t="n">
        <v>20</v>
      </c>
      <c r="H69" s="164" t="n">
        <v>60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1</v>
      </c>
      <c r="S69" s="113" t="inlineStr">
        <is>
          <t>계</t>
        </is>
      </c>
      <c r="T69" s="8" t="n">
        <v>80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대림가경</t>
        </is>
      </c>
      <c r="B70" s="16" t="inlineStr">
        <is>
          <t>'93.01.</t>
        </is>
      </c>
      <c r="C70" s="164" t="n">
        <v>386</v>
      </c>
      <c r="D70" s="161" t="n">
        <v>106.2</v>
      </c>
      <c r="E70" s="163" t="n">
        <v>32</v>
      </c>
      <c r="F70" s="161" t="n">
        <v>84.8</v>
      </c>
      <c r="G70" s="27" t="n">
        <v>26</v>
      </c>
      <c r="H70" s="164" t="n">
        <v>84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n">
        <v>106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대림가경</t>
        </is>
      </c>
      <c r="B71" s="16" t="inlineStr">
        <is>
          <t>'93.01.</t>
        </is>
      </c>
      <c r="C71" s="164" t="n">
        <v>386</v>
      </c>
      <c r="D71" s="161" t="n">
        <v>122</v>
      </c>
      <c r="E71" s="163" t="n">
        <v>37</v>
      </c>
      <c r="F71" s="161" t="n">
        <v>101.8</v>
      </c>
      <c r="G71" s="27" t="n">
        <v>31</v>
      </c>
      <c r="H71" s="164" t="n">
        <v>242</v>
      </c>
      <c r="I71" s="165" t="n">
        <v>24000</v>
      </c>
      <c r="J71" s="165" t="inlineStr">
        <is>
          <t>6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n">
        <v>122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청주가경아이파크</t>
        </is>
      </c>
      <c r="B73" s="16" t="inlineStr">
        <is>
          <t>'19.04.</t>
        </is>
      </c>
      <c r="C73" s="164" t="n">
        <v>905</v>
      </c>
      <c r="D73" s="161" t="n">
        <v>79.3</v>
      </c>
      <c r="E73" s="163" t="n">
        <v>24</v>
      </c>
      <c r="F73" s="161" t="n">
        <v>59.8</v>
      </c>
      <c r="G73" s="27" t="n">
        <v>18</v>
      </c>
      <c r="H73" s="164" t="n">
        <v>240</v>
      </c>
      <c r="I73" s="165" t="n">
        <v>47500</v>
      </c>
      <c r="J73" s="165" t="inlineStr">
        <is>
          <t>13</t>
        </is>
      </c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n">
        <v>79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청주가경아이파크</t>
        </is>
      </c>
      <c r="B74" s="16" t="inlineStr">
        <is>
          <t>'19.04.</t>
        </is>
      </c>
      <c r="C74" s="164" t="n">
        <v>905</v>
      </c>
      <c r="D74" s="161" t="n">
        <v>95.7</v>
      </c>
      <c r="E74" s="163" t="n">
        <v>29</v>
      </c>
      <c r="F74" s="161" t="n">
        <v>72.5</v>
      </c>
      <c r="G74" s="27" t="n">
        <v>22</v>
      </c>
      <c r="H74" s="164" t="n">
        <v>152</v>
      </c>
      <c r="I74" s="165" t="n">
        <v>57000</v>
      </c>
      <c r="J74" s="165" t="inlineStr">
        <is>
          <t>16</t>
        </is>
      </c>
      <c r="K74" s="165" t="n">
        <v>42000</v>
      </c>
      <c r="L74" s="165" t="inlineStr">
        <is>
          <t>11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95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청주가경아이파크</t>
        </is>
      </c>
      <c r="B75" s="16" t="inlineStr">
        <is>
          <t>'19.04.</t>
        </is>
      </c>
      <c r="C75" s="164" t="n">
        <v>905</v>
      </c>
      <c r="D75" s="161" t="n">
        <v>110.3</v>
      </c>
      <c r="E75" s="163" t="n">
        <v>33</v>
      </c>
      <c r="F75" s="161" t="n">
        <v>84.7</v>
      </c>
      <c r="G75" s="27" t="n">
        <v>26</v>
      </c>
      <c r="H75" s="164" t="n">
        <v>413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4</v>
      </c>
      <c r="R75" s="113" t="n">
        <v>2</v>
      </c>
      <c r="S75" s="113" t="inlineStr">
        <is>
          <t>계</t>
        </is>
      </c>
      <c r="T75" s="8" t="n">
        <v>110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청주가경아이파크</t>
        </is>
      </c>
      <c r="B76" s="16" t="inlineStr">
        <is>
          <t>'19.04.</t>
        </is>
      </c>
      <c r="C76" s="164" t="n">
        <v>905</v>
      </c>
      <c r="D76" s="161" t="n">
        <v>128.3</v>
      </c>
      <c r="E76" s="163" t="n">
        <v>39</v>
      </c>
      <c r="F76" s="161" t="n">
        <v>98.8</v>
      </c>
      <c r="G76" s="27" t="n">
        <v>30</v>
      </c>
      <c r="H76" s="164" t="n">
        <v>47</v>
      </c>
      <c r="I76" s="165" t="n">
        <v>83000</v>
      </c>
      <c r="J76" s="165" t="inlineStr">
        <is>
          <t>중</t>
        </is>
      </c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128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청주가경아이파크</t>
        </is>
      </c>
      <c r="B77" s="16" t="inlineStr">
        <is>
          <t>'19.04.</t>
        </is>
      </c>
      <c r="C77" s="164" t="n">
        <v>905</v>
      </c>
      <c r="D77" s="161" t="n">
        <v>145</v>
      </c>
      <c r="E77" s="163" t="n">
        <v>44</v>
      </c>
      <c r="F77" s="161" t="n">
        <v>112.5</v>
      </c>
      <c r="G77" s="27" t="n">
        <v>34</v>
      </c>
      <c r="H77" s="164" t="n">
        <v>39</v>
      </c>
      <c r="I77" s="165" t="n">
        <v>86500</v>
      </c>
      <c r="J77" s="165" t="inlineStr">
        <is>
          <t>9</t>
        </is>
      </c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inlineStr">
        <is>
          <t>145A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청주가경아이파크</t>
        </is>
      </c>
      <c r="B78" s="16" t="inlineStr">
        <is>
          <t>'19.04.</t>
        </is>
      </c>
      <c r="C78" s="164" t="n">
        <v>905</v>
      </c>
      <c r="D78" s="161" t="n">
        <v>145.8</v>
      </c>
      <c r="E78" s="163" t="n">
        <v>44</v>
      </c>
      <c r="F78" s="161" t="n">
        <v>112</v>
      </c>
      <c r="G78" s="27" t="n">
        <v>34</v>
      </c>
      <c r="H78" s="164" t="n">
        <v>2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5</v>
      </c>
      <c r="R78" s="113" t="n">
        <v>3</v>
      </c>
      <c r="S78" s="113" t="inlineStr">
        <is>
          <t>계</t>
        </is>
      </c>
      <c r="T78" s="8" t="inlineStr">
        <is>
          <t>145B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청주가경아이파크</t>
        </is>
      </c>
      <c r="B79" s="16" t="inlineStr">
        <is>
          <t>'19.04.</t>
        </is>
      </c>
      <c r="C79" s="164" t="n">
        <v>905</v>
      </c>
      <c r="D79" s="161" t="n">
        <v>149</v>
      </c>
      <c r="E79" s="163" t="n">
        <v>45</v>
      </c>
      <c r="F79" s="161" t="n">
        <v>114.5</v>
      </c>
      <c r="G79" s="27" t="n">
        <v>35</v>
      </c>
      <c r="H79" s="164" t="n">
        <v>12</v>
      </c>
      <c r="I79" s="165" t="n">
        <v>97600</v>
      </c>
      <c r="J79" s="165" t="inlineStr">
        <is>
          <t>고</t>
        </is>
      </c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5</v>
      </c>
      <c r="R79" s="113" t="n">
        <v>3</v>
      </c>
      <c r="S79" s="113" t="inlineStr">
        <is>
          <t>계</t>
        </is>
      </c>
      <c r="T79" s="8" t="n">
        <v>149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n"/>
      <c r="B80" s="113" t="n"/>
      <c r="C80" s="10" t="n"/>
      <c r="D80" s="13" t="n"/>
      <c r="E80" s="20" t="n"/>
      <c r="F80" s="161" t="n"/>
      <c r="G80" s="13" t="n"/>
      <c r="H80" s="13" t="n"/>
      <c r="I80" s="13" t="n"/>
      <c r="J80" s="13" t="n"/>
      <c r="K80" s="13" t="n"/>
      <c r="L80" s="13" t="n"/>
      <c r="M80" s="13" t="n"/>
      <c r="N80" s="13" t="n"/>
      <c r="O80" s="162" t="n"/>
      <c r="P80" s="162" t="n"/>
      <c r="Q80" s="163" t="n"/>
      <c r="R80" s="163" t="n"/>
      <c r="S80" s="13" t="n"/>
      <c r="T80" s="70" t="n"/>
      <c r="U80" s="13" t="n"/>
      <c r="W80" s="107">
        <f>$A$4&amp;" "&amp;A81&amp;"("&amp;B81&amp;","&amp;C81&amp;"^)"</f>
        <v/>
      </c>
      <c r="X80" s="108" t="n"/>
      <c r="Y80" s="108" t="n"/>
      <c r="Z80" s="108" t="n"/>
      <c r="AA80" s="108" t="n"/>
      <c r="AB80" s="108" t="n"/>
      <c r="AC80" s="108" t="n"/>
      <c r="AD80" s="108" t="n"/>
      <c r="AE80" s="108" t="n"/>
      <c r="AF80" s="109" t="n"/>
      <c r="AH80" s="36">
        <f>IF(A80="","",A80)</f>
        <v/>
      </c>
      <c r="AI80" s="160">
        <f>IF(E80="","",E80)</f>
        <v/>
      </c>
      <c r="AJ80" s="113" t="n"/>
      <c r="AK80" s="113" t="n"/>
      <c r="AL80" s="113" t="n"/>
      <c r="AM80" s="113" t="n"/>
      <c r="AN80" s="113" t="n"/>
      <c r="AO80" s="113" t="n"/>
      <c r="AP80" s="113" t="n"/>
      <c r="AQ80" s="113" t="n"/>
      <c r="AR80" s="113" t="n"/>
      <c r="AS80" s="113" t="n"/>
      <c r="AT80" s="113" t="n"/>
      <c r="AU80" s="113" t="n"/>
      <c r="AV80" s="113" t="n"/>
    </row>
    <row r="81">
      <c r="A81" s="13" t="inlineStr">
        <is>
          <t>가경형석2차</t>
        </is>
      </c>
      <c r="B81" s="16" t="inlineStr">
        <is>
          <t>'93.11.</t>
        </is>
      </c>
      <c r="C81" s="164" t="n">
        <v>370</v>
      </c>
      <c r="D81" s="161" t="n">
        <v>77.5</v>
      </c>
      <c r="E81" s="163" t="n">
        <v>23</v>
      </c>
      <c r="F81" s="161" t="n">
        <v>62.1</v>
      </c>
      <c r="G81" s="27" t="n">
        <v>19</v>
      </c>
      <c r="H81" s="164" t="n">
        <v>78</v>
      </c>
      <c r="I81" s="165" t="n">
        <v>17800</v>
      </c>
      <c r="J81" s="165" t="inlineStr">
        <is>
          <t>12</t>
        </is>
      </c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계</t>
        </is>
      </c>
      <c r="T81" s="8" t="n">
        <v>77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가경형석2차</t>
        </is>
      </c>
      <c r="B82" s="16" t="inlineStr">
        <is>
          <t>'93.11.</t>
        </is>
      </c>
      <c r="C82" s="164" t="n">
        <v>370</v>
      </c>
      <c r="D82" s="161" t="n">
        <v>102.2</v>
      </c>
      <c r="E82" s="163" t="n">
        <v>31</v>
      </c>
      <c r="F82" s="161" t="n">
        <v>83.3</v>
      </c>
      <c r="G82" s="27" t="n">
        <v>25</v>
      </c>
      <c r="H82" s="164" t="n">
        <v>292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102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세원가경골</t>
        </is>
      </c>
      <c r="B84" s="16" t="inlineStr">
        <is>
          <t>'97.08.</t>
        </is>
      </c>
      <c r="C84" s="164" t="n">
        <v>952</v>
      </c>
      <c r="D84" s="161" t="n">
        <v>61.6</v>
      </c>
      <c r="E84" s="163" t="n">
        <v>19</v>
      </c>
      <c r="F84" s="161" t="n">
        <v>41.9</v>
      </c>
      <c r="G84" s="27" t="n">
        <v>13</v>
      </c>
      <c r="H84" s="164" t="n">
        <v>126</v>
      </c>
      <c r="I84" s="165" t="n">
        <v>13500</v>
      </c>
      <c r="J84" s="165" t="inlineStr">
        <is>
          <t>12</t>
        </is>
      </c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2</v>
      </c>
      <c r="R84" s="113" t="n">
        <v>1</v>
      </c>
      <c r="S84" s="113" t="inlineStr">
        <is>
          <t>복</t>
        </is>
      </c>
      <c r="T84" s="8" t="n">
        <v>61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세원가경골</t>
        </is>
      </c>
      <c r="B85" s="16" t="inlineStr">
        <is>
          <t>'97.08.</t>
        </is>
      </c>
      <c r="C85" s="164" t="n">
        <v>952</v>
      </c>
      <c r="D85" s="161" t="n">
        <v>75.59999999999999</v>
      </c>
      <c r="E85" s="163" t="n">
        <v>23</v>
      </c>
      <c r="F85" s="161" t="n">
        <v>59.8</v>
      </c>
      <c r="G85" s="27" t="n">
        <v>18</v>
      </c>
      <c r="H85" s="164" t="n">
        <v>826</v>
      </c>
      <c r="I85" s="165" t="n">
        <v>18500</v>
      </c>
      <c r="J85" s="165" t="inlineStr">
        <is>
          <t>8</t>
        </is>
      </c>
      <c r="K85" s="165" t="n">
        <v>17500</v>
      </c>
      <c r="L85" s="165" t="inlineStr">
        <is>
          <t>12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1</v>
      </c>
      <c r="S85" s="113" t="inlineStr">
        <is>
          <t>계</t>
        </is>
      </c>
      <c r="T85" s="8" t="n">
        <v>75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n"/>
      <c r="B86" s="113" t="n"/>
      <c r="C86" s="10" t="n"/>
      <c r="D86" s="13" t="n"/>
      <c r="E86" s="20" t="n"/>
      <c r="F86" s="161" t="n"/>
      <c r="G86" s="13" t="n"/>
      <c r="H86" s="13" t="n"/>
      <c r="I86" s="13" t="n"/>
      <c r="J86" s="13" t="n"/>
      <c r="K86" s="13" t="n"/>
      <c r="L86" s="13" t="n"/>
      <c r="M86" s="13" t="n"/>
      <c r="N86" s="13" t="n"/>
      <c r="O86" s="162" t="n"/>
      <c r="P86" s="162" t="n"/>
      <c r="Q86" s="163" t="n"/>
      <c r="R86" s="163" t="n"/>
      <c r="S86" s="13" t="n"/>
      <c r="T86" s="70" t="n"/>
      <c r="U86" s="13" t="n"/>
      <c r="W86" s="107">
        <f>$A$4&amp;" "&amp;A87&amp;"("&amp;B87&amp;","&amp;C87&amp;"^)"</f>
        <v/>
      </c>
      <c r="X86" s="108" t="n"/>
      <c r="Y86" s="108" t="n"/>
      <c r="Z86" s="108" t="n"/>
      <c r="AA86" s="108" t="n"/>
      <c r="AB86" s="108" t="n"/>
      <c r="AC86" s="108" t="n"/>
      <c r="AD86" s="108" t="n"/>
      <c r="AE86" s="108" t="n"/>
      <c r="AF86" s="109" t="n"/>
      <c r="AH86" s="36">
        <f>IF(A86="","",A86)</f>
        <v/>
      </c>
      <c r="AI86" s="160">
        <f>IF(E86="","",E86)</f>
        <v/>
      </c>
      <c r="AJ86" s="113" t="n"/>
      <c r="AK86" s="113" t="n"/>
      <c r="AL86" s="113" t="n"/>
      <c r="AM86" s="113" t="n"/>
      <c r="AN86" s="113" t="n"/>
      <c r="AO86" s="113" t="n"/>
      <c r="AP86" s="113" t="n"/>
      <c r="AQ86" s="113" t="n"/>
      <c r="AR86" s="113" t="n"/>
      <c r="AS86" s="113" t="n"/>
      <c r="AT86" s="113" t="n"/>
      <c r="AU86" s="113" t="n"/>
      <c r="AV86" s="113" t="n"/>
    </row>
    <row r="87">
      <c r="A87" s="13" t="inlineStr">
        <is>
          <t>형석1차</t>
        </is>
      </c>
      <c r="B87" s="16" t="inlineStr">
        <is>
          <t>'92.12.</t>
        </is>
      </c>
      <c r="C87" s="164" t="n">
        <v>600</v>
      </c>
      <c r="D87" s="161" t="n">
        <v>80.59999999999999</v>
      </c>
      <c r="E87" s="163" t="n">
        <v>24</v>
      </c>
      <c r="F87" s="161" t="n">
        <v>59.3</v>
      </c>
      <c r="G87" s="27" t="n">
        <v>18</v>
      </c>
      <c r="H87" s="164" t="n">
        <v>300</v>
      </c>
      <c r="I87" s="165" t="n">
        <v>15000</v>
      </c>
      <c r="J87" s="165" t="inlineStr">
        <is>
          <t>13</t>
        </is>
      </c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n">
        <v>80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형석1차</t>
        </is>
      </c>
      <c r="B88" s="16" t="inlineStr">
        <is>
          <t>'92.12.</t>
        </is>
      </c>
      <c r="C88" s="164" t="n">
        <v>600</v>
      </c>
      <c r="D88" s="161" t="n">
        <v>87.8</v>
      </c>
      <c r="E88" s="163" t="n">
        <v>27</v>
      </c>
      <c r="F88" s="161" t="n">
        <v>72.59999999999999</v>
      </c>
      <c r="G88" s="27" t="n">
        <v>22</v>
      </c>
      <c r="H88" s="164" t="n">
        <v>300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1</v>
      </c>
      <c r="S88" s="113" t="inlineStr">
        <is>
          <t>계</t>
        </is>
      </c>
      <c r="T88" s="8" t="n">
        <v>87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벽산</t>
        </is>
      </c>
      <c r="B90" s="16" t="inlineStr">
        <is>
          <t>'92.12.</t>
        </is>
      </c>
      <c r="C90" s="164" t="n">
        <v>380</v>
      </c>
      <c r="D90" s="161" t="n">
        <v>114.2</v>
      </c>
      <c r="E90" s="163" t="n">
        <v>35</v>
      </c>
      <c r="F90" s="161" t="n">
        <v>95.59999999999999</v>
      </c>
      <c r="G90" s="27" t="n">
        <v>29</v>
      </c>
      <c r="H90" s="164" t="n">
        <v>240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n">
        <v>114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벽산</t>
        </is>
      </c>
      <c r="B91" s="16" t="inlineStr">
        <is>
          <t>'92.12.</t>
        </is>
      </c>
      <c r="C91" s="164" t="n">
        <v>380</v>
      </c>
      <c r="D91" s="161" t="n">
        <v>145.5</v>
      </c>
      <c r="E91" s="163" t="n">
        <v>44</v>
      </c>
      <c r="F91" s="161" t="n">
        <v>124.7</v>
      </c>
      <c r="G91" s="27" t="n">
        <v>38</v>
      </c>
      <c r="H91" s="164" t="n">
        <v>140</v>
      </c>
      <c r="I91" s="165" t="n">
        <v>30000</v>
      </c>
      <c r="J91" s="165" t="inlineStr">
        <is>
          <t>11</t>
        </is>
      </c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4</v>
      </c>
      <c r="R91" s="113" t="n">
        <v>2</v>
      </c>
      <c r="S91" s="113" t="inlineStr">
        <is>
          <t>계</t>
        </is>
      </c>
      <c r="T91" s="8" t="n">
        <v>145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n"/>
      <c r="B92" s="113" t="n"/>
      <c r="C92" s="10" t="n"/>
      <c r="D92" s="13" t="n"/>
      <c r="E92" s="20" t="n"/>
      <c r="F92" s="161" t="n"/>
      <c r="G92" s="13" t="n"/>
      <c r="H92" s="13" t="n"/>
      <c r="I92" s="13" t="n"/>
      <c r="J92" s="13" t="n"/>
      <c r="K92" s="13" t="n"/>
      <c r="L92" s="13" t="n"/>
      <c r="M92" s="13" t="n"/>
      <c r="N92" s="13" t="n"/>
      <c r="O92" s="162" t="n"/>
      <c r="P92" s="162" t="n"/>
      <c r="Q92" s="163" t="n"/>
      <c r="R92" s="163" t="n"/>
      <c r="S92" s="13" t="n"/>
      <c r="T92" s="70" t="n"/>
      <c r="U92" s="13" t="n"/>
      <c r="W92" s="107">
        <f>$A$4&amp;" "&amp;A93&amp;"("&amp;B93&amp;","&amp;C93&amp;"^)"</f>
        <v/>
      </c>
      <c r="X92" s="108" t="n"/>
      <c r="Y92" s="108" t="n"/>
      <c r="Z92" s="108" t="n"/>
      <c r="AA92" s="108" t="n"/>
      <c r="AB92" s="108" t="n"/>
      <c r="AC92" s="108" t="n"/>
      <c r="AD92" s="108" t="n"/>
      <c r="AE92" s="108" t="n"/>
      <c r="AF92" s="109" t="n"/>
      <c r="AH92" s="36">
        <f>IF(A92="","",A92)</f>
        <v/>
      </c>
      <c r="AI92" s="160">
        <f>IF(E92="","",E92)</f>
        <v/>
      </c>
      <c r="AJ92" s="113" t="n"/>
      <c r="AK92" s="113" t="n"/>
      <c r="AL92" s="113" t="n"/>
      <c r="AM92" s="113" t="n"/>
      <c r="AN92" s="113" t="n"/>
      <c r="AO92" s="113" t="n"/>
      <c r="AP92" s="113" t="n"/>
      <c r="AQ92" s="113" t="n"/>
      <c r="AR92" s="113" t="n"/>
      <c r="AS92" s="113" t="n"/>
      <c r="AT92" s="113" t="n"/>
      <c r="AU92" s="113" t="n"/>
      <c r="AV92" s="113" t="n"/>
    </row>
    <row r="93">
      <c r="A93" s="13" t="inlineStr">
        <is>
          <t>삼일원앙</t>
        </is>
      </c>
      <c r="B93" s="16" t="inlineStr">
        <is>
          <t>'97.06.</t>
        </is>
      </c>
      <c r="C93" s="164" t="n">
        <v>520</v>
      </c>
      <c r="D93" s="161" t="n">
        <v>74.8</v>
      </c>
      <c r="E93" s="163" t="n">
        <v>23</v>
      </c>
      <c r="F93" s="161" t="n">
        <v>59.9</v>
      </c>
      <c r="G93" s="27" t="n">
        <v>18</v>
      </c>
      <c r="H93" s="164" t="n">
        <v>400</v>
      </c>
      <c r="I93" s="165" t="n">
        <v>16700</v>
      </c>
      <c r="J93" s="165" t="inlineStr">
        <is>
          <t>11</t>
        </is>
      </c>
      <c r="K93" s="165" t="n">
        <v>17500</v>
      </c>
      <c r="L93" s="165" t="inlineStr">
        <is>
          <t>10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1</v>
      </c>
      <c r="S93" s="113" t="inlineStr">
        <is>
          <t>계</t>
        </is>
      </c>
      <c r="T93" s="8" t="inlineStr">
        <is>
          <t>74B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삼일원앙</t>
        </is>
      </c>
      <c r="B94" s="16" t="inlineStr">
        <is>
          <t>'97.06.</t>
        </is>
      </c>
      <c r="C94" s="164" t="n">
        <v>520</v>
      </c>
      <c r="D94" s="161" t="n">
        <v>74.90000000000001</v>
      </c>
      <c r="E94" s="163" t="n">
        <v>23</v>
      </c>
      <c r="F94" s="161" t="n">
        <v>59.9</v>
      </c>
      <c r="G94" s="27" t="n">
        <v>18</v>
      </c>
      <c r="H94" s="164" t="n">
        <v>120</v>
      </c>
      <c r="I94" s="165" t="n">
        <v>18000</v>
      </c>
      <c r="J94" s="165" t="inlineStr">
        <is>
          <t>7</t>
        </is>
      </c>
      <c r="K94" s="165" t="n">
        <v>17000</v>
      </c>
      <c r="L94" s="165" t="inlineStr">
        <is>
          <t>15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2</v>
      </c>
      <c r="R94" s="113" t="n">
        <v>2</v>
      </c>
      <c r="S94" s="113" t="inlineStr">
        <is>
          <t>계</t>
        </is>
      </c>
      <c r="T94" s="8" t="inlineStr">
        <is>
          <t>74A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가경신라</t>
        </is>
      </c>
      <c r="B96" s="16" t="inlineStr">
        <is>
          <t>'93.05.</t>
        </is>
      </c>
      <c r="C96" s="164" t="n">
        <v>324</v>
      </c>
      <c r="D96" s="161" t="n">
        <v>83</v>
      </c>
      <c r="E96" s="163" t="n">
        <v>25</v>
      </c>
      <c r="F96" s="161" t="n">
        <v>64.90000000000001</v>
      </c>
      <c r="G96" s="27" t="n">
        <v>20</v>
      </c>
      <c r="H96" s="164" t="n">
        <v>48</v>
      </c>
      <c r="I96" s="165" t="n">
        <v>19000</v>
      </c>
      <c r="J96" s="165" t="inlineStr">
        <is>
          <t>12</t>
        </is>
      </c>
      <c r="K96" s="165" t="n">
        <v>15000</v>
      </c>
      <c r="L96" s="165" t="inlineStr">
        <is>
          <t>12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2</v>
      </c>
      <c r="R96" s="113" t="n">
        <v>1</v>
      </c>
      <c r="S96" s="113" t="inlineStr">
        <is>
          <t>계</t>
        </is>
      </c>
      <c r="T96" s="8" t="n">
        <v>82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가경신라</t>
        </is>
      </c>
      <c r="B97" s="16" t="inlineStr">
        <is>
          <t>'93.05.</t>
        </is>
      </c>
      <c r="C97" s="164" t="n">
        <v>324</v>
      </c>
      <c r="D97" s="161" t="n">
        <v>86.7</v>
      </c>
      <c r="E97" s="163" t="n">
        <v>26</v>
      </c>
      <c r="F97" s="161" t="n">
        <v>68.40000000000001</v>
      </c>
      <c r="G97" s="27" t="n">
        <v>21</v>
      </c>
      <c r="H97" s="164" t="n">
        <v>60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2</v>
      </c>
      <c r="R97" s="113" t="n">
        <v>1</v>
      </c>
      <c r="S97" s="113" t="inlineStr">
        <is>
          <t>계</t>
        </is>
      </c>
      <c r="T97" s="8" t="inlineStr">
        <is>
          <t>86B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가경신라</t>
        </is>
      </c>
      <c r="B98" s="16" t="inlineStr">
        <is>
          <t>'93.05.</t>
        </is>
      </c>
      <c r="C98" s="164" t="n">
        <v>324</v>
      </c>
      <c r="D98" s="161" t="n">
        <v>103.6</v>
      </c>
      <c r="E98" s="163" t="n">
        <v>31</v>
      </c>
      <c r="F98" s="161" t="n">
        <v>85</v>
      </c>
      <c r="G98" s="27" t="n">
        <v>26</v>
      </c>
      <c r="H98" s="164" t="n">
        <v>120</v>
      </c>
      <c r="I98" s="165" t="n">
        <v>22000</v>
      </c>
      <c r="J98" s="165" t="inlineStr">
        <is>
          <t>9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103B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가경신라</t>
        </is>
      </c>
      <c r="B99" s="16" t="inlineStr">
        <is>
          <t>'93.05.</t>
        </is>
      </c>
      <c r="C99" s="164" t="n">
        <v>324</v>
      </c>
      <c r="D99" s="161" t="n">
        <v>103.3</v>
      </c>
      <c r="E99" s="163" t="n">
        <v>31</v>
      </c>
      <c r="F99" s="161" t="n">
        <v>84.90000000000001</v>
      </c>
      <c r="G99" s="27" t="n">
        <v>26</v>
      </c>
      <c r="H99" s="164" t="n">
        <v>96</v>
      </c>
      <c r="I99" s="165" t="n">
        <v>23000</v>
      </c>
      <c r="J99" s="165" t="inlineStr">
        <is>
          <t>9</t>
        </is>
      </c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103A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n"/>
      <c r="B100" s="113" t="n"/>
      <c r="C100" s="10" t="n"/>
      <c r="D100" s="13" t="n"/>
      <c r="E100" s="20" t="n"/>
      <c r="F100" s="161" t="n"/>
      <c r="G100" s="13" t="n"/>
      <c r="H100" s="13" t="n"/>
      <c r="I100" s="13" t="n"/>
      <c r="J100" s="13" t="n"/>
      <c r="K100" s="13" t="n"/>
      <c r="L100" s="13" t="n"/>
      <c r="M100" s="13" t="n"/>
      <c r="N100" s="13" t="n"/>
      <c r="O100" s="162" t="n"/>
      <c r="P100" s="162" t="n"/>
      <c r="Q100" s="163" t="n"/>
      <c r="R100" s="163" t="n"/>
      <c r="S100" s="13" t="n"/>
      <c r="T100" s="70" t="n"/>
      <c r="U100" s="13" t="n"/>
      <c r="W100" s="107">
        <f>$A$4&amp;" "&amp;A101&amp;"("&amp;B101&amp;","&amp;C101&amp;"^)"</f>
        <v/>
      </c>
      <c r="X100" s="108" t="n"/>
      <c r="Y100" s="108" t="n"/>
      <c r="Z100" s="108" t="n"/>
      <c r="AA100" s="108" t="n"/>
      <c r="AB100" s="108" t="n"/>
      <c r="AC100" s="108" t="n"/>
      <c r="AD100" s="108" t="n"/>
      <c r="AE100" s="108" t="n"/>
      <c r="AF100" s="109" t="n"/>
      <c r="AH100" s="36">
        <f>IF(A100="","",A100)</f>
        <v/>
      </c>
      <c r="AI100" s="160">
        <f>IF(E100="","",E100)</f>
        <v/>
      </c>
      <c r="AJ100" s="113" t="n"/>
      <c r="AK100" s="113" t="n"/>
      <c r="AL100" s="113" t="n"/>
      <c r="AM100" s="113" t="n"/>
      <c r="AN100" s="113" t="n"/>
      <c r="AO100" s="113" t="n"/>
      <c r="AP100" s="113" t="n"/>
      <c r="AQ100" s="113" t="n"/>
      <c r="AR100" s="113" t="n"/>
      <c r="AS100" s="113" t="n"/>
      <c r="AT100" s="113" t="n"/>
      <c r="AU100" s="113" t="n"/>
      <c r="AV100" s="113" t="n"/>
    </row>
    <row r="101">
      <c r="A101" s="13" t="inlineStr">
        <is>
          <t>가로수마을호반베르디움</t>
        </is>
      </c>
      <c r="B101" s="16" t="inlineStr">
        <is>
          <t>'08.08.</t>
        </is>
      </c>
      <c r="C101" s="164" t="n">
        <v>459</v>
      </c>
      <c r="D101" s="161" t="n">
        <v>111.6</v>
      </c>
      <c r="E101" s="163" t="n">
        <v>34</v>
      </c>
      <c r="F101" s="161" t="n">
        <v>84.90000000000001</v>
      </c>
      <c r="G101" s="27" t="n">
        <v>26</v>
      </c>
      <c r="H101" s="164" t="n">
        <v>80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111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가로수마을호반베르디움</t>
        </is>
      </c>
      <c r="B102" s="16" t="inlineStr">
        <is>
          <t>'08.08.</t>
        </is>
      </c>
      <c r="C102" s="164" t="n">
        <v>459</v>
      </c>
      <c r="D102" s="161" t="n">
        <v>112.7</v>
      </c>
      <c r="E102" s="163" t="n">
        <v>34</v>
      </c>
      <c r="F102" s="161" t="n">
        <v>85</v>
      </c>
      <c r="G102" s="27" t="n">
        <v>26</v>
      </c>
      <c r="H102" s="164" t="n">
        <v>259</v>
      </c>
      <c r="I102" s="165" t="n">
        <v>43000</v>
      </c>
      <c r="J102" s="165" t="inlineStr">
        <is>
          <t>10</t>
        </is>
      </c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112A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가로수마을호반베르디움</t>
        </is>
      </c>
      <c r="B103" s="16" t="inlineStr">
        <is>
          <t>'08.08.</t>
        </is>
      </c>
      <c r="C103" s="164" t="n">
        <v>459</v>
      </c>
      <c r="D103" s="161" t="n">
        <v>112.8</v>
      </c>
      <c r="E103" s="163" t="n">
        <v>34</v>
      </c>
      <c r="F103" s="161" t="n">
        <v>85</v>
      </c>
      <c r="G103" s="27" t="n">
        <v>26</v>
      </c>
      <c r="H103" s="164" t="n">
        <v>120</v>
      </c>
      <c r="I103" s="165" t="n">
        <v>45000</v>
      </c>
      <c r="J103" s="165" t="inlineStr">
        <is>
          <t>6</t>
        </is>
      </c>
      <c r="K103" s="165" t="n">
        <v>35000</v>
      </c>
      <c r="L103" s="165" t="inlineStr">
        <is>
          <t>6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112B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n"/>
      <c r="B104" s="113" t="n"/>
      <c r="C104" s="10" t="n"/>
      <c r="D104" s="13" t="n"/>
      <c r="E104" s="20" t="n"/>
      <c r="F104" s="161" t="n"/>
      <c r="G104" s="13" t="n"/>
      <c r="H104" s="13" t="n"/>
      <c r="I104" s="13" t="n"/>
      <c r="J104" s="13" t="n"/>
      <c r="K104" s="13" t="n"/>
      <c r="L104" s="13" t="n"/>
      <c r="M104" s="13" t="n"/>
      <c r="N104" s="13" t="n"/>
      <c r="O104" s="162" t="n"/>
      <c r="P104" s="162" t="n"/>
      <c r="Q104" s="163" t="n"/>
      <c r="R104" s="163" t="n"/>
      <c r="S104" s="13" t="n"/>
      <c r="T104" s="70" t="n"/>
      <c r="U104" s="13" t="n"/>
      <c r="W104" s="107">
        <f>$A$4&amp;" "&amp;A105&amp;"("&amp;B105&amp;","&amp;C105&amp;"^)"</f>
        <v/>
      </c>
      <c r="X104" s="108" t="n"/>
      <c r="Y104" s="108" t="n"/>
      <c r="Z104" s="108" t="n"/>
      <c r="AA104" s="108" t="n"/>
      <c r="AB104" s="108" t="n"/>
      <c r="AC104" s="108" t="n"/>
      <c r="AD104" s="108" t="n"/>
      <c r="AE104" s="108" t="n"/>
      <c r="AF104" s="109" t="n"/>
      <c r="AH104" s="36">
        <f>IF(A104="","",A104)</f>
        <v/>
      </c>
      <c r="AI104" s="160">
        <f>IF(E104="","",E104)</f>
        <v/>
      </c>
      <c r="AJ104" s="113" t="n"/>
      <c r="AK104" s="113" t="n"/>
      <c r="AL104" s="113" t="n"/>
      <c r="AM104" s="113" t="n"/>
      <c r="AN104" s="113" t="n"/>
      <c r="AO104" s="113" t="n"/>
      <c r="AP104" s="113" t="n"/>
      <c r="AQ104" s="113" t="n"/>
      <c r="AR104" s="113" t="n"/>
      <c r="AS104" s="113" t="n"/>
      <c r="AT104" s="113" t="n"/>
      <c r="AU104" s="113" t="n"/>
      <c r="AV104" s="113" t="n"/>
    </row>
    <row r="105">
      <c r="A105" s="13" t="inlineStr">
        <is>
          <t>진로</t>
        </is>
      </c>
      <c r="B105" s="16" t="inlineStr">
        <is>
          <t>'99.01.</t>
        </is>
      </c>
      <c r="C105" s="164" t="n">
        <v>320</v>
      </c>
      <c r="D105" s="161" t="n">
        <v>119</v>
      </c>
      <c r="E105" s="163" t="n">
        <v>36</v>
      </c>
      <c r="F105" s="161" t="n">
        <v>99.8</v>
      </c>
      <c r="G105" s="27" t="n">
        <v>30</v>
      </c>
      <c r="H105" s="164" t="n">
        <v>148</v>
      </c>
      <c r="I105" s="165" t="n">
        <v>31000</v>
      </c>
      <c r="J105" s="165" t="inlineStr">
        <is>
          <t>6</t>
        </is>
      </c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119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진로</t>
        </is>
      </c>
      <c r="B106" s="16" t="inlineStr">
        <is>
          <t>'99.01.</t>
        </is>
      </c>
      <c r="C106" s="164" t="n">
        <v>320</v>
      </c>
      <c r="D106" s="161" t="n">
        <v>156.5</v>
      </c>
      <c r="E106" s="163" t="n">
        <v>47</v>
      </c>
      <c r="F106" s="161" t="n">
        <v>134.9</v>
      </c>
      <c r="G106" s="27" t="n">
        <v>41</v>
      </c>
      <c r="H106" s="164" t="n">
        <v>172</v>
      </c>
      <c r="I106" s="165" t="n">
        <v>34000</v>
      </c>
      <c r="J106" s="165" t="inlineStr">
        <is>
          <t>15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n">
        <v>156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가로수마을대원칸타빌</t>
        </is>
      </c>
      <c r="B108" s="16" t="inlineStr">
        <is>
          <t>'08.09.</t>
        </is>
      </c>
      <c r="C108" s="164" t="n">
        <v>310</v>
      </c>
      <c r="D108" s="161" t="n">
        <v>140.3</v>
      </c>
      <c r="E108" s="163" t="n">
        <v>42</v>
      </c>
      <c r="F108" s="161" t="n">
        <v>115.5</v>
      </c>
      <c r="G108" s="27" t="n">
        <v>35</v>
      </c>
      <c r="H108" s="164" t="n">
        <v>48</v>
      </c>
      <c r="I108" s="165" t="n">
        <v>55000</v>
      </c>
      <c r="J108" s="165" t="inlineStr">
        <is>
          <t>8</t>
        </is>
      </c>
      <c r="K108" s="165" t="n">
        <v>47000</v>
      </c>
      <c r="L108" s="165" t="inlineStr">
        <is>
          <t>11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n">
        <v>140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가로수마을대원칸타빌</t>
        </is>
      </c>
      <c r="B109" s="16" t="inlineStr">
        <is>
          <t>'08.09.</t>
        </is>
      </c>
      <c r="C109" s="164" t="n">
        <v>310</v>
      </c>
      <c r="D109" s="161" t="n">
        <v>163.7</v>
      </c>
      <c r="E109" s="163" t="n">
        <v>50</v>
      </c>
      <c r="F109" s="161" t="n">
        <v>138.9</v>
      </c>
      <c r="G109" s="27" t="n">
        <v>42</v>
      </c>
      <c r="H109" s="164" t="n">
        <v>142</v>
      </c>
      <c r="I109" s="165" t="n">
        <v>61000</v>
      </c>
      <c r="J109" s="165" t="inlineStr">
        <is>
          <t>고</t>
        </is>
      </c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n">
        <v>163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가로수마을대원칸타빌</t>
        </is>
      </c>
      <c r="B110" s="16" t="inlineStr">
        <is>
          <t>'08.09.</t>
        </is>
      </c>
      <c r="C110" s="164" t="n">
        <v>310</v>
      </c>
      <c r="D110" s="161" t="n">
        <v>174.8</v>
      </c>
      <c r="E110" s="163" t="n">
        <v>53</v>
      </c>
      <c r="F110" s="161" t="n">
        <v>147.9</v>
      </c>
      <c r="G110" s="27" t="n">
        <v>45</v>
      </c>
      <c r="H110" s="164" t="n">
        <v>60</v>
      </c>
      <c r="I110" s="165" t="n">
        <v>65000</v>
      </c>
      <c r="J110" s="165" t="inlineStr">
        <is>
          <t>12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inlineStr">
        <is>
          <t>174A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가로수마을대원칸타빌</t>
        </is>
      </c>
      <c r="B111" s="16" t="inlineStr">
        <is>
          <t>'08.09.</t>
        </is>
      </c>
      <c r="C111" s="164" t="n">
        <v>310</v>
      </c>
      <c r="D111" s="161" t="n">
        <v>176</v>
      </c>
      <c r="E111" s="163" t="n">
        <v>53</v>
      </c>
      <c r="F111" s="161" t="n">
        <v>150.3</v>
      </c>
      <c r="G111" s="27" t="n">
        <v>45</v>
      </c>
      <c r="H111" s="164" t="n">
        <v>60</v>
      </c>
      <c r="I111" s="165" t="n">
        <v>72000</v>
      </c>
      <c r="J111" s="165" t="inlineStr">
        <is>
          <t>8</t>
        </is>
      </c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2</v>
      </c>
      <c r="S111" s="113" t="inlineStr">
        <is>
          <t>계</t>
        </is>
      </c>
      <c r="T111" s="8" t="inlineStr">
        <is>
          <t>175B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덕일한마음</t>
        </is>
      </c>
      <c r="B113" s="16" t="inlineStr">
        <is>
          <t>'97.06.</t>
        </is>
      </c>
      <c r="C113" s="164" t="n">
        <v>448</v>
      </c>
      <c r="D113" s="161" t="n">
        <v>76.7</v>
      </c>
      <c r="E113" s="163" t="n">
        <v>23</v>
      </c>
      <c r="F113" s="161" t="n">
        <v>60</v>
      </c>
      <c r="G113" s="27" t="n">
        <v>18</v>
      </c>
      <c r="H113" s="164" t="n">
        <v>423</v>
      </c>
      <c r="I113" s="165" t="n">
        <v>17500</v>
      </c>
      <c r="J113" s="165" t="inlineStr">
        <is>
          <t>10</t>
        </is>
      </c>
      <c r="K113" s="165" t="n">
        <v>18000</v>
      </c>
      <c r="L113" s="165" t="inlineStr">
        <is>
          <t>10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1</v>
      </c>
      <c r="S113" s="113" t="inlineStr">
        <is>
          <t>계</t>
        </is>
      </c>
      <c r="T113" s="8" t="inlineStr">
        <is>
          <t>76B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덕일한마음</t>
        </is>
      </c>
      <c r="B114" s="16" t="inlineStr">
        <is>
          <t>'97.06.</t>
        </is>
      </c>
      <c r="C114" s="164" t="n">
        <v>448</v>
      </c>
      <c r="D114" s="161" t="n">
        <v>76.7</v>
      </c>
      <c r="E114" s="163" t="n">
        <v>23</v>
      </c>
      <c r="F114" s="161" t="n">
        <v>60</v>
      </c>
      <c r="G114" s="27" t="n">
        <v>18</v>
      </c>
      <c r="H114" s="164" t="n">
        <v>25</v>
      </c>
      <c r="I114" s="165" t="n">
        <v>17500</v>
      </c>
      <c r="J114" s="165" t="inlineStr">
        <is>
          <t>10</t>
        </is>
      </c>
      <c r="K114" s="165" t="n">
        <v>18000</v>
      </c>
      <c r="L114" s="165" t="inlineStr">
        <is>
          <t>10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1</v>
      </c>
      <c r="S114" s="113" t="inlineStr">
        <is>
          <t>계</t>
        </is>
      </c>
      <c r="T114" s="8" t="inlineStr">
        <is>
          <t>76A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n"/>
      <c r="B115" s="113" t="n"/>
      <c r="C115" s="10" t="n"/>
      <c r="D115" s="13" t="n"/>
      <c r="E115" s="20" t="n"/>
      <c r="F115" s="161" t="n"/>
      <c r="G115" s="13" t="n"/>
      <c r="H115" s="13" t="n"/>
      <c r="I115" s="13" t="n"/>
      <c r="J115" s="13" t="n"/>
      <c r="K115" s="13" t="n"/>
      <c r="L115" s="13" t="n"/>
      <c r="M115" s="13" t="n"/>
      <c r="N115" s="13" t="n"/>
      <c r="O115" s="162" t="n"/>
      <c r="P115" s="162" t="n"/>
      <c r="Q115" s="163" t="n"/>
      <c r="R115" s="163" t="n"/>
      <c r="S115" s="13" t="n"/>
      <c r="T115" s="70" t="n"/>
      <c r="U115" s="13" t="n"/>
      <c r="W115" s="107">
        <f>$A$4&amp;" "&amp;A116&amp;"("&amp;B116&amp;","&amp;C116&amp;"^)"</f>
        <v/>
      </c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9" t="n"/>
      <c r="AH115" s="36">
        <f>IF(A115="","",A115)</f>
        <v/>
      </c>
      <c r="AI115" s="160">
        <f>IF(E115="","",E115)</f>
        <v/>
      </c>
      <c r="AJ115" s="113" t="n"/>
      <c r="AK115" s="113" t="n"/>
      <c r="AL115" s="113" t="n"/>
      <c r="AM115" s="113" t="n"/>
      <c r="AN115" s="113" t="n"/>
      <c r="AO115" s="113" t="n"/>
      <c r="AP115" s="113" t="n"/>
      <c r="AQ115" s="113" t="n"/>
      <c r="AR115" s="113" t="n"/>
      <c r="AS115" s="113" t="n"/>
      <c r="AT115" s="113" t="n"/>
      <c r="AU115" s="113" t="n"/>
      <c r="AV115" s="113" t="n"/>
    </row>
    <row r="116">
      <c r="A116" s="13" t="inlineStr">
        <is>
          <t>효성</t>
        </is>
      </c>
      <c r="B116" s="16" t="inlineStr">
        <is>
          <t>'97.12.</t>
        </is>
      </c>
      <c r="C116" s="164" t="n">
        <v>320</v>
      </c>
      <c r="D116" s="161" t="n">
        <v>125.4</v>
      </c>
      <c r="E116" s="163" t="n">
        <v>38</v>
      </c>
      <c r="F116" s="161" t="n">
        <v>100</v>
      </c>
      <c r="G116" s="27" t="n">
        <v>30</v>
      </c>
      <c r="H116" s="164" t="n">
        <v>170</v>
      </c>
      <c r="I116" s="165" t="n">
        <v>34800</v>
      </c>
      <c r="J116" s="165" t="inlineStr">
        <is>
          <t>7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125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효성</t>
        </is>
      </c>
      <c r="B117" s="16" t="inlineStr">
        <is>
          <t>'97.12.</t>
        </is>
      </c>
      <c r="C117" s="164" t="n">
        <v>320</v>
      </c>
      <c r="D117" s="161" t="n">
        <v>145</v>
      </c>
      <c r="E117" s="163" t="n">
        <v>44</v>
      </c>
      <c r="F117" s="161" t="n">
        <v>117.4</v>
      </c>
      <c r="G117" s="27" t="n">
        <v>36</v>
      </c>
      <c r="H117" s="164" t="n">
        <v>120</v>
      </c>
      <c r="I117" s="165" t="n">
        <v>32000</v>
      </c>
      <c r="J117" s="165" t="inlineStr">
        <is>
          <t>15</t>
        </is>
      </c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3</v>
      </c>
      <c r="S117" s="113" t="inlineStr">
        <is>
          <t>계</t>
        </is>
      </c>
      <c r="T117" s="8" t="n">
        <v>145</v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효성</t>
        </is>
      </c>
      <c r="B118" s="16" t="inlineStr">
        <is>
          <t>'97.12.</t>
        </is>
      </c>
      <c r="C118" s="164" t="n">
        <v>320</v>
      </c>
      <c r="D118" s="161" t="n">
        <v>174.6</v>
      </c>
      <c r="E118" s="163" t="n">
        <v>53</v>
      </c>
      <c r="F118" s="161" t="n">
        <v>144.6</v>
      </c>
      <c r="G118" s="27" t="n">
        <v>44</v>
      </c>
      <c r="H118" s="164" t="n">
        <v>30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3</v>
      </c>
      <c r="S118" s="113" t="inlineStr">
        <is>
          <t>계</t>
        </is>
      </c>
      <c r="T118" s="8" t="n">
        <v>174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n"/>
      <c r="B119" s="113" t="n"/>
      <c r="C119" s="10" t="n"/>
      <c r="D119" s="13" t="n"/>
      <c r="E119" s="20" t="n"/>
      <c r="F119" s="161" t="n"/>
      <c r="G119" s="13" t="n"/>
      <c r="H119" s="13" t="n"/>
      <c r="I119" s="13" t="n"/>
      <c r="J119" s="13" t="n"/>
      <c r="K119" s="13" t="n"/>
      <c r="L119" s="13" t="n"/>
      <c r="M119" s="13" t="n"/>
      <c r="N119" s="13" t="n"/>
      <c r="O119" s="162" t="n"/>
      <c r="P119" s="162" t="n"/>
      <c r="Q119" s="163" t="n"/>
      <c r="R119" s="163" t="n"/>
      <c r="S119" s="13" t="n"/>
      <c r="T119" s="70" t="n"/>
      <c r="U119" s="13" t="n"/>
      <c r="W119" s="107">
        <f>$A$4&amp;" "&amp;A120&amp;"("&amp;B120&amp;","&amp;C120&amp;"^)"</f>
        <v/>
      </c>
      <c r="X119" s="108" t="n"/>
      <c r="Y119" s="108" t="n"/>
      <c r="Z119" s="108" t="n"/>
      <c r="AA119" s="108" t="n"/>
      <c r="AB119" s="108" t="n"/>
      <c r="AC119" s="108" t="n"/>
      <c r="AD119" s="108" t="n"/>
      <c r="AE119" s="108" t="n"/>
      <c r="AF119" s="109" t="n"/>
      <c r="AH119" s="36">
        <f>IF(A119="","",A119)</f>
        <v/>
      </c>
      <c r="AI119" s="160">
        <f>IF(E119="","",E119)</f>
        <v/>
      </c>
      <c r="AJ119" s="113" t="n"/>
      <c r="AK119" s="113" t="n"/>
      <c r="AL119" s="113" t="n"/>
      <c r="AM119" s="113" t="n"/>
      <c r="AN119" s="113" t="n"/>
      <c r="AO119" s="113" t="n"/>
      <c r="AP119" s="113" t="n"/>
      <c r="AQ119" s="113" t="n"/>
      <c r="AR119" s="113" t="n"/>
      <c r="AS119" s="113" t="n"/>
      <c r="AT119" s="113" t="n"/>
      <c r="AU119" s="113" t="n"/>
      <c r="AV119" s="113" t="n"/>
    </row>
    <row r="120">
      <c r="A120" s="13" t="inlineStr">
        <is>
          <t>가로수마을한라비발디</t>
        </is>
      </c>
      <c r="B120" s="16" t="inlineStr">
        <is>
          <t>'08.08.</t>
        </is>
      </c>
      <c r="C120" s="164" t="n">
        <v>416</v>
      </c>
      <c r="D120" s="161" t="n">
        <v>112.6</v>
      </c>
      <c r="E120" s="163" t="n">
        <v>34</v>
      </c>
      <c r="F120" s="161" t="n">
        <v>85</v>
      </c>
      <c r="G120" s="27" t="n">
        <v>26</v>
      </c>
      <c r="H120" s="164" t="n">
        <v>193</v>
      </c>
      <c r="I120" s="165" t="n">
        <v>44000</v>
      </c>
      <c r="J120" s="165" t="inlineStr">
        <is>
          <t>11</t>
        </is>
      </c>
      <c r="K120" s="165" t="n">
        <v>37000</v>
      </c>
      <c r="L120" s="165" t="inlineStr">
        <is>
          <t>10</t>
        </is>
      </c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112A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가로수마을한라비발디</t>
        </is>
      </c>
      <c r="B121" s="16" t="inlineStr">
        <is>
          <t>'08.08.</t>
        </is>
      </c>
      <c r="C121" s="164" t="n">
        <v>416</v>
      </c>
      <c r="D121" s="161" t="n">
        <v>112.9</v>
      </c>
      <c r="E121" s="163" t="n">
        <v>34</v>
      </c>
      <c r="F121" s="161" t="n">
        <v>85</v>
      </c>
      <c r="G121" s="27" t="n">
        <v>26</v>
      </c>
      <c r="H121" s="164" t="n">
        <v>60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2</v>
      </c>
      <c r="S121" s="113" t="inlineStr">
        <is>
          <t>계</t>
        </is>
      </c>
      <c r="T121" s="8" t="inlineStr">
        <is>
          <t>112B1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가로수마을한라비발디</t>
        </is>
      </c>
      <c r="B122" s="16" t="inlineStr">
        <is>
          <t>'08.08.</t>
        </is>
      </c>
      <c r="C122" s="164" t="n">
        <v>416</v>
      </c>
      <c r="D122" s="161" t="n">
        <v>112.9</v>
      </c>
      <c r="E122" s="163" t="n">
        <v>34</v>
      </c>
      <c r="F122" s="161" t="n">
        <v>85</v>
      </c>
      <c r="G122" s="27" t="n">
        <v>26</v>
      </c>
      <c r="H122" s="164" t="n">
        <v>59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2</v>
      </c>
      <c r="S122" s="113" t="inlineStr">
        <is>
          <t>계</t>
        </is>
      </c>
      <c r="T122" s="8" t="inlineStr">
        <is>
          <t>112C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가로수마을한라비발디</t>
        </is>
      </c>
      <c r="B123" s="16" t="inlineStr">
        <is>
          <t>'08.08.</t>
        </is>
      </c>
      <c r="C123" s="164" t="n">
        <v>416</v>
      </c>
      <c r="D123" s="161" t="n">
        <v>114.2</v>
      </c>
      <c r="E123" s="163" t="n">
        <v>35</v>
      </c>
      <c r="F123" s="161" t="n">
        <v>85</v>
      </c>
      <c r="G123" s="27" t="n">
        <v>26</v>
      </c>
      <c r="H123" s="164" t="n">
        <v>59</v>
      </c>
      <c r="I123" s="165" t="n">
        <v>46000</v>
      </c>
      <c r="J123" s="165" t="inlineStr">
        <is>
          <t>6</t>
        </is>
      </c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114B1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가로수마을한라비발디</t>
        </is>
      </c>
      <c r="B124" s="16" t="inlineStr">
        <is>
          <t>'08.08.</t>
        </is>
      </c>
      <c r="C124" s="164" t="n">
        <v>416</v>
      </c>
      <c r="D124" s="161" t="n">
        <v>116.3</v>
      </c>
      <c r="E124" s="163" t="n">
        <v>35</v>
      </c>
      <c r="F124" s="161" t="n">
        <v>85</v>
      </c>
      <c r="G124" s="27" t="n">
        <v>26</v>
      </c>
      <c r="H124" s="164" t="n">
        <v>15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116B2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가로수마을한라비발디</t>
        </is>
      </c>
      <c r="B125" s="16" t="inlineStr">
        <is>
          <t>'08.08.</t>
        </is>
      </c>
      <c r="C125" s="164" t="n">
        <v>416</v>
      </c>
      <c r="D125" s="161" t="n">
        <v>117.5</v>
      </c>
      <c r="E125" s="163" t="n">
        <v>36</v>
      </c>
      <c r="F125" s="161" t="n">
        <v>85</v>
      </c>
      <c r="G125" s="27" t="n">
        <v>26</v>
      </c>
      <c r="H125" s="164" t="n">
        <v>30</v>
      </c>
      <c r="I125" s="165" t="n">
        <v>45000</v>
      </c>
      <c r="J125" s="165" t="inlineStr">
        <is>
          <t>15</t>
        </is>
      </c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117C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</sheetData>
  <mergeCells count="1">
    <mergeCell ref="AJ1:AN1"/>
  </mergeCells>
  <conditionalFormatting sqref="AV4:AV6">
    <cfRule type="expression" priority="1889" dxfId="19">
      <formula>AV4="X"</formula>
    </cfRule>
    <cfRule type="expression" priority="1890" dxfId="18">
      <formula>AV4="후보"</formula>
    </cfRule>
  </conditionalFormatting>
  <conditionalFormatting sqref="AC1:AC2 AC4:AC6 N4:N5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N1:N2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N6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E6">
    <cfRule type="expression" priority="1878" dxfId="3">
      <formula>AND(IF(OR($Q6=1,$Q6=2),1,0),IF($X6&lt;=20,1,0))</formula>
    </cfRule>
    <cfRule type="expression" priority="1879" dxfId="2">
      <formula>AND(IF($Q6=2,1,0),IF($X6&lt;30,1,0))</formula>
    </cfRule>
    <cfRule type="expression" priority="1880" dxfId="1">
      <formula>AND(IF($Q6=3,1,0),IF($X6&lt;30,1,0))</formula>
    </cfRule>
    <cfRule type="expression" priority="1881" dxfId="0">
      <formula>AND(IF($Q6=3,1,IF($Q6=4,1,0)),IF($F6&lt;=85,1,0))</formula>
    </cfRule>
  </conditionalFormatting>
  <conditionalFormatting sqref="X6">
    <cfRule type="expression" priority="1874" dxfId="3">
      <formula>AND(IF(OR($Q6=1,$Q6=2),1,0),IF($X6&lt;=20,1,0))</formula>
    </cfRule>
    <cfRule type="expression" priority="1875" dxfId="2">
      <formula>AND(IF($Q6=2,1,0),IF($X6&lt;30,1,0))</formula>
    </cfRule>
    <cfRule type="expression" priority="1876" dxfId="1">
      <formula>AND(IF($Q6=3,1,0),IF($X6&lt;30,1,0))</formula>
    </cfRule>
    <cfRule type="expression" priority="1877" dxfId="0">
      <formula>AND(IF($Q6=3,1,IF($Q6=4,1,0)),IF($F6&lt;=85,1,0))</formula>
    </cfRule>
  </conditionalFormatting>
  <conditionalFormatting sqref="AI6">
    <cfRule type="expression" priority="1870" dxfId="3">
      <formula>AND(IF(OR($Q6=1,$Q6=2),1,0),IF($X6&lt;=20,1,0))</formula>
    </cfRule>
    <cfRule type="expression" priority="1871" dxfId="2">
      <formula>AND(IF($Q6=2,1,0),IF($X6&lt;30,1,0))</formula>
    </cfRule>
    <cfRule type="expression" priority="1872" dxfId="1">
      <formula>AND(IF($Q6=3,1,0),IF($X6&lt;30,1,0))</formula>
    </cfRule>
    <cfRule type="expression" priority="1873" dxfId="0">
      <formula>AND(IF($Q6=3,1,IF($Q6=4,1,0)),IF($F6&lt;=85,1,0))</formula>
    </cfRule>
  </conditionalFormatting>
  <conditionalFormatting sqref="AV7">
    <cfRule type="expression" priority="1868" dxfId="19">
      <formula>AV7="X"</formula>
    </cfRule>
    <cfRule type="expression" priority="1869" dxfId="18">
      <formula>AV7="후보"</formula>
    </cfRule>
  </conditionalFormatting>
  <conditionalFormatting sqref="AC7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N7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E7">
    <cfRule type="expression" priority="1859" dxfId="3">
      <formula>AND(IF(OR($Q7=1,$Q7=2),1,0),IF($X7&lt;=20,1,0))</formula>
    </cfRule>
    <cfRule type="expression" priority="1860" dxfId="2">
      <formula>AND(IF($Q7=2,1,0),IF($X7&lt;30,1,0))</formula>
    </cfRule>
    <cfRule type="expression" priority="1861" dxfId="1">
      <formula>AND(IF($Q7=3,1,0),IF($X7&lt;30,1,0))</formula>
    </cfRule>
    <cfRule type="expression" priority="1862" dxfId="0">
      <formula>AND(IF($Q7=3,1,IF($Q7=4,1,0)),IF($F7&lt;=85,1,0))</formula>
    </cfRule>
  </conditionalFormatting>
  <conditionalFormatting sqref="X7">
    <cfRule type="expression" priority="1855" dxfId="3">
      <formula>AND(IF(OR($Q7=1,$Q7=2),1,0),IF($X7&lt;=20,1,0))</formula>
    </cfRule>
    <cfRule type="expression" priority="1856" dxfId="2">
      <formula>AND(IF($Q7=2,1,0),IF($X7&lt;30,1,0))</formula>
    </cfRule>
    <cfRule type="expression" priority="1857" dxfId="1">
      <formula>AND(IF($Q7=3,1,0),IF($X7&lt;30,1,0))</formula>
    </cfRule>
    <cfRule type="expression" priority="1858" dxfId="0">
      <formula>AND(IF($Q7=3,1,IF($Q7=4,1,0)),IF($F7&lt;=85,1,0))</formula>
    </cfRule>
  </conditionalFormatting>
  <conditionalFormatting sqref="AI7">
    <cfRule type="expression" priority="1851" dxfId="3">
      <formula>AND(IF(OR($Q7=1,$Q7=2),1,0),IF($X7&lt;=20,1,0))</formula>
    </cfRule>
    <cfRule type="expression" priority="1852" dxfId="2">
      <formula>AND(IF($Q7=2,1,0),IF($X7&lt;30,1,0))</formula>
    </cfRule>
    <cfRule type="expression" priority="1853" dxfId="1">
      <formula>AND(IF($Q7=3,1,0),IF($X7&lt;30,1,0))</formula>
    </cfRule>
    <cfRule type="expression" priority="1854" dxfId="0">
      <formula>AND(IF($Q7=3,1,IF($Q7=4,1,0)),IF($F7&lt;=85,1,0))</formula>
    </cfRule>
  </conditionalFormatting>
  <conditionalFormatting sqref="AV8">
    <cfRule type="expression" priority="1849" dxfId="19">
      <formula>AV8="X"</formula>
    </cfRule>
    <cfRule type="expression" priority="1850" dxfId="18">
      <formula>AV8="후보"</formula>
    </cfRule>
  </conditionalFormatting>
  <conditionalFormatting sqref="AC8 N8">
    <cfRule type="cellIs" priority="1846" operator="greaterThan" dxfId="13">
      <formula>0.9</formula>
    </cfRule>
    <cfRule type="cellIs" priority="1847" operator="greaterThan" dxfId="12">
      <formula>0.85</formula>
    </cfRule>
  </conditionalFormatting>
  <conditionalFormatting sqref="AV9">
    <cfRule type="expression" priority="1844" dxfId="19">
      <formula>AV9="X"</formula>
    </cfRule>
    <cfRule type="expression" priority="1845" dxfId="18">
      <formula>AV9="후보"</formula>
    </cfRule>
  </conditionalFormatting>
  <conditionalFormatting sqref="AC9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N9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E9">
    <cfRule type="expression" priority="1835" dxfId="3">
      <formula>AND(IF(OR($Q9=1,$Q9=2),1,0),IF($X9&lt;=20,1,0))</formula>
    </cfRule>
    <cfRule type="expression" priority="1836" dxfId="2">
      <formula>AND(IF($Q9=2,1,0),IF($X9&lt;30,1,0))</formula>
    </cfRule>
    <cfRule type="expression" priority="1837" dxfId="1">
      <formula>AND(IF($Q9=3,1,0),IF($X9&lt;30,1,0))</formula>
    </cfRule>
    <cfRule type="expression" priority="1838" dxfId="0">
      <formula>AND(IF($Q9=3,1,IF($Q9=4,1,0)),IF($F9&lt;=85,1,0))</formula>
    </cfRule>
  </conditionalFormatting>
  <conditionalFormatting sqref="X9">
    <cfRule type="expression" priority="1831" dxfId="3">
      <formula>AND(IF(OR($Q9=1,$Q9=2),1,0),IF($X9&lt;=20,1,0))</formula>
    </cfRule>
    <cfRule type="expression" priority="1832" dxfId="2">
      <formula>AND(IF($Q9=2,1,0),IF($X9&lt;30,1,0))</formula>
    </cfRule>
    <cfRule type="expression" priority="1833" dxfId="1">
      <formula>AND(IF($Q9=3,1,0),IF($X9&lt;30,1,0))</formula>
    </cfRule>
    <cfRule type="expression" priority="1834" dxfId="0">
      <formula>AND(IF($Q9=3,1,IF($Q9=4,1,0)),IF($F9&lt;=85,1,0))</formula>
    </cfRule>
  </conditionalFormatting>
  <conditionalFormatting sqref="AI9">
    <cfRule type="expression" priority="1827" dxfId="3">
      <formula>AND(IF(OR($Q9=1,$Q9=2),1,0),IF($X9&lt;=20,1,0))</formula>
    </cfRule>
    <cfRule type="expression" priority="1828" dxfId="2">
      <formula>AND(IF($Q9=2,1,0),IF($X9&lt;30,1,0))</formula>
    </cfRule>
    <cfRule type="expression" priority="1829" dxfId="1">
      <formula>AND(IF($Q9=3,1,0),IF($X9&lt;30,1,0))</formula>
    </cfRule>
    <cfRule type="expression" priority="1830" dxfId="0">
      <formula>AND(IF($Q9=3,1,IF($Q9=4,1,0)),IF($F9&lt;=85,1,0))</formula>
    </cfRule>
  </conditionalFormatting>
  <conditionalFormatting sqref="AV10">
    <cfRule type="expression" priority="1825" dxfId="19">
      <formula>AV10="X"</formula>
    </cfRule>
    <cfRule type="expression" priority="1826" dxfId="18">
      <formula>AV10="후보"</formula>
    </cfRule>
  </conditionalFormatting>
  <conditionalFormatting sqref="AC10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N10">
    <cfRule type="cellIs" priority="1820" operator="greaterThan" dxfId="13">
      <formula>0.9</formula>
    </cfRule>
    <cfRule type="cellIs" priority="1821" operator="greaterThan" dxfId="12">
      <formula>0.85</formula>
    </cfRule>
  </conditionalFormatting>
  <conditionalFormatting sqref="E10">
    <cfRule type="expression" priority="1816" dxfId="3">
      <formula>AND(IF(OR($Q10=1,$Q10=2),1,0),IF($X10&lt;=20,1,0))</formula>
    </cfRule>
    <cfRule type="expression" priority="1817" dxfId="2">
      <formula>AND(IF($Q10=2,1,0),IF($X10&lt;30,1,0))</formula>
    </cfRule>
    <cfRule type="expression" priority="1818" dxfId="1">
      <formula>AND(IF($Q10=3,1,0),IF($X10&lt;30,1,0))</formula>
    </cfRule>
    <cfRule type="expression" priority="1819" dxfId="0">
      <formula>AND(IF($Q10=3,1,IF($Q10=4,1,0)),IF($F10&lt;=85,1,0))</formula>
    </cfRule>
  </conditionalFormatting>
  <conditionalFormatting sqref="X10">
    <cfRule type="expression" priority="1812" dxfId="3">
      <formula>AND(IF(OR($Q10=1,$Q10=2),1,0),IF($X10&lt;=20,1,0))</formula>
    </cfRule>
    <cfRule type="expression" priority="1813" dxfId="2">
      <formula>AND(IF($Q10=2,1,0),IF($X10&lt;30,1,0))</formula>
    </cfRule>
    <cfRule type="expression" priority="1814" dxfId="1">
      <formula>AND(IF($Q10=3,1,0),IF($X10&lt;30,1,0))</formula>
    </cfRule>
    <cfRule type="expression" priority="1815" dxfId="0">
      <formula>AND(IF($Q10=3,1,IF($Q10=4,1,0)),IF($F10&lt;=85,1,0))</formula>
    </cfRule>
  </conditionalFormatting>
  <conditionalFormatting sqref="AI10">
    <cfRule type="expression" priority="1808" dxfId="3">
      <formula>AND(IF(OR($Q10=1,$Q10=2),1,0),IF($X10&lt;=20,1,0))</formula>
    </cfRule>
    <cfRule type="expression" priority="1809" dxfId="2">
      <formula>AND(IF($Q10=2,1,0),IF($X10&lt;30,1,0))</formula>
    </cfRule>
    <cfRule type="expression" priority="1810" dxfId="1">
      <formula>AND(IF($Q10=3,1,0),IF($X10&lt;30,1,0))</formula>
    </cfRule>
    <cfRule type="expression" priority="1811" dxfId="0">
      <formula>AND(IF($Q10=3,1,IF($Q10=4,1,0)),IF($F10&lt;=85,1,0))</formula>
    </cfRule>
  </conditionalFormatting>
  <conditionalFormatting sqref="AV11">
    <cfRule type="expression" priority="1806" dxfId="19">
      <formula>AV11="X"</formula>
    </cfRule>
    <cfRule type="expression" priority="1807" dxfId="18">
      <formula>AV11="후보"</formula>
    </cfRule>
  </conditionalFormatting>
  <conditionalFormatting sqref="AC11 N11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AV12">
    <cfRule type="expression" priority="1801" dxfId="19">
      <formula>AV12="X"</formula>
    </cfRule>
    <cfRule type="expression" priority="1802" dxfId="18">
      <formula>AV12="후보"</formula>
    </cfRule>
  </conditionalFormatting>
  <conditionalFormatting sqref="AC12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N12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E12">
    <cfRule type="expression" priority="1792" dxfId="3">
      <formula>AND(IF(OR($Q12=1,$Q12=2),1,0),IF($X12&lt;=20,1,0))</formula>
    </cfRule>
    <cfRule type="expression" priority="1793" dxfId="2">
      <formula>AND(IF($Q12=2,1,0),IF($X12&lt;30,1,0))</formula>
    </cfRule>
    <cfRule type="expression" priority="1794" dxfId="1">
      <formula>AND(IF($Q12=3,1,0),IF($X12&lt;30,1,0))</formula>
    </cfRule>
    <cfRule type="expression" priority="1795" dxfId="0">
      <formula>AND(IF($Q12=3,1,IF($Q12=4,1,0)),IF($F12&lt;=85,1,0))</formula>
    </cfRule>
  </conditionalFormatting>
  <conditionalFormatting sqref="X12">
    <cfRule type="expression" priority="1788" dxfId="3">
      <formula>AND(IF(OR($Q12=1,$Q12=2),1,0),IF($X12&lt;=20,1,0))</formula>
    </cfRule>
    <cfRule type="expression" priority="1789" dxfId="2">
      <formula>AND(IF($Q12=2,1,0),IF($X12&lt;30,1,0))</formula>
    </cfRule>
    <cfRule type="expression" priority="1790" dxfId="1">
      <formula>AND(IF($Q12=3,1,0),IF($X12&lt;30,1,0))</formula>
    </cfRule>
    <cfRule type="expression" priority="1791" dxfId="0">
      <formula>AND(IF($Q12=3,1,IF($Q12=4,1,0)),IF($F12&lt;=85,1,0))</formula>
    </cfRule>
  </conditionalFormatting>
  <conditionalFormatting sqref="AI12">
    <cfRule type="expression" priority="1784" dxfId="3">
      <formula>AND(IF(OR($Q12=1,$Q12=2),1,0),IF($X12&lt;=20,1,0))</formula>
    </cfRule>
    <cfRule type="expression" priority="1785" dxfId="2">
      <formula>AND(IF($Q12=2,1,0),IF($X12&lt;30,1,0))</formula>
    </cfRule>
    <cfRule type="expression" priority="1786" dxfId="1">
      <formula>AND(IF($Q12=3,1,0),IF($X12&lt;30,1,0))</formula>
    </cfRule>
    <cfRule type="expression" priority="1787" dxfId="0">
      <formula>AND(IF($Q12=3,1,IF($Q12=4,1,0)),IF($F12&lt;=85,1,0))</formula>
    </cfRule>
  </conditionalFormatting>
  <conditionalFormatting sqref="AV13">
    <cfRule type="expression" priority="1782" dxfId="19">
      <formula>AV13="X"</formula>
    </cfRule>
    <cfRule type="expression" priority="1783" dxfId="18">
      <formula>AV13="후보"</formula>
    </cfRule>
  </conditionalFormatting>
  <conditionalFormatting sqref="AC13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1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13">
    <cfRule type="expression" priority="1773" dxfId="3">
      <formula>AND(IF(OR($Q13=1,$Q13=2),1,0),IF($X13&lt;=20,1,0))</formula>
    </cfRule>
    <cfRule type="expression" priority="1774" dxfId="2">
      <formula>AND(IF($Q13=2,1,0),IF($X13&lt;30,1,0))</formula>
    </cfRule>
    <cfRule type="expression" priority="1775" dxfId="1">
      <formula>AND(IF($Q13=3,1,0),IF($X13&lt;30,1,0))</formula>
    </cfRule>
    <cfRule type="expression" priority="1776" dxfId="0">
      <formula>AND(IF($Q13=3,1,IF($Q13=4,1,0)),IF($F13&lt;=85,1,0))</formula>
    </cfRule>
  </conditionalFormatting>
  <conditionalFormatting sqref="X13">
    <cfRule type="expression" priority="1769" dxfId="3">
      <formula>AND(IF(OR($Q13=1,$Q13=2),1,0),IF($X13&lt;=20,1,0))</formula>
    </cfRule>
    <cfRule type="expression" priority="1770" dxfId="2">
      <formula>AND(IF($Q13=2,1,0),IF($X13&lt;30,1,0))</formula>
    </cfRule>
    <cfRule type="expression" priority="1771" dxfId="1">
      <formula>AND(IF($Q13=3,1,0),IF($X13&lt;30,1,0))</formula>
    </cfRule>
    <cfRule type="expression" priority="1772" dxfId="0">
      <formula>AND(IF($Q13=3,1,IF($Q13=4,1,0)),IF($F13&lt;=85,1,0))</formula>
    </cfRule>
  </conditionalFormatting>
  <conditionalFormatting sqref="AI13">
    <cfRule type="expression" priority="1765" dxfId="3">
      <formula>AND(IF(OR($Q13=1,$Q13=2),1,0),IF($X13&lt;=20,1,0))</formula>
    </cfRule>
    <cfRule type="expression" priority="1766" dxfId="2">
      <formula>AND(IF($Q13=2,1,0),IF($X13&lt;30,1,0))</formula>
    </cfRule>
    <cfRule type="expression" priority="1767" dxfId="1">
      <formula>AND(IF($Q13=3,1,0),IF($X13&lt;30,1,0))</formula>
    </cfRule>
    <cfRule type="expression" priority="1768" dxfId="0">
      <formula>AND(IF($Q13=3,1,IF($Q13=4,1,0)),IF($F13&lt;=85,1,0))</formula>
    </cfRule>
  </conditionalFormatting>
  <conditionalFormatting sqref="AV14">
    <cfRule type="expression" priority="1763" dxfId="19">
      <formula>AV14="X"</formula>
    </cfRule>
    <cfRule type="expression" priority="1764" dxfId="18">
      <formula>AV14="후보"</formula>
    </cfRule>
  </conditionalFormatting>
  <conditionalFormatting sqref="AC14 N14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AV15">
    <cfRule type="expression" priority="1758" dxfId="19">
      <formula>AV15="X"</formula>
    </cfRule>
    <cfRule type="expression" priority="1759" dxfId="18">
      <formula>AV15="후보"</formula>
    </cfRule>
  </conditionalFormatting>
  <conditionalFormatting sqref="AC15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15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15">
    <cfRule type="expression" priority="1749" dxfId="3">
      <formula>AND(IF(OR($Q15=1,$Q15=2),1,0),IF($X15&lt;=20,1,0))</formula>
    </cfRule>
    <cfRule type="expression" priority="1750" dxfId="2">
      <formula>AND(IF($Q15=2,1,0),IF($X15&lt;30,1,0))</formula>
    </cfRule>
    <cfRule type="expression" priority="1751" dxfId="1">
      <formula>AND(IF($Q15=3,1,0),IF($X15&lt;30,1,0))</formula>
    </cfRule>
    <cfRule type="expression" priority="1752" dxfId="0">
      <formula>AND(IF($Q15=3,1,IF($Q15=4,1,0)),IF($F15&lt;=85,1,0))</formula>
    </cfRule>
  </conditionalFormatting>
  <conditionalFormatting sqref="X15">
    <cfRule type="expression" priority="1745" dxfId="3">
      <formula>AND(IF(OR($Q15=1,$Q15=2),1,0),IF($X15&lt;=20,1,0))</formula>
    </cfRule>
    <cfRule type="expression" priority="1746" dxfId="2">
      <formula>AND(IF($Q15=2,1,0),IF($X15&lt;30,1,0))</formula>
    </cfRule>
    <cfRule type="expression" priority="1747" dxfId="1">
      <formula>AND(IF($Q15=3,1,0),IF($X15&lt;30,1,0))</formula>
    </cfRule>
    <cfRule type="expression" priority="1748" dxfId="0">
      <formula>AND(IF($Q15=3,1,IF($Q15=4,1,0)),IF($F15&lt;=85,1,0))</formula>
    </cfRule>
  </conditionalFormatting>
  <conditionalFormatting sqref="AI15">
    <cfRule type="expression" priority="1741" dxfId="3">
      <formula>AND(IF(OR($Q15=1,$Q15=2),1,0),IF($X15&lt;=20,1,0))</formula>
    </cfRule>
    <cfRule type="expression" priority="1742" dxfId="2">
      <formula>AND(IF($Q15=2,1,0),IF($X15&lt;30,1,0))</formula>
    </cfRule>
    <cfRule type="expression" priority="1743" dxfId="1">
      <formula>AND(IF($Q15=3,1,0),IF($X15&lt;30,1,0))</formula>
    </cfRule>
    <cfRule type="expression" priority="1744" dxfId="0">
      <formula>AND(IF($Q15=3,1,IF($Q15=4,1,0)),IF($F15&lt;=85,1,0))</formula>
    </cfRule>
  </conditionalFormatting>
  <conditionalFormatting sqref="AV16">
    <cfRule type="expression" priority="1739" dxfId="19">
      <formula>AV16="X"</formula>
    </cfRule>
    <cfRule type="expression" priority="1740" dxfId="18">
      <formula>AV16="후보"</formula>
    </cfRule>
  </conditionalFormatting>
  <conditionalFormatting sqref="AC16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N16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E16">
    <cfRule type="expression" priority="1730" dxfId="3">
      <formula>AND(IF(OR($Q16=1,$Q16=2),1,0),IF($X16&lt;=20,1,0))</formula>
    </cfRule>
    <cfRule type="expression" priority="1731" dxfId="2">
      <formula>AND(IF($Q16=2,1,0),IF($X16&lt;30,1,0))</formula>
    </cfRule>
    <cfRule type="expression" priority="1732" dxfId="1">
      <formula>AND(IF($Q16=3,1,0),IF($X16&lt;30,1,0))</formula>
    </cfRule>
    <cfRule type="expression" priority="1733" dxfId="0">
      <formula>AND(IF($Q16=3,1,IF($Q16=4,1,0)),IF($F16&lt;=85,1,0))</formula>
    </cfRule>
  </conditionalFormatting>
  <conditionalFormatting sqref="X16">
    <cfRule type="expression" priority="1726" dxfId="3">
      <formula>AND(IF(OR($Q16=1,$Q16=2),1,0),IF($X16&lt;=20,1,0))</formula>
    </cfRule>
    <cfRule type="expression" priority="1727" dxfId="2">
      <formula>AND(IF($Q16=2,1,0),IF($X16&lt;30,1,0))</formula>
    </cfRule>
    <cfRule type="expression" priority="1728" dxfId="1">
      <formula>AND(IF($Q16=3,1,0),IF($X16&lt;30,1,0))</formula>
    </cfRule>
    <cfRule type="expression" priority="1729" dxfId="0">
      <formula>AND(IF($Q16=3,1,IF($Q16=4,1,0)),IF($F16&lt;=85,1,0))</formula>
    </cfRule>
  </conditionalFormatting>
  <conditionalFormatting sqref="AI16">
    <cfRule type="expression" priority="1722" dxfId="3">
      <formula>AND(IF(OR($Q16=1,$Q16=2),1,0),IF($X16&lt;=20,1,0))</formula>
    </cfRule>
    <cfRule type="expression" priority="1723" dxfId="2">
      <formula>AND(IF($Q16=2,1,0),IF($X16&lt;30,1,0))</formula>
    </cfRule>
    <cfRule type="expression" priority="1724" dxfId="1">
      <formula>AND(IF($Q16=3,1,0),IF($X16&lt;30,1,0))</formula>
    </cfRule>
    <cfRule type="expression" priority="1725" dxfId="0">
      <formula>AND(IF($Q16=3,1,IF($Q16=4,1,0)),IF($F16&lt;=85,1,0))</formula>
    </cfRule>
  </conditionalFormatting>
  <conditionalFormatting sqref="AV17">
    <cfRule type="expression" priority="1720" dxfId="19">
      <formula>AV17="X"</formula>
    </cfRule>
    <cfRule type="expression" priority="1721" dxfId="18">
      <formula>AV17="후보"</formula>
    </cfRule>
  </conditionalFormatting>
  <conditionalFormatting sqref="AC17">
    <cfRule type="cellIs" priority="1717" operator="greaterThan" dxfId="13">
      <formula>0.9</formula>
    </cfRule>
    <cfRule type="cellIs" priority="1718" operator="greaterThan" dxfId="12">
      <formula>0.85</formula>
    </cfRule>
  </conditionalFormatting>
  <conditionalFormatting sqref="N17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E17">
    <cfRule type="expression" priority="1711" dxfId="3">
      <formula>AND(IF(OR($Q17=1,$Q17=2),1,0),IF($X17&lt;=20,1,0))</formula>
    </cfRule>
    <cfRule type="expression" priority="1712" dxfId="2">
      <formula>AND(IF($Q17=2,1,0),IF($X17&lt;30,1,0))</formula>
    </cfRule>
    <cfRule type="expression" priority="1713" dxfId="1">
      <formula>AND(IF($Q17=3,1,0),IF($X17&lt;30,1,0))</formula>
    </cfRule>
    <cfRule type="expression" priority="1714" dxfId="0">
      <formula>AND(IF($Q17=3,1,IF($Q17=4,1,0)),IF($F17&lt;=85,1,0))</formula>
    </cfRule>
  </conditionalFormatting>
  <conditionalFormatting sqref="X17">
    <cfRule type="expression" priority="1707" dxfId="3">
      <formula>AND(IF(OR($Q17=1,$Q17=2),1,0),IF($X17&lt;=20,1,0))</formula>
    </cfRule>
    <cfRule type="expression" priority="1708" dxfId="2">
      <formula>AND(IF($Q17=2,1,0),IF($X17&lt;30,1,0))</formula>
    </cfRule>
    <cfRule type="expression" priority="1709" dxfId="1">
      <formula>AND(IF($Q17=3,1,0),IF($X17&lt;30,1,0))</formula>
    </cfRule>
    <cfRule type="expression" priority="1710" dxfId="0">
      <formula>AND(IF($Q17=3,1,IF($Q17=4,1,0)),IF($F17&lt;=85,1,0))</formula>
    </cfRule>
  </conditionalFormatting>
  <conditionalFormatting sqref="AI17">
    <cfRule type="expression" priority="1703" dxfId="3">
      <formula>AND(IF(OR($Q17=1,$Q17=2),1,0),IF($X17&lt;=20,1,0))</formula>
    </cfRule>
    <cfRule type="expression" priority="1704" dxfId="2">
      <formula>AND(IF($Q17=2,1,0),IF($X17&lt;30,1,0))</formula>
    </cfRule>
    <cfRule type="expression" priority="1705" dxfId="1">
      <formula>AND(IF($Q17=3,1,0),IF($X17&lt;30,1,0))</formula>
    </cfRule>
    <cfRule type="expression" priority="1706" dxfId="0">
      <formula>AND(IF($Q17=3,1,IF($Q17=4,1,0)),IF($F17&lt;=85,1,0))</formula>
    </cfRule>
  </conditionalFormatting>
  <conditionalFormatting sqref="AV18">
    <cfRule type="expression" priority="1701" dxfId="19">
      <formula>AV18="X"</formula>
    </cfRule>
    <cfRule type="expression" priority="1702" dxfId="18">
      <formula>AV18="후보"</formula>
    </cfRule>
  </conditionalFormatting>
  <conditionalFormatting sqref="AC18 N18">
    <cfRule type="cellIs" priority="1698" operator="greaterThan" dxfId="13">
      <formula>0.9</formula>
    </cfRule>
    <cfRule type="cellIs" priority="1699" operator="greaterThan" dxfId="12">
      <formula>0.85</formula>
    </cfRule>
  </conditionalFormatting>
  <conditionalFormatting sqref="AV19">
    <cfRule type="expression" priority="1696" dxfId="19">
      <formula>AV19="X"</formula>
    </cfRule>
    <cfRule type="expression" priority="1697" dxfId="18">
      <formula>AV19="후보"</formula>
    </cfRule>
  </conditionalFormatting>
  <conditionalFormatting sqref="AC19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19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19">
    <cfRule type="expression" priority="1687" dxfId="3">
      <formula>AND(IF(OR($Q19=1,$Q19=2),1,0),IF($X19&lt;=20,1,0))</formula>
    </cfRule>
    <cfRule type="expression" priority="1688" dxfId="2">
      <formula>AND(IF($Q19=2,1,0),IF($X19&lt;30,1,0))</formula>
    </cfRule>
    <cfRule type="expression" priority="1689" dxfId="1">
      <formula>AND(IF($Q19=3,1,0),IF($X19&lt;30,1,0))</formula>
    </cfRule>
    <cfRule type="expression" priority="1690" dxfId="0">
      <formula>AND(IF($Q19=3,1,IF($Q19=4,1,0)),IF($F19&lt;=85,1,0))</formula>
    </cfRule>
  </conditionalFormatting>
  <conditionalFormatting sqref="X19">
    <cfRule type="expression" priority="1683" dxfId="3">
      <formula>AND(IF(OR($Q19=1,$Q19=2),1,0),IF($X19&lt;=20,1,0))</formula>
    </cfRule>
    <cfRule type="expression" priority="1684" dxfId="2">
      <formula>AND(IF($Q19=2,1,0),IF($X19&lt;30,1,0))</formula>
    </cfRule>
    <cfRule type="expression" priority="1685" dxfId="1">
      <formula>AND(IF($Q19=3,1,0),IF($X19&lt;30,1,0))</formula>
    </cfRule>
    <cfRule type="expression" priority="1686" dxfId="0">
      <formula>AND(IF($Q19=3,1,IF($Q19=4,1,0)),IF($F19&lt;=85,1,0))</formula>
    </cfRule>
  </conditionalFormatting>
  <conditionalFormatting sqref="AI19">
    <cfRule type="expression" priority="1679" dxfId="3">
      <formula>AND(IF(OR($Q19=1,$Q19=2),1,0),IF($X19&lt;=20,1,0))</formula>
    </cfRule>
    <cfRule type="expression" priority="1680" dxfId="2">
      <formula>AND(IF($Q19=2,1,0),IF($X19&lt;30,1,0))</formula>
    </cfRule>
    <cfRule type="expression" priority="1681" dxfId="1">
      <formula>AND(IF($Q19=3,1,0),IF($X19&lt;30,1,0))</formula>
    </cfRule>
    <cfRule type="expression" priority="1682" dxfId="0">
      <formula>AND(IF($Q19=3,1,IF($Q19=4,1,0)),IF($F19&lt;=85,1,0))</formula>
    </cfRule>
  </conditionalFormatting>
  <conditionalFormatting sqref="AV20">
    <cfRule type="expression" priority="1677" dxfId="19">
      <formula>AV20="X"</formula>
    </cfRule>
    <cfRule type="expression" priority="1678" dxfId="18">
      <formula>AV20="후보"</formula>
    </cfRule>
  </conditionalFormatting>
  <conditionalFormatting sqref="AC20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20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20">
    <cfRule type="expression" priority="1668" dxfId="3">
      <formula>AND(IF(OR($Q20=1,$Q20=2),1,0),IF($X20&lt;=20,1,0))</formula>
    </cfRule>
    <cfRule type="expression" priority="1669" dxfId="2">
      <formula>AND(IF($Q20=2,1,0),IF($X20&lt;30,1,0))</formula>
    </cfRule>
    <cfRule type="expression" priority="1670" dxfId="1">
      <formula>AND(IF($Q20=3,1,0),IF($X20&lt;30,1,0))</formula>
    </cfRule>
    <cfRule type="expression" priority="1671" dxfId="0">
      <formula>AND(IF($Q20=3,1,IF($Q20=4,1,0)),IF($F20&lt;=85,1,0))</formula>
    </cfRule>
  </conditionalFormatting>
  <conditionalFormatting sqref="X20">
    <cfRule type="expression" priority="1664" dxfId="3">
      <formula>AND(IF(OR($Q20=1,$Q20=2),1,0),IF($X20&lt;=20,1,0))</formula>
    </cfRule>
    <cfRule type="expression" priority="1665" dxfId="2">
      <formula>AND(IF($Q20=2,1,0),IF($X20&lt;30,1,0))</formula>
    </cfRule>
    <cfRule type="expression" priority="1666" dxfId="1">
      <formula>AND(IF($Q20=3,1,0),IF($X20&lt;30,1,0))</formula>
    </cfRule>
    <cfRule type="expression" priority="1667" dxfId="0">
      <formula>AND(IF($Q20=3,1,IF($Q20=4,1,0)),IF($F20&lt;=85,1,0))</formula>
    </cfRule>
  </conditionalFormatting>
  <conditionalFormatting sqref="AI20">
    <cfRule type="expression" priority="1660" dxfId="3">
      <formula>AND(IF(OR($Q20=1,$Q20=2),1,0),IF($X20&lt;=20,1,0))</formula>
    </cfRule>
    <cfRule type="expression" priority="1661" dxfId="2">
      <formula>AND(IF($Q20=2,1,0),IF($X20&lt;30,1,0))</formula>
    </cfRule>
    <cfRule type="expression" priority="1662" dxfId="1">
      <formula>AND(IF($Q20=3,1,0),IF($X20&lt;30,1,0))</formula>
    </cfRule>
    <cfRule type="expression" priority="1663" dxfId="0">
      <formula>AND(IF($Q20=3,1,IF($Q20=4,1,0)),IF($F20&lt;=85,1,0))</formula>
    </cfRule>
  </conditionalFormatting>
  <conditionalFormatting sqref="AV21">
    <cfRule type="expression" priority="1658" dxfId="19">
      <formula>AV21="X"</formula>
    </cfRule>
    <cfRule type="expression" priority="1659" dxfId="18">
      <formula>AV21="후보"</formula>
    </cfRule>
  </conditionalFormatting>
  <conditionalFormatting sqref="AC21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N21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E21">
    <cfRule type="expression" priority="1649" dxfId="3">
      <formula>AND(IF(OR($Q21=1,$Q21=2),1,0),IF($X21&lt;=20,1,0))</formula>
    </cfRule>
    <cfRule type="expression" priority="1650" dxfId="2">
      <formula>AND(IF($Q21=2,1,0),IF($X21&lt;30,1,0))</formula>
    </cfRule>
    <cfRule type="expression" priority="1651" dxfId="1">
      <formula>AND(IF($Q21=3,1,0),IF($X21&lt;30,1,0))</formula>
    </cfRule>
    <cfRule type="expression" priority="1652" dxfId="0">
      <formula>AND(IF($Q21=3,1,IF($Q21=4,1,0)),IF($F21&lt;=85,1,0))</formula>
    </cfRule>
  </conditionalFormatting>
  <conditionalFormatting sqref="X21">
    <cfRule type="expression" priority="1645" dxfId="3">
      <formula>AND(IF(OR($Q21=1,$Q21=2),1,0),IF($X21&lt;=20,1,0))</formula>
    </cfRule>
    <cfRule type="expression" priority="1646" dxfId="2">
      <formula>AND(IF($Q21=2,1,0),IF($X21&lt;30,1,0))</formula>
    </cfRule>
    <cfRule type="expression" priority="1647" dxfId="1">
      <formula>AND(IF($Q21=3,1,0),IF($X21&lt;30,1,0))</formula>
    </cfRule>
    <cfRule type="expression" priority="1648" dxfId="0">
      <formula>AND(IF($Q21=3,1,IF($Q21=4,1,0)),IF($F21&lt;=85,1,0))</formula>
    </cfRule>
  </conditionalFormatting>
  <conditionalFormatting sqref="AI21">
    <cfRule type="expression" priority="1641" dxfId="3">
      <formula>AND(IF(OR($Q21=1,$Q21=2),1,0),IF($X21&lt;=20,1,0))</formula>
    </cfRule>
    <cfRule type="expression" priority="1642" dxfId="2">
      <formula>AND(IF($Q21=2,1,0),IF($X21&lt;30,1,0))</formula>
    </cfRule>
    <cfRule type="expression" priority="1643" dxfId="1">
      <formula>AND(IF($Q21=3,1,0),IF($X21&lt;30,1,0))</formula>
    </cfRule>
    <cfRule type="expression" priority="1644" dxfId="0">
      <formula>AND(IF($Q21=3,1,IF($Q21=4,1,0)),IF($F21&lt;=85,1,0))</formula>
    </cfRule>
  </conditionalFormatting>
  <conditionalFormatting sqref="AV22">
    <cfRule type="expression" priority="1639" dxfId="19">
      <formula>AV22="X"</formula>
    </cfRule>
    <cfRule type="expression" priority="1640" dxfId="18">
      <formula>AV22="후보"</formula>
    </cfRule>
  </conditionalFormatting>
  <conditionalFormatting sqref="AC22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N22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E22">
    <cfRule type="expression" priority="1630" dxfId="3">
      <formula>AND(IF(OR($Q22=1,$Q22=2),1,0),IF($X22&lt;=20,1,0))</formula>
    </cfRule>
    <cfRule type="expression" priority="1631" dxfId="2">
      <formula>AND(IF($Q22=2,1,0),IF($X22&lt;30,1,0))</formula>
    </cfRule>
    <cfRule type="expression" priority="1632" dxfId="1">
      <formula>AND(IF($Q22=3,1,0),IF($X22&lt;30,1,0))</formula>
    </cfRule>
    <cfRule type="expression" priority="1633" dxfId="0">
      <formula>AND(IF($Q22=3,1,IF($Q22=4,1,0)),IF($F22&lt;=85,1,0))</formula>
    </cfRule>
  </conditionalFormatting>
  <conditionalFormatting sqref="X22">
    <cfRule type="expression" priority="1626" dxfId="3">
      <formula>AND(IF(OR($Q22=1,$Q22=2),1,0),IF($X22&lt;=20,1,0))</formula>
    </cfRule>
    <cfRule type="expression" priority="1627" dxfId="2">
      <formula>AND(IF($Q22=2,1,0),IF($X22&lt;30,1,0))</formula>
    </cfRule>
    <cfRule type="expression" priority="1628" dxfId="1">
      <formula>AND(IF($Q22=3,1,0),IF($X22&lt;30,1,0))</formula>
    </cfRule>
    <cfRule type="expression" priority="1629" dxfId="0">
      <formula>AND(IF($Q22=3,1,IF($Q22=4,1,0)),IF($F22&lt;=85,1,0))</formula>
    </cfRule>
  </conditionalFormatting>
  <conditionalFormatting sqref="AI22">
    <cfRule type="expression" priority="1622" dxfId="3">
      <formula>AND(IF(OR($Q22=1,$Q22=2),1,0),IF($X22&lt;=20,1,0))</formula>
    </cfRule>
    <cfRule type="expression" priority="1623" dxfId="2">
      <formula>AND(IF($Q22=2,1,0),IF($X22&lt;30,1,0))</formula>
    </cfRule>
    <cfRule type="expression" priority="1624" dxfId="1">
      <formula>AND(IF($Q22=3,1,0),IF($X22&lt;30,1,0))</formula>
    </cfRule>
    <cfRule type="expression" priority="1625" dxfId="0">
      <formula>AND(IF($Q22=3,1,IF($Q22=4,1,0)),IF($F22&lt;=85,1,0))</formula>
    </cfRule>
  </conditionalFormatting>
  <conditionalFormatting sqref="AV23">
    <cfRule type="expression" priority="1620" dxfId="19">
      <formula>AV23="X"</formula>
    </cfRule>
    <cfRule type="expression" priority="1621" dxfId="18">
      <formula>AV23="후보"</formula>
    </cfRule>
  </conditionalFormatting>
  <conditionalFormatting sqref="AC23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23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23">
    <cfRule type="expression" priority="1611" dxfId="3">
      <formula>AND(IF(OR($Q23=1,$Q23=2),1,0),IF($X23&lt;=20,1,0))</formula>
    </cfRule>
    <cfRule type="expression" priority="1612" dxfId="2">
      <formula>AND(IF($Q23=2,1,0),IF($X23&lt;30,1,0))</formula>
    </cfRule>
    <cfRule type="expression" priority="1613" dxfId="1">
      <formula>AND(IF($Q23=3,1,0),IF($X23&lt;30,1,0))</formula>
    </cfRule>
    <cfRule type="expression" priority="1614" dxfId="0">
      <formula>AND(IF($Q23=3,1,IF($Q23=4,1,0)),IF($F23&lt;=85,1,0))</formula>
    </cfRule>
  </conditionalFormatting>
  <conditionalFormatting sqref="X23">
    <cfRule type="expression" priority="1607" dxfId="3">
      <formula>AND(IF(OR($Q23=1,$Q23=2),1,0),IF($X23&lt;=20,1,0))</formula>
    </cfRule>
    <cfRule type="expression" priority="1608" dxfId="2">
      <formula>AND(IF($Q23=2,1,0),IF($X23&lt;30,1,0))</formula>
    </cfRule>
    <cfRule type="expression" priority="1609" dxfId="1">
      <formula>AND(IF($Q23=3,1,0),IF($X23&lt;30,1,0))</formula>
    </cfRule>
    <cfRule type="expression" priority="1610" dxfId="0">
      <formula>AND(IF($Q23=3,1,IF($Q23=4,1,0)),IF($F23&lt;=85,1,0))</formula>
    </cfRule>
  </conditionalFormatting>
  <conditionalFormatting sqref="AI23">
    <cfRule type="expression" priority="1603" dxfId="3">
      <formula>AND(IF(OR($Q23=1,$Q23=2),1,0),IF($X23&lt;=20,1,0))</formula>
    </cfRule>
    <cfRule type="expression" priority="1604" dxfId="2">
      <formula>AND(IF($Q23=2,1,0),IF($X23&lt;30,1,0))</formula>
    </cfRule>
    <cfRule type="expression" priority="1605" dxfId="1">
      <formula>AND(IF($Q23=3,1,0),IF($X23&lt;30,1,0))</formula>
    </cfRule>
    <cfRule type="expression" priority="1606" dxfId="0">
      <formula>AND(IF($Q23=3,1,IF($Q23=4,1,0)),IF($F23&lt;=85,1,0))</formula>
    </cfRule>
  </conditionalFormatting>
  <conditionalFormatting sqref="AV24">
    <cfRule type="expression" priority="1601" dxfId="19">
      <formula>AV24="X"</formula>
    </cfRule>
    <cfRule type="expression" priority="1602" dxfId="18">
      <formula>AV24="후보"</formula>
    </cfRule>
  </conditionalFormatting>
  <conditionalFormatting sqref="AC24 N24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AV25">
    <cfRule type="expression" priority="1596" dxfId="19">
      <formula>AV25="X"</formula>
    </cfRule>
    <cfRule type="expression" priority="1597" dxfId="18">
      <formula>AV25="후보"</formula>
    </cfRule>
  </conditionalFormatting>
  <conditionalFormatting sqref="AC25">
    <cfRule type="cellIs" priority="1593" operator="greaterThan" dxfId="13">
      <formula>0.9</formula>
    </cfRule>
    <cfRule type="cellIs" priority="1594" operator="greaterThan" dxfId="12">
      <formula>0.85</formula>
    </cfRule>
  </conditionalFormatting>
  <conditionalFormatting sqref="N2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E25">
    <cfRule type="expression" priority="1587" dxfId="3">
      <formula>AND(IF(OR($Q25=1,$Q25=2),1,0),IF($X25&lt;=20,1,0))</formula>
    </cfRule>
    <cfRule type="expression" priority="1588" dxfId="2">
      <formula>AND(IF($Q25=2,1,0),IF($X25&lt;30,1,0))</formula>
    </cfRule>
    <cfRule type="expression" priority="1589" dxfId="1">
      <formula>AND(IF($Q25=3,1,0),IF($X25&lt;30,1,0))</formula>
    </cfRule>
    <cfRule type="expression" priority="1590" dxfId="0">
      <formula>AND(IF($Q25=3,1,IF($Q25=4,1,0)),IF($F25&lt;=85,1,0))</formula>
    </cfRule>
  </conditionalFormatting>
  <conditionalFormatting sqref="X25">
    <cfRule type="expression" priority="1583" dxfId="3">
      <formula>AND(IF(OR($Q25=1,$Q25=2),1,0),IF($X25&lt;=20,1,0))</formula>
    </cfRule>
    <cfRule type="expression" priority="1584" dxfId="2">
      <formula>AND(IF($Q25=2,1,0),IF($X25&lt;30,1,0))</formula>
    </cfRule>
    <cfRule type="expression" priority="1585" dxfId="1">
      <formula>AND(IF($Q25=3,1,0),IF($X25&lt;30,1,0))</formula>
    </cfRule>
    <cfRule type="expression" priority="1586" dxfId="0">
      <formula>AND(IF($Q25=3,1,IF($Q25=4,1,0)),IF($F25&lt;=85,1,0))</formula>
    </cfRule>
  </conditionalFormatting>
  <conditionalFormatting sqref="AI25">
    <cfRule type="expression" priority="1579" dxfId="3">
      <formula>AND(IF(OR($Q25=1,$Q25=2),1,0),IF($X25&lt;=20,1,0))</formula>
    </cfRule>
    <cfRule type="expression" priority="1580" dxfId="2">
      <formula>AND(IF($Q25=2,1,0),IF($X25&lt;30,1,0))</formula>
    </cfRule>
    <cfRule type="expression" priority="1581" dxfId="1">
      <formula>AND(IF($Q25=3,1,0),IF($X25&lt;30,1,0))</formula>
    </cfRule>
    <cfRule type="expression" priority="1582" dxfId="0">
      <formula>AND(IF($Q25=3,1,IF($Q25=4,1,0)),IF($F25&lt;=85,1,0))</formula>
    </cfRule>
  </conditionalFormatting>
  <conditionalFormatting sqref="AV26">
    <cfRule type="expression" priority="1577" dxfId="19">
      <formula>AV26="X"</formula>
    </cfRule>
    <cfRule type="expression" priority="1578" dxfId="18">
      <formula>AV26="후보"</formula>
    </cfRule>
  </conditionalFormatting>
  <conditionalFormatting sqref="AC26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N26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E26">
    <cfRule type="expression" priority="1568" dxfId="3">
      <formula>AND(IF(OR($Q26=1,$Q26=2),1,0),IF($X26&lt;=20,1,0))</formula>
    </cfRule>
    <cfRule type="expression" priority="1569" dxfId="2">
      <formula>AND(IF($Q26=2,1,0),IF($X26&lt;30,1,0))</formula>
    </cfRule>
    <cfRule type="expression" priority="1570" dxfId="1">
      <formula>AND(IF($Q26=3,1,0),IF($X26&lt;30,1,0))</formula>
    </cfRule>
    <cfRule type="expression" priority="1571" dxfId="0">
      <formula>AND(IF($Q26=3,1,IF($Q26=4,1,0)),IF($F26&lt;=85,1,0))</formula>
    </cfRule>
  </conditionalFormatting>
  <conditionalFormatting sqref="X26">
    <cfRule type="expression" priority="1564" dxfId="3">
      <formula>AND(IF(OR($Q26=1,$Q26=2),1,0),IF($X26&lt;=20,1,0))</formula>
    </cfRule>
    <cfRule type="expression" priority="1565" dxfId="2">
      <formula>AND(IF($Q26=2,1,0),IF($X26&lt;30,1,0))</formula>
    </cfRule>
    <cfRule type="expression" priority="1566" dxfId="1">
      <formula>AND(IF($Q26=3,1,0),IF($X26&lt;30,1,0))</formula>
    </cfRule>
    <cfRule type="expression" priority="1567" dxfId="0">
      <formula>AND(IF($Q26=3,1,IF($Q26=4,1,0)),IF($F26&lt;=85,1,0))</formula>
    </cfRule>
  </conditionalFormatting>
  <conditionalFormatting sqref="AI26">
    <cfRule type="expression" priority="1560" dxfId="3">
      <formula>AND(IF(OR($Q26=1,$Q26=2),1,0),IF($X26&lt;=20,1,0))</formula>
    </cfRule>
    <cfRule type="expression" priority="1561" dxfId="2">
      <formula>AND(IF($Q26=2,1,0),IF($X26&lt;30,1,0))</formula>
    </cfRule>
    <cfRule type="expression" priority="1562" dxfId="1">
      <formula>AND(IF($Q26=3,1,0),IF($X26&lt;30,1,0))</formula>
    </cfRule>
    <cfRule type="expression" priority="1563" dxfId="0">
      <formula>AND(IF($Q26=3,1,IF($Q26=4,1,0)),IF($F26&lt;=85,1,0))</formula>
    </cfRule>
  </conditionalFormatting>
  <conditionalFormatting sqref="AV27">
    <cfRule type="expression" priority="1558" dxfId="19">
      <formula>AV27="X"</formula>
    </cfRule>
    <cfRule type="expression" priority="1559" dxfId="18">
      <formula>AV27="후보"</formula>
    </cfRule>
  </conditionalFormatting>
  <conditionalFormatting sqref="AC27">
    <cfRule type="cellIs" priority="1555" operator="greaterThan" dxfId="13">
      <formula>0.9</formula>
    </cfRule>
    <cfRule type="cellIs" priority="1556" operator="greaterThan" dxfId="12">
      <formula>0.85</formula>
    </cfRule>
  </conditionalFormatting>
  <conditionalFormatting sqref="N27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27">
    <cfRule type="expression" priority="1549" dxfId="3">
      <formula>AND(IF(OR($Q27=1,$Q27=2),1,0),IF($X27&lt;=20,1,0))</formula>
    </cfRule>
    <cfRule type="expression" priority="1550" dxfId="2">
      <formula>AND(IF($Q27=2,1,0),IF($X27&lt;30,1,0))</formula>
    </cfRule>
    <cfRule type="expression" priority="1551" dxfId="1">
      <formula>AND(IF($Q27=3,1,0),IF($X27&lt;30,1,0))</formula>
    </cfRule>
    <cfRule type="expression" priority="1552" dxfId="0">
      <formula>AND(IF($Q27=3,1,IF($Q27=4,1,0)),IF($F27&lt;=85,1,0))</formula>
    </cfRule>
  </conditionalFormatting>
  <conditionalFormatting sqref="X27">
    <cfRule type="expression" priority="1545" dxfId="3">
      <formula>AND(IF(OR($Q27=1,$Q27=2),1,0),IF($X27&lt;=20,1,0))</formula>
    </cfRule>
    <cfRule type="expression" priority="1546" dxfId="2">
      <formula>AND(IF($Q27=2,1,0),IF($X27&lt;30,1,0))</formula>
    </cfRule>
    <cfRule type="expression" priority="1547" dxfId="1">
      <formula>AND(IF($Q27=3,1,0),IF($X27&lt;30,1,0))</formula>
    </cfRule>
    <cfRule type="expression" priority="1548" dxfId="0">
      <formula>AND(IF($Q27=3,1,IF($Q27=4,1,0)),IF($F27&lt;=85,1,0))</formula>
    </cfRule>
  </conditionalFormatting>
  <conditionalFormatting sqref="AI27">
    <cfRule type="expression" priority="1541" dxfId="3">
      <formula>AND(IF(OR($Q27=1,$Q27=2),1,0),IF($X27&lt;=20,1,0))</formula>
    </cfRule>
    <cfRule type="expression" priority="1542" dxfId="2">
      <formula>AND(IF($Q27=2,1,0),IF($X27&lt;30,1,0))</formula>
    </cfRule>
    <cfRule type="expression" priority="1543" dxfId="1">
      <formula>AND(IF($Q27=3,1,0),IF($X27&lt;30,1,0))</formula>
    </cfRule>
    <cfRule type="expression" priority="1544" dxfId="0">
      <formula>AND(IF($Q27=3,1,IF($Q27=4,1,0)),IF($F27&lt;=85,1,0))</formula>
    </cfRule>
  </conditionalFormatting>
  <conditionalFormatting sqref="AV28">
    <cfRule type="expression" priority="1539" dxfId="19">
      <formula>AV28="X"</formula>
    </cfRule>
    <cfRule type="expression" priority="1540" dxfId="18">
      <formula>AV28="후보"</formula>
    </cfRule>
  </conditionalFormatting>
  <conditionalFormatting sqref="AC28 N28">
    <cfRule type="cellIs" priority="1536" operator="greaterThan" dxfId="13">
      <formula>0.9</formula>
    </cfRule>
    <cfRule type="cellIs" priority="1537" operator="greaterThan" dxfId="12">
      <formula>0.85</formula>
    </cfRule>
  </conditionalFormatting>
  <conditionalFormatting sqref="AV29">
    <cfRule type="expression" priority="1534" dxfId="19">
      <formula>AV29="X"</formula>
    </cfRule>
    <cfRule type="expression" priority="1535" dxfId="18">
      <formula>AV29="후보"</formula>
    </cfRule>
  </conditionalFormatting>
  <conditionalFormatting sqref="AC29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N29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E29">
    <cfRule type="expression" priority="1525" dxfId="3">
      <formula>AND(IF(OR($Q29=1,$Q29=2),1,0),IF($X29&lt;=20,1,0))</formula>
    </cfRule>
    <cfRule type="expression" priority="1526" dxfId="2">
      <formula>AND(IF($Q29=2,1,0),IF($X29&lt;30,1,0))</formula>
    </cfRule>
    <cfRule type="expression" priority="1527" dxfId="1">
      <formula>AND(IF($Q29=3,1,0),IF($X29&lt;30,1,0))</formula>
    </cfRule>
    <cfRule type="expression" priority="1528" dxfId="0">
      <formula>AND(IF($Q29=3,1,IF($Q29=4,1,0)),IF($F29&lt;=85,1,0))</formula>
    </cfRule>
  </conditionalFormatting>
  <conditionalFormatting sqref="X29">
    <cfRule type="expression" priority="1521" dxfId="3">
      <formula>AND(IF(OR($Q29=1,$Q29=2),1,0),IF($X29&lt;=20,1,0))</formula>
    </cfRule>
    <cfRule type="expression" priority="1522" dxfId="2">
      <formula>AND(IF($Q29=2,1,0),IF($X29&lt;30,1,0))</formula>
    </cfRule>
    <cfRule type="expression" priority="1523" dxfId="1">
      <formula>AND(IF($Q29=3,1,0),IF($X29&lt;30,1,0))</formula>
    </cfRule>
    <cfRule type="expression" priority="1524" dxfId="0">
      <formula>AND(IF($Q29=3,1,IF($Q29=4,1,0)),IF($F29&lt;=85,1,0))</formula>
    </cfRule>
  </conditionalFormatting>
  <conditionalFormatting sqref="AI29">
    <cfRule type="expression" priority="1517" dxfId="3">
      <formula>AND(IF(OR($Q29=1,$Q29=2),1,0),IF($X29&lt;=20,1,0))</formula>
    </cfRule>
    <cfRule type="expression" priority="1518" dxfId="2">
      <formula>AND(IF($Q29=2,1,0),IF($X29&lt;30,1,0))</formula>
    </cfRule>
    <cfRule type="expression" priority="1519" dxfId="1">
      <formula>AND(IF($Q29=3,1,0),IF($X29&lt;30,1,0))</formula>
    </cfRule>
    <cfRule type="expression" priority="1520" dxfId="0">
      <formula>AND(IF($Q29=3,1,IF($Q29=4,1,0)),IF($F29&lt;=85,1,0))</formula>
    </cfRule>
  </conditionalFormatting>
  <conditionalFormatting sqref="AV30">
    <cfRule type="expression" priority="1515" dxfId="19">
      <formula>AV30="X"</formula>
    </cfRule>
    <cfRule type="expression" priority="1516" dxfId="18">
      <formula>AV30="후보"</formula>
    </cfRule>
  </conditionalFormatting>
  <conditionalFormatting sqref="AC30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N30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E30">
    <cfRule type="expression" priority="1506" dxfId="3">
      <formula>AND(IF(OR($Q30=1,$Q30=2),1,0),IF($X30&lt;=20,1,0))</formula>
    </cfRule>
    <cfRule type="expression" priority="1507" dxfId="2">
      <formula>AND(IF($Q30=2,1,0),IF($X30&lt;30,1,0))</formula>
    </cfRule>
    <cfRule type="expression" priority="1508" dxfId="1">
      <formula>AND(IF($Q30=3,1,0),IF($X30&lt;30,1,0))</formula>
    </cfRule>
    <cfRule type="expression" priority="1509" dxfId="0">
      <formula>AND(IF($Q30=3,1,IF($Q30=4,1,0)),IF($F30&lt;=85,1,0))</formula>
    </cfRule>
  </conditionalFormatting>
  <conditionalFormatting sqref="X30">
    <cfRule type="expression" priority="1502" dxfId="3">
      <formula>AND(IF(OR($Q30=1,$Q30=2),1,0),IF($X30&lt;=20,1,0))</formula>
    </cfRule>
    <cfRule type="expression" priority="1503" dxfId="2">
      <formula>AND(IF($Q30=2,1,0),IF($X30&lt;30,1,0))</formula>
    </cfRule>
    <cfRule type="expression" priority="1504" dxfId="1">
      <formula>AND(IF($Q30=3,1,0),IF($X30&lt;30,1,0))</formula>
    </cfRule>
    <cfRule type="expression" priority="1505" dxfId="0">
      <formula>AND(IF($Q30=3,1,IF($Q30=4,1,0)),IF($F30&lt;=85,1,0))</formula>
    </cfRule>
  </conditionalFormatting>
  <conditionalFormatting sqref="AI30">
    <cfRule type="expression" priority="1498" dxfId="3">
      <formula>AND(IF(OR($Q30=1,$Q30=2),1,0),IF($X30&lt;=20,1,0))</formula>
    </cfRule>
    <cfRule type="expression" priority="1499" dxfId="2">
      <formula>AND(IF($Q30=2,1,0),IF($X30&lt;30,1,0))</formula>
    </cfRule>
    <cfRule type="expression" priority="1500" dxfId="1">
      <formula>AND(IF($Q30=3,1,0),IF($X30&lt;30,1,0))</formula>
    </cfRule>
    <cfRule type="expression" priority="1501" dxfId="0">
      <formula>AND(IF($Q30=3,1,IF($Q30=4,1,0)),IF($F30&lt;=85,1,0))</formula>
    </cfRule>
  </conditionalFormatting>
  <conditionalFormatting sqref="AV31">
    <cfRule type="expression" priority="1496" dxfId="19">
      <formula>AV31="X"</formula>
    </cfRule>
    <cfRule type="expression" priority="1497" dxfId="18">
      <formula>AV31="후보"</formula>
    </cfRule>
  </conditionalFormatting>
  <conditionalFormatting sqref="AC31 N31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AV32">
    <cfRule type="expression" priority="1491" dxfId="19">
      <formula>AV32="X"</formula>
    </cfRule>
    <cfRule type="expression" priority="1492" dxfId="18">
      <formula>AV32="후보"</formula>
    </cfRule>
  </conditionalFormatting>
  <conditionalFormatting sqref="AC32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N32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E32">
    <cfRule type="expression" priority="1482" dxfId="3">
      <formula>AND(IF(OR($Q32=1,$Q32=2),1,0),IF($X32&lt;=20,1,0))</formula>
    </cfRule>
    <cfRule type="expression" priority="1483" dxfId="2">
      <formula>AND(IF($Q32=2,1,0),IF($X32&lt;30,1,0))</formula>
    </cfRule>
    <cfRule type="expression" priority="1484" dxfId="1">
      <formula>AND(IF($Q32=3,1,0),IF($X32&lt;30,1,0))</formula>
    </cfRule>
    <cfRule type="expression" priority="1485" dxfId="0">
      <formula>AND(IF($Q32=3,1,IF($Q32=4,1,0)),IF($F32&lt;=85,1,0))</formula>
    </cfRule>
  </conditionalFormatting>
  <conditionalFormatting sqref="X32">
    <cfRule type="expression" priority="1478" dxfId="3">
      <formula>AND(IF(OR($Q32=1,$Q32=2),1,0),IF($X32&lt;=20,1,0))</formula>
    </cfRule>
    <cfRule type="expression" priority="1479" dxfId="2">
      <formula>AND(IF($Q32=2,1,0),IF($X32&lt;30,1,0))</formula>
    </cfRule>
    <cfRule type="expression" priority="1480" dxfId="1">
      <formula>AND(IF($Q32=3,1,0),IF($X32&lt;30,1,0))</formula>
    </cfRule>
    <cfRule type="expression" priority="1481" dxfId="0">
      <formula>AND(IF($Q32=3,1,IF($Q32=4,1,0)),IF($F32&lt;=85,1,0))</formula>
    </cfRule>
  </conditionalFormatting>
  <conditionalFormatting sqref="AI32">
    <cfRule type="expression" priority="1474" dxfId="3">
      <formula>AND(IF(OR($Q32=1,$Q32=2),1,0),IF($X32&lt;=20,1,0))</formula>
    </cfRule>
    <cfRule type="expression" priority="1475" dxfId="2">
      <formula>AND(IF($Q32=2,1,0),IF($X32&lt;30,1,0))</formula>
    </cfRule>
    <cfRule type="expression" priority="1476" dxfId="1">
      <formula>AND(IF($Q32=3,1,0),IF($X32&lt;30,1,0))</formula>
    </cfRule>
    <cfRule type="expression" priority="1477" dxfId="0">
      <formula>AND(IF($Q32=3,1,IF($Q32=4,1,0)),IF($F32&lt;=85,1,0))</formula>
    </cfRule>
  </conditionalFormatting>
  <conditionalFormatting sqref="AV33">
    <cfRule type="expression" priority="1472" dxfId="19">
      <formula>AV33="X"</formula>
    </cfRule>
    <cfRule type="expression" priority="1473" dxfId="18">
      <formula>AV33="후보"</formula>
    </cfRule>
  </conditionalFormatting>
  <conditionalFormatting sqref="AC33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33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33">
    <cfRule type="expression" priority="1463" dxfId="3">
      <formula>AND(IF(OR($Q33=1,$Q33=2),1,0),IF($X33&lt;=20,1,0))</formula>
    </cfRule>
    <cfRule type="expression" priority="1464" dxfId="2">
      <formula>AND(IF($Q33=2,1,0),IF($X33&lt;30,1,0))</formula>
    </cfRule>
    <cfRule type="expression" priority="1465" dxfId="1">
      <formula>AND(IF($Q33=3,1,0),IF($X33&lt;30,1,0))</formula>
    </cfRule>
    <cfRule type="expression" priority="1466" dxfId="0">
      <formula>AND(IF($Q33=3,1,IF($Q33=4,1,0)),IF($F33&lt;=85,1,0))</formula>
    </cfRule>
  </conditionalFormatting>
  <conditionalFormatting sqref="X33">
    <cfRule type="expression" priority="1459" dxfId="3">
      <formula>AND(IF(OR($Q33=1,$Q33=2),1,0),IF($X33&lt;=20,1,0))</formula>
    </cfRule>
    <cfRule type="expression" priority="1460" dxfId="2">
      <formula>AND(IF($Q33=2,1,0),IF($X33&lt;30,1,0))</formula>
    </cfRule>
    <cfRule type="expression" priority="1461" dxfId="1">
      <formula>AND(IF($Q33=3,1,0),IF($X33&lt;30,1,0))</formula>
    </cfRule>
    <cfRule type="expression" priority="1462" dxfId="0">
      <formula>AND(IF($Q33=3,1,IF($Q33=4,1,0)),IF($F33&lt;=85,1,0))</formula>
    </cfRule>
  </conditionalFormatting>
  <conditionalFormatting sqref="AI33">
    <cfRule type="expression" priority="1455" dxfId="3">
      <formula>AND(IF(OR($Q33=1,$Q33=2),1,0),IF($X33&lt;=20,1,0))</formula>
    </cfRule>
    <cfRule type="expression" priority="1456" dxfId="2">
      <formula>AND(IF($Q33=2,1,0),IF($X33&lt;30,1,0))</formula>
    </cfRule>
    <cfRule type="expression" priority="1457" dxfId="1">
      <formula>AND(IF($Q33=3,1,0),IF($X33&lt;30,1,0))</formula>
    </cfRule>
    <cfRule type="expression" priority="1458" dxfId="0">
      <formula>AND(IF($Q33=3,1,IF($Q33=4,1,0)),IF($F33&lt;=85,1,0))</formula>
    </cfRule>
  </conditionalFormatting>
  <conditionalFormatting sqref="AV34">
    <cfRule type="expression" priority="1453" dxfId="19">
      <formula>AV34="X"</formula>
    </cfRule>
    <cfRule type="expression" priority="1454" dxfId="18">
      <formula>AV34="후보"</formula>
    </cfRule>
  </conditionalFormatting>
  <conditionalFormatting sqref="AC34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34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34">
    <cfRule type="expression" priority="1444" dxfId="3">
      <formula>AND(IF(OR($Q34=1,$Q34=2),1,0),IF($X34&lt;=20,1,0))</formula>
    </cfRule>
    <cfRule type="expression" priority="1445" dxfId="2">
      <formula>AND(IF($Q34=2,1,0),IF($X34&lt;30,1,0))</formula>
    </cfRule>
    <cfRule type="expression" priority="1446" dxfId="1">
      <formula>AND(IF($Q34=3,1,0),IF($X34&lt;30,1,0))</formula>
    </cfRule>
    <cfRule type="expression" priority="1447" dxfId="0">
      <formula>AND(IF($Q34=3,1,IF($Q34=4,1,0)),IF($F34&lt;=85,1,0))</formula>
    </cfRule>
  </conditionalFormatting>
  <conditionalFormatting sqref="X34">
    <cfRule type="expression" priority="1440" dxfId="3">
      <formula>AND(IF(OR($Q34=1,$Q34=2),1,0),IF($X34&lt;=20,1,0))</formula>
    </cfRule>
    <cfRule type="expression" priority="1441" dxfId="2">
      <formula>AND(IF($Q34=2,1,0),IF($X34&lt;30,1,0))</formula>
    </cfRule>
    <cfRule type="expression" priority="1442" dxfId="1">
      <formula>AND(IF($Q34=3,1,0),IF($X34&lt;30,1,0))</formula>
    </cfRule>
    <cfRule type="expression" priority="1443" dxfId="0">
      <formula>AND(IF($Q34=3,1,IF($Q34=4,1,0)),IF($F34&lt;=85,1,0))</formula>
    </cfRule>
  </conditionalFormatting>
  <conditionalFormatting sqref="AI34">
    <cfRule type="expression" priority="1436" dxfId="3">
      <formula>AND(IF(OR($Q34=1,$Q34=2),1,0),IF($X34&lt;=20,1,0))</formula>
    </cfRule>
    <cfRule type="expression" priority="1437" dxfId="2">
      <formula>AND(IF($Q34=2,1,0),IF($X34&lt;30,1,0))</formula>
    </cfRule>
    <cfRule type="expression" priority="1438" dxfId="1">
      <formula>AND(IF($Q34=3,1,0),IF($X34&lt;30,1,0))</formula>
    </cfRule>
    <cfRule type="expression" priority="1439" dxfId="0">
      <formula>AND(IF($Q34=3,1,IF($Q34=4,1,0)),IF($F34&lt;=85,1,0))</formula>
    </cfRule>
  </conditionalFormatting>
  <conditionalFormatting sqref="AV35">
    <cfRule type="expression" priority="1434" dxfId="19">
      <formula>AV35="X"</formula>
    </cfRule>
    <cfRule type="expression" priority="1435" dxfId="18">
      <formula>AV35="후보"</formula>
    </cfRule>
  </conditionalFormatting>
  <conditionalFormatting sqref="AC35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35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35">
    <cfRule type="expression" priority="1425" dxfId="3">
      <formula>AND(IF(OR($Q35=1,$Q35=2),1,0),IF($X35&lt;=20,1,0))</formula>
    </cfRule>
    <cfRule type="expression" priority="1426" dxfId="2">
      <formula>AND(IF($Q35=2,1,0),IF($X35&lt;30,1,0))</formula>
    </cfRule>
    <cfRule type="expression" priority="1427" dxfId="1">
      <formula>AND(IF($Q35=3,1,0),IF($X35&lt;30,1,0))</formula>
    </cfRule>
    <cfRule type="expression" priority="1428" dxfId="0">
      <formula>AND(IF($Q35=3,1,IF($Q35=4,1,0)),IF($F35&lt;=85,1,0))</formula>
    </cfRule>
  </conditionalFormatting>
  <conditionalFormatting sqref="X35">
    <cfRule type="expression" priority="1421" dxfId="3">
      <formula>AND(IF(OR($Q35=1,$Q35=2),1,0),IF($X35&lt;=20,1,0))</formula>
    </cfRule>
    <cfRule type="expression" priority="1422" dxfId="2">
      <formula>AND(IF($Q35=2,1,0),IF($X35&lt;30,1,0))</formula>
    </cfRule>
    <cfRule type="expression" priority="1423" dxfId="1">
      <formula>AND(IF($Q35=3,1,0),IF($X35&lt;30,1,0))</formula>
    </cfRule>
    <cfRule type="expression" priority="1424" dxfId="0">
      <formula>AND(IF($Q35=3,1,IF($Q35=4,1,0)),IF($F35&lt;=85,1,0))</formula>
    </cfRule>
  </conditionalFormatting>
  <conditionalFormatting sqref="AI35">
    <cfRule type="expression" priority="1417" dxfId="3">
      <formula>AND(IF(OR($Q35=1,$Q35=2),1,0),IF($X35&lt;=20,1,0))</formula>
    </cfRule>
    <cfRule type="expression" priority="1418" dxfId="2">
      <formula>AND(IF($Q35=2,1,0),IF($X35&lt;30,1,0))</formula>
    </cfRule>
    <cfRule type="expression" priority="1419" dxfId="1">
      <formula>AND(IF($Q35=3,1,0),IF($X35&lt;30,1,0))</formula>
    </cfRule>
    <cfRule type="expression" priority="1420" dxfId="0">
      <formula>AND(IF($Q35=3,1,IF($Q35=4,1,0)),IF($F35&lt;=85,1,0))</formula>
    </cfRule>
  </conditionalFormatting>
  <conditionalFormatting sqref="AV36">
    <cfRule type="expression" priority="1415" dxfId="19">
      <formula>AV36="X"</formula>
    </cfRule>
    <cfRule type="expression" priority="1416" dxfId="18">
      <formula>AV36="후보"</formula>
    </cfRule>
  </conditionalFormatting>
  <conditionalFormatting sqref="AC36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N36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E36">
    <cfRule type="expression" priority="1406" dxfId="3">
      <formula>AND(IF(OR($Q36=1,$Q36=2),1,0),IF($X36&lt;=20,1,0))</formula>
    </cfRule>
    <cfRule type="expression" priority="1407" dxfId="2">
      <formula>AND(IF($Q36=2,1,0),IF($X36&lt;30,1,0))</formula>
    </cfRule>
    <cfRule type="expression" priority="1408" dxfId="1">
      <formula>AND(IF($Q36=3,1,0),IF($X36&lt;30,1,0))</formula>
    </cfRule>
    <cfRule type="expression" priority="1409" dxfId="0">
      <formula>AND(IF($Q36=3,1,IF($Q36=4,1,0)),IF($F36&lt;=85,1,0))</formula>
    </cfRule>
  </conditionalFormatting>
  <conditionalFormatting sqref="X36">
    <cfRule type="expression" priority="1402" dxfId="3">
      <formula>AND(IF(OR($Q36=1,$Q36=2),1,0),IF($X36&lt;=20,1,0))</formula>
    </cfRule>
    <cfRule type="expression" priority="1403" dxfId="2">
      <formula>AND(IF($Q36=2,1,0),IF($X36&lt;30,1,0))</formula>
    </cfRule>
    <cfRule type="expression" priority="1404" dxfId="1">
      <formula>AND(IF($Q36=3,1,0),IF($X36&lt;30,1,0))</formula>
    </cfRule>
    <cfRule type="expression" priority="1405" dxfId="0">
      <formula>AND(IF($Q36=3,1,IF($Q36=4,1,0)),IF($F36&lt;=85,1,0))</formula>
    </cfRule>
  </conditionalFormatting>
  <conditionalFormatting sqref="AI36">
    <cfRule type="expression" priority="1398" dxfId="3">
      <formula>AND(IF(OR($Q36=1,$Q36=2),1,0),IF($X36&lt;=20,1,0))</formula>
    </cfRule>
    <cfRule type="expression" priority="1399" dxfId="2">
      <formula>AND(IF($Q36=2,1,0),IF($X36&lt;30,1,0))</formula>
    </cfRule>
    <cfRule type="expression" priority="1400" dxfId="1">
      <formula>AND(IF($Q36=3,1,0),IF($X36&lt;30,1,0))</formula>
    </cfRule>
    <cfRule type="expression" priority="1401" dxfId="0">
      <formula>AND(IF($Q36=3,1,IF($Q36=4,1,0)),IF($F36&lt;=85,1,0))</formula>
    </cfRule>
  </conditionalFormatting>
  <conditionalFormatting sqref="AV37">
    <cfRule type="expression" priority="1396" dxfId="19">
      <formula>AV37="X"</formula>
    </cfRule>
    <cfRule type="expression" priority="1397" dxfId="18">
      <formula>AV37="후보"</formula>
    </cfRule>
  </conditionalFormatting>
  <conditionalFormatting sqref="AC37 N37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AV38">
    <cfRule type="expression" priority="1391" dxfId="19">
      <formula>AV38="X"</formula>
    </cfRule>
    <cfRule type="expression" priority="1392" dxfId="18">
      <formula>AV38="후보"</formula>
    </cfRule>
  </conditionalFormatting>
  <conditionalFormatting sqref="AC38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38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38">
    <cfRule type="expression" priority="1382" dxfId="3">
      <formula>AND(IF(OR($Q38=1,$Q38=2),1,0),IF($X38&lt;=20,1,0))</formula>
    </cfRule>
    <cfRule type="expression" priority="1383" dxfId="2">
      <formula>AND(IF($Q38=2,1,0),IF($X38&lt;30,1,0))</formula>
    </cfRule>
    <cfRule type="expression" priority="1384" dxfId="1">
      <formula>AND(IF($Q38=3,1,0),IF($X38&lt;30,1,0))</formula>
    </cfRule>
    <cfRule type="expression" priority="1385" dxfId="0">
      <formula>AND(IF($Q38=3,1,IF($Q38=4,1,0)),IF($F38&lt;=85,1,0))</formula>
    </cfRule>
  </conditionalFormatting>
  <conditionalFormatting sqref="X38">
    <cfRule type="expression" priority="1378" dxfId="3">
      <formula>AND(IF(OR($Q38=1,$Q38=2),1,0),IF($X38&lt;=20,1,0))</formula>
    </cfRule>
    <cfRule type="expression" priority="1379" dxfId="2">
      <formula>AND(IF($Q38=2,1,0),IF($X38&lt;30,1,0))</formula>
    </cfRule>
    <cfRule type="expression" priority="1380" dxfId="1">
      <formula>AND(IF($Q38=3,1,0),IF($X38&lt;30,1,0))</formula>
    </cfRule>
    <cfRule type="expression" priority="1381" dxfId="0">
      <formula>AND(IF($Q38=3,1,IF($Q38=4,1,0)),IF($F38&lt;=85,1,0))</formula>
    </cfRule>
  </conditionalFormatting>
  <conditionalFormatting sqref="AI38">
    <cfRule type="expression" priority="1374" dxfId="3">
      <formula>AND(IF(OR($Q38=1,$Q38=2),1,0),IF($X38&lt;=20,1,0))</formula>
    </cfRule>
    <cfRule type="expression" priority="1375" dxfId="2">
      <formula>AND(IF($Q38=2,1,0),IF($X38&lt;30,1,0))</formula>
    </cfRule>
    <cfRule type="expression" priority="1376" dxfId="1">
      <formula>AND(IF($Q38=3,1,0),IF($X38&lt;30,1,0))</formula>
    </cfRule>
    <cfRule type="expression" priority="1377" dxfId="0">
      <formula>AND(IF($Q38=3,1,IF($Q38=4,1,0)),IF($F38&lt;=85,1,0))</formula>
    </cfRule>
  </conditionalFormatting>
  <conditionalFormatting sqref="AV39">
    <cfRule type="expression" priority="1372" dxfId="19">
      <formula>AV39="X"</formula>
    </cfRule>
    <cfRule type="expression" priority="1373" dxfId="18">
      <formula>AV39="후보"</formula>
    </cfRule>
  </conditionalFormatting>
  <conditionalFormatting sqref="AC39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39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39">
    <cfRule type="expression" priority="1363" dxfId="3">
      <formula>AND(IF(OR($Q39=1,$Q39=2),1,0),IF($X39&lt;=20,1,0))</formula>
    </cfRule>
    <cfRule type="expression" priority="1364" dxfId="2">
      <formula>AND(IF($Q39=2,1,0),IF($X39&lt;30,1,0))</formula>
    </cfRule>
    <cfRule type="expression" priority="1365" dxfId="1">
      <formula>AND(IF($Q39=3,1,0),IF($X39&lt;30,1,0))</formula>
    </cfRule>
    <cfRule type="expression" priority="1366" dxfId="0">
      <formula>AND(IF($Q39=3,1,IF($Q39=4,1,0)),IF($F39&lt;=85,1,0))</formula>
    </cfRule>
  </conditionalFormatting>
  <conditionalFormatting sqref="X39">
    <cfRule type="expression" priority="1359" dxfId="3">
      <formula>AND(IF(OR($Q39=1,$Q39=2),1,0),IF($X39&lt;=20,1,0))</formula>
    </cfRule>
    <cfRule type="expression" priority="1360" dxfId="2">
      <formula>AND(IF($Q39=2,1,0),IF($X39&lt;30,1,0))</formula>
    </cfRule>
    <cfRule type="expression" priority="1361" dxfId="1">
      <formula>AND(IF($Q39=3,1,0),IF($X39&lt;30,1,0))</formula>
    </cfRule>
    <cfRule type="expression" priority="1362" dxfId="0">
      <formula>AND(IF($Q39=3,1,IF($Q39=4,1,0)),IF($F39&lt;=85,1,0))</formula>
    </cfRule>
  </conditionalFormatting>
  <conditionalFormatting sqref="AI39">
    <cfRule type="expression" priority="1355" dxfId="3">
      <formula>AND(IF(OR($Q39=1,$Q39=2),1,0),IF($X39&lt;=20,1,0))</formula>
    </cfRule>
    <cfRule type="expression" priority="1356" dxfId="2">
      <formula>AND(IF($Q39=2,1,0),IF($X39&lt;30,1,0))</formula>
    </cfRule>
    <cfRule type="expression" priority="1357" dxfId="1">
      <formula>AND(IF($Q39=3,1,0),IF($X39&lt;30,1,0))</formula>
    </cfRule>
    <cfRule type="expression" priority="1358" dxfId="0">
      <formula>AND(IF($Q39=3,1,IF($Q39=4,1,0)),IF($F39&lt;=85,1,0))</formula>
    </cfRule>
  </conditionalFormatting>
  <conditionalFormatting sqref="AV40">
    <cfRule type="expression" priority="1353" dxfId="19">
      <formula>AV40="X"</formula>
    </cfRule>
    <cfRule type="expression" priority="1354" dxfId="18">
      <formula>AV40="후보"</formula>
    </cfRule>
  </conditionalFormatting>
  <conditionalFormatting sqref="AC40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40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E40">
    <cfRule type="expression" priority="1344" dxfId="3">
      <formula>AND(IF(OR($Q40=1,$Q40=2),1,0),IF($X40&lt;=20,1,0))</formula>
    </cfRule>
    <cfRule type="expression" priority="1345" dxfId="2">
      <formula>AND(IF($Q40=2,1,0),IF($X40&lt;30,1,0))</formula>
    </cfRule>
    <cfRule type="expression" priority="1346" dxfId="1">
      <formula>AND(IF($Q40=3,1,0),IF($X40&lt;30,1,0))</formula>
    </cfRule>
    <cfRule type="expression" priority="1347" dxfId="0">
      <formula>AND(IF($Q40=3,1,IF($Q40=4,1,0)),IF($F40&lt;=85,1,0))</formula>
    </cfRule>
  </conditionalFormatting>
  <conditionalFormatting sqref="X40">
    <cfRule type="expression" priority="1340" dxfId="3">
      <formula>AND(IF(OR($Q40=1,$Q40=2),1,0),IF($X40&lt;=20,1,0))</formula>
    </cfRule>
    <cfRule type="expression" priority="1341" dxfId="2">
      <formula>AND(IF($Q40=2,1,0),IF($X40&lt;30,1,0))</formula>
    </cfRule>
    <cfRule type="expression" priority="1342" dxfId="1">
      <formula>AND(IF($Q40=3,1,0),IF($X40&lt;30,1,0))</formula>
    </cfRule>
    <cfRule type="expression" priority="1343" dxfId="0">
      <formula>AND(IF($Q40=3,1,IF($Q40=4,1,0)),IF($F40&lt;=85,1,0))</formula>
    </cfRule>
  </conditionalFormatting>
  <conditionalFormatting sqref="AI40">
    <cfRule type="expression" priority="1336" dxfId="3">
      <formula>AND(IF(OR($Q40=1,$Q40=2),1,0),IF($X40&lt;=20,1,0))</formula>
    </cfRule>
    <cfRule type="expression" priority="1337" dxfId="2">
      <formula>AND(IF($Q40=2,1,0),IF($X40&lt;30,1,0))</formula>
    </cfRule>
    <cfRule type="expression" priority="1338" dxfId="1">
      <formula>AND(IF($Q40=3,1,0),IF($X40&lt;30,1,0))</formula>
    </cfRule>
    <cfRule type="expression" priority="1339" dxfId="0">
      <formula>AND(IF($Q40=3,1,IF($Q40=4,1,0)),IF($F40&lt;=85,1,0))</formula>
    </cfRule>
  </conditionalFormatting>
  <conditionalFormatting sqref="AV41">
    <cfRule type="expression" priority="1334" dxfId="19">
      <formula>AV41="X"</formula>
    </cfRule>
    <cfRule type="expression" priority="1335" dxfId="18">
      <formula>AV41="후보"</formula>
    </cfRule>
  </conditionalFormatting>
  <conditionalFormatting sqref="AC41 N41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AV42">
    <cfRule type="expression" priority="1329" dxfId="19">
      <formula>AV42="X"</formula>
    </cfRule>
    <cfRule type="expression" priority="1330" dxfId="18">
      <formula>AV42="후보"</formula>
    </cfRule>
  </conditionalFormatting>
  <conditionalFormatting sqref="AC42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N42">
    <cfRule type="cellIs" priority="1324" operator="greaterThan" dxfId="13">
      <formula>0.9</formula>
    </cfRule>
    <cfRule type="cellIs" priority="1325" operator="greaterThan" dxfId="12">
      <formula>0.85</formula>
    </cfRule>
  </conditionalFormatting>
  <conditionalFormatting sqref="E42">
    <cfRule type="expression" priority="1320" dxfId="3">
      <formula>AND(IF(OR($Q42=1,$Q42=2),1,0),IF($X42&lt;=20,1,0))</formula>
    </cfRule>
    <cfRule type="expression" priority="1321" dxfId="2">
      <formula>AND(IF($Q42=2,1,0),IF($X42&lt;30,1,0))</formula>
    </cfRule>
    <cfRule type="expression" priority="1322" dxfId="1">
      <formula>AND(IF($Q42=3,1,0),IF($X42&lt;30,1,0))</formula>
    </cfRule>
    <cfRule type="expression" priority="1323" dxfId="0">
      <formula>AND(IF($Q42=3,1,IF($Q42=4,1,0)),IF($F42&lt;=85,1,0))</formula>
    </cfRule>
  </conditionalFormatting>
  <conditionalFormatting sqref="X42">
    <cfRule type="expression" priority="1316" dxfId="3">
      <formula>AND(IF(OR($Q42=1,$Q42=2),1,0),IF($X42&lt;=20,1,0))</formula>
    </cfRule>
    <cfRule type="expression" priority="1317" dxfId="2">
      <formula>AND(IF($Q42=2,1,0),IF($X42&lt;30,1,0))</formula>
    </cfRule>
    <cfRule type="expression" priority="1318" dxfId="1">
      <formula>AND(IF($Q42=3,1,0),IF($X42&lt;30,1,0))</formula>
    </cfRule>
    <cfRule type="expression" priority="1319" dxfId="0">
      <formula>AND(IF($Q42=3,1,IF($Q42=4,1,0)),IF($F42&lt;=85,1,0))</formula>
    </cfRule>
  </conditionalFormatting>
  <conditionalFormatting sqref="AI42">
    <cfRule type="expression" priority="1312" dxfId="3">
      <formula>AND(IF(OR($Q42=1,$Q42=2),1,0),IF($X42&lt;=20,1,0))</formula>
    </cfRule>
    <cfRule type="expression" priority="1313" dxfId="2">
      <formula>AND(IF($Q42=2,1,0),IF($X42&lt;30,1,0))</formula>
    </cfRule>
    <cfRule type="expression" priority="1314" dxfId="1">
      <formula>AND(IF($Q42=3,1,0),IF($X42&lt;30,1,0))</formula>
    </cfRule>
    <cfRule type="expression" priority="1315" dxfId="0">
      <formula>AND(IF($Q42=3,1,IF($Q42=4,1,0)),IF($F42&lt;=85,1,0))</formula>
    </cfRule>
  </conditionalFormatting>
  <conditionalFormatting sqref="AV43">
    <cfRule type="expression" priority="1310" dxfId="19">
      <formula>AV43="X"</formula>
    </cfRule>
    <cfRule type="expression" priority="1311" dxfId="18">
      <formula>AV43="후보"</formula>
    </cfRule>
  </conditionalFormatting>
  <conditionalFormatting sqref="AC43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N43">
    <cfRule type="cellIs" priority="1305" operator="greaterThan" dxfId="13">
      <formula>0.9</formula>
    </cfRule>
    <cfRule type="cellIs" priority="1306" operator="greaterThan" dxfId="12">
      <formula>0.85</formula>
    </cfRule>
  </conditionalFormatting>
  <conditionalFormatting sqref="E43">
    <cfRule type="expression" priority="1301" dxfId="3">
      <formula>AND(IF(OR($Q43=1,$Q43=2),1,0),IF($X43&lt;=20,1,0))</formula>
    </cfRule>
    <cfRule type="expression" priority="1302" dxfId="2">
      <formula>AND(IF($Q43=2,1,0),IF($X43&lt;30,1,0))</formula>
    </cfRule>
    <cfRule type="expression" priority="1303" dxfId="1">
      <formula>AND(IF($Q43=3,1,0),IF($X43&lt;30,1,0))</formula>
    </cfRule>
    <cfRule type="expression" priority="1304" dxfId="0">
      <formula>AND(IF($Q43=3,1,IF($Q43=4,1,0)),IF($F43&lt;=85,1,0))</formula>
    </cfRule>
  </conditionalFormatting>
  <conditionalFormatting sqref="X43">
    <cfRule type="expression" priority="1297" dxfId="3">
      <formula>AND(IF(OR($Q43=1,$Q43=2),1,0),IF($X43&lt;=20,1,0))</formula>
    </cfRule>
    <cfRule type="expression" priority="1298" dxfId="2">
      <formula>AND(IF($Q43=2,1,0),IF($X43&lt;30,1,0))</formula>
    </cfRule>
    <cfRule type="expression" priority="1299" dxfId="1">
      <formula>AND(IF($Q43=3,1,0),IF($X43&lt;30,1,0))</formula>
    </cfRule>
    <cfRule type="expression" priority="1300" dxfId="0">
      <formula>AND(IF($Q43=3,1,IF($Q43=4,1,0)),IF($F43&lt;=85,1,0))</formula>
    </cfRule>
  </conditionalFormatting>
  <conditionalFormatting sqref="AI43">
    <cfRule type="expression" priority="1293" dxfId="3">
      <formula>AND(IF(OR($Q43=1,$Q43=2),1,0),IF($X43&lt;=20,1,0))</formula>
    </cfRule>
    <cfRule type="expression" priority="1294" dxfId="2">
      <formula>AND(IF($Q43=2,1,0),IF($X43&lt;30,1,0))</formula>
    </cfRule>
    <cfRule type="expression" priority="1295" dxfId="1">
      <formula>AND(IF($Q43=3,1,0),IF($X43&lt;30,1,0))</formula>
    </cfRule>
    <cfRule type="expression" priority="1296" dxfId="0">
      <formula>AND(IF($Q43=3,1,IF($Q43=4,1,0)),IF($F43&lt;=85,1,0))</formula>
    </cfRule>
  </conditionalFormatting>
  <conditionalFormatting sqref="AV44">
    <cfRule type="expression" priority="1291" dxfId="19">
      <formula>AV44="X"</formula>
    </cfRule>
    <cfRule type="expression" priority="1292" dxfId="18">
      <formula>AV44="후보"</formula>
    </cfRule>
  </conditionalFormatting>
  <conditionalFormatting sqref="AC44 N44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AV45">
    <cfRule type="expression" priority="1286" dxfId="19">
      <formula>AV45="X"</formula>
    </cfRule>
    <cfRule type="expression" priority="1287" dxfId="18">
      <formula>AV45="후보"</formula>
    </cfRule>
  </conditionalFormatting>
  <conditionalFormatting sqref="AC45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N45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E45">
    <cfRule type="expression" priority="1277" dxfId="3">
      <formula>AND(IF(OR($Q45=1,$Q45=2),1,0),IF($X45&lt;=20,1,0))</formula>
    </cfRule>
    <cfRule type="expression" priority="1278" dxfId="2">
      <formula>AND(IF($Q45=2,1,0),IF($X45&lt;30,1,0))</formula>
    </cfRule>
    <cfRule type="expression" priority="1279" dxfId="1">
      <formula>AND(IF($Q45=3,1,0),IF($X45&lt;30,1,0))</formula>
    </cfRule>
    <cfRule type="expression" priority="1280" dxfId="0">
      <formula>AND(IF($Q45=3,1,IF($Q45=4,1,0)),IF($F45&lt;=85,1,0))</formula>
    </cfRule>
  </conditionalFormatting>
  <conditionalFormatting sqref="X45">
    <cfRule type="expression" priority="1273" dxfId="3">
      <formula>AND(IF(OR($Q45=1,$Q45=2),1,0),IF($X45&lt;=20,1,0))</formula>
    </cfRule>
    <cfRule type="expression" priority="1274" dxfId="2">
      <formula>AND(IF($Q45=2,1,0),IF($X45&lt;30,1,0))</formula>
    </cfRule>
    <cfRule type="expression" priority="1275" dxfId="1">
      <formula>AND(IF($Q45=3,1,0),IF($X45&lt;30,1,0))</formula>
    </cfRule>
    <cfRule type="expression" priority="1276" dxfId="0">
      <formula>AND(IF($Q45=3,1,IF($Q45=4,1,0)),IF($F45&lt;=85,1,0))</formula>
    </cfRule>
  </conditionalFormatting>
  <conditionalFormatting sqref="AI45">
    <cfRule type="expression" priority="1269" dxfId="3">
      <formula>AND(IF(OR($Q45=1,$Q45=2),1,0),IF($X45&lt;=20,1,0))</formula>
    </cfRule>
    <cfRule type="expression" priority="1270" dxfId="2">
      <formula>AND(IF($Q45=2,1,0),IF($X45&lt;30,1,0))</formula>
    </cfRule>
    <cfRule type="expression" priority="1271" dxfId="1">
      <formula>AND(IF($Q45=3,1,0),IF($X45&lt;30,1,0))</formula>
    </cfRule>
    <cfRule type="expression" priority="1272" dxfId="0">
      <formula>AND(IF($Q45=3,1,IF($Q45=4,1,0)),IF($F45&lt;=85,1,0))</formula>
    </cfRule>
  </conditionalFormatting>
  <conditionalFormatting sqref="AV46">
    <cfRule type="expression" priority="1267" dxfId="19">
      <formula>AV46="X"</formula>
    </cfRule>
    <cfRule type="expression" priority="1268" dxfId="18">
      <formula>AV46="후보"</formula>
    </cfRule>
  </conditionalFormatting>
  <conditionalFormatting sqref="AC46 N46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AV47">
    <cfRule type="expression" priority="1262" dxfId="19">
      <formula>AV47="X"</formula>
    </cfRule>
    <cfRule type="expression" priority="1263" dxfId="18">
      <formula>AV47="후보"</formula>
    </cfRule>
  </conditionalFormatting>
  <conditionalFormatting sqref="AC47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N47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E47">
    <cfRule type="expression" priority="1253" dxfId="3">
      <formula>AND(IF(OR($Q47=1,$Q47=2),1,0),IF($X47&lt;=20,1,0))</formula>
    </cfRule>
    <cfRule type="expression" priority="1254" dxfId="2">
      <formula>AND(IF($Q47=2,1,0),IF($X47&lt;30,1,0))</formula>
    </cfRule>
    <cfRule type="expression" priority="1255" dxfId="1">
      <formula>AND(IF($Q47=3,1,0),IF($X47&lt;30,1,0))</formula>
    </cfRule>
    <cfRule type="expression" priority="1256" dxfId="0">
      <formula>AND(IF($Q47=3,1,IF($Q47=4,1,0)),IF($F47&lt;=85,1,0))</formula>
    </cfRule>
  </conditionalFormatting>
  <conditionalFormatting sqref="X47">
    <cfRule type="expression" priority="1249" dxfId="3">
      <formula>AND(IF(OR($Q47=1,$Q47=2),1,0),IF($X47&lt;=20,1,0))</formula>
    </cfRule>
    <cfRule type="expression" priority="1250" dxfId="2">
      <formula>AND(IF($Q47=2,1,0),IF($X47&lt;30,1,0))</formula>
    </cfRule>
    <cfRule type="expression" priority="1251" dxfId="1">
      <formula>AND(IF($Q47=3,1,0),IF($X47&lt;30,1,0))</formula>
    </cfRule>
    <cfRule type="expression" priority="1252" dxfId="0">
      <formula>AND(IF($Q47=3,1,IF($Q47=4,1,0)),IF($F47&lt;=85,1,0))</formula>
    </cfRule>
  </conditionalFormatting>
  <conditionalFormatting sqref="AI47">
    <cfRule type="expression" priority="1245" dxfId="3">
      <formula>AND(IF(OR($Q47=1,$Q47=2),1,0),IF($X47&lt;=20,1,0))</formula>
    </cfRule>
    <cfRule type="expression" priority="1246" dxfId="2">
      <formula>AND(IF($Q47=2,1,0),IF($X47&lt;30,1,0))</formula>
    </cfRule>
    <cfRule type="expression" priority="1247" dxfId="1">
      <formula>AND(IF($Q47=3,1,0),IF($X47&lt;30,1,0))</formula>
    </cfRule>
    <cfRule type="expression" priority="1248" dxfId="0">
      <formula>AND(IF($Q47=3,1,IF($Q47=4,1,0)),IF($F47&lt;=85,1,0))</formula>
    </cfRule>
  </conditionalFormatting>
  <conditionalFormatting sqref="AV48">
    <cfRule type="expression" priority="1243" dxfId="19">
      <formula>AV48="X"</formula>
    </cfRule>
    <cfRule type="expression" priority="1244" dxfId="18">
      <formula>AV48="후보"</formula>
    </cfRule>
  </conditionalFormatting>
  <conditionalFormatting sqref="AC48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N48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E48">
    <cfRule type="expression" priority="1234" dxfId="3">
      <formula>AND(IF(OR($Q48=1,$Q48=2),1,0),IF($X48&lt;=20,1,0))</formula>
    </cfRule>
    <cfRule type="expression" priority="1235" dxfId="2">
      <formula>AND(IF($Q48=2,1,0),IF($X48&lt;30,1,0))</formula>
    </cfRule>
    <cfRule type="expression" priority="1236" dxfId="1">
      <formula>AND(IF($Q48=3,1,0),IF($X48&lt;30,1,0))</formula>
    </cfRule>
    <cfRule type="expression" priority="1237" dxfId="0">
      <formula>AND(IF($Q48=3,1,IF($Q48=4,1,0)),IF($F48&lt;=85,1,0))</formula>
    </cfRule>
  </conditionalFormatting>
  <conditionalFormatting sqref="X48">
    <cfRule type="expression" priority="1230" dxfId="3">
      <formula>AND(IF(OR($Q48=1,$Q48=2),1,0),IF($X48&lt;=20,1,0))</formula>
    </cfRule>
    <cfRule type="expression" priority="1231" dxfId="2">
      <formula>AND(IF($Q48=2,1,0),IF($X48&lt;30,1,0))</formula>
    </cfRule>
    <cfRule type="expression" priority="1232" dxfId="1">
      <formula>AND(IF($Q48=3,1,0),IF($X48&lt;30,1,0))</formula>
    </cfRule>
    <cfRule type="expression" priority="1233" dxfId="0">
      <formula>AND(IF($Q48=3,1,IF($Q48=4,1,0)),IF($F48&lt;=85,1,0))</formula>
    </cfRule>
  </conditionalFormatting>
  <conditionalFormatting sqref="AI48">
    <cfRule type="expression" priority="1226" dxfId="3">
      <formula>AND(IF(OR($Q48=1,$Q48=2),1,0),IF($X48&lt;=20,1,0))</formula>
    </cfRule>
    <cfRule type="expression" priority="1227" dxfId="2">
      <formula>AND(IF($Q48=2,1,0),IF($X48&lt;30,1,0))</formula>
    </cfRule>
    <cfRule type="expression" priority="1228" dxfId="1">
      <formula>AND(IF($Q48=3,1,0),IF($X48&lt;30,1,0))</formula>
    </cfRule>
    <cfRule type="expression" priority="1229" dxfId="0">
      <formula>AND(IF($Q48=3,1,IF($Q48=4,1,0)),IF($F48&lt;=85,1,0))</formula>
    </cfRule>
  </conditionalFormatting>
  <conditionalFormatting sqref="AV49">
    <cfRule type="expression" priority="1224" dxfId="19">
      <formula>AV49="X"</formula>
    </cfRule>
    <cfRule type="expression" priority="1225" dxfId="18">
      <formula>AV49="후보"</formula>
    </cfRule>
  </conditionalFormatting>
  <conditionalFormatting sqref="AC49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4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49">
    <cfRule type="expression" priority="1215" dxfId="3">
      <formula>AND(IF(OR($Q49=1,$Q49=2),1,0),IF($X49&lt;=20,1,0))</formula>
    </cfRule>
    <cfRule type="expression" priority="1216" dxfId="2">
      <formula>AND(IF($Q49=2,1,0),IF($X49&lt;30,1,0))</formula>
    </cfRule>
    <cfRule type="expression" priority="1217" dxfId="1">
      <formula>AND(IF($Q49=3,1,0),IF($X49&lt;30,1,0))</formula>
    </cfRule>
    <cfRule type="expression" priority="1218" dxfId="0">
      <formula>AND(IF($Q49=3,1,IF($Q49=4,1,0)),IF($F49&lt;=85,1,0))</formula>
    </cfRule>
  </conditionalFormatting>
  <conditionalFormatting sqref="X49">
    <cfRule type="expression" priority="1211" dxfId="3">
      <formula>AND(IF(OR($Q49=1,$Q49=2),1,0),IF($X49&lt;=20,1,0))</formula>
    </cfRule>
    <cfRule type="expression" priority="1212" dxfId="2">
      <formula>AND(IF($Q49=2,1,0),IF($X49&lt;30,1,0))</formula>
    </cfRule>
    <cfRule type="expression" priority="1213" dxfId="1">
      <formula>AND(IF($Q49=3,1,0),IF($X49&lt;30,1,0))</formula>
    </cfRule>
    <cfRule type="expression" priority="1214" dxfId="0">
      <formula>AND(IF($Q49=3,1,IF($Q49=4,1,0)),IF($F49&lt;=85,1,0))</formula>
    </cfRule>
  </conditionalFormatting>
  <conditionalFormatting sqref="AI49">
    <cfRule type="expression" priority="1207" dxfId="3">
      <formula>AND(IF(OR($Q49=1,$Q49=2),1,0),IF($X49&lt;=20,1,0))</formula>
    </cfRule>
    <cfRule type="expression" priority="1208" dxfId="2">
      <formula>AND(IF($Q49=2,1,0),IF($X49&lt;30,1,0))</formula>
    </cfRule>
    <cfRule type="expression" priority="1209" dxfId="1">
      <formula>AND(IF($Q49=3,1,0),IF($X49&lt;30,1,0))</formula>
    </cfRule>
    <cfRule type="expression" priority="1210" dxfId="0">
      <formula>AND(IF($Q49=3,1,IF($Q49=4,1,0)),IF($F49&lt;=85,1,0))</formula>
    </cfRule>
  </conditionalFormatting>
  <conditionalFormatting sqref="AV50">
    <cfRule type="expression" priority="1205" dxfId="19">
      <formula>AV50="X"</formula>
    </cfRule>
    <cfRule type="expression" priority="1206" dxfId="18">
      <formula>AV50="후보"</formula>
    </cfRule>
  </conditionalFormatting>
  <conditionalFormatting sqref="AC50">
    <cfRule type="cellIs" priority="1202" operator="greaterThan" dxfId="13">
      <formula>0.9</formula>
    </cfRule>
    <cfRule type="cellIs" priority="1203" operator="greaterThan" dxfId="12">
      <formula>0.85</formula>
    </cfRule>
  </conditionalFormatting>
  <conditionalFormatting sqref="N50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E50">
    <cfRule type="expression" priority="1196" dxfId="3">
      <formula>AND(IF(OR($Q50=1,$Q50=2),1,0),IF($X50&lt;=20,1,0))</formula>
    </cfRule>
    <cfRule type="expression" priority="1197" dxfId="2">
      <formula>AND(IF($Q50=2,1,0),IF($X50&lt;30,1,0))</formula>
    </cfRule>
    <cfRule type="expression" priority="1198" dxfId="1">
      <formula>AND(IF($Q50=3,1,0),IF($X50&lt;30,1,0))</formula>
    </cfRule>
    <cfRule type="expression" priority="1199" dxfId="0">
      <formula>AND(IF($Q50=3,1,IF($Q50=4,1,0)),IF($F50&lt;=85,1,0))</formula>
    </cfRule>
  </conditionalFormatting>
  <conditionalFormatting sqref="X50">
    <cfRule type="expression" priority="1192" dxfId="3">
      <formula>AND(IF(OR($Q50=1,$Q50=2),1,0),IF($X50&lt;=20,1,0))</formula>
    </cfRule>
    <cfRule type="expression" priority="1193" dxfId="2">
      <formula>AND(IF($Q50=2,1,0),IF($X50&lt;30,1,0))</formula>
    </cfRule>
    <cfRule type="expression" priority="1194" dxfId="1">
      <formula>AND(IF($Q50=3,1,0),IF($X50&lt;30,1,0))</formula>
    </cfRule>
    <cfRule type="expression" priority="1195" dxfId="0">
      <formula>AND(IF($Q50=3,1,IF($Q50=4,1,0)),IF($F50&lt;=85,1,0))</formula>
    </cfRule>
  </conditionalFormatting>
  <conditionalFormatting sqref="AI50">
    <cfRule type="expression" priority="1188" dxfId="3">
      <formula>AND(IF(OR($Q50=1,$Q50=2),1,0),IF($X50&lt;=20,1,0))</formula>
    </cfRule>
    <cfRule type="expression" priority="1189" dxfId="2">
      <formula>AND(IF($Q50=2,1,0),IF($X50&lt;30,1,0))</formula>
    </cfRule>
    <cfRule type="expression" priority="1190" dxfId="1">
      <formula>AND(IF($Q50=3,1,0),IF($X50&lt;30,1,0))</formula>
    </cfRule>
    <cfRule type="expression" priority="1191" dxfId="0">
      <formula>AND(IF($Q50=3,1,IF($Q50=4,1,0)),IF($F50&lt;=85,1,0))</formula>
    </cfRule>
  </conditionalFormatting>
  <conditionalFormatting sqref="AV51">
    <cfRule type="expression" priority="1186" dxfId="19">
      <formula>AV51="X"</formula>
    </cfRule>
    <cfRule type="expression" priority="1187" dxfId="18">
      <formula>AV51="후보"</formula>
    </cfRule>
  </conditionalFormatting>
  <conditionalFormatting sqref="AC51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51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E51">
    <cfRule type="expression" priority="1177" dxfId="3">
      <formula>AND(IF(OR($Q51=1,$Q51=2),1,0),IF($X51&lt;=20,1,0))</formula>
    </cfRule>
    <cfRule type="expression" priority="1178" dxfId="2">
      <formula>AND(IF($Q51=2,1,0),IF($X51&lt;30,1,0))</formula>
    </cfRule>
    <cfRule type="expression" priority="1179" dxfId="1">
      <formula>AND(IF($Q51=3,1,0),IF($X51&lt;30,1,0))</formula>
    </cfRule>
    <cfRule type="expression" priority="1180" dxfId="0">
      <formula>AND(IF($Q51=3,1,IF($Q51=4,1,0)),IF($F51&lt;=85,1,0))</formula>
    </cfRule>
  </conditionalFormatting>
  <conditionalFormatting sqref="X51">
    <cfRule type="expression" priority="1173" dxfId="3">
      <formula>AND(IF(OR($Q51=1,$Q51=2),1,0),IF($X51&lt;=20,1,0))</formula>
    </cfRule>
    <cfRule type="expression" priority="1174" dxfId="2">
      <formula>AND(IF($Q51=2,1,0),IF($X51&lt;30,1,0))</formula>
    </cfRule>
    <cfRule type="expression" priority="1175" dxfId="1">
      <formula>AND(IF($Q51=3,1,0),IF($X51&lt;30,1,0))</formula>
    </cfRule>
    <cfRule type="expression" priority="1176" dxfId="0">
      <formula>AND(IF($Q51=3,1,IF($Q51=4,1,0)),IF($F51&lt;=85,1,0))</formula>
    </cfRule>
  </conditionalFormatting>
  <conditionalFormatting sqref="AI51">
    <cfRule type="expression" priority="1169" dxfId="3">
      <formula>AND(IF(OR($Q51=1,$Q51=2),1,0),IF($X51&lt;=20,1,0))</formula>
    </cfRule>
    <cfRule type="expression" priority="1170" dxfId="2">
      <formula>AND(IF($Q51=2,1,0),IF($X51&lt;30,1,0))</formula>
    </cfRule>
    <cfRule type="expression" priority="1171" dxfId="1">
      <formula>AND(IF($Q51=3,1,0),IF($X51&lt;30,1,0))</formula>
    </cfRule>
    <cfRule type="expression" priority="1172" dxfId="0">
      <formula>AND(IF($Q51=3,1,IF($Q51=4,1,0)),IF($F51&lt;=85,1,0))</formula>
    </cfRule>
  </conditionalFormatting>
  <conditionalFormatting sqref="AV52">
    <cfRule type="expression" priority="1167" dxfId="19">
      <formula>AV52="X"</formula>
    </cfRule>
    <cfRule type="expression" priority="1168" dxfId="18">
      <formula>AV52="후보"</formula>
    </cfRule>
  </conditionalFormatting>
  <conditionalFormatting sqref="AC52 N52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AV53">
    <cfRule type="expression" priority="1162" dxfId="19">
      <formula>AV53="X"</formula>
    </cfRule>
    <cfRule type="expression" priority="1163" dxfId="18">
      <formula>AV53="후보"</formula>
    </cfRule>
  </conditionalFormatting>
  <conditionalFormatting sqref="AC53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N53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E53">
    <cfRule type="expression" priority="1153" dxfId="3">
      <formula>AND(IF(OR($Q53=1,$Q53=2),1,0),IF($X53&lt;=20,1,0))</formula>
    </cfRule>
    <cfRule type="expression" priority="1154" dxfId="2">
      <formula>AND(IF($Q53=2,1,0),IF($X53&lt;30,1,0))</formula>
    </cfRule>
    <cfRule type="expression" priority="1155" dxfId="1">
      <formula>AND(IF($Q53=3,1,0),IF($X53&lt;30,1,0))</formula>
    </cfRule>
    <cfRule type="expression" priority="1156" dxfId="0">
      <formula>AND(IF($Q53=3,1,IF($Q53=4,1,0)),IF($F53&lt;=85,1,0))</formula>
    </cfRule>
  </conditionalFormatting>
  <conditionalFormatting sqref="X53">
    <cfRule type="expression" priority="1149" dxfId="3">
      <formula>AND(IF(OR($Q53=1,$Q53=2),1,0),IF($X53&lt;=20,1,0))</formula>
    </cfRule>
    <cfRule type="expression" priority="1150" dxfId="2">
      <formula>AND(IF($Q53=2,1,0),IF($X53&lt;30,1,0))</formula>
    </cfRule>
    <cfRule type="expression" priority="1151" dxfId="1">
      <formula>AND(IF($Q53=3,1,0),IF($X53&lt;30,1,0))</formula>
    </cfRule>
    <cfRule type="expression" priority="1152" dxfId="0">
      <formula>AND(IF($Q53=3,1,IF($Q53=4,1,0)),IF($F53&lt;=85,1,0))</formula>
    </cfRule>
  </conditionalFormatting>
  <conditionalFormatting sqref="AI53">
    <cfRule type="expression" priority="1145" dxfId="3">
      <formula>AND(IF(OR($Q53=1,$Q53=2),1,0),IF($X53&lt;=20,1,0))</formula>
    </cfRule>
    <cfRule type="expression" priority="1146" dxfId="2">
      <formula>AND(IF($Q53=2,1,0),IF($X53&lt;30,1,0))</formula>
    </cfRule>
    <cfRule type="expression" priority="1147" dxfId="1">
      <formula>AND(IF($Q53=3,1,0),IF($X53&lt;30,1,0))</formula>
    </cfRule>
    <cfRule type="expression" priority="1148" dxfId="0">
      <formula>AND(IF($Q53=3,1,IF($Q53=4,1,0)),IF($F53&lt;=85,1,0))</formula>
    </cfRule>
  </conditionalFormatting>
  <conditionalFormatting sqref="AV54">
    <cfRule type="expression" priority="1143" dxfId="19">
      <formula>AV54="X"</formula>
    </cfRule>
    <cfRule type="expression" priority="1144" dxfId="18">
      <formula>AV54="후보"</formula>
    </cfRule>
  </conditionalFormatting>
  <conditionalFormatting sqref="AC54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N54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E54">
    <cfRule type="expression" priority="1134" dxfId="3">
      <formula>AND(IF(OR($Q54=1,$Q54=2),1,0),IF($X54&lt;=20,1,0))</formula>
    </cfRule>
    <cfRule type="expression" priority="1135" dxfId="2">
      <formula>AND(IF($Q54=2,1,0),IF($X54&lt;30,1,0))</formula>
    </cfRule>
    <cfRule type="expression" priority="1136" dxfId="1">
      <formula>AND(IF($Q54=3,1,0),IF($X54&lt;30,1,0))</formula>
    </cfRule>
    <cfRule type="expression" priority="1137" dxfId="0">
      <formula>AND(IF($Q54=3,1,IF($Q54=4,1,0)),IF($F54&lt;=85,1,0))</formula>
    </cfRule>
  </conditionalFormatting>
  <conditionalFormatting sqref="X54">
    <cfRule type="expression" priority="1130" dxfId="3">
      <formula>AND(IF(OR($Q54=1,$Q54=2),1,0),IF($X54&lt;=20,1,0))</formula>
    </cfRule>
    <cfRule type="expression" priority="1131" dxfId="2">
      <formula>AND(IF($Q54=2,1,0),IF($X54&lt;30,1,0))</formula>
    </cfRule>
    <cfRule type="expression" priority="1132" dxfId="1">
      <formula>AND(IF($Q54=3,1,0),IF($X54&lt;30,1,0))</formula>
    </cfRule>
    <cfRule type="expression" priority="1133" dxfId="0">
      <formula>AND(IF($Q54=3,1,IF($Q54=4,1,0)),IF($F54&lt;=85,1,0))</formula>
    </cfRule>
  </conditionalFormatting>
  <conditionalFormatting sqref="AI54">
    <cfRule type="expression" priority="1126" dxfId="3">
      <formula>AND(IF(OR($Q54=1,$Q54=2),1,0),IF($X54&lt;=20,1,0))</formula>
    </cfRule>
    <cfRule type="expression" priority="1127" dxfId="2">
      <formula>AND(IF($Q54=2,1,0),IF($X54&lt;30,1,0))</formula>
    </cfRule>
    <cfRule type="expression" priority="1128" dxfId="1">
      <formula>AND(IF($Q54=3,1,0),IF($X54&lt;30,1,0))</formula>
    </cfRule>
    <cfRule type="expression" priority="1129" dxfId="0">
      <formula>AND(IF($Q54=3,1,IF($Q54=4,1,0)),IF($F54&lt;=85,1,0))</formula>
    </cfRule>
  </conditionalFormatting>
  <conditionalFormatting sqref="AV55">
    <cfRule type="expression" priority="1124" dxfId="19">
      <formula>AV55="X"</formula>
    </cfRule>
    <cfRule type="expression" priority="1125" dxfId="18">
      <formula>AV55="후보"</formula>
    </cfRule>
  </conditionalFormatting>
  <conditionalFormatting sqref="AC55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N55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E55">
    <cfRule type="expression" priority="1115" dxfId="3">
      <formula>AND(IF(OR($Q55=1,$Q55=2),1,0),IF($X55&lt;=20,1,0))</formula>
    </cfRule>
    <cfRule type="expression" priority="1116" dxfId="2">
      <formula>AND(IF($Q55=2,1,0),IF($X55&lt;30,1,0))</formula>
    </cfRule>
    <cfRule type="expression" priority="1117" dxfId="1">
      <formula>AND(IF($Q55=3,1,0),IF($X55&lt;30,1,0))</formula>
    </cfRule>
    <cfRule type="expression" priority="1118" dxfId="0">
      <formula>AND(IF($Q55=3,1,IF($Q55=4,1,0)),IF($F55&lt;=85,1,0))</formula>
    </cfRule>
  </conditionalFormatting>
  <conditionalFormatting sqref="X55">
    <cfRule type="expression" priority="1111" dxfId="3">
      <formula>AND(IF(OR($Q55=1,$Q55=2),1,0),IF($X55&lt;=20,1,0))</formula>
    </cfRule>
    <cfRule type="expression" priority="1112" dxfId="2">
      <formula>AND(IF($Q55=2,1,0),IF($X55&lt;30,1,0))</formula>
    </cfRule>
    <cfRule type="expression" priority="1113" dxfId="1">
      <formula>AND(IF($Q55=3,1,0),IF($X55&lt;30,1,0))</formula>
    </cfRule>
    <cfRule type="expression" priority="1114" dxfId="0">
      <formula>AND(IF($Q55=3,1,IF($Q55=4,1,0)),IF($F55&lt;=85,1,0))</formula>
    </cfRule>
  </conditionalFormatting>
  <conditionalFormatting sqref="AI55">
    <cfRule type="expression" priority="1107" dxfId="3">
      <formula>AND(IF(OR($Q55=1,$Q55=2),1,0),IF($X55&lt;=20,1,0))</formula>
    </cfRule>
    <cfRule type="expression" priority="1108" dxfId="2">
      <formula>AND(IF($Q55=2,1,0),IF($X55&lt;30,1,0))</formula>
    </cfRule>
    <cfRule type="expression" priority="1109" dxfId="1">
      <formula>AND(IF($Q55=3,1,0),IF($X55&lt;30,1,0))</formula>
    </cfRule>
    <cfRule type="expression" priority="1110" dxfId="0">
      <formula>AND(IF($Q55=3,1,IF($Q55=4,1,0)),IF($F55&lt;=85,1,0))</formula>
    </cfRule>
  </conditionalFormatting>
  <conditionalFormatting sqref="AV56">
    <cfRule type="expression" priority="1105" dxfId="19">
      <formula>AV56="X"</formula>
    </cfRule>
    <cfRule type="expression" priority="1106" dxfId="18">
      <formula>AV56="후보"</formula>
    </cfRule>
  </conditionalFormatting>
  <conditionalFormatting sqref="AC56">
    <cfRule type="cellIs" priority="1102" operator="greaterThan" dxfId="13">
      <formula>0.9</formula>
    </cfRule>
    <cfRule type="cellIs" priority="1103" operator="greaterThan" dxfId="12">
      <formula>0.85</formula>
    </cfRule>
  </conditionalFormatting>
  <conditionalFormatting sqref="N56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E56">
    <cfRule type="expression" priority="1096" dxfId="3">
      <formula>AND(IF(OR($Q56=1,$Q56=2),1,0),IF($X56&lt;=20,1,0))</formula>
    </cfRule>
    <cfRule type="expression" priority="1097" dxfId="2">
      <formula>AND(IF($Q56=2,1,0),IF($X56&lt;30,1,0))</formula>
    </cfRule>
    <cfRule type="expression" priority="1098" dxfId="1">
      <formula>AND(IF($Q56=3,1,0),IF($X56&lt;30,1,0))</formula>
    </cfRule>
    <cfRule type="expression" priority="1099" dxfId="0">
      <formula>AND(IF($Q56=3,1,IF($Q56=4,1,0)),IF($F56&lt;=85,1,0))</formula>
    </cfRule>
  </conditionalFormatting>
  <conditionalFormatting sqref="X56">
    <cfRule type="expression" priority="1092" dxfId="3">
      <formula>AND(IF(OR($Q56=1,$Q56=2),1,0),IF($X56&lt;=20,1,0))</formula>
    </cfRule>
    <cfRule type="expression" priority="1093" dxfId="2">
      <formula>AND(IF($Q56=2,1,0),IF($X56&lt;30,1,0))</formula>
    </cfRule>
    <cfRule type="expression" priority="1094" dxfId="1">
      <formula>AND(IF($Q56=3,1,0),IF($X56&lt;30,1,0))</formula>
    </cfRule>
    <cfRule type="expression" priority="1095" dxfId="0">
      <formula>AND(IF($Q56=3,1,IF($Q56=4,1,0)),IF($F56&lt;=85,1,0))</formula>
    </cfRule>
  </conditionalFormatting>
  <conditionalFormatting sqref="AI56">
    <cfRule type="expression" priority="1088" dxfId="3">
      <formula>AND(IF(OR($Q56=1,$Q56=2),1,0),IF($X56&lt;=20,1,0))</formula>
    </cfRule>
    <cfRule type="expression" priority="1089" dxfId="2">
      <formula>AND(IF($Q56=2,1,0),IF($X56&lt;30,1,0))</formula>
    </cfRule>
    <cfRule type="expression" priority="1090" dxfId="1">
      <formula>AND(IF($Q56=3,1,0),IF($X56&lt;30,1,0))</formula>
    </cfRule>
    <cfRule type="expression" priority="1091" dxfId="0">
      <formula>AND(IF($Q56=3,1,IF($Q56=4,1,0)),IF($F56&lt;=85,1,0))</formula>
    </cfRule>
  </conditionalFormatting>
  <conditionalFormatting sqref="AV57">
    <cfRule type="expression" priority="1086" dxfId="19">
      <formula>AV57="X"</formula>
    </cfRule>
    <cfRule type="expression" priority="1087" dxfId="18">
      <formula>AV57="후보"</formula>
    </cfRule>
  </conditionalFormatting>
  <conditionalFormatting sqref="AC57">
    <cfRule type="cellIs" priority="1083" operator="greaterThan" dxfId="13">
      <formula>0.9</formula>
    </cfRule>
    <cfRule type="cellIs" priority="1084" operator="greaterThan" dxfId="12">
      <formula>0.85</formula>
    </cfRule>
  </conditionalFormatting>
  <conditionalFormatting sqref="N57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E57">
    <cfRule type="expression" priority="1077" dxfId="3">
      <formula>AND(IF(OR($Q57=1,$Q57=2),1,0),IF($X57&lt;=20,1,0))</formula>
    </cfRule>
    <cfRule type="expression" priority="1078" dxfId="2">
      <formula>AND(IF($Q57=2,1,0),IF($X57&lt;30,1,0))</formula>
    </cfRule>
    <cfRule type="expression" priority="1079" dxfId="1">
      <formula>AND(IF($Q57=3,1,0),IF($X57&lt;30,1,0))</formula>
    </cfRule>
    <cfRule type="expression" priority="1080" dxfId="0">
      <formula>AND(IF($Q57=3,1,IF($Q57=4,1,0)),IF($F57&lt;=85,1,0))</formula>
    </cfRule>
  </conditionalFormatting>
  <conditionalFormatting sqref="X57">
    <cfRule type="expression" priority="1073" dxfId="3">
      <formula>AND(IF(OR($Q57=1,$Q57=2),1,0),IF($X57&lt;=20,1,0))</formula>
    </cfRule>
    <cfRule type="expression" priority="1074" dxfId="2">
      <formula>AND(IF($Q57=2,1,0),IF($X57&lt;30,1,0))</formula>
    </cfRule>
    <cfRule type="expression" priority="1075" dxfId="1">
      <formula>AND(IF($Q57=3,1,0),IF($X57&lt;30,1,0))</formula>
    </cfRule>
    <cfRule type="expression" priority="1076" dxfId="0">
      <formula>AND(IF($Q57=3,1,IF($Q57=4,1,0)),IF($F57&lt;=85,1,0))</formula>
    </cfRule>
  </conditionalFormatting>
  <conditionalFormatting sqref="AI57">
    <cfRule type="expression" priority="1069" dxfId="3">
      <formula>AND(IF(OR($Q57=1,$Q57=2),1,0),IF($X57&lt;=20,1,0))</formula>
    </cfRule>
    <cfRule type="expression" priority="1070" dxfId="2">
      <formula>AND(IF($Q57=2,1,0),IF($X57&lt;30,1,0))</formula>
    </cfRule>
    <cfRule type="expression" priority="1071" dxfId="1">
      <formula>AND(IF($Q57=3,1,0),IF($X57&lt;30,1,0))</formula>
    </cfRule>
    <cfRule type="expression" priority="1072" dxfId="0">
      <formula>AND(IF($Q57=3,1,IF($Q57=4,1,0)),IF($F57&lt;=85,1,0))</formula>
    </cfRule>
  </conditionalFormatting>
  <conditionalFormatting sqref="AV58">
    <cfRule type="expression" priority="1067" dxfId="19">
      <formula>AV58="X"</formula>
    </cfRule>
    <cfRule type="expression" priority="1068" dxfId="18">
      <formula>AV58="후보"</formula>
    </cfRule>
  </conditionalFormatting>
  <conditionalFormatting sqref="AC58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N58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E58">
    <cfRule type="expression" priority="1058" dxfId="3">
      <formula>AND(IF(OR($Q58=1,$Q58=2),1,0),IF($X58&lt;=20,1,0))</formula>
    </cfRule>
    <cfRule type="expression" priority="1059" dxfId="2">
      <formula>AND(IF($Q58=2,1,0),IF($X58&lt;30,1,0))</formula>
    </cfRule>
    <cfRule type="expression" priority="1060" dxfId="1">
      <formula>AND(IF($Q58=3,1,0),IF($X58&lt;30,1,0))</formula>
    </cfRule>
    <cfRule type="expression" priority="1061" dxfId="0">
      <formula>AND(IF($Q58=3,1,IF($Q58=4,1,0)),IF($F58&lt;=85,1,0))</formula>
    </cfRule>
  </conditionalFormatting>
  <conditionalFormatting sqref="X58">
    <cfRule type="expression" priority="1054" dxfId="3">
      <formula>AND(IF(OR($Q58=1,$Q58=2),1,0),IF($X58&lt;=20,1,0))</formula>
    </cfRule>
    <cfRule type="expression" priority="1055" dxfId="2">
      <formula>AND(IF($Q58=2,1,0),IF($X58&lt;30,1,0))</formula>
    </cfRule>
    <cfRule type="expression" priority="1056" dxfId="1">
      <formula>AND(IF($Q58=3,1,0),IF($X58&lt;30,1,0))</formula>
    </cfRule>
    <cfRule type="expression" priority="1057" dxfId="0">
      <formula>AND(IF($Q58=3,1,IF($Q58=4,1,0)),IF($F58&lt;=85,1,0))</formula>
    </cfRule>
  </conditionalFormatting>
  <conditionalFormatting sqref="AI58">
    <cfRule type="expression" priority="1050" dxfId="3">
      <formula>AND(IF(OR($Q58=1,$Q58=2),1,0),IF($X58&lt;=20,1,0))</formula>
    </cfRule>
    <cfRule type="expression" priority="1051" dxfId="2">
      <formula>AND(IF($Q58=2,1,0),IF($X58&lt;30,1,0))</formula>
    </cfRule>
    <cfRule type="expression" priority="1052" dxfId="1">
      <formula>AND(IF($Q58=3,1,0),IF($X58&lt;30,1,0))</formula>
    </cfRule>
    <cfRule type="expression" priority="1053" dxfId="0">
      <formula>AND(IF($Q58=3,1,IF($Q58=4,1,0)),IF($F58&lt;=85,1,0))</formula>
    </cfRule>
  </conditionalFormatting>
  <conditionalFormatting sqref="AV59">
    <cfRule type="expression" priority="1048" dxfId="19">
      <formula>AV59="X"</formula>
    </cfRule>
    <cfRule type="expression" priority="1049" dxfId="18">
      <formula>AV59="후보"</formula>
    </cfRule>
  </conditionalFormatting>
  <conditionalFormatting sqref="AC59 N59">
    <cfRule type="cellIs" priority="1045" operator="greaterThan" dxfId="13">
      <formula>0.9</formula>
    </cfRule>
    <cfRule type="cellIs" priority="1046" operator="greaterThan" dxfId="12">
      <formula>0.85</formula>
    </cfRule>
  </conditionalFormatting>
  <conditionalFormatting sqref="AV60">
    <cfRule type="expression" priority="1043" dxfId="19">
      <formula>AV60="X"</formula>
    </cfRule>
    <cfRule type="expression" priority="1044" dxfId="18">
      <formula>AV60="후보"</formula>
    </cfRule>
  </conditionalFormatting>
  <conditionalFormatting sqref="AC60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N60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E60">
    <cfRule type="expression" priority="1034" dxfId="3">
      <formula>AND(IF(OR($Q60=1,$Q60=2),1,0),IF($X60&lt;=20,1,0))</formula>
    </cfRule>
    <cfRule type="expression" priority="1035" dxfId="2">
      <formula>AND(IF($Q60=2,1,0),IF($X60&lt;30,1,0))</formula>
    </cfRule>
    <cfRule type="expression" priority="1036" dxfId="1">
      <formula>AND(IF($Q60=3,1,0),IF($X60&lt;30,1,0))</formula>
    </cfRule>
    <cfRule type="expression" priority="1037" dxfId="0">
      <formula>AND(IF($Q60=3,1,IF($Q60=4,1,0)),IF($F60&lt;=85,1,0))</formula>
    </cfRule>
  </conditionalFormatting>
  <conditionalFormatting sqref="X60">
    <cfRule type="expression" priority="1030" dxfId="3">
      <formula>AND(IF(OR($Q60=1,$Q60=2),1,0),IF($X60&lt;=20,1,0))</formula>
    </cfRule>
    <cfRule type="expression" priority="1031" dxfId="2">
      <formula>AND(IF($Q60=2,1,0),IF($X60&lt;30,1,0))</formula>
    </cfRule>
    <cfRule type="expression" priority="1032" dxfId="1">
      <formula>AND(IF($Q60=3,1,0),IF($X60&lt;30,1,0))</formula>
    </cfRule>
    <cfRule type="expression" priority="1033" dxfId="0">
      <formula>AND(IF($Q60=3,1,IF($Q60=4,1,0)),IF($F60&lt;=85,1,0))</formula>
    </cfRule>
  </conditionalFormatting>
  <conditionalFormatting sqref="AI60">
    <cfRule type="expression" priority="1026" dxfId="3">
      <formula>AND(IF(OR($Q60=1,$Q60=2),1,0),IF($X60&lt;=20,1,0))</formula>
    </cfRule>
    <cfRule type="expression" priority="1027" dxfId="2">
      <formula>AND(IF($Q60=2,1,0),IF($X60&lt;30,1,0))</formula>
    </cfRule>
    <cfRule type="expression" priority="1028" dxfId="1">
      <formula>AND(IF($Q60=3,1,0),IF($X60&lt;30,1,0))</formula>
    </cfRule>
    <cfRule type="expression" priority="1029" dxfId="0">
      <formula>AND(IF($Q60=3,1,IF($Q60=4,1,0)),IF($F60&lt;=85,1,0))</formula>
    </cfRule>
  </conditionalFormatting>
  <conditionalFormatting sqref="AV61">
    <cfRule type="expression" priority="1024" dxfId="19">
      <formula>AV61="X"</formula>
    </cfRule>
    <cfRule type="expression" priority="1025" dxfId="18">
      <formula>AV61="후보"</formula>
    </cfRule>
  </conditionalFormatting>
  <conditionalFormatting sqref="AC6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61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E61">
    <cfRule type="expression" priority="1015" dxfId="3">
      <formula>AND(IF(OR($Q61=1,$Q61=2),1,0),IF($X61&lt;=20,1,0))</formula>
    </cfRule>
    <cfRule type="expression" priority="1016" dxfId="2">
      <formula>AND(IF($Q61=2,1,0),IF($X61&lt;30,1,0))</formula>
    </cfRule>
    <cfRule type="expression" priority="1017" dxfId="1">
      <formula>AND(IF($Q61=3,1,0),IF($X61&lt;30,1,0))</formula>
    </cfRule>
    <cfRule type="expression" priority="1018" dxfId="0">
      <formula>AND(IF($Q61=3,1,IF($Q61=4,1,0)),IF($F61&lt;=85,1,0))</formula>
    </cfRule>
  </conditionalFormatting>
  <conditionalFormatting sqref="X61">
    <cfRule type="expression" priority="1011" dxfId="3">
      <formula>AND(IF(OR($Q61=1,$Q61=2),1,0),IF($X61&lt;=20,1,0))</formula>
    </cfRule>
    <cfRule type="expression" priority="1012" dxfId="2">
      <formula>AND(IF($Q61=2,1,0),IF($X61&lt;30,1,0))</formula>
    </cfRule>
    <cfRule type="expression" priority="1013" dxfId="1">
      <formula>AND(IF($Q61=3,1,0),IF($X61&lt;30,1,0))</formula>
    </cfRule>
    <cfRule type="expression" priority="1014" dxfId="0">
      <formula>AND(IF($Q61=3,1,IF($Q61=4,1,0)),IF($F61&lt;=85,1,0))</formula>
    </cfRule>
  </conditionalFormatting>
  <conditionalFormatting sqref="AI61">
    <cfRule type="expression" priority="1007" dxfId="3">
      <formula>AND(IF(OR($Q61=1,$Q61=2),1,0),IF($X61&lt;=20,1,0))</formula>
    </cfRule>
    <cfRule type="expression" priority="1008" dxfId="2">
      <formula>AND(IF($Q61=2,1,0),IF($X61&lt;30,1,0))</formula>
    </cfRule>
    <cfRule type="expression" priority="1009" dxfId="1">
      <formula>AND(IF($Q61=3,1,0),IF($X61&lt;30,1,0))</formula>
    </cfRule>
    <cfRule type="expression" priority="1010" dxfId="0">
      <formula>AND(IF($Q61=3,1,IF($Q61=4,1,0)),IF($F61&lt;=85,1,0))</formula>
    </cfRule>
  </conditionalFormatting>
  <conditionalFormatting sqref="AV62">
    <cfRule type="expression" priority="1005" dxfId="19">
      <formula>AV62="X"</formula>
    </cfRule>
    <cfRule type="expression" priority="1006" dxfId="18">
      <formula>AV62="후보"</formula>
    </cfRule>
  </conditionalFormatting>
  <conditionalFormatting sqref="AC62 N62">
    <cfRule type="cellIs" priority="1002" operator="greaterThan" dxfId="13">
      <formula>0.9</formula>
    </cfRule>
    <cfRule type="cellIs" priority="1003" operator="greaterThan" dxfId="12">
      <formula>0.85</formula>
    </cfRule>
  </conditionalFormatting>
  <conditionalFormatting sqref="AV63">
    <cfRule type="expression" priority="1000" dxfId="19">
      <formula>AV63="X"</formula>
    </cfRule>
    <cfRule type="expression" priority="1001" dxfId="18">
      <formula>AV63="후보"</formula>
    </cfRule>
  </conditionalFormatting>
  <conditionalFormatting sqref="AC63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63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63">
    <cfRule type="expression" priority="991" dxfId="3">
      <formula>AND(IF(OR($Q63=1,$Q63=2),1,0),IF($X63&lt;=20,1,0))</formula>
    </cfRule>
    <cfRule type="expression" priority="992" dxfId="2">
      <formula>AND(IF($Q63=2,1,0),IF($X63&lt;30,1,0))</formula>
    </cfRule>
    <cfRule type="expression" priority="993" dxfId="1">
      <formula>AND(IF($Q63=3,1,0),IF($X63&lt;30,1,0))</formula>
    </cfRule>
    <cfRule type="expression" priority="994" dxfId="0">
      <formula>AND(IF($Q63=3,1,IF($Q63=4,1,0)),IF($F63&lt;=85,1,0))</formula>
    </cfRule>
  </conditionalFormatting>
  <conditionalFormatting sqref="X63">
    <cfRule type="expression" priority="987" dxfId="3">
      <formula>AND(IF(OR($Q63=1,$Q63=2),1,0),IF($X63&lt;=20,1,0))</formula>
    </cfRule>
    <cfRule type="expression" priority="988" dxfId="2">
      <formula>AND(IF($Q63=2,1,0),IF($X63&lt;30,1,0))</formula>
    </cfRule>
    <cfRule type="expression" priority="989" dxfId="1">
      <formula>AND(IF($Q63=3,1,0),IF($X63&lt;30,1,0))</formula>
    </cfRule>
    <cfRule type="expression" priority="990" dxfId="0">
      <formula>AND(IF($Q63=3,1,IF($Q63=4,1,0)),IF($F63&lt;=85,1,0))</formula>
    </cfRule>
  </conditionalFormatting>
  <conditionalFormatting sqref="AI63">
    <cfRule type="expression" priority="983" dxfId="3">
      <formula>AND(IF(OR($Q63=1,$Q63=2),1,0),IF($X63&lt;=20,1,0))</formula>
    </cfRule>
    <cfRule type="expression" priority="984" dxfId="2">
      <formula>AND(IF($Q63=2,1,0),IF($X63&lt;30,1,0))</formula>
    </cfRule>
    <cfRule type="expression" priority="985" dxfId="1">
      <formula>AND(IF($Q63=3,1,0),IF($X63&lt;30,1,0))</formula>
    </cfRule>
    <cfRule type="expression" priority="986" dxfId="0">
      <formula>AND(IF($Q63=3,1,IF($Q63=4,1,0)),IF($F63&lt;=85,1,0))</formula>
    </cfRule>
  </conditionalFormatting>
  <conditionalFormatting sqref="AV64">
    <cfRule type="expression" priority="981" dxfId="19">
      <formula>AV64="X"</formula>
    </cfRule>
    <cfRule type="expression" priority="982" dxfId="18">
      <formula>AV64="후보"</formula>
    </cfRule>
  </conditionalFormatting>
  <conditionalFormatting sqref="AC64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64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64">
    <cfRule type="expression" priority="972" dxfId="3">
      <formula>AND(IF(OR($Q64=1,$Q64=2),1,0),IF($X64&lt;=20,1,0))</formula>
    </cfRule>
    <cfRule type="expression" priority="973" dxfId="2">
      <formula>AND(IF($Q64=2,1,0),IF($X64&lt;30,1,0))</formula>
    </cfRule>
    <cfRule type="expression" priority="974" dxfId="1">
      <formula>AND(IF($Q64=3,1,0),IF($X64&lt;30,1,0))</formula>
    </cfRule>
    <cfRule type="expression" priority="975" dxfId="0">
      <formula>AND(IF($Q64=3,1,IF($Q64=4,1,0)),IF($F64&lt;=85,1,0))</formula>
    </cfRule>
  </conditionalFormatting>
  <conditionalFormatting sqref="X64">
    <cfRule type="expression" priority="968" dxfId="3">
      <formula>AND(IF(OR($Q64=1,$Q64=2),1,0),IF($X64&lt;=20,1,0))</formula>
    </cfRule>
    <cfRule type="expression" priority="969" dxfId="2">
      <formula>AND(IF($Q64=2,1,0),IF($X64&lt;30,1,0))</formula>
    </cfRule>
    <cfRule type="expression" priority="970" dxfId="1">
      <formula>AND(IF($Q64=3,1,0),IF($X64&lt;30,1,0))</formula>
    </cfRule>
    <cfRule type="expression" priority="971" dxfId="0">
      <formula>AND(IF($Q64=3,1,IF($Q64=4,1,0)),IF($F64&lt;=85,1,0))</formula>
    </cfRule>
  </conditionalFormatting>
  <conditionalFormatting sqref="AI64">
    <cfRule type="expression" priority="964" dxfId="3">
      <formula>AND(IF(OR($Q64=1,$Q64=2),1,0),IF($X64&lt;=20,1,0))</formula>
    </cfRule>
    <cfRule type="expression" priority="965" dxfId="2">
      <formula>AND(IF($Q64=2,1,0),IF($X64&lt;30,1,0))</formula>
    </cfRule>
    <cfRule type="expression" priority="966" dxfId="1">
      <formula>AND(IF($Q64=3,1,0),IF($X64&lt;30,1,0))</formula>
    </cfRule>
    <cfRule type="expression" priority="967" dxfId="0">
      <formula>AND(IF($Q64=3,1,IF($Q64=4,1,0)),IF($F64&lt;=85,1,0))</formula>
    </cfRule>
  </conditionalFormatting>
  <conditionalFormatting sqref="AV65">
    <cfRule type="expression" priority="962" dxfId="19">
      <formula>AV65="X"</formula>
    </cfRule>
    <cfRule type="expression" priority="963" dxfId="18">
      <formula>AV65="후보"</formula>
    </cfRule>
  </conditionalFormatting>
  <conditionalFormatting sqref="AC65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65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65">
    <cfRule type="expression" priority="953" dxfId="3">
      <formula>AND(IF(OR($Q65=1,$Q65=2),1,0),IF($X65&lt;=20,1,0))</formula>
    </cfRule>
    <cfRule type="expression" priority="954" dxfId="2">
      <formula>AND(IF($Q65=2,1,0),IF($X65&lt;30,1,0))</formula>
    </cfRule>
    <cfRule type="expression" priority="955" dxfId="1">
      <formula>AND(IF($Q65=3,1,0),IF($X65&lt;30,1,0))</formula>
    </cfRule>
    <cfRule type="expression" priority="956" dxfId="0">
      <formula>AND(IF($Q65=3,1,IF($Q65=4,1,0)),IF($F65&lt;=85,1,0))</formula>
    </cfRule>
  </conditionalFormatting>
  <conditionalFormatting sqref="X65">
    <cfRule type="expression" priority="949" dxfId="3">
      <formula>AND(IF(OR($Q65=1,$Q65=2),1,0),IF($X65&lt;=20,1,0))</formula>
    </cfRule>
    <cfRule type="expression" priority="950" dxfId="2">
      <formula>AND(IF($Q65=2,1,0),IF($X65&lt;30,1,0))</formula>
    </cfRule>
    <cfRule type="expression" priority="951" dxfId="1">
      <formula>AND(IF($Q65=3,1,0),IF($X65&lt;30,1,0))</formula>
    </cfRule>
    <cfRule type="expression" priority="952" dxfId="0">
      <formula>AND(IF($Q65=3,1,IF($Q65=4,1,0)),IF($F65&lt;=85,1,0))</formula>
    </cfRule>
  </conditionalFormatting>
  <conditionalFormatting sqref="AI65">
    <cfRule type="expression" priority="945" dxfId="3">
      <formula>AND(IF(OR($Q65=1,$Q65=2),1,0),IF($X65&lt;=20,1,0))</formula>
    </cfRule>
    <cfRule type="expression" priority="946" dxfId="2">
      <formula>AND(IF($Q65=2,1,0),IF($X65&lt;30,1,0))</formula>
    </cfRule>
    <cfRule type="expression" priority="947" dxfId="1">
      <formula>AND(IF($Q65=3,1,0),IF($X65&lt;30,1,0))</formula>
    </cfRule>
    <cfRule type="expression" priority="948" dxfId="0">
      <formula>AND(IF($Q65=3,1,IF($Q65=4,1,0)),IF($F65&lt;=85,1,0))</formula>
    </cfRule>
  </conditionalFormatting>
  <conditionalFormatting sqref="AV66">
    <cfRule type="expression" priority="943" dxfId="19">
      <formula>AV66="X"</formula>
    </cfRule>
    <cfRule type="expression" priority="944" dxfId="18">
      <formula>AV66="후보"</formula>
    </cfRule>
  </conditionalFormatting>
  <conditionalFormatting sqref="AC66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66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66">
    <cfRule type="expression" priority="934" dxfId="3">
      <formula>AND(IF(OR($Q66=1,$Q66=2),1,0),IF($X66&lt;=20,1,0))</formula>
    </cfRule>
    <cfRule type="expression" priority="935" dxfId="2">
      <formula>AND(IF($Q66=2,1,0),IF($X66&lt;30,1,0))</formula>
    </cfRule>
    <cfRule type="expression" priority="936" dxfId="1">
      <formula>AND(IF($Q66=3,1,0),IF($X66&lt;30,1,0))</formula>
    </cfRule>
    <cfRule type="expression" priority="937" dxfId="0">
      <formula>AND(IF($Q66=3,1,IF($Q66=4,1,0)),IF($F66&lt;=85,1,0))</formula>
    </cfRule>
  </conditionalFormatting>
  <conditionalFormatting sqref="X66">
    <cfRule type="expression" priority="930" dxfId="3">
      <formula>AND(IF(OR($Q66=1,$Q66=2),1,0),IF($X66&lt;=20,1,0))</formula>
    </cfRule>
    <cfRule type="expression" priority="931" dxfId="2">
      <formula>AND(IF($Q66=2,1,0),IF($X66&lt;30,1,0))</formula>
    </cfRule>
    <cfRule type="expression" priority="932" dxfId="1">
      <formula>AND(IF($Q66=3,1,0),IF($X66&lt;30,1,0))</formula>
    </cfRule>
    <cfRule type="expression" priority="933" dxfId="0">
      <formula>AND(IF($Q66=3,1,IF($Q66=4,1,0)),IF($F66&lt;=85,1,0))</formula>
    </cfRule>
  </conditionalFormatting>
  <conditionalFormatting sqref="AI66">
    <cfRule type="expression" priority="926" dxfId="3">
      <formula>AND(IF(OR($Q66=1,$Q66=2),1,0),IF($X66&lt;=20,1,0))</formula>
    </cfRule>
    <cfRule type="expression" priority="927" dxfId="2">
      <formula>AND(IF($Q66=2,1,0),IF($X66&lt;30,1,0))</formula>
    </cfRule>
    <cfRule type="expression" priority="928" dxfId="1">
      <formula>AND(IF($Q66=3,1,0),IF($X66&lt;30,1,0))</formula>
    </cfRule>
    <cfRule type="expression" priority="929" dxfId="0">
      <formula>AND(IF($Q66=3,1,IF($Q66=4,1,0)),IF($F66&lt;=85,1,0))</formula>
    </cfRule>
  </conditionalFormatting>
  <conditionalFormatting sqref="AV67">
    <cfRule type="expression" priority="924" dxfId="19">
      <formula>AV67="X"</formula>
    </cfRule>
    <cfRule type="expression" priority="925" dxfId="18">
      <formula>AV67="후보"</formula>
    </cfRule>
  </conditionalFormatting>
  <conditionalFormatting sqref="AC67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N67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E67">
    <cfRule type="expression" priority="915" dxfId="3">
      <formula>AND(IF(OR($Q67=1,$Q67=2),1,0),IF($X67&lt;=20,1,0))</formula>
    </cfRule>
    <cfRule type="expression" priority="916" dxfId="2">
      <formula>AND(IF($Q67=2,1,0),IF($X67&lt;30,1,0))</formula>
    </cfRule>
    <cfRule type="expression" priority="917" dxfId="1">
      <formula>AND(IF($Q67=3,1,0),IF($X67&lt;30,1,0))</formula>
    </cfRule>
    <cfRule type="expression" priority="918" dxfId="0">
      <formula>AND(IF($Q67=3,1,IF($Q67=4,1,0)),IF($F67&lt;=85,1,0))</formula>
    </cfRule>
  </conditionalFormatting>
  <conditionalFormatting sqref="X67">
    <cfRule type="expression" priority="911" dxfId="3">
      <formula>AND(IF(OR($Q67=1,$Q67=2),1,0),IF($X67&lt;=20,1,0))</formula>
    </cfRule>
    <cfRule type="expression" priority="912" dxfId="2">
      <formula>AND(IF($Q67=2,1,0),IF($X67&lt;30,1,0))</formula>
    </cfRule>
    <cfRule type="expression" priority="913" dxfId="1">
      <formula>AND(IF($Q67=3,1,0),IF($X67&lt;30,1,0))</formula>
    </cfRule>
    <cfRule type="expression" priority="914" dxfId="0">
      <formula>AND(IF($Q67=3,1,IF($Q67=4,1,0)),IF($F67&lt;=85,1,0))</formula>
    </cfRule>
  </conditionalFormatting>
  <conditionalFormatting sqref="AI67">
    <cfRule type="expression" priority="907" dxfId="3">
      <formula>AND(IF(OR($Q67=1,$Q67=2),1,0),IF($X67&lt;=20,1,0))</formula>
    </cfRule>
    <cfRule type="expression" priority="908" dxfId="2">
      <formula>AND(IF($Q67=2,1,0),IF($X67&lt;30,1,0))</formula>
    </cfRule>
    <cfRule type="expression" priority="909" dxfId="1">
      <formula>AND(IF($Q67=3,1,0),IF($X67&lt;30,1,0))</formula>
    </cfRule>
    <cfRule type="expression" priority="910" dxfId="0">
      <formula>AND(IF($Q67=3,1,IF($Q67=4,1,0)),IF($F67&lt;=85,1,0))</formula>
    </cfRule>
  </conditionalFormatting>
  <conditionalFormatting sqref="AV68">
    <cfRule type="expression" priority="905" dxfId="19">
      <formula>AV68="X"</formula>
    </cfRule>
    <cfRule type="expression" priority="906" dxfId="18">
      <formula>AV68="후보"</formula>
    </cfRule>
  </conditionalFormatting>
  <conditionalFormatting sqref="AC68 N68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AV69">
    <cfRule type="expression" priority="900" dxfId="19">
      <formula>AV69="X"</formula>
    </cfRule>
    <cfRule type="expression" priority="901" dxfId="18">
      <formula>AV69="후보"</formula>
    </cfRule>
  </conditionalFormatting>
  <conditionalFormatting sqref="AC69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6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69">
    <cfRule type="expression" priority="891" dxfId="3">
      <formula>AND(IF(OR($Q69=1,$Q69=2),1,0),IF($X69&lt;=20,1,0))</formula>
    </cfRule>
    <cfRule type="expression" priority="892" dxfId="2">
      <formula>AND(IF($Q69=2,1,0),IF($X69&lt;30,1,0))</formula>
    </cfRule>
    <cfRule type="expression" priority="893" dxfId="1">
      <formula>AND(IF($Q69=3,1,0),IF($X69&lt;30,1,0))</formula>
    </cfRule>
    <cfRule type="expression" priority="894" dxfId="0">
      <formula>AND(IF($Q69=3,1,IF($Q69=4,1,0)),IF($F69&lt;=85,1,0))</formula>
    </cfRule>
  </conditionalFormatting>
  <conditionalFormatting sqref="X69">
    <cfRule type="expression" priority="887" dxfId="3">
      <formula>AND(IF(OR($Q69=1,$Q69=2),1,0),IF($X69&lt;=20,1,0))</formula>
    </cfRule>
    <cfRule type="expression" priority="888" dxfId="2">
      <formula>AND(IF($Q69=2,1,0),IF($X69&lt;30,1,0))</formula>
    </cfRule>
    <cfRule type="expression" priority="889" dxfId="1">
      <formula>AND(IF($Q69=3,1,0),IF($X69&lt;30,1,0))</formula>
    </cfRule>
    <cfRule type="expression" priority="890" dxfId="0">
      <formula>AND(IF($Q69=3,1,IF($Q69=4,1,0)),IF($F69&lt;=85,1,0))</formula>
    </cfRule>
  </conditionalFormatting>
  <conditionalFormatting sqref="AI69">
    <cfRule type="expression" priority="883" dxfId="3">
      <formula>AND(IF(OR($Q69=1,$Q69=2),1,0),IF($X69&lt;=20,1,0))</formula>
    </cfRule>
    <cfRule type="expression" priority="884" dxfId="2">
      <formula>AND(IF($Q69=2,1,0),IF($X69&lt;30,1,0))</formula>
    </cfRule>
    <cfRule type="expression" priority="885" dxfId="1">
      <formula>AND(IF($Q69=3,1,0),IF($X69&lt;30,1,0))</formula>
    </cfRule>
    <cfRule type="expression" priority="886" dxfId="0">
      <formula>AND(IF($Q69=3,1,IF($Q69=4,1,0)),IF($F69&lt;=85,1,0))</formula>
    </cfRule>
  </conditionalFormatting>
  <conditionalFormatting sqref="AV70">
    <cfRule type="expression" priority="881" dxfId="19">
      <formula>AV70="X"</formula>
    </cfRule>
    <cfRule type="expression" priority="882" dxfId="18">
      <formula>AV70="후보"</formula>
    </cfRule>
  </conditionalFormatting>
  <conditionalFormatting sqref="AC70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N70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E70">
    <cfRule type="expression" priority="872" dxfId="3">
      <formula>AND(IF(OR($Q70=1,$Q70=2),1,0),IF($X70&lt;=20,1,0))</formula>
    </cfRule>
    <cfRule type="expression" priority="873" dxfId="2">
      <formula>AND(IF($Q70=2,1,0),IF($X70&lt;30,1,0))</formula>
    </cfRule>
    <cfRule type="expression" priority="874" dxfId="1">
      <formula>AND(IF($Q70=3,1,0),IF($X70&lt;30,1,0))</formula>
    </cfRule>
    <cfRule type="expression" priority="875" dxfId="0">
      <formula>AND(IF($Q70=3,1,IF($Q70=4,1,0)),IF($F70&lt;=85,1,0))</formula>
    </cfRule>
  </conditionalFormatting>
  <conditionalFormatting sqref="X70">
    <cfRule type="expression" priority="868" dxfId="3">
      <formula>AND(IF(OR($Q70=1,$Q70=2),1,0),IF($X70&lt;=20,1,0))</formula>
    </cfRule>
    <cfRule type="expression" priority="869" dxfId="2">
      <formula>AND(IF($Q70=2,1,0),IF($X70&lt;30,1,0))</formula>
    </cfRule>
    <cfRule type="expression" priority="870" dxfId="1">
      <formula>AND(IF($Q70=3,1,0),IF($X70&lt;30,1,0))</formula>
    </cfRule>
    <cfRule type="expression" priority="871" dxfId="0">
      <formula>AND(IF($Q70=3,1,IF($Q70=4,1,0)),IF($F70&lt;=85,1,0))</formula>
    </cfRule>
  </conditionalFormatting>
  <conditionalFormatting sqref="AI70">
    <cfRule type="expression" priority="864" dxfId="3">
      <formula>AND(IF(OR($Q70=1,$Q70=2),1,0),IF($X70&lt;=20,1,0))</formula>
    </cfRule>
    <cfRule type="expression" priority="865" dxfId="2">
      <formula>AND(IF($Q70=2,1,0),IF($X70&lt;30,1,0))</formula>
    </cfRule>
    <cfRule type="expression" priority="866" dxfId="1">
      <formula>AND(IF($Q70=3,1,0),IF($X70&lt;30,1,0))</formula>
    </cfRule>
    <cfRule type="expression" priority="867" dxfId="0">
      <formula>AND(IF($Q70=3,1,IF($Q70=4,1,0)),IF($F70&lt;=85,1,0))</formula>
    </cfRule>
  </conditionalFormatting>
  <conditionalFormatting sqref="AV71">
    <cfRule type="expression" priority="862" dxfId="19">
      <formula>AV71="X"</formula>
    </cfRule>
    <cfRule type="expression" priority="863" dxfId="18">
      <formula>AV71="후보"</formula>
    </cfRule>
  </conditionalFormatting>
  <conditionalFormatting sqref="AC71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71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71">
    <cfRule type="expression" priority="853" dxfId="3">
      <formula>AND(IF(OR($Q71=1,$Q71=2),1,0),IF($X71&lt;=20,1,0))</formula>
    </cfRule>
    <cfRule type="expression" priority="854" dxfId="2">
      <formula>AND(IF($Q71=2,1,0),IF($X71&lt;30,1,0))</formula>
    </cfRule>
    <cfRule type="expression" priority="855" dxfId="1">
      <formula>AND(IF($Q71=3,1,0),IF($X71&lt;30,1,0))</formula>
    </cfRule>
    <cfRule type="expression" priority="856" dxfId="0">
      <formula>AND(IF($Q71=3,1,IF($Q71=4,1,0)),IF($F71&lt;=85,1,0))</formula>
    </cfRule>
  </conditionalFormatting>
  <conditionalFormatting sqref="X71">
    <cfRule type="expression" priority="849" dxfId="3">
      <formula>AND(IF(OR($Q71=1,$Q71=2),1,0),IF($X71&lt;=20,1,0))</formula>
    </cfRule>
    <cfRule type="expression" priority="850" dxfId="2">
      <formula>AND(IF($Q71=2,1,0),IF($X71&lt;30,1,0))</formula>
    </cfRule>
    <cfRule type="expression" priority="851" dxfId="1">
      <formula>AND(IF($Q71=3,1,0),IF($X71&lt;30,1,0))</formula>
    </cfRule>
    <cfRule type="expression" priority="852" dxfId="0">
      <formula>AND(IF($Q71=3,1,IF($Q71=4,1,0)),IF($F71&lt;=85,1,0))</formula>
    </cfRule>
  </conditionalFormatting>
  <conditionalFormatting sqref="AI71">
    <cfRule type="expression" priority="845" dxfId="3">
      <formula>AND(IF(OR($Q71=1,$Q71=2),1,0),IF($X71&lt;=20,1,0))</formula>
    </cfRule>
    <cfRule type="expression" priority="846" dxfId="2">
      <formula>AND(IF($Q71=2,1,0),IF($X71&lt;30,1,0))</formula>
    </cfRule>
    <cfRule type="expression" priority="847" dxfId="1">
      <formula>AND(IF($Q71=3,1,0),IF($X71&lt;30,1,0))</formula>
    </cfRule>
    <cfRule type="expression" priority="848" dxfId="0">
      <formula>AND(IF($Q71=3,1,IF($Q71=4,1,0)),IF($F71&lt;=85,1,0))</formula>
    </cfRule>
  </conditionalFormatting>
  <conditionalFormatting sqref="AV72">
    <cfRule type="expression" priority="843" dxfId="19">
      <formula>AV72="X"</formula>
    </cfRule>
    <cfRule type="expression" priority="844" dxfId="18">
      <formula>AV72="후보"</formula>
    </cfRule>
  </conditionalFormatting>
  <conditionalFormatting sqref="AC72 N72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AV73">
    <cfRule type="expression" priority="838" dxfId="19">
      <formula>AV73="X"</formula>
    </cfRule>
    <cfRule type="expression" priority="839" dxfId="18">
      <formula>AV73="후보"</formula>
    </cfRule>
  </conditionalFormatting>
  <conditionalFormatting sqref="AC73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73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73">
    <cfRule type="expression" priority="829" dxfId="3">
      <formula>AND(IF(OR($Q73=1,$Q73=2),1,0),IF($X73&lt;=20,1,0))</formula>
    </cfRule>
    <cfRule type="expression" priority="830" dxfId="2">
      <formula>AND(IF($Q73=2,1,0),IF($X73&lt;30,1,0))</formula>
    </cfRule>
    <cfRule type="expression" priority="831" dxfId="1">
      <formula>AND(IF($Q73=3,1,0),IF($X73&lt;30,1,0))</formula>
    </cfRule>
    <cfRule type="expression" priority="832" dxfId="0">
      <formula>AND(IF($Q73=3,1,IF($Q73=4,1,0)),IF($F73&lt;=85,1,0))</formula>
    </cfRule>
  </conditionalFormatting>
  <conditionalFormatting sqref="X73">
    <cfRule type="expression" priority="825" dxfId="3">
      <formula>AND(IF(OR($Q73=1,$Q73=2),1,0),IF($X73&lt;=20,1,0))</formula>
    </cfRule>
    <cfRule type="expression" priority="826" dxfId="2">
      <formula>AND(IF($Q73=2,1,0),IF($X73&lt;30,1,0))</formula>
    </cfRule>
    <cfRule type="expression" priority="827" dxfId="1">
      <formula>AND(IF($Q73=3,1,0),IF($X73&lt;30,1,0))</formula>
    </cfRule>
    <cfRule type="expression" priority="828" dxfId="0">
      <formula>AND(IF($Q73=3,1,IF($Q73=4,1,0)),IF($F73&lt;=85,1,0))</formula>
    </cfRule>
  </conditionalFormatting>
  <conditionalFormatting sqref="AI73">
    <cfRule type="expression" priority="821" dxfId="3">
      <formula>AND(IF(OR($Q73=1,$Q73=2),1,0),IF($X73&lt;=20,1,0))</formula>
    </cfRule>
    <cfRule type="expression" priority="822" dxfId="2">
      <formula>AND(IF($Q73=2,1,0),IF($X73&lt;30,1,0))</formula>
    </cfRule>
    <cfRule type="expression" priority="823" dxfId="1">
      <formula>AND(IF($Q73=3,1,0),IF($X73&lt;30,1,0))</formula>
    </cfRule>
    <cfRule type="expression" priority="824" dxfId="0">
      <formula>AND(IF($Q73=3,1,IF($Q73=4,1,0)),IF($F73&lt;=85,1,0))</formula>
    </cfRule>
  </conditionalFormatting>
  <conditionalFormatting sqref="AV74">
    <cfRule type="expression" priority="819" dxfId="19">
      <formula>AV74="X"</formula>
    </cfRule>
    <cfRule type="expression" priority="820" dxfId="18">
      <formula>AV74="후보"</formula>
    </cfRule>
  </conditionalFormatting>
  <conditionalFormatting sqref="AC74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74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74">
    <cfRule type="expression" priority="810" dxfId="3">
      <formula>AND(IF(OR($Q74=1,$Q74=2),1,0),IF($X74&lt;=20,1,0))</formula>
    </cfRule>
    <cfRule type="expression" priority="811" dxfId="2">
      <formula>AND(IF($Q74=2,1,0),IF($X74&lt;30,1,0))</formula>
    </cfRule>
    <cfRule type="expression" priority="812" dxfId="1">
      <formula>AND(IF($Q74=3,1,0),IF($X74&lt;30,1,0))</formula>
    </cfRule>
    <cfRule type="expression" priority="813" dxfId="0">
      <formula>AND(IF($Q74=3,1,IF($Q74=4,1,0)),IF($F74&lt;=85,1,0))</formula>
    </cfRule>
  </conditionalFormatting>
  <conditionalFormatting sqref="X74">
    <cfRule type="expression" priority="806" dxfId="3">
      <formula>AND(IF(OR($Q74=1,$Q74=2),1,0),IF($X74&lt;=20,1,0))</formula>
    </cfRule>
    <cfRule type="expression" priority="807" dxfId="2">
      <formula>AND(IF($Q74=2,1,0),IF($X74&lt;30,1,0))</formula>
    </cfRule>
    <cfRule type="expression" priority="808" dxfId="1">
      <formula>AND(IF($Q74=3,1,0),IF($X74&lt;30,1,0))</formula>
    </cfRule>
    <cfRule type="expression" priority="809" dxfId="0">
      <formula>AND(IF($Q74=3,1,IF($Q74=4,1,0)),IF($F74&lt;=85,1,0))</formula>
    </cfRule>
  </conditionalFormatting>
  <conditionalFormatting sqref="AI74">
    <cfRule type="expression" priority="802" dxfId="3">
      <formula>AND(IF(OR($Q74=1,$Q74=2),1,0),IF($X74&lt;=20,1,0))</formula>
    </cfRule>
    <cfRule type="expression" priority="803" dxfId="2">
      <formula>AND(IF($Q74=2,1,0),IF($X74&lt;30,1,0))</formula>
    </cfRule>
    <cfRule type="expression" priority="804" dxfId="1">
      <formula>AND(IF($Q74=3,1,0),IF($X74&lt;30,1,0))</formula>
    </cfRule>
    <cfRule type="expression" priority="805" dxfId="0">
      <formula>AND(IF($Q74=3,1,IF($Q74=4,1,0)),IF($F74&lt;=85,1,0))</formula>
    </cfRule>
  </conditionalFormatting>
  <conditionalFormatting sqref="AV75">
    <cfRule type="expression" priority="800" dxfId="19">
      <formula>AV75="X"</formula>
    </cfRule>
    <cfRule type="expression" priority="801" dxfId="18">
      <formula>AV75="후보"</formula>
    </cfRule>
  </conditionalFormatting>
  <conditionalFormatting sqref="AC75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75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75">
    <cfRule type="expression" priority="791" dxfId="3">
      <formula>AND(IF(OR($Q75=1,$Q75=2),1,0),IF($X75&lt;=20,1,0))</formula>
    </cfRule>
    <cfRule type="expression" priority="792" dxfId="2">
      <formula>AND(IF($Q75=2,1,0),IF($X75&lt;30,1,0))</formula>
    </cfRule>
    <cfRule type="expression" priority="793" dxfId="1">
      <formula>AND(IF($Q75=3,1,0),IF($X75&lt;30,1,0))</formula>
    </cfRule>
    <cfRule type="expression" priority="794" dxfId="0">
      <formula>AND(IF($Q75=3,1,IF($Q75=4,1,0)),IF($F75&lt;=85,1,0))</formula>
    </cfRule>
  </conditionalFormatting>
  <conditionalFormatting sqref="X75">
    <cfRule type="expression" priority="787" dxfId="3">
      <formula>AND(IF(OR($Q75=1,$Q75=2),1,0),IF($X75&lt;=20,1,0))</formula>
    </cfRule>
    <cfRule type="expression" priority="788" dxfId="2">
      <formula>AND(IF($Q75=2,1,0),IF($X75&lt;30,1,0))</formula>
    </cfRule>
    <cfRule type="expression" priority="789" dxfId="1">
      <formula>AND(IF($Q75=3,1,0),IF($X75&lt;30,1,0))</formula>
    </cfRule>
    <cfRule type="expression" priority="790" dxfId="0">
      <formula>AND(IF($Q75=3,1,IF($Q75=4,1,0)),IF($F75&lt;=85,1,0))</formula>
    </cfRule>
  </conditionalFormatting>
  <conditionalFormatting sqref="AI75">
    <cfRule type="expression" priority="783" dxfId="3">
      <formula>AND(IF(OR($Q75=1,$Q75=2),1,0),IF($X75&lt;=20,1,0))</formula>
    </cfRule>
    <cfRule type="expression" priority="784" dxfId="2">
      <formula>AND(IF($Q75=2,1,0),IF($X75&lt;30,1,0))</formula>
    </cfRule>
    <cfRule type="expression" priority="785" dxfId="1">
      <formula>AND(IF($Q75=3,1,0),IF($X75&lt;30,1,0))</formula>
    </cfRule>
    <cfRule type="expression" priority="786" dxfId="0">
      <formula>AND(IF($Q75=3,1,IF($Q75=4,1,0)),IF($F75&lt;=85,1,0))</formula>
    </cfRule>
  </conditionalFormatting>
  <conditionalFormatting sqref="AV76">
    <cfRule type="expression" priority="781" dxfId="19">
      <formula>AV76="X"</formula>
    </cfRule>
    <cfRule type="expression" priority="782" dxfId="18">
      <formula>AV76="후보"</formula>
    </cfRule>
  </conditionalFormatting>
  <conditionalFormatting sqref="AC76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76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76">
    <cfRule type="expression" priority="772" dxfId="3">
      <formula>AND(IF(OR($Q76=1,$Q76=2),1,0),IF($X76&lt;=20,1,0))</formula>
    </cfRule>
    <cfRule type="expression" priority="773" dxfId="2">
      <formula>AND(IF($Q76=2,1,0),IF($X76&lt;30,1,0))</formula>
    </cfRule>
    <cfRule type="expression" priority="774" dxfId="1">
      <formula>AND(IF($Q76=3,1,0),IF($X76&lt;30,1,0))</formula>
    </cfRule>
    <cfRule type="expression" priority="775" dxfId="0">
      <formula>AND(IF($Q76=3,1,IF($Q76=4,1,0)),IF($F76&lt;=85,1,0))</formula>
    </cfRule>
  </conditionalFormatting>
  <conditionalFormatting sqref="X76">
    <cfRule type="expression" priority="768" dxfId="3">
      <formula>AND(IF(OR($Q76=1,$Q76=2),1,0),IF($X76&lt;=20,1,0))</formula>
    </cfRule>
    <cfRule type="expression" priority="769" dxfId="2">
      <formula>AND(IF($Q76=2,1,0),IF($X76&lt;30,1,0))</formula>
    </cfRule>
    <cfRule type="expression" priority="770" dxfId="1">
      <formula>AND(IF($Q76=3,1,0),IF($X76&lt;30,1,0))</formula>
    </cfRule>
    <cfRule type="expression" priority="771" dxfId="0">
      <formula>AND(IF($Q76=3,1,IF($Q76=4,1,0)),IF($F76&lt;=85,1,0))</formula>
    </cfRule>
  </conditionalFormatting>
  <conditionalFormatting sqref="AI76">
    <cfRule type="expression" priority="764" dxfId="3">
      <formula>AND(IF(OR($Q76=1,$Q76=2),1,0),IF($X76&lt;=20,1,0))</formula>
    </cfRule>
    <cfRule type="expression" priority="765" dxfId="2">
      <formula>AND(IF($Q76=2,1,0),IF($X76&lt;30,1,0))</formula>
    </cfRule>
    <cfRule type="expression" priority="766" dxfId="1">
      <formula>AND(IF($Q76=3,1,0),IF($X76&lt;30,1,0))</formula>
    </cfRule>
    <cfRule type="expression" priority="767" dxfId="0">
      <formula>AND(IF($Q76=3,1,IF($Q76=4,1,0)),IF($F76&lt;=85,1,0))</formula>
    </cfRule>
  </conditionalFormatting>
  <conditionalFormatting sqref="AV77">
    <cfRule type="expression" priority="762" dxfId="19">
      <formula>AV77="X"</formula>
    </cfRule>
    <cfRule type="expression" priority="763" dxfId="18">
      <formula>AV77="후보"</formula>
    </cfRule>
  </conditionalFormatting>
  <conditionalFormatting sqref="AC77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77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77">
    <cfRule type="expression" priority="753" dxfId="3">
      <formula>AND(IF(OR($Q77=1,$Q77=2),1,0),IF($X77&lt;=20,1,0))</formula>
    </cfRule>
    <cfRule type="expression" priority="754" dxfId="2">
      <formula>AND(IF($Q77=2,1,0),IF($X77&lt;30,1,0))</formula>
    </cfRule>
    <cfRule type="expression" priority="755" dxfId="1">
      <formula>AND(IF($Q77=3,1,0),IF($X77&lt;30,1,0))</formula>
    </cfRule>
    <cfRule type="expression" priority="756" dxfId="0">
      <formula>AND(IF($Q77=3,1,IF($Q77=4,1,0)),IF($F77&lt;=85,1,0))</formula>
    </cfRule>
  </conditionalFormatting>
  <conditionalFormatting sqref="X77">
    <cfRule type="expression" priority="749" dxfId="3">
      <formula>AND(IF(OR($Q77=1,$Q77=2),1,0),IF($X77&lt;=20,1,0))</formula>
    </cfRule>
    <cfRule type="expression" priority="750" dxfId="2">
      <formula>AND(IF($Q77=2,1,0),IF($X77&lt;30,1,0))</formula>
    </cfRule>
    <cfRule type="expression" priority="751" dxfId="1">
      <formula>AND(IF($Q77=3,1,0),IF($X77&lt;30,1,0))</formula>
    </cfRule>
    <cfRule type="expression" priority="752" dxfId="0">
      <formula>AND(IF($Q77=3,1,IF($Q77=4,1,0)),IF($F77&lt;=85,1,0))</formula>
    </cfRule>
  </conditionalFormatting>
  <conditionalFormatting sqref="AI77">
    <cfRule type="expression" priority="745" dxfId="3">
      <formula>AND(IF(OR($Q77=1,$Q77=2),1,0),IF($X77&lt;=20,1,0))</formula>
    </cfRule>
    <cfRule type="expression" priority="746" dxfId="2">
      <formula>AND(IF($Q77=2,1,0),IF($X77&lt;30,1,0))</formula>
    </cfRule>
    <cfRule type="expression" priority="747" dxfId="1">
      <formula>AND(IF($Q77=3,1,0),IF($X77&lt;30,1,0))</formula>
    </cfRule>
    <cfRule type="expression" priority="748" dxfId="0">
      <formula>AND(IF($Q77=3,1,IF($Q77=4,1,0)),IF($F77&lt;=85,1,0))</formula>
    </cfRule>
  </conditionalFormatting>
  <conditionalFormatting sqref="AV78">
    <cfRule type="expression" priority="743" dxfId="19">
      <formula>AV78="X"</formula>
    </cfRule>
    <cfRule type="expression" priority="744" dxfId="18">
      <formula>AV78="후보"</formula>
    </cfRule>
  </conditionalFormatting>
  <conditionalFormatting sqref="AC78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78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78">
    <cfRule type="expression" priority="734" dxfId="3">
      <formula>AND(IF(OR($Q78=1,$Q78=2),1,0),IF($X78&lt;=20,1,0))</formula>
    </cfRule>
    <cfRule type="expression" priority="735" dxfId="2">
      <formula>AND(IF($Q78=2,1,0),IF($X78&lt;30,1,0))</formula>
    </cfRule>
    <cfRule type="expression" priority="736" dxfId="1">
      <formula>AND(IF($Q78=3,1,0),IF($X78&lt;30,1,0))</formula>
    </cfRule>
    <cfRule type="expression" priority="737" dxfId="0">
      <formula>AND(IF($Q78=3,1,IF($Q78=4,1,0)),IF($F78&lt;=85,1,0))</formula>
    </cfRule>
  </conditionalFormatting>
  <conditionalFormatting sqref="X78">
    <cfRule type="expression" priority="730" dxfId="3">
      <formula>AND(IF(OR($Q78=1,$Q78=2),1,0),IF($X78&lt;=20,1,0))</formula>
    </cfRule>
    <cfRule type="expression" priority="731" dxfId="2">
      <formula>AND(IF($Q78=2,1,0),IF($X78&lt;30,1,0))</formula>
    </cfRule>
    <cfRule type="expression" priority="732" dxfId="1">
      <formula>AND(IF($Q78=3,1,0),IF($X78&lt;30,1,0))</formula>
    </cfRule>
    <cfRule type="expression" priority="733" dxfId="0">
      <formula>AND(IF($Q78=3,1,IF($Q78=4,1,0)),IF($F78&lt;=85,1,0))</formula>
    </cfRule>
  </conditionalFormatting>
  <conditionalFormatting sqref="AI78">
    <cfRule type="expression" priority="726" dxfId="3">
      <formula>AND(IF(OR($Q78=1,$Q78=2),1,0),IF($X78&lt;=20,1,0))</formula>
    </cfRule>
    <cfRule type="expression" priority="727" dxfId="2">
      <formula>AND(IF($Q78=2,1,0),IF($X78&lt;30,1,0))</formula>
    </cfRule>
    <cfRule type="expression" priority="728" dxfId="1">
      <formula>AND(IF($Q78=3,1,0),IF($X78&lt;30,1,0))</formula>
    </cfRule>
    <cfRule type="expression" priority="729" dxfId="0">
      <formula>AND(IF($Q78=3,1,IF($Q78=4,1,0)),IF($F78&lt;=85,1,0))</formula>
    </cfRule>
  </conditionalFormatting>
  <conditionalFormatting sqref="AV79">
    <cfRule type="expression" priority="724" dxfId="19">
      <formula>AV79="X"</formula>
    </cfRule>
    <cfRule type="expression" priority="725" dxfId="18">
      <formula>AV79="후보"</formula>
    </cfRule>
  </conditionalFormatting>
  <conditionalFormatting sqref="AC79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79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79">
    <cfRule type="expression" priority="715" dxfId="3">
      <formula>AND(IF(OR($Q79=1,$Q79=2),1,0),IF($X79&lt;=20,1,0))</formula>
    </cfRule>
    <cfRule type="expression" priority="716" dxfId="2">
      <formula>AND(IF($Q79=2,1,0),IF($X79&lt;30,1,0))</formula>
    </cfRule>
    <cfRule type="expression" priority="717" dxfId="1">
      <formula>AND(IF($Q79=3,1,0),IF($X79&lt;30,1,0))</formula>
    </cfRule>
    <cfRule type="expression" priority="718" dxfId="0">
      <formula>AND(IF($Q79=3,1,IF($Q79=4,1,0)),IF($F79&lt;=85,1,0))</formula>
    </cfRule>
  </conditionalFormatting>
  <conditionalFormatting sqref="X79">
    <cfRule type="expression" priority="711" dxfId="3">
      <formula>AND(IF(OR($Q79=1,$Q79=2),1,0),IF($X79&lt;=20,1,0))</formula>
    </cfRule>
    <cfRule type="expression" priority="712" dxfId="2">
      <formula>AND(IF($Q79=2,1,0),IF($X79&lt;30,1,0))</formula>
    </cfRule>
    <cfRule type="expression" priority="713" dxfId="1">
      <formula>AND(IF($Q79=3,1,0),IF($X79&lt;30,1,0))</formula>
    </cfRule>
    <cfRule type="expression" priority="714" dxfId="0">
      <formula>AND(IF($Q79=3,1,IF($Q79=4,1,0)),IF($F79&lt;=85,1,0))</formula>
    </cfRule>
  </conditionalFormatting>
  <conditionalFormatting sqref="AI79">
    <cfRule type="expression" priority="707" dxfId="3">
      <formula>AND(IF(OR($Q79=1,$Q79=2),1,0),IF($X79&lt;=20,1,0))</formula>
    </cfRule>
    <cfRule type="expression" priority="708" dxfId="2">
      <formula>AND(IF($Q79=2,1,0),IF($X79&lt;30,1,0))</formula>
    </cfRule>
    <cfRule type="expression" priority="709" dxfId="1">
      <formula>AND(IF($Q79=3,1,0),IF($X79&lt;30,1,0))</formula>
    </cfRule>
    <cfRule type="expression" priority="710" dxfId="0">
      <formula>AND(IF($Q79=3,1,IF($Q79=4,1,0)),IF($F79&lt;=85,1,0))</formula>
    </cfRule>
  </conditionalFormatting>
  <conditionalFormatting sqref="AV80">
    <cfRule type="expression" priority="705" dxfId="19">
      <formula>AV80="X"</formula>
    </cfRule>
    <cfRule type="expression" priority="706" dxfId="18">
      <formula>AV80="후보"</formula>
    </cfRule>
  </conditionalFormatting>
  <conditionalFormatting sqref="AC80 N80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AV81">
    <cfRule type="expression" priority="700" dxfId="19">
      <formula>AV81="X"</formula>
    </cfRule>
    <cfRule type="expression" priority="701" dxfId="18">
      <formula>AV81="후보"</formula>
    </cfRule>
  </conditionalFormatting>
  <conditionalFormatting sqref="AC8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81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81">
    <cfRule type="expression" priority="691" dxfId="3">
      <formula>AND(IF(OR($Q81=1,$Q81=2),1,0),IF($X81&lt;=20,1,0))</formula>
    </cfRule>
    <cfRule type="expression" priority="692" dxfId="2">
      <formula>AND(IF($Q81=2,1,0),IF($X81&lt;30,1,0))</formula>
    </cfRule>
    <cfRule type="expression" priority="693" dxfId="1">
      <formula>AND(IF($Q81=3,1,0),IF($X81&lt;30,1,0))</formula>
    </cfRule>
    <cfRule type="expression" priority="694" dxfId="0">
      <formula>AND(IF($Q81=3,1,IF($Q81=4,1,0)),IF($F81&lt;=85,1,0))</formula>
    </cfRule>
  </conditionalFormatting>
  <conditionalFormatting sqref="X81">
    <cfRule type="expression" priority="687" dxfId="3">
      <formula>AND(IF(OR($Q81=1,$Q81=2),1,0),IF($X81&lt;=20,1,0))</formula>
    </cfRule>
    <cfRule type="expression" priority="688" dxfId="2">
      <formula>AND(IF($Q81=2,1,0),IF($X81&lt;30,1,0))</formula>
    </cfRule>
    <cfRule type="expression" priority="689" dxfId="1">
      <formula>AND(IF($Q81=3,1,0),IF($X81&lt;30,1,0))</formula>
    </cfRule>
    <cfRule type="expression" priority="690" dxfId="0">
      <formula>AND(IF($Q81=3,1,IF($Q81=4,1,0)),IF($F81&lt;=85,1,0))</formula>
    </cfRule>
  </conditionalFormatting>
  <conditionalFormatting sqref="AI81">
    <cfRule type="expression" priority="683" dxfId="3">
      <formula>AND(IF(OR($Q81=1,$Q81=2),1,0),IF($X81&lt;=20,1,0))</formula>
    </cfRule>
    <cfRule type="expression" priority="684" dxfId="2">
      <formula>AND(IF($Q81=2,1,0),IF($X81&lt;30,1,0))</formula>
    </cfRule>
    <cfRule type="expression" priority="685" dxfId="1">
      <formula>AND(IF($Q81=3,1,0),IF($X81&lt;30,1,0))</formula>
    </cfRule>
    <cfRule type="expression" priority="686" dxfId="0">
      <formula>AND(IF($Q81=3,1,IF($Q81=4,1,0)),IF($F81&lt;=85,1,0))</formula>
    </cfRule>
  </conditionalFormatting>
  <conditionalFormatting sqref="AV82">
    <cfRule type="expression" priority="681" dxfId="19">
      <formula>AV82="X"</formula>
    </cfRule>
    <cfRule type="expression" priority="682" dxfId="18">
      <formula>AV82="후보"</formula>
    </cfRule>
  </conditionalFormatting>
  <conditionalFormatting sqref="AC82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82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82">
    <cfRule type="expression" priority="672" dxfId="3">
      <formula>AND(IF(OR($Q82=1,$Q82=2),1,0),IF($X82&lt;=20,1,0))</formula>
    </cfRule>
    <cfRule type="expression" priority="673" dxfId="2">
      <formula>AND(IF($Q82=2,1,0),IF($X82&lt;30,1,0))</formula>
    </cfRule>
    <cfRule type="expression" priority="674" dxfId="1">
      <formula>AND(IF($Q82=3,1,0),IF($X82&lt;30,1,0))</formula>
    </cfRule>
    <cfRule type="expression" priority="675" dxfId="0">
      <formula>AND(IF($Q82=3,1,IF($Q82=4,1,0)),IF($F82&lt;=85,1,0))</formula>
    </cfRule>
  </conditionalFormatting>
  <conditionalFormatting sqref="X82">
    <cfRule type="expression" priority="668" dxfId="3">
      <formula>AND(IF(OR($Q82=1,$Q82=2),1,0),IF($X82&lt;=20,1,0))</formula>
    </cfRule>
    <cfRule type="expression" priority="669" dxfId="2">
      <formula>AND(IF($Q82=2,1,0),IF($X82&lt;30,1,0))</formula>
    </cfRule>
    <cfRule type="expression" priority="670" dxfId="1">
      <formula>AND(IF($Q82=3,1,0),IF($X82&lt;30,1,0))</formula>
    </cfRule>
    <cfRule type="expression" priority="671" dxfId="0">
      <formula>AND(IF($Q82=3,1,IF($Q82=4,1,0)),IF($F82&lt;=85,1,0))</formula>
    </cfRule>
  </conditionalFormatting>
  <conditionalFormatting sqref="AI82">
    <cfRule type="expression" priority="664" dxfId="3">
      <formula>AND(IF(OR($Q82=1,$Q82=2),1,0),IF($X82&lt;=20,1,0))</formula>
    </cfRule>
    <cfRule type="expression" priority="665" dxfId="2">
      <formula>AND(IF($Q82=2,1,0),IF($X82&lt;30,1,0))</formula>
    </cfRule>
    <cfRule type="expression" priority="666" dxfId="1">
      <formula>AND(IF($Q82=3,1,0),IF($X82&lt;30,1,0))</formula>
    </cfRule>
    <cfRule type="expression" priority="667" dxfId="0">
      <formula>AND(IF($Q82=3,1,IF($Q82=4,1,0)),IF($F82&lt;=85,1,0))</formula>
    </cfRule>
  </conditionalFormatting>
  <conditionalFormatting sqref="AV83">
    <cfRule type="expression" priority="662" dxfId="19">
      <formula>AV83="X"</formula>
    </cfRule>
    <cfRule type="expression" priority="663" dxfId="18">
      <formula>AV83="후보"</formula>
    </cfRule>
  </conditionalFormatting>
  <conditionalFormatting sqref="AC83 N83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AV84">
    <cfRule type="expression" priority="657" dxfId="19">
      <formula>AV84="X"</formula>
    </cfRule>
    <cfRule type="expression" priority="658" dxfId="18">
      <formula>AV84="후보"</formula>
    </cfRule>
  </conditionalFormatting>
  <conditionalFormatting sqref="AC84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84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84">
    <cfRule type="expression" priority="648" dxfId="3">
      <formula>AND(IF(OR($Q84=1,$Q84=2),1,0),IF($X84&lt;=20,1,0))</formula>
    </cfRule>
    <cfRule type="expression" priority="649" dxfId="2">
      <formula>AND(IF($Q84=2,1,0),IF($X84&lt;30,1,0))</formula>
    </cfRule>
    <cfRule type="expression" priority="650" dxfId="1">
      <formula>AND(IF($Q84=3,1,0),IF($X84&lt;30,1,0))</formula>
    </cfRule>
    <cfRule type="expression" priority="651" dxfId="0">
      <formula>AND(IF($Q84=3,1,IF($Q84=4,1,0)),IF($F84&lt;=85,1,0))</formula>
    </cfRule>
  </conditionalFormatting>
  <conditionalFormatting sqref="X84">
    <cfRule type="expression" priority="644" dxfId="3">
      <formula>AND(IF(OR($Q84=1,$Q84=2),1,0),IF($X84&lt;=20,1,0))</formula>
    </cfRule>
    <cfRule type="expression" priority="645" dxfId="2">
      <formula>AND(IF($Q84=2,1,0),IF($X84&lt;30,1,0))</formula>
    </cfRule>
    <cfRule type="expression" priority="646" dxfId="1">
      <formula>AND(IF($Q84=3,1,0),IF($X84&lt;30,1,0))</formula>
    </cfRule>
    <cfRule type="expression" priority="647" dxfId="0">
      <formula>AND(IF($Q84=3,1,IF($Q84=4,1,0)),IF($F84&lt;=85,1,0))</formula>
    </cfRule>
  </conditionalFormatting>
  <conditionalFormatting sqref="AI84">
    <cfRule type="expression" priority="640" dxfId="3">
      <formula>AND(IF(OR($Q84=1,$Q84=2),1,0),IF($X84&lt;=20,1,0))</formula>
    </cfRule>
    <cfRule type="expression" priority="641" dxfId="2">
      <formula>AND(IF($Q84=2,1,0),IF($X84&lt;30,1,0))</formula>
    </cfRule>
    <cfRule type="expression" priority="642" dxfId="1">
      <formula>AND(IF($Q84=3,1,0),IF($X84&lt;30,1,0))</formula>
    </cfRule>
    <cfRule type="expression" priority="643" dxfId="0">
      <formula>AND(IF($Q84=3,1,IF($Q84=4,1,0)),IF($F84&lt;=85,1,0))</formula>
    </cfRule>
  </conditionalFormatting>
  <conditionalFormatting sqref="AV85">
    <cfRule type="expression" priority="638" dxfId="19">
      <formula>AV85="X"</formula>
    </cfRule>
    <cfRule type="expression" priority="639" dxfId="18">
      <formula>AV85="후보"</formula>
    </cfRule>
  </conditionalFormatting>
  <conditionalFormatting sqref="AC85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85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85">
    <cfRule type="expression" priority="629" dxfId="3">
      <formula>AND(IF(OR($Q85=1,$Q85=2),1,0),IF($X85&lt;=20,1,0))</formula>
    </cfRule>
    <cfRule type="expression" priority="630" dxfId="2">
      <formula>AND(IF($Q85=2,1,0),IF($X85&lt;30,1,0))</formula>
    </cfRule>
    <cfRule type="expression" priority="631" dxfId="1">
      <formula>AND(IF($Q85=3,1,0),IF($X85&lt;30,1,0))</formula>
    </cfRule>
    <cfRule type="expression" priority="632" dxfId="0">
      <formula>AND(IF($Q85=3,1,IF($Q85=4,1,0)),IF($F85&lt;=85,1,0))</formula>
    </cfRule>
  </conditionalFormatting>
  <conditionalFormatting sqref="X85">
    <cfRule type="expression" priority="625" dxfId="3">
      <formula>AND(IF(OR($Q85=1,$Q85=2),1,0),IF($X85&lt;=20,1,0))</formula>
    </cfRule>
    <cfRule type="expression" priority="626" dxfId="2">
      <formula>AND(IF($Q85=2,1,0),IF($X85&lt;30,1,0))</formula>
    </cfRule>
    <cfRule type="expression" priority="627" dxfId="1">
      <formula>AND(IF($Q85=3,1,0),IF($X85&lt;30,1,0))</formula>
    </cfRule>
    <cfRule type="expression" priority="628" dxfId="0">
      <formula>AND(IF($Q85=3,1,IF($Q85=4,1,0)),IF($F85&lt;=85,1,0))</formula>
    </cfRule>
  </conditionalFormatting>
  <conditionalFormatting sqref="AI85">
    <cfRule type="expression" priority="621" dxfId="3">
      <formula>AND(IF(OR($Q85=1,$Q85=2),1,0),IF($X85&lt;=20,1,0))</formula>
    </cfRule>
    <cfRule type="expression" priority="622" dxfId="2">
      <formula>AND(IF($Q85=2,1,0),IF($X85&lt;30,1,0))</formula>
    </cfRule>
    <cfRule type="expression" priority="623" dxfId="1">
      <formula>AND(IF($Q85=3,1,0),IF($X85&lt;30,1,0))</formula>
    </cfRule>
    <cfRule type="expression" priority="624" dxfId="0">
      <formula>AND(IF($Q85=3,1,IF($Q85=4,1,0)),IF($F85&lt;=85,1,0))</formula>
    </cfRule>
  </conditionalFormatting>
  <conditionalFormatting sqref="AV86">
    <cfRule type="expression" priority="619" dxfId="19">
      <formula>AV86="X"</formula>
    </cfRule>
    <cfRule type="expression" priority="620" dxfId="18">
      <formula>AV86="후보"</formula>
    </cfRule>
  </conditionalFormatting>
  <conditionalFormatting sqref="AC86 N86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AV87">
    <cfRule type="expression" priority="614" dxfId="19">
      <formula>AV87="X"</formula>
    </cfRule>
    <cfRule type="expression" priority="615" dxfId="18">
      <formula>AV87="후보"</formula>
    </cfRule>
  </conditionalFormatting>
  <conditionalFormatting sqref="AC87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8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87">
    <cfRule type="expression" priority="605" dxfId="3">
      <formula>AND(IF(OR($Q87=1,$Q87=2),1,0),IF($X87&lt;=20,1,0))</formula>
    </cfRule>
    <cfRule type="expression" priority="606" dxfId="2">
      <formula>AND(IF($Q87=2,1,0),IF($X87&lt;30,1,0))</formula>
    </cfRule>
    <cfRule type="expression" priority="607" dxfId="1">
      <formula>AND(IF($Q87=3,1,0),IF($X87&lt;30,1,0))</formula>
    </cfRule>
    <cfRule type="expression" priority="608" dxfId="0">
      <formula>AND(IF($Q87=3,1,IF($Q87=4,1,0)),IF($F87&lt;=85,1,0))</formula>
    </cfRule>
  </conditionalFormatting>
  <conditionalFormatting sqref="X87">
    <cfRule type="expression" priority="601" dxfId="3">
      <formula>AND(IF(OR($Q87=1,$Q87=2),1,0),IF($X87&lt;=20,1,0))</formula>
    </cfRule>
    <cfRule type="expression" priority="602" dxfId="2">
      <formula>AND(IF($Q87=2,1,0),IF($X87&lt;30,1,0))</formula>
    </cfRule>
    <cfRule type="expression" priority="603" dxfId="1">
      <formula>AND(IF($Q87=3,1,0),IF($X87&lt;30,1,0))</formula>
    </cfRule>
    <cfRule type="expression" priority="604" dxfId="0">
      <formula>AND(IF($Q87=3,1,IF($Q87=4,1,0)),IF($F87&lt;=85,1,0))</formula>
    </cfRule>
  </conditionalFormatting>
  <conditionalFormatting sqref="AI87">
    <cfRule type="expression" priority="597" dxfId="3">
      <formula>AND(IF(OR($Q87=1,$Q87=2),1,0),IF($X87&lt;=20,1,0))</formula>
    </cfRule>
    <cfRule type="expression" priority="598" dxfId="2">
      <formula>AND(IF($Q87=2,1,0),IF($X87&lt;30,1,0))</formula>
    </cfRule>
    <cfRule type="expression" priority="599" dxfId="1">
      <formula>AND(IF($Q87=3,1,0),IF($X87&lt;30,1,0))</formula>
    </cfRule>
    <cfRule type="expression" priority="600" dxfId="0">
      <formula>AND(IF($Q87=3,1,IF($Q87=4,1,0)),IF($F87&lt;=85,1,0))</formula>
    </cfRule>
  </conditionalFormatting>
  <conditionalFormatting sqref="AV88">
    <cfRule type="expression" priority="595" dxfId="19">
      <formula>AV88="X"</formula>
    </cfRule>
    <cfRule type="expression" priority="596" dxfId="18">
      <formula>AV88="후보"</formula>
    </cfRule>
  </conditionalFormatting>
  <conditionalFormatting sqref="AC88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88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88">
    <cfRule type="expression" priority="586" dxfId="3">
      <formula>AND(IF(OR($Q88=1,$Q88=2),1,0),IF($X88&lt;=20,1,0))</formula>
    </cfRule>
    <cfRule type="expression" priority="587" dxfId="2">
      <formula>AND(IF($Q88=2,1,0),IF($X88&lt;30,1,0))</formula>
    </cfRule>
    <cfRule type="expression" priority="588" dxfId="1">
      <formula>AND(IF($Q88=3,1,0),IF($X88&lt;30,1,0))</formula>
    </cfRule>
    <cfRule type="expression" priority="589" dxfId="0">
      <formula>AND(IF($Q88=3,1,IF($Q88=4,1,0)),IF($F88&lt;=85,1,0))</formula>
    </cfRule>
  </conditionalFormatting>
  <conditionalFormatting sqref="X88">
    <cfRule type="expression" priority="582" dxfId="3">
      <formula>AND(IF(OR($Q88=1,$Q88=2),1,0),IF($X88&lt;=20,1,0))</formula>
    </cfRule>
    <cfRule type="expression" priority="583" dxfId="2">
      <formula>AND(IF($Q88=2,1,0),IF($X88&lt;30,1,0))</formula>
    </cfRule>
    <cfRule type="expression" priority="584" dxfId="1">
      <formula>AND(IF($Q88=3,1,0),IF($X88&lt;30,1,0))</formula>
    </cfRule>
    <cfRule type="expression" priority="585" dxfId="0">
      <formula>AND(IF($Q88=3,1,IF($Q88=4,1,0)),IF($F88&lt;=85,1,0))</formula>
    </cfRule>
  </conditionalFormatting>
  <conditionalFormatting sqref="AI88">
    <cfRule type="expression" priority="578" dxfId="3">
      <formula>AND(IF(OR($Q88=1,$Q88=2),1,0),IF($X88&lt;=20,1,0))</formula>
    </cfRule>
    <cfRule type="expression" priority="579" dxfId="2">
      <formula>AND(IF($Q88=2,1,0),IF($X88&lt;30,1,0))</formula>
    </cfRule>
    <cfRule type="expression" priority="580" dxfId="1">
      <formula>AND(IF($Q88=3,1,0),IF($X88&lt;30,1,0))</formula>
    </cfRule>
    <cfRule type="expression" priority="581" dxfId="0">
      <formula>AND(IF($Q88=3,1,IF($Q88=4,1,0)),IF($F88&lt;=85,1,0))</formula>
    </cfRule>
  </conditionalFormatting>
  <conditionalFormatting sqref="AV89">
    <cfRule type="expression" priority="576" dxfId="19">
      <formula>AV89="X"</formula>
    </cfRule>
    <cfRule type="expression" priority="577" dxfId="18">
      <formula>AV89="후보"</formula>
    </cfRule>
  </conditionalFormatting>
  <conditionalFormatting sqref="AC89 N8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90">
    <cfRule type="expression" priority="571" dxfId="19">
      <formula>AV90="X"</formula>
    </cfRule>
    <cfRule type="expression" priority="572" dxfId="18">
      <formula>AV90="후보"</formula>
    </cfRule>
  </conditionalFormatting>
  <conditionalFormatting sqref="AC90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90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90">
    <cfRule type="expression" priority="562" dxfId="3">
      <formula>AND(IF(OR($Q90=1,$Q90=2),1,0),IF($X90&lt;=20,1,0))</formula>
    </cfRule>
    <cfRule type="expression" priority="563" dxfId="2">
      <formula>AND(IF($Q90=2,1,0),IF($X90&lt;30,1,0))</formula>
    </cfRule>
    <cfRule type="expression" priority="564" dxfId="1">
      <formula>AND(IF($Q90=3,1,0),IF($X90&lt;30,1,0))</formula>
    </cfRule>
    <cfRule type="expression" priority="565" dxfId="0">
      <formula>AND(IF($Q90=3,1,IF($Q90=4,1,0)),IF($F90&lt;=85,1,0))</formula>
    </cfRule>
  </conditionalFormatting>
  <conditionalFormatting sqref="X90">
    <cfRule type="expression" priority="558" dxfId="3">
      <formula>AND(IF(OR($Q90=1,$Q90=2),1,0),IF($X90&lt;=20,1,0))</formula>
    </cfRule>
    <cfRule type="expression" priority="559" dxfId="2">
      <formula>AND(IF($Q90=2,1,0),IF($X90&lt;30,1,0))</formula>
    </cfRule>
    <cfRule type="expression" priority="560" dxfId="1">
      <formula>AND(IF($Q90=3,1,0),IF($X90&lt;30,1,0))</formula>
    </cfRule>
    <cfRule type="expression" priority="561" dxfId="0">
      <formula>AND(IF($Q90=3,1,IF($Q90=4,1,0)),IF($F90&lt;=85,1,0))</formula>
    </cfRule>
  </conditionalFormatting>
  <conditionalFormatting sqref="AI90">
    <cfRule type="expression" priority="554" dxfId="3">
      <formula>AND(IF(OR($Q90=1,$Q90=2),1,0),IF($X90&lt;=20,1,0))</formula>
    </cfRule>
    <cfRule type="expression" priority="555" dxfId="2">
      <formula>AND(IF($Q90=2,1,0),IF($X90&lt;30,1,0))</formula>
    </cfRule>
    <cfRule type="expression" priority="556" dxfId="1">
      <formula>AND(IF($Q90=3,1,0),IF($X90&lt;30,1,0))</formula>
    </cfRule>
    <cfRule type="expression" priority="557" dxfId="0">
      <formula>AND(IF($Q90=3,1,IF($Q90=4,1,0)),IF($F90&lt;=85,1,0))</formula>
    </cfRule>
  </conditionalFormatting>
  <conditionalFormatting sqref="AV91">
    <cfRule type="expression" priority="552" dxfId="19">
      <formula>AV91="X"</formula>
    </cfRule>
    <cfRule type="expression" priority="553" dxfId="18">
      <formula>AV91="후보"</formula>
    </cfRule>
  </conditionalFormatting>
  <conditionalFormatting sqref="AC91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91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91">
    <cfRule type="expression" priority="543" dxfId="3">
      <formula>AND(IF(OR($Q91=1,$Q91=2),1,0),IF($X91&lt;=20,1,0))</formula>
    </cfRule>
    <cfRule type="expression" priority="544" dxfId="2">
      <formula>AND(IF($Q91=2,1,0),IF($X91&lt;30,1,0))</formula>
    </cfRule>
    <cfRule type="expression" priority="545" dxfId="1">
      <formula>AND(IF($Q91=3,1,0),IF($X91&lt;30,1,0))</formula>
    </cfRule>
    <cfRule type="expression" priority="546" dxfId="0">
      <formula>AND(IF($Q91=3,1,IF($Q91=4,1,0)),IF($F91&lt;=85,1,0))</formula>
    </cfRule>
  </conditionalFormatting>
  <conditionalFormatting sqref="X91">
    <cfRule type="expression" priority="539" dxfId="3">
      <formula>AND(IF(OR($Q91=1,$Q91=2),1,0),IF($X91&lt;=20,1,0))</formula>
    </cfRule>
    <cfRule type="expression" priority="540" dxfId="2">
      <formula>AND(IF($Q91=2,1,0),IF($X91&lt;30,1,0))</formula>
    </cfRule>
    <cfRule type="expression" priority="541" dxfId="1">
      <formula>AND(IF($Q91=3,1,0),IF($X91&lt;30,1,0))</formula>
    </cfRule>
    <cfRule type="expression" priority="542" dxfId="0">
      <formula>AND(IF($Q91=3,1,IF($Q91=4,1,0)),IF($F91&lt;=85,1,0))</formula>
    </cfRule>
  </conditionalFormatting>
  <conditionalFormatting sqref="AI91">
    <cfRule type="expression" priority="535" dxfId="3">
      <formula>AND(IF(OR($Q91=1,$Q91=2),1,0),IF($X91&lt;=20,1,0))</formula>
    </cfRule>
    <cfRule type="expression" priority="536" dxfId="2">
      <formula>AND(IF($Q91=2,1,0),IF($X91&lt;30,1,0))</formula>
    </cfRule>
    <cfRule type="expression" priority="537" dxfId="1">
      <formula>AND(IF($Q91=3,1,0),IF($X91&lt;30,1,0))</formula>
    </cfRule>
    <cfRule type="expression" priority="538" dxfId="0">
      <formula>AND(IF($Q91=3,1,IF($Q91=4,1,0)),IF($F91&lt;=85,1,0))</formula>
    </cfRule>
  </conditionalFormatting>
  <conditionalFormatting sqref="AV92">
    <cfRule type="expression" priority="533" dxfId="19">
      <formula>AV92="X"</formula>
    </cfRule>
    <cfRule type="expression" priority="534" dxfId="18">
      <formula>AV92="후보"</formula>
    </cfRule>
  </conditionalFormatting>
  <conditionalFormatting sqref="AC92 N92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93">
    <cfRule type="expression" priority="528" dxfId="19">
      <formula>AV93="X"</formula>
    </cfRule>
    <cfRule type="expression" priority="529" dxfId="18">
      <formula>AV93="후보"</formula>
    </cfRule>
  </conditionalFormatting>
  <conditionalFormatting sqref="AC93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93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93">
    <cfRule type="expression" priority="519" dxfId="3">
      <formula>AND(IF(OR($Q93=1,$Q93=2),1,0),IF($X93&lt;=20,1,0))</formula>
    </cfRule>
    <cfRule type="expression" priority="520" dxfId="2">
      <formula>AND(IF($Q93=2,1,0),IF($X93&lt;30,1,0))</formula>
    </cfRule>
    <cfRule type="expression" priority="521" dxfId="1">
      <formula>AND(IF($Q93=3,1,0),IF($X93&lt;30,1,0))</formula>
    </cfRule>
    <cfRule type="expression" priority="522" dxfId="0">
      <formula>AND(IF($Q93=3,1,IF($Q93=4,1,0)),IF($F93&lt;=85,1,0))</formula>
    </cfRule>
  </conditionalFormatting>
  <conditionalFormatting sqref="X93">
    <cfRule type="expression" priority="515" dxfId="3">
      <formula>AND(IF(OR($Q93=1,$Q93=2),1,0),IF($X93&lt;=20,1,0))</formula>
    </cfRule>
    <cfRule type="expression" priority="516" dxfId="2">
      <formula>AND(IF($Q93=2,1,0),IF($X93&lt;30,1,0))</formula>
    </cfRule>
    <cfRule type="expression" priority="517" dxfId="1">
      <formula>AND(IF($Q93=3,1,0),IF($X93&lt;30,1,0))</formula>
    </cfRule>
    <cfRule type="expression" priority="518" dxfId="0">
      <formula>AND(IF($Q93=3,1,IF($Q93=4,1,0)),IF($F93&lt;=85,1,0))</formula>
    </cfRule>
  </conditionalFormatting>
  <conditionalFormatting sqref="AI93">
    <cfRule type="expression" priority="511" dxfId="3">
      <formula>AND(IF(OR($Q93=1,$Q93=2),1,0),IF($X93&lt;=20,1,0))</formula>
    </cfRule>
    <cfRule type="expression" priority="512" dxfId="2">
      <formula>AND(IF($Q93=2,1,0),IF($X93&lt;30,1,0))</formula>
    </cfRule>
    <cfRule type="expression" priority="513" dxfId="1">
      <formula>AND(IF($Q93=3,1,0),IF($X93&lt;30,1,0))</formula>
    </cfRule>
    <cfRule type="expression" priority="514" dxfId="0">
      <formula>AND(IF($Q93=3,1,IF($Q93=4,1,0)),IF($F93&lt;=85,1,0))</formula>
    </cfRule>
  </conditionalFormatting>
  <conditionalFormatting sqref="AV94">
    <cfRule type="expression" priority="509" dxfId="19">
      <formula>AV94="X"</formula>
    </cfRule>
    <cfRule type="expression" priority="510" dxfId="18">
      <formula>AV94="후보"</formula>
    </cfRule>
  </conditionalFormatting>
  <conditionalFormatting sqref="AC94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94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94">
    <cfRule type="expression" priority="500" dxfId="3">
      <formula>AND(IF(OR($Q94=1,$Q94=2),1,0),IF($X94&lt;=20,1,0))</formula>
    </cfRule>
    <cfRule type="expression" priority="501" dxfId="2">
      <formula>AND(IF($Q94=2,1,0),IF($X94&lt;30,1,0))</formula>
    </cfRule>
    <cfRule type="expression" priority="502" dxfId="1">
      <formula>AND(IF($Q94=3,1,0),IF($X94&lt;30,1,0))</formula>
    </cfRule>
    <cfRule type="expression" priority="503" dxfId="0">
      <formula>AND(IF($Q94=3,1,IF($Q94=4,1,0)),IF($F94&lt;=85,1,0))</formula>
    </cfRule>
  </conditionalFormatting>
  <conditionalFormatting sqref="X94">
    <cfRule type="expression" priority="496" dxfId="3">
      <formula>AND(IF(OR($Q94=1,$Q94=2),1,0),IF($X94&lt;=20,1,0))</formula>
    </cfRule>
    <cfRule type="expression" priority="497" dxfId="2">
      <formula>AND(IF($Q94=2,1,0),IF($X94&lt;30,1,0))</formula>
    </cfRule>
    <cfRule type="expression" priority="498" dxfId="1">
      <formula>AND(IF($Q94=3,1,0),IF($X94&lt;30,1,0))</formula>
    </cfRule>
    <cfRule type="expression" priority="499" dxfId="0">
      <formula>AND(IF($Q94=3,1,IF($Q94=4,1,0)),IF($F94&lt;=85,1,0))</formula>
    </cfRule>
  </conditionalFormatting>
  <conditionalFormatting sqref="AI94">
    <cfRule type="expression" priority="492" dxfId="3">
      <formula>AND(IF(OR($Q94=1,$Q94=2),1,0),IF($X94&lt;=20,1,0))</formula>
    </cfRule>
    <cfRule type="expression" priority="493" dxfId="2">
      <formula>AND(IF($Q94=2,1,0),IF($X94&lt;30,1,0))</formula>
    </cfRule>
    <cfRule type="expression" priority="494" dxfId="1">
      <formula>AND(IF($Q94=3,1,0),IF($X94&lt;30,1,0))</formula>
    </cfRule>
    <cfRule type="expression" priority="495" dxfId="0">
      <formula>AND(IF($Q94=3,1,IF($Q94=4,1,0)),IF($F94&lt;=85,1,0))</formula>
    </cfRule>
  </conditionalFormatting>
  <conditionalFormatting sqref="AV95">
    <cfRule type="expression" priority="490" dxfId="19">
      <formula>AV95="X"</formula>
    </cfRule>
    <cfRule type="expression" priority="491" dxfId="18">
      <formula>AV95="후보"</formula>
    </cfRule>
  </conditionalFormatting>
  <conditionalFormatting sqref="AC95 N9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96">
    <cfRule type="expression" priority="485" dxfId="19">
      <formula>AV96="X"</formula>
    </cfRule>
    <cfRule type="expression" priority="486" dxfId="18">
      <formula>AV96="후보"</formula>
    </cfRule>
  </conditionalFormatting>
  <conditionalFormatting sqref="AC96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96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96">
    <cfRule type="expression" priority="476" dxfId="3">
      <formula>AND(IF(OR($Q96=1,$Q96=2),1,0),IF($X96&lt;=20,1,0))</formula>
    </cfRule>
    <cfRule type="expression" priority="477" dxfId="2">
      <formula>AND(IF($Q96=2,1,0),IF($X96&lt;30,1,0))</formula>
    </cfRule>
    <cfRule type="expression" priority="478" dxfId="1">
      <formula>AND(IF($Q96=3,1,0),IF($X96&lt;30,1,0))</formula>
    </cfRule>
    <cfRule type="expression" priority="479" dxfId="0">
      <formula>AND(IF($Q96=3,1,IF($Q96=4,1,0)),IF($F96&lt;=85,1,0))</formula>
    </cfRule>
  </conditionalFormatting>
  <conditionalFormatting sqref="X96">
    <cfRule type="expression" priority="472" dxfId="3">
      <formula>AND(IF(OR($Q96=1,$Q96=2),1,0),IF($X96&lt;=20,1,0))</formula>
    </cfRule>
    <cfRule type="expression" priority="473" dxfId="2">
      <formula>AND(IF($Q96=2,1,0),IF($X96&lt;30,1,0))</formula>
    </cfRule>
    <cfRule type="expression" priority="474" dxfId="1">
      <formula>AND(IF($Q96=3,1,0),IF($X96&lt;30,1,0))</formula>
    </cfRule>
    <cfRule type="expression" priority="475" dxfId="0">
      <formula>AND(IF($Q96=3,1,IF($Q96=4,1,0)),IF($F96&lt;=85,1,0))</formula>
    </cfRule>
  </conditionalFormatting>
  <conditionalFormatting sqref="AI96">
    <cfRule type="expression" priority="468" dxfId="3">
      <formula>AND(IF(OR($Q96=1,$Q96=2),1,0),IF($X96&lt;=20,1,0))</formula>
    </cfRule>
    <cfRule type="expression" priority="469" dxfId="2">
      <formula>AND(IF($Q96=2,1,0),IF($X96&lt;30,1,0))</formula>
    </cfRule>
    <cfRule type="expression" priority="470" dxfId="1">
      <formula>AND(IF($Q96=3,1,0),IF($X96&lt;30,1,0))</formula>
    </cfRule>
    <cfRule type="expression" priority="471" dxfId="0">
      <formula>AND(IF($Q96=3,1,IF($Q96=4,1,0)),IF($F96&lt;=85,1,0))</formula>
    </cfRule>
  </conditionalFormatting>
  <conditionalFormatting sqref="AV97">
    <cfRule type="expression" priority="466" dxfId="19">
      <formula>AV97="X"</formula>
    </cfRule>
    <cfRule type="expression" priority="467" dxfId="18">
      <formula>AV97="후보"</formula>
    </cfRule>
  </conditionalFormatting>
  <conditionalFormatting sqref="AC9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97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97">
    <cfRule type="expression" priority="457" dxfId="3">
      <formula>AND(IF(OR($Q97=1,$Q97=2),1,0),IF($X97&lt;=20,1,0))</formula>
    </cfRule>
    <cfRule type="expression" priority="458" dxfId="2">
      <formula>AND(IF($Q97=2,1,0),IF($X97&lt;30,1,0))</formula>
    </cfRule>
    <cfRule type="expression" priority="459" dxfId="1">
      <formula>AND(IF($Q97=3,1,0),IF($X97&lt;30,1,0))</formula>
    </cfRule>
    <cfRule type="expression" priority="460" dxfId="0">
      <formula>AND(IF($Q97=3,1,IF($Q97=4,1,0)),IF($F97&lt;=85,1,0))</formula>
    </cfRule>
  </conditionalFormatting>
  <conditionalFormatting sqref="X97">
    <cfRule type="expression" priority="453" dxfId="3">
      <formula>AND(IF(OR($Q97=1,$Q97=2),1,0),IF($X97&lt;=20,1,0))</formula>
    </cfRule>
    <cfRule type="expression" priority="454" dxfId="2">
      <formula>AND(IF($Q97=2,1,0),IF($X97&lt;30,1,0))</formula>
    </cfRule>
    <cfRule type="expression" priority="455" dxfId="1">
      <formula>AND(IF($Q97=3,1,0),IF($X97&lt;30,1,0))</formula>
    </cfRule>
    <cfRule type="expression" priority="456" dxfId="0">
      <formula>AND(IF($Q97=3,1,IF($Q97=4,1,0)),IF($F97&lt;=85,1,0))</formula>
    </cfRule>
  </conditionalFormatting>
  <conditionalFormatting sqref="AI97">
    <cfRule type="expression" priority="449" dxfId="3">
      <formula>AND(IF(OR($Q97=1,$Q97=2),1,0),IF($X97&lt;=20,1,0))</formula>
    </cfRule>
    <cfRule type="expression" priority="450" dxfId="2">
      <formula>AND(IF($Q97=2,1,0),IF($X97&lt;30,1,0))</formula>
    </cfRule>
    <cfRule type="expression" priority="451" dxfId="1">
      <formula>AND(IF($Q97=3,1,0),IF($X97&lt;30,1,0))</formula>
    </cfRule>
    <cfRule type="expression" priority="452" dxfId="0">
      <formula>AND(IF($Q97=3,1,IF($Q97=4,1,0)),IF($F97&lt;=85,1,0))</formula>
    </cfRule>
  </conditionalFormatting>
  <conditionalFormatting sqref="AV98">
    <cfRule type="expression" priority="447" dxfId="19">
      <formula>AV98="X"</formula>
    </cfRule>
    <cfRule type="expression" priority="448" dxfId="18">
      <formula>AV98="후보"</formula>
    </cfRule>
  </conditionalFormatting>
  <conditionalFormatting sqref="AC98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98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98">
    <cfRule type="expression" priority="438" dxfId="3">
      <formula>AND(IF(OR($Q98=1,$Q98=2),1,0),IF($X98&lt;=20,1,0))</formula>
    </cfRule>
    <cfRule type="expression" priority="439" dxfId="2">
      <formula>AND(IF($Q98=2,1,0),IF($X98&lt;30,1,0))</formula>
    </cfRule>
    <cfRule type="expression" priority="440" dxfId="1">
      <formula>AND(IF($Q98=3,1,0),IF($X98&lt;30,1,0))</formula>
    </cfRule>
    <cfRule type="expression" priority="441" dxfId="0">
      <formula>AND(IF($Q98=3,1,IF($Q98=4,1,0)),IF($F98&lt;=85,1,0))</formula>
    </cfRule>
  </conditionalFormatting>
  <conditionalFormatting sqref="X98">
    <cfRule type="expression" priority="434" dxfId="3">
      <formula>AND(IF(OR($Q98=1,$Q98=2),1,0),IF($X98&lt;=20,1,0))</formula>
    </cfRule>
    <cfRule type="expression" priority="435" dxfId="2">
      <formula>AND(IF($Q98=2,1,0),IF($X98&lt;30,1,0))</formula>
    </cfRule>
    <cfRule type="expression" priority="436" dxfId="1">
      <formula>AND(IF($Q98=3,1,0),IF($X98&lt;30,1,0))</formula>
    </cfRule>
    <cfRule type="expression" priority="437" dxfId="0">
      <formula>AND(IF($Q98=3,1,IF($Q98=4,1,0)),IF($F98&lt;=85,1,0))</formula>
    </cfRule>
  </conditionalFormatting>
  <conditionalFormatting sqref="AI98">
    <cfRule type="expression" priority="430" dxfId="3">
      <formula>AND(IF(OR($Q98=1,$Q98=2),1,0),IF($X98&lt;=20,1,0))</formula>
    </cfRule>
    <cfRule type="expression" priority="431" dxfId="2">
      <formula>AND(IF($Q98=2,1,0),IF($X98&lt;30,1,0))</formula>
    </cfRule>
    <cfRule type="expression" priority="432" dxfId="1">
      <formula>AND(IF($Q98=3,1,0),IF($X98&lt;30,1,0))</formula>
    </cfRule>
    <cfRule type="expression" priority="433" dxfId="0">
      <formula>AND(IF($Q98=3,1,IF($Q98=4,1,0)),IF($F98&lt;=85,1,0))</formula>
    </cfRule>
  </conditionalFormatting>
  <conditionalFormatting sqref="AV99">
    <cfRule type="expression" priority="428" dxfId="19">
      <formula>AV99="X"</formula>
    </cfRule>
    <cfRule type="expression" priority="429" dxfId="18">
      <formula>AV99="후보"</formula>
    </cfRule>
  </conditionalFormatting>
  <conditionalFormatting sqref="AC99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99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99">
    <cfRule type="expression" priority="419" dxfId="3">
      <formula>AND(IF(OR($Q99=1,$Q99=2),1,0),IF($X99&lt;=20,1,0))</formula>
    </cfRule>
    <cfRule type="expression" priority="420" dxfId="2">
      <formula>AND(IF($Q99=2,1,0),IF($X99&lt;30,1,0))</formula>
    </cfRule>
    <cfRule type="expression" priority="421" dxfId="1">
      <formula>AND(IF($Q99=3,1,0),IF($X99&lt;30,1,0))</formula>
    </cfRule>
    <cfRule type="expression" priority="422" dxfId="0">
      <formula>AND(IF($Q99=3,1,IF($Q99=4,1,0)),IF($F99&lt;=85,1,0))</formula>
    </cfRule>
  </conditionalFormatting>
  <conditionalFormatting sqref="X99">
    <cfRule type="expression" priority="415" dxfId="3">
      <formula>AND(IF(OR($Q99=1,$Q99=2),1,0),IF($X99&lt;=20,1,0))</formula>
    </cfRule>
    <cfRule type="expression" priority="416" dxfId="2">
      <formula>AND(IF($Q99=2,1,0),IF($X99&lt;30,1,0))</formula>
    </cfRule>
    <cfRule type="expression" priority="417" dxfId="1">
      <formula>AND(IF($Q99=3,1,0),IF($X99&lt;30,1,0))</formula>
    </cfRule>
    <cfRule type="expression" priority="418" dxfId="0">
      <formula>AND(IF($Q99=3,1,IF($Q99=4,1,0)),IF($F99&lt;=85,1,0))</formula>
    </cfRule>
  </conditionalFormatting>
  <conditionalFormatting sqref="AI99">
    <cfRule type="expression" priority="411" dxfId="3">
      <formula>AND(IF(OR($Q99=1,$Q99=2),1,0),IF($X99&lt;=20,1,0))</formula>
    </cfRule>
    <cfRule type="expression" priority="412" dxfId="2">
      <formula>AND(IF($Q99=2,1,0),IF($X99&lt;30,1,0))</formula>
    </cfRule>
    <cfRule type="expression" priority="413" dxfId="1">
      <formula>AND(IF($Q99=3,1,0),IF($X99&lt;30,1,0))</formula>
    </cfRule>
    <cfRule type="expression" priority="414" dxfId="0">
      <formula>AND(IF($Q99=3,1,IF($Q99=4,1,0)),IF($F99&lt;=85,1,0))</formula>
    </cfRule>
  </conditionalFormatting>
  <conditionalFormatting sqref="AV100">
    <cfRule type="expression" priority="409" dxfId="19">
      <formula>AV100="X"</formula>
    </cfRule>
    <cfRule type="expression" priority="410" dxfId="18">
      <formula>AV100="후보"</formula>
    </cfRule>
  </conditionalFormatting>
  <conditionalFormatting sqref="AC100 N100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101">
    <cfRule type="expression" priority="404" dxfId="19">
      <formula>AV101="X"</formula>
    </cfRule>
    <cfRule type="expression" priority="405" dxfId="18">
      <formula>AV101="후보"</formula>
    </cfRule>
  </conditionalFormatting>
  <conditionalFormatting sqref="AC10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0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01">
    <cfRule type="expression" priority="395" dxfId="3">
      <formula>AND(IF(OR($Q101=1,$Q101=2),1,0),IF($X101&lt;=20,1,0))</formula>
    </cfRule>
    <cfRule type="expression" priority="396" dxfId="2">
      <formula>AND(IF($Q101=2,1,0),IF($X101&lt;30,1,0))</formula>
    </cfRule>
    <cfRule type="expression" priority="397" dxfId="1">
      <formula>AND(IF($Q101=3,1,0),IF($X101&lt;30,1,0))</formula>
    </cfRule>
    <cfRule type="expression" priority="398" dxfId="0">
      <formula>AND(IF($Q101=3,1,IF($Q101=4,1,0)),IF($F101&lt;=85,1,0))</formula>
    </cfRule>
  </conditionalFormatting>
  <conditionalFormatting sqref="X101">
    <cfRule type="expression" priority="391" dxfId="3">
      <formula>AND(IF(OR($Q101=1,$Q101=2),1,0),IF($X101&lt;=20,1,0))</formula>
    </cfRule>
    <cfRule type="expression" priority="392" dxfId="2">
      <formula>AND(IF($Q101=2,1,0),IF($X101&lt;30,1,0))</formula>
    </cfRule>
    <cfRule type="expression" priority="393" dxfId="1">
      <formula>AND(IF($Q101=3,1,0),IF($X101&lt;30,1,0))</formula>
    </cfRule>
    <cfRule type="expression" priority="394" dxfId="0">
      <formula>AND(IF($Q101=3,1,IF($Q101=4,1,0)),IF($F101&lt;=85,1,0))</formula>
    </cfRule>
  </conditionalFormatting>
  <conditionalFormatting sqref="AI101">
    <cfRule type="expression" priority="387" dxfId="3">
      <formula>AND(IF(OR($Q101=1,$Q101=2),1,0),IF($X101&lt;=20,1,0))</formula>
    </cfRule>
    <cfRule type="expression" priority="388" dxfId="2">
      <formula>AND(IF($Q101=2,1,0),IF($X101&lt;30,1,0))</formula>
    </cfRule>
    <cfRule type="expression" priority="389" dxfId="1">
      <formula>AND(IF($Q101=3,1,0),IF($X101&lt;30,1,0))</formula>
    </cfRule>
    <cfRule type="expression" priority="390" dxfId="0">
      <formula>AND(IF($Q101=3,1,IF($Q101=4,1,0)),IF($F101&lt;=85,1,0))</formula>
    </cfRule>
  </conditionalFormatting>
  <conditionalFormatting sqref="AV102">
    <cfRule type="expression" priority="385" dxfId="19">
      <formula>AV102="X"</formula>
    </cfRule>
    <cfRule type="expression" priority="386" dxfId="18">
      <formula>AV102="후보"</formula>
    </cfRule>
  </conditionalFormatting>
  <conditionalFormatting sqref="AC10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2">
    <cfRule type="expression" priority="376" dxfId="3">
      <formula>AND(IF(OR($Q102=1,$Q102=2),1,0),IF($X102&lt;=20,1,0))</formula>
    </cfRule>
    <cfRule type="expression" priority="377" dxfId="2">
      <formula>AND(IF($Q102=2,1,0),IF($X102&lt;30,1,0))</formula>
    </cfRule>
    <cfRule type="expression" priority="378" dxfId="1">
      <formula>AND(IF($Q102=3,1,0),IF($X102&lt;30,1,0))</formula>
    </cfRule>
    <cfRule type="expression" priority="379" dxfId="0">
      <formula>AND(IF($Q102=3,1,IF($Q102=4,1,0)),IF($F102&lt;=85,1,0))</formula>
    </cfRule>
  </conditionalFormatting>
  <conditionalFormatting sqref="X102">
    <cfRule type="expression" priority="372" dxfId="3">
      <formula>AND(IF(OR($Q102=1,$Q102=2),1,0),IF($X102&lt;=20,1,0))</formula>
    </cfRule>
    <cfRule type="expression" priority="373" dxfId="2">
      <formula>AND(IF($Q102=2,1,0),IF($X102&lt;30,1,0))</formula>
    </cfRule>
    <cfRule type="expression" priority="374" dxfId="1">
      <formula>AND(IF($Q102=3,1,0),IF($X102&lt;30,1,0))</formula>
    </cfRule>
    <cfRule type="expression" priority="375" dxfId="0">
      <formula>AND(IF($Q102=3,1,IF($Q102=4,1,0)),IF($F102&lt;=85,1,0))</formula>
    </cfRule>
  </conditionalFormatting>
  <conditionalFormatting sqref="AI102">
    <cfRule type="expression" priority="368" dxfId="3">
      <formula>AND(IF(OR($Q102=1,$Q102=2),1,0),IF($X102&lt;=20,1,0))</formula>
    </cfRule>
    <cfRule type="expression" priority="369" dxfId="2">
      <formula>AND(IF($Q102=2,1,0),IF($X102&lt;30,1,0))</formula>
    </cfRule>
    <cfRule type="expression" priority="370" dxfId="1">
      <formula>AND(IF($Q102=3,1,0),IF($X102&lt;30,1,0))</formula>
    </cfRule>
    <cfRule type="expression" priority="371" dxfId="0">
      <formula>AND(IF($Q102=3,1,IF($Q102=4,1,0)),IF($F102&lt;=85,1,0))</formula>
    </cfRule>
  </conditionalFormatting>
  <conditionalFormatting sqref="AV103">
    <cfRule type="expression" priority="366" dxfId="19">
      <formula>AV103="X"</formula>
    </cfRule>
    <cfRule type="expression" priority="367" dxfId="18">
      <formula>AV103="후보"</formula>
    </cfRule>
  </conditionalFormatting>
  <conditionalFormatting sqref="AC10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0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03">
    <cfRule type="expression" priority="357" dxfId="3">
      <formula>AND(IF(OR($Q103=1,$Q103=2),1,0),IF($X103&lt;=20,1,0))</formula>
    </cfRule>
    <cfRule type="expression" priority="358" dxfId="2">
      <formula>AND(IF($Q103=2,1,0),IF($X103&lt;30,1,0))</formula>
    </cfRule>
    <cfRule type="expression" priority="359" dxfId="1">
      <formula>AND(IF($Q103=3,1,0),IF($X103&lt;30,1,0))</formula>
    </cfRule>
    <cfRule type="expression" priority="360" dxfId="0">
      <formula>AND(IF($Q103=3,1,IF($Q103=4,1,0)),IF($F103&lt;=85,1,0))</formula>
    </cfRule>
  </conditionalFormatting>
  <conditionalFormatting sqref="X103">
    <cfRule type="expression" priority="353" dxfId="3">
      <formula>AND(IF(OR($Q103=1,$Q103=2),1,0),IF($X103&lt;=20,1,0))</formula>
    </cfRule>
    <cfRule type="expression" priority="354" dxfId="2">
      <formula>AND(IF($Q103=2,1,0),IF($X103&lt;30,1,0))</formula>
    </cfRule>
    <cfRule type="expression" priority="355" dxfId="1">
      <formula>AND(IF($Q103=3,1,0),IF($X103&lt;30,1,0))</formula>
    </cfRule>
    <cfRule type="expression" priority="356" dxfId="0">
      <formula>AND(IF($Q103=3,1,IF($Q103=4,1,0)),IF($F103&lt;=85,1,0))</formula>
    </cfRule>
  </conditionalFormatting>
  <conditionalFormatting sqref="AI103">
    <cfRule type="expression" priority="349" dxfId="3">
      <formula>AND(IF(OR($Q103=1,$Q103=2),1,0),IF($X103&lt;=20,1,0))</formula>
    </cfRule>
    <cfRule type="expression" priority="350" dxfId="2">
      <formula>AND(IF($Q103=2,1,0),IF($X103&lt;30,1,0))</formula>
    </cfRule>
    <cfRule type="expression" priority="351" dxfId="1">
      <formula>AND(IF($Q103=3,1,0),IF($X103&lt;30,1,0))</formula>
    </cfRule>
    <cfRule type="expression" priority="352" dxfId="0">
      <formula>AND(IF($Q103=3,1,IF($Q103=4,1,0)),IF($F103&lt;=85,1,0))</formula>
    </cfRule>
  </conditionalFormatting>
  <conditionalFormatting sqref="AV104">
    <cfRule type="expression" priority="347" dxfId="19">
      <formula>AV104="X"</formula>
    </cfRule>
    <cfRule type="expression" priority="348" dxfId="18">
      <formula>AV104="후보"</formula>
    </cfRule>
  </conditionalFormatting>
  <conditionalFormatting sqref="AC104 N10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05">
    <cfRule type="expression" priority="342" dxfId="19">
      <formula>AV105="X"</formula>
    </cfRule>
    <cfRule type="expression" priority="343" dxfId="18">
      <formula>AV105="후보"</formula>
    </cfRule>
  </conditionalFormatting>
  <conditionalFormatting sqref="AC10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0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05">
    <cfRule type="expression" priority="333" dxfId="3">
      <formula>AND(IF(OR($Q105=1,$Q105=2),1,0),IF($X105&lt;=20,1,0))</formula>
    </cfRule>
    <cfRule type="expression" priority="334" dxfId="2">
      <formula>AND(IF($Q105=2,1,0),IF($X105&lt;30,1,0))</formula>
    </cfRule>
    <cfRule type="expression" priority="335" dxfId="1">
      <formula>AND(IF($Q105=3,1,0),IF($X105&lt;30,1,0))</formula>
    </cfRule>
    <cfRule type="expression" priority="336" dxfId="0">
      <formula>AND(IF($Q105=3,1,IF($Q105=4,1,0)),IF($F105&lt;=85,1,0))</formula>
    </cfRule>
  </conditionalFormatting>
  <conditionalFormatting sqref="X105">
    <cfRule type="expression" priority="329" dxfId="3">
      <formula>AND(IF(OR($Q105=1,$Q105=2),1,0),IF($X105&lt;=20,1,0))</formula>
    </cfRule>
    <cfRule type="expression" priority="330" dxfId="2">
      <formula>AND(IF($Q105=2,1,0),IF($X105&lt;30,1,0))</formula>
    </cfRule>
    <cfRule type="expression" priority="331" dxfId="1">
      <formula>AND(IF($Q105=3,1,0),IF($X105&lt;30,1,0))</formula>
    </cfRule>
    <cfRule type="expression" priority="332" dxfId="0">
      <formula>AND(IF($Q105=3,1,IF($Q105=4,1,0)),IF($F105&lt;=85,1,0))</formula>
    </cfRule>
  </conditionalFormatting>
  <conditionalFormatting sqref="AI105">
    <cfRule type="expression" priority="325" dxfId="3">
      <formula>AND(IF(OR($Q105=1,$Q105=2),1,0),IF($X105&lt;=20,1,0))</formula>
    </cfRule>
    <cfRule type="expression" priority="326" dxfId="2">
      <formula>AND(IF($Q105=2,1,0),IF($X105&lt;30,1,0))</formula>
    </cfRule>
    <cfRule type="expression" priority="327" dxfId="1">
      <formula>AND(IF($Q105=3,1,0),IF($X105&lt;30,1,0))</formula>
    </cfRule>
    <cfRule type="expression" priority="328" dxfId="0">
      <formula>AND(IF($Q105=3,1,IF($Q105=4,1,0)),IF($F105&lt;=85,1,0))</formula>
    </cfRule>
  </conditionalFormatting>
  <conditionalFormatting sqref="AV106">
    <cfRule type="expression" priority="323" dxfId="19">
      <formula>AV106="X"</formula>
    </cfRule>
    <cfRule type="expression" priority="324" dxfId="18">
      <formula>AV106="후보"</formula>
    </cfRule>
  </conditionalFormatting>
  <conditionalFormatting sqref="AC10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0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06">
    <cfRule type="expression" priority="314" dxfId="3">
      <formula>AND(IF(OR($Q106=1,$Q106=2),1,0),IF($X106&lt;=20,1,0))</formula>
    </cfRule>
    <cfRule type="expression" priority="315" dxfId="2">
      <formula>AND(IF($Q106=2,1,0),IF($X106&lt;30,1,0))</formula>
    </cfRule>
    <cfRule type="expression" priority="316" dxfId="1">
      <formula>AND(IF($Q106=3,1,0),IF($X106&lt;30,1,0))</formula>
    </cfRule>
    <cfRule type="expression" priority="317" dxfId="0">
      <formula>AND(IF($Q106=3,1,IF($Q106=4,1,0)),IF($F106&lt;=85,1,0))</formula>
    </cfRule>
  </conditionalFormatting>
  <conditionalFormatting sqref="X106">
    <cfRule type="expression" priority="310" dxfId="3">
      <formula>AND(IF(OR($Q106=1,$Q106=2),1,0),IF($X106&lt;=20,1,0))</formula>
    </cfRule>
    <cfRule type="expression" priority="311" dxfId="2">
      <formula>AND(IF($Q106=2,1,0),IF($X106&lt;30,1,0))</formula>
    </cfRule>
    <cfRule type="expression" priority="312" dxfId="1">
      <formula>AND(IF($Q106=3,1,0),IF($X106&lt;30,1,0))</formula>
    </cfRule>
    <cfRule type="expression" priority="313" dxfId="0">
      <formula>AND(IF($Q106=3,1,IF($Q106=4,1,0)),IF($F106&lt;=85,1,0))</formula>
    </cfRule>
  </conditionalFormatting>
  <conditionalFormatting sqref="AI106">
    <cfRule type="expression" priority="306" dxfId="3">
      <formula>AND(IF(OR($Q106=1,$Q106=2),1,0),IF($X106&lt;=20,1,0))</formula>
    </cfRule>
    <cfRule type="expression" priority="307" dxfId="2">
      <formula>AND(IF($Q106=2,1,0),IF($X106&lt;30,1,0))</formula>
    </cfRule>
    <cfRule type="expression" priority="308" dxfId="1">
      <formula>AND(IF($Q106=3,1,0),IF($X106&lt;30,1,0))</formula>
    </cfRule>
    <cfRule type="expression" priority="309" dxfId="0">
      <formula>AND(IF($Q106=3,1,IF($Q106=4,1,0)),IF($F106&lt;=85,1,0))</formula>
    </cfRule>
  </conditionalFormatting>
  <conditionalFormatting sqref="AV107">
    <cfRule type="expression" priority="304" dxfId="19">
      <formula>AV107="X"</formula>
    </cfRule>
    <cfRule type="expression" priority="305" dxfId="18">
      <formula>AV107="후보"</formula>
    </cfRule>
  </conditionalFormatting>
  <conditionalFormatting sqref="AC107 N10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08">
    <cfRule type="expression" priority="299" dxfId="19">
      <formula>AV108="X"</formula>
    </cfRule>
    <cfRule type="expression" priority="300" dxfId="18">
      <formula>AV108="후보"</formula>
    </cfRule>
  </conditionalFormatting>
  <conditionalFormatting sqref="AC10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0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08">
    <cfRule type="expression" priority="290" dxfId="3">
      <formula>AND(IF(OR($Q108=1,$Q108=2),1,0),IF($X108&lt;=20,1,0))</formula>
    </cfRule>
    <cfRule type="expression" priority="291" dxfId="2">
      <formula>AND(IF($Q108=2,1,0),IF($X108&lt;30,1,0))</formula>
    </cfRule>
    <cfRule type="expression" priority="292" dxfId="1">
      <formula>AND(IF($Q108=3,1,0),IF($X108&lt;30,1,0))</formula>
    </cfRule>
    <cfRule type="expression" priority="293" dxfId="0">
      <formula>AND(IF($Q108=3,1,IF($Q108=4,1,0)),IF($F108&lt;=85,1,0))</formula>
    </cfRule>
  </conditionalFormatting>
  <conditionalFormatting sqref="X108">
    <cfRule type="expression" priority="286" dxfId="3">
      <formula>AND(IF(OR($Q108=1,$Q108=2),1,0),IF($X108&lt;=20,1,0))</formula>
    </cfRule>
    <cfRule type="expression" priority="287" dxfId="2">
      <formula>AND(IF($Q108=2,1,0),IF($X108&lt;30,1,0))</formula>
    </cfRule>
    <cfRule type="expression" priority="288" dxfId="1">
      <formula>AND(IF($Q108=3,1,0),IF($X108&lt;30,1,0))</formula>
    </cfRule>
    <cfRule type="expression" priority="289" dxfId="0">
      <formula>AND(IF($Q108=3,1,IF($Q108=4,1,0)),IF($F108&lt;=85,1,0))</formula>
    </cfRule>
  </conditionalFormatting>
  <conditionalFormatting sqref="AI108">
    <cfRule type="expression" priority="282" dxfId="3">
      <formula>AND(IF(OR($Q108=1,$Q108=2),1,0),IF($X108&lt;=20,1,0))</formula>
    </cfRule>
    <cfRule type="expression" priority="283" dxfId="2">
      <formula>AND(IF($Q108=2,1,0),IF($X108&lt;30,1,0))</formula>
    </cfRule>
    <cfRule type="expression" priority="284" dxfId="1">
      <formula>AND(IF($Q108=3,1,0),IF($X108&lt;30,1,0))</formula>
    </cfRule>
    <cfRule type="expression" priority="285" dxfId="0">
      <formula>AND(IF($Q108=3,1,IF($Q108=4,1,0)),IF($F108&lt;=85,1,0))</formula>
    </cfRule>
  </conditionalFormatting>
  <conditionalFormatting sqref="AV109">
    <cfRule type="expression" priority="280" dxfId="19">
      <formula>AV109="X"</formula>
    </cfRule>
    <cfRule type="expression" priority="281" dxfId="18">
      <formula>AV109="후보"</formula>
    </cfRule>
  </conditionalFormatting>
  <conditionalFormatting sqref="AC10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09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09">
    <cfRule type="expression" priority="271" dxfId="3">
      <formula>AND(IF(OR($Q109=1,$Q109=2),1,0),IF($X109&lt;=20,1,0))</formula>
    </cfRule>
    <cfRule type="expression" priority="272" dxfId="2">
      <formula>AND(IF($Q109=2,1,0),IF($X109&lt;30,1,0))</formula>
    </cfRule>
    <cfRule type="expression" priority="273" dxfId="1">
      <formula>AND(IF($Q109=3,1,0),IF($X109&lt;30,1,0))</formula>
    </cfRule>
    <cfRule type="expression" priority="274" dxfId="0">
      <formula>AND(IF($Q109=3,1,IF($Q109=4,1,0)),IF($F109&lt;=85,1,0))</formula>
    </cfRule>
  </conditionalFormatting>
  <conditionalFormatting sqref="X109">
    <cfRule type="expression" priority="267" dxfId="3">
      <formula>AND(IF(OR($Q109=1,$Q109=2),1,0),IF($X109&lt;=20,1,0))</formula>
    </cfRule>
    <cfRule type="expression" priority="268" dxfId="2">
      <formula>AND(IF($Q109=2,1,0),IF($X109&lt;30,1,0))</formula>
    </cfRule>
    <cfRule type="expression" priority="269" dxfId="1">
      <formula>AND(IF($Q109=3,1,0),IF($X109&lt;30,1,0))</formula>
    </cfRule>
    <cfRule type="expression" priority="270" dxfId="0">
      <formula>AND(IF($Q109=3,1,IF($Q109=4,1,0)),IF($F109&lt;=85,1,0))</formula>
    </cfRule>
  </conditionalFormatting>
  <conditionalFormatting sqref="AI109">
    <cfRule type="expression" priority="263" dxfId="3">
      <formula>AND(IF(OR($Q109=1,$Q109=2),1,0),IF($X109&lt;=20,1,0))</formula>
    </cfRule>
    <cfRule type="expression" priority="264" dxfId="2">
      <formula>AND(IF($Q109=2,1,0),IF($X109&lt;30,1,0))</formula>
    </cfRule>
    <cfRule type="expression" priority="265" dxfId="1">
      <formula>AND(IF($Q109=3,1,0),IF($X109&lt;30,1,0))</formula>
    </cfRule>
    <cfRule type="expression" priority="266" dxfId="0">
      <formula>AND(IF($Q109=3,1,IF($Q109=4,1,0)),IF($F109&lt;=85,1,0))</formula>
    </cfRule>
  </conditionalFormatting>
  <conditionalFormatting sqref="AV110">
    <cfRule type="expression" priority="261" dxfId="19">
      <formula>AV110="X"</formula>
    </cfRule>
    <cfRule type="expression" priority="262" dxfId="18">
      <formula>AV110="후보"</formula>
    </cfRule>
  </conditionalFormatting>
  <conditionalFormatting sqref="AC110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10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10">
    <cfRule type="expression" priority="252" dxfId="3">
      <formula>AND(IF(OR($Q110=1,$Q110=2),1,0),IF($X110&lt;=20,1,0))</formula>
    </cfRule>
    <cfRule type="expression" priority="253" dxfId="2">
      <formula>AND(IF($Q110=2,1,0),IF($X110&lt;30,1,0))</formula>
    </cfRule>
    <cfRule type="expression" priority="254" dxfId="1">
      <formula>AND(IF($Q110=3,1,0),IF($X110&lt;30,1,0))</formula>
    </cfRule>
    <cfRule type="expression" priority="255" dxfId="0">
      <formula>AND(IF($Q110=3,1,IF($Q110=4,1,0)),IF($F110&lt;=85,1,0))</formula>
    </cfRule>
  </conditionalFormatting>
  <conditionalFormatting sqref="X110">
    <cfRule type="expression" priority="248" dxfId="3">
      <formula>AND(IF(OR($Q110=1,$Q110=2),1,0),IF($X110&lt;=20,1,0))</formula>
    </cfRule>
    <cfRule type="expression" priority="249" dxfId="2">
      <formula>AND(IF($Q110=2,1,0),IF($X110&lt;30,1,0))</formula>
    </cfRule>
    <cfRule type="expression" priority="250" dxfId="1">
      <formula>AND(IF($Q110=3,1,0),IF($X110&lt;30,1,0))</formula>
    </cfRule>
    <cfRule type="expression" priority="251" dxfId="0">
      <formula>AND(IF($Q110=3,1,IF($Q110=4,1,0)),IF($F110&lt;=85,1,0))</formula>
    </cfRule>
  </conditionalFormatting>
  <conditionalFormatting sqref="AI110">
    <cfRule type="expression" priority="244" dxfId="3">
      <formula>AND(IF(OR($Q110=1,$Q110=2),1,0),IF($X110&lt;=20,1,0))</formula>
    </cfRule>
    <cfRule type="expression" priority="245" dxfId="2">
      <formula>AND(IF($Q110=2,1,0),IF($X110&lt;30,1,0))</formula>
    </cfRule>
    <cfRule type="expression" priority="246" dxfId="1">
      <formula>AND(IF($Q110=3,1,0),IF($X110&lt;30,1,0))</formula>
    </cfRule>
    <cfRule type="expression" priority="247" dxfId="0">
      <formula>AND(IF($Q110=3,1,IF($Q110=4,1,0)),IF($F110&lt;=85,1,0))</formula>
    </cfRule>
  </conditionalFormatting>
  <conditionalFormatting sqref="AV111">
    <cfRule type="expression" priority="242" dxfId="19">
      <formula>AV111="X"</formula>
    </cfRule>
    <cfRule type="expression" priority="243" dxfId="18">
      <formula>AV111="후보"</formula>
    </cfRule>
  </conditionalFormatting>
  <conditionalFormatting sqref="AC11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1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11">
    <cfRule type="expression" priority="233" dxfId="3">
      <formula>AND(IF(OR($Q111=1,$Q111=2),1,0),IF($X111&lt;=20,1,0))</formula>
    </cfRule>
    <cfRule type="expression" priority="234" dxfId="2">
      <formula>AND(IF($Q111=2,1,0),IF($X111&lt;30,1,0))</formula>
    </cfRule>
    <cfRule type="expression" priority="235" dxfId="1">
      <formula>AND(IF($Q111=3,1,0),IF($X111&lt;30,1,0))</formula>
    </cfRule>
    <cfRule type="expression" priority="236" dxfId="0">
      <formula>AND(IF($Q111=3,1,IF($Q111=4,1,0)),IF($F111&lt;=85,1,0))</formula>
    </cfRule>
  </conditionalFormatting>
  <conditionalFormatting sqref="X111">
    <cfRule type="expression" priority="229" dxfId="3">
      <formula>AND(IF(OR($Q111=1,$Q111=2),1,0),IF($X111&lt;=20,1,0))</formula>
    </cfRule>
    <cfRule type="expression" priority="230" dxfId="2">
      <formula>AND(IF($Q111=2,1,0),IF($X111&lt;30,1,0))</formula>
    </cfRule>
    <cfRule type="expression" priority="231" dxfId="1">
      <formula>AND(IF($Q111=3,1,0),IF($X111&lt;30,1,0))</formula>
    </cfRule>
    <cfRule type="expression" priority="232" dxfId="0">
      <formula>AND(IF($Q111=3,1,IF($Q111=4,1,0)),IF($F111&lt;=85,1,0))</formula>
    </cfRule>
  </conditionalFormatting>
  <conditionalFormatting sqref="AI111">
    <cfRule type="expression" priority="225" dxfId="3">
      <formula>AND(IF(OR($Q111=1,$Q111=2),1,0),IF($X111&lt;=20,1,0))</formula>
    </cfRule>
    <cfRule type="expression" priority="226" dxfId="2">
      <formula>AND(IF($Q111=2,1,0),IF($X111&lt;30,1,0))</formula>
    </cfRule>
    <cfRule type="expression" priority="227" dxfId="1">
      <formula>AND(IF($Q111=3,1,0),IF($X111&lt;30,1,0))</formula>
    </cfRule>
    <cfRule type="expression" priority="228" dxfId="0">
      <formula>AND(IF($Q111=3,1,IF($Q111=4,1,0)),IF($F111&lt;=85,1,0))</formula>
    </cfRule>
  </conditionalFormatting>
  <conditionalFormatting sqref="AV112">
    <cfRule type="expression" priority="223" dxfId="19">
      <formula>AV112="X"</formula>
    </cfRule>
    <cfRule type="expression" priority="224" dxfId="18">
      <formula>AV112="후보"</formula>
    </cfRule>
  </conditionalFormatting>
  <conditionalFormatting sqref="AC112 N11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113">
    <cfRule type="expression" priority="218" dxfId="19">
      <formula>AV113="X"</formula>
    </cfRule>
    <cfRule type="expression" priority="219" dxfId="18">
      <formula>AV113="후보"</formula>
    </cfRule>
  </conditionalFormatting>
  <conditionalFormatting sqref="AC11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13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13">
    <cfRule type="expression" priority="209" dxfId="3">
      <formula>AND(IF(OR($Q113=1,$Q113=2),1,0),IF($X113&lt;=20,1,0))</formula>
    </cfRule>
    <cfRule type="expression" priority="210" dxfId="2">
      <formula>AND(IF($Q113=2,1,0),IF($X113&lt;30,1,0))</formula>
    </cfRule>
    <cfRule type="expression" priority="211" dxfId="1">
      <formula>AND(IF($Q113=3,1,0),IF($X113&lt;30,1,0))</formula>
    </cfRule>
    <cfRule type="expression" priority="212" dxfId="0">
      <formula>AND(IF($Q113=3,1,IF($Q113=4,1,0)),IF($F113&lt;=85,1,0))</formula>
    </cfRule>
  </conditionalFormatting>
  <conditionalFormatting sqref="X113">
    <cfRule type="expression" priority="205" dxfId="3">
      <formula>AND(IF(OR($Q113=1,$Q113=2),1,0),IF($X113&lt;=20,1,0))</formula>
    </cfRule>
    <cfRule type="expression" priority="206" dxfId="2">
      <formula>AND(IF($Q113=2,1,0),IF($X113&lt;30,1,0))</formula>
    </cfRule>
    <cfRule type="expression" priority="207" dxfId="1">
      <formula>AND(IF($Q113=3,1,0),IF($X113&lt;30,1,0))</formula>
    </cfRule>
    <cfRule type="expression" priority="208" dxfId="0">
      <formula>AND(IF($Q113=3,1,IF($Q113=4,1,0)),IF($F113&lt;=85,1,0))</formula>
    </cfRule>
  </conditionalFormatting>
  <conditionalFormatting sqref="AI113">
    <cfRule type="expression" priority="201" dxfId="3">
      <formula>AND(IF(OR($Q113=1,$Q113=2),1,0),IF($X113&lt;=20,1,0))</formula>
    </cfRule>
    <cfRule type="expression" priority="202" dxfId="2">
      <formula>AND(IF($Q113=2,1,0),IF($X113&lt;30,1,0))</formula>
    </cfRule>
    <cfRule type="expression" priority="203" dxfId="1">
      <formula>AND(IF($Q113=3,1,0),IF($X113&lt;30,1,0))</formula>
    </cfRule>
    <cfRule type="expression" priority="204" dxfId="0">
      <formula>AND(IF($Q113=3,1,IF($Q113=4,1,0)),IF($F113&lt;=85,1,0))</formula>
    </cfRule>
  </conditionalFormatting>
  <conditionalFormatting sqref="AV114">
    <cfRule type="expression" priority="199" dxfId="19">
      <formula>AV114="X"</formula>
    </cfRule>
    <cfRule type="expression" priority="200" dxfId="18">
      <formula>AV114="후보"</formula>
    </cfRule>
  </conditionalFormatting>
  <conditionalFormatting sqref="AC114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14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14">
    <cfRule type="expression" priority="190" dxfId="3">
      <formula>AND(IF(OR($Q114=1,$Q114=2),1,0),IF($X114&lt;=20,1,0))</formula>
    </cfRule>
    <cfRule type="expression" priority="191" dxfId="2">
      <formula>AND(IF($Q114=2,1,0),IF($X114&lt;30,1,0))</formula>
    </cfRule>
    <cfRule type="expression" priority="192" dxfId="1">
      <formula>AND(IF($Q114=3,1,0),IF($X114&lt;30,1,0))</formula>
    </cfRule>
    <cfRule type="expression" priority="193" dxfId="0">
      <formula>AND(IF($Q114=3,1,IF($Q114=4,1,0)),IF($F114&lt;=85,1,0))</formula>
    </cfRule>
  </conditionalFormatting>
  <conditionalFormatting sqref="X114">
    <cfRule type="expression" priority="186" dxfId="3">
      <formula>AND(IF(OR($Q114=1,$Q114=2),1,0),IF($X114&lt;=20,1,0))</formula>
    </cfRule>
    <cfRule type="expression" priority="187" dxfId="2">
      <formula>AND(IF($Q114=2,1,0),IF($X114&lt;30,1,0))</formula>
    </cfRule>
    <cfRule type="expression" priority="188" dxfId="1">
      <formula>AND(IF($Q114=3,1,0),IF($X114&lt;30,1,0))</formula>
    </cfRule>
    <cfRule type="expression" priority="189" dxfId="0">
      <formula>AND(IF($Q114=3,1,IF($Q114=4,1,0)),IF($F114&lt;=85,1,0))</formula>
    </cfRule>
  </conditionalFormatting>
  <conditionalFormatting sqref="AI114">
    <cfRule type="expression" priority="182" dxfId="3">
      <formula>AND(IF(OR($Q114=1,$Q114=2),1,0),IF($X114&lt;=20,1,0))</formula>
    </cfRule>
    <cfRule type="expression" priority="183" dxfId="2">
      <formula>AND(IF($Q114=2,1,0),IF($X114&lt;30,1,0))</formula>
    </cfRule>
    <cfRule type="expression" priority="184" dxfId="1">
      <formula>AND(IF($Q114=3,1,0),IF($X114&lt;30,1,0))</formula>
    </cfRule>
    <cfRule type="expression" priority="185" dxfId="0">
      <formula>AND(IF($Q114=3,1,IF($Q114=4,1,0)),IF($F114&lt;=85,1,0))</formula>
    </cfRule>
  </conditionalFormatting>
  <conditionalFormatting sqref="AV115">
    <cfRule type="expression" priority="180" dxfId="19">
      <formula>AV115="X"</formula>
    </cfRule>
    <cfRule type="expression" priority="181" dxfId="18">
      <formula>AV115="후보"</formula>
    </cfRule>
  </conditionalFormatting>
  <conditionalFormatting sqref="AC115 N11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16">
    <cfRule type="expression" priority="175" dxfId="19">
      <formula>AV116="X"</formula>
    </cfRule>
    <cfRule type="expression" priority="176" dxfId="18">
      <formula>AV116="후보"</formula>
    </cfRule>
  </conditionalFormatting>
  <conditionalFormatting sqref="AC11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1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16">
    <cfRule type="expression" priority="166" dxfId="3">
      <formula>AND(IF(OR($Q116=1,$Q116=2),1,0),IF($X116&lt;=20,1,0))</formula>
    </cfRule>
    <cfRule type="expression" priority="167" dxfId="2">
      <formula>AND(IF($Q116=2,1,0),IF($X116&lt;30,1,0))</formula>
    </cfRule>
    <cfRule type="expression" priority="168" dxfId="1">
      <formula>AND(IF($Q116=3,1,0),IF($X116&lt;30,1,0))</formula>
    </cfRule>
    <cfRule type="expression" priority="169" dxfId="0">
      <formula>AND(IF($Q116=3,1,IF($Q116=4,1,0)),IF($F116&lt;=85,1,0))</formula>
    </cfRule>
  </conditionalFormatting>
  <conditionalFormatting sqref="X116">
    <cfRule type="expression" priority="162" dxfId="3">
      <formula>AND(IF(OR($Q116=1,$Q116=2),1,0),IF($X116&lt;=20,1,0))</formula>
    </cfRule>
    <cfRule type="expression" priority="163" dxfId="2">
      <formula>AND(IF($Q116=2,1,0),IF($X116&lt;30,1,0))</formula>
    </cfRule>
    <cfRule type="expression" priority="164" dxfId="1">
      <formula>AND(IF($Q116=3,1,0),IF($X116&lt;30,1,0))</formula>
    </cfRule>
    <cfRule type="expression" priority="165" dxfId="0">
      <formula>AND(IF($Q116=3,1,IF($Q116=4,1,0)),IF($F116&lt;=85,1,0))</formula>
    </cfRule>
  </conditionalFormatting>
  <conditionalFormatting sqref="AI116">
    <cfRule type="expression" priority="158" dxfId="3">
      <formula>AND(IF(OR($Q116=1,$Q116=2),1,0),IF($X116&lt;=20,1,0))</formula>
    </cfRule>
    <cfRule type="expression" priority="159" dxfId="2">
      <formula>AND(IF($Q116=2,1,0),IF($X116&lt;30,1,0))</formula>
    </cfRule>
    <cfRule type="expression" priority="160" dxfId="1">
      <formula>AND(IF($Q116=3,1,0),IF($X116&lt;30,1,0))</formula>
    </cfRule>
    <cfRule type="expression" priority="161" dxfId="0">
      <formula>AND(IF($Q116=3,1,IF($Q116=4,1,0)),IF($F116&lt;=85,1,0))</formula>
    </cfRule>
  </conditionalFormatting>
  <conditionalFormatting sqref="AV117">
    <cfRule type="expression" priority="156" dxfId="19">
      <formula>AV117="X"</formula>
    </cfRule>
    <cfRule type="expression" priority="157" dxfId="18">
      <formula>AV117="후보"</formula>
    </cfRule>
  </conditionalFormatting>
  <conditionalFormatting sqref="AC11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7">
    <cfRule type="expression" priority="147" dxfId="3">
      <formula>AND(IF(OR($Q117=1,$Q117=2),1,0),IF($X117&lt;=20,1,0))</formula>
    </cfRule>
    <cfRule type="expression" priority="148" dxfId="2">
      <formula>AND(IF($Q117=2,1,0),IF($X117&lt;30,1,0))</formula>
    </cfRule>
    <cfRule type="expression" priority="149" dxfId="1">
      <formula>AND(IF($Q117=3,1,0),IF($X117&lt;30,1,0))</formula>
    </cfRule>
    <cfRule type="expression" priority="150" dxfId="0">
      <formula>AND(IF($Q117=3,1,IF($Q117=4,1,0)),IF($F117&lt;=85,1,0))</formula>
    </cfRule>
  </conditionalFormatting>
  <conditionalFormatting sqref="X117">
    <cfRule type="expression" priority="143" dxfId="3">
      <formula>AND(IF(OR($Q117=1,$Q117=2),1,0),IF($X117&lt;=20,1,0))</formula>
    </cfRule>
    <cfRule type="expression" priority="144" dxfId="2">
      <formula>AND(IF($Q117=2,1,0),IF($X117&lt;30,1,0))</formula>
    </cfRule>
    <cfRule type="expression" priority="145" dxfId="1">
      <formula>AND(IF($Q117=3,1,0),IF($X117&lt;30,1,0))</formula>
    </cfRule>
    <cfRule type="expression" priority="146" dxfId="0">
      <formula>AND(IF($Q117=3,1,IF($Q117=4,1,0)),IF($F117&lt;=85,1,0))</formula>
    </cfRule>
  </conditionalFormatting>
  <conditionalFormatting sqref="AI117">
    <cfRule type="expression" priority="139" dxfId="3">
      <formula>AND(IF(OR($Q117=1,$Q117=2),1,0),IF($X117&lt;=20,1,0))</formula>
    </cfRule>
    <cfRule type="expression" priority="140" dxfId="2">
      <formula>AND(IF($Q117=2,1,0),IF($X117&lt;30,1,0))</formula>
    </cfRule>
    <cfRule type="expression" priority="141" dxfId="1">
      <formula>AND(IF($Q117=3,1,0),IF($X117&lt;30,1,0))</formula>
    </cfRule>
    <cfRule type="expression" priority="142" dxfId="0">
      <formula>AND(IF($Q117=3,1,IF($Q117=4,1,0)),IF($F117&lt;=85,1,0))</formula>
    </cfRule>
  </conditionalFormatting>
  <conditionalFormatting sqref="AV118">
    <cfRule type="expression" priority="137" dxfId="19">
      <formula>AV118="X"</formula>
    </cfRule>
    <cfRule type="expression" priority="138" dxfId="18">
      <formula>AV118="후보"</formula>
    </cfRule>
  </conditionalFormatting>
  <conditionalFormatting sqref="AC11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8">
    <cfRule type="expression" priority="128" dxfId="3">
      <formula>AND(IF(OR($Q118=1,$Q118=2),1,0),IF($X118&lt;=20,1,0))</formula>
    </cfRule>
    <cfRule type="expression" priority="129" dxfId="2">
      <formula>AND(IF($Q118=2,1,0),IF($X118&lt;30,1,0))</formula>
    </cfRule>
    <cfRule type="expression" priority="130" dxfId="1">
      <formula>AND(IF($Q118=3,1,0),IF($X118&lt;30,1,0))</formula>
    </cfRule>
    <cfRule type="expression" priority="131" dxfId="0">
      <formula>AND(IF($Q118=3,1,IF($Q118=4,1,0)),IF($F118&lt;=85,1,0))</formula>
    </cfRule>
  </conditionalFormatting>
  <conditionalFormatting sqref="X118">
    <cfRule type="expression" priority="124" dxfId="3">
      <formula>AND(IF(OR($Q118=1,$Q118=2),1,0),IF($X118&lt;=20,1,0))</formula>
    </cfRule>
    <cfRule type="expression" priority="125" dxfId="2">
      <formula>AND(IF($Q118=2,1,0),IF($X118&lt;30,1,0))</formula>
    </cfRule>
    <cfRule type="expression" priority="126" dxfId="1">
      <formula>AND(IF($Q118=3,1,0),IF($X118&lt;30,1,0))</formula>
    </cfRule>
    <cfRule type="expression" priority="127" dxfId="0">
      <formula>AND(IF($Q118=3,1,IF($Q118=4,1,0)),IF($F118&lt;=85,1,0))</formula>
    </cfRule>
  </conditionalFormatting>
  <conditionalFormatting sqref="AI118">
    <cfRule type="expression" priority="120" dxfId="3">
      <formula>AND(IF(OR($Q118=1,$Q118=2),1,0),IF($X118&lt;=20,1,0))</formula>
    </cfRule>
    <cfRule type="expression" priority="121" dxfId="2">
      <formula>AND(IF($Q118=2,1,0),IF($X118&lt;30,1,0))</formula>
    </cfRule>
    <cfRule type="expression" priority="122" dxfId="1">
      <formula>AND(IF($Q118=3,1,0),IF($X118&lt;30,1,0))</formula>
    </cfRule>
    <cfRule type="expression" priority="123" dxfId="0">
      <formula>AND(IF($Q118=3,1,IF($Q118=4,1,0)),IF($F118&lt;=85,1,0))</formula>
    </cfRule>
  </conditionalFormatting>
  <conditionalFormatting sqref="AV119">
    <cfRule type="expression" priority="118" dxfId="19">
      <formula>AV119="X"</formula>
    </cfRule>
    <cfRule type="expression" priority="119" dxfId="18">
      <formula>AV119="후보"</formula>
    </cfRule>
  </conditionalFormatting>
  <conditionalFormatting sqref="AC119 N11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20">
    <cfRule type="expression" priority="113" dxfId="19">
      <formula>AV120="X"</formula>
    </cfRule>
    <cfRule type="expression" priority="114" dxfId="18">
      <formula>AV120="후보"</formula>
    </cfRule>
  </conditionalFormatting>
  <conditionalFormatting sqref="AC12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0">
    <cfRule type="expression" priority="104" dxfId="3">
      <formula>AND(IF(OR($Q120=1,$Q120=2),1,0),IF($X120&lt;=20,1,0))</formula>
    </cfRule>
    <cfRule type="expression" priority="105" dxfId="2">
      <formula>AND(IF($Q120=2,1,0),IF($X120&lt;30,1,0))</formula>
    </cfRule>
    <cfRule type="expression" priority="106" dxfId="1">
      <formula>AND(IF($Q120=3,1,0),IF($X120&lt;30,1,0))</formula>
    </cfRule>
    <cfRule type="expression" priority="107" dxfId="0">
      <formula>AND(IF($Q120=3,1,IF($Q120=4,1,0)),IF($F120&lt;=85,1,0))</formula>
    </cfRule>
  </conditionalFormatting>
  <conditionalFormatting sqref="X120">
    <cfRule type="expression" priority="100" dxfId="3">
      <formula>AND(IF(OR($Q120=1,$Q120=2),1,0),IF($X120&lt;=20,1,0))</formula>
    </cfRule>
    <cfRule type="expression" priority="101" dxfId="2">
      <formula>AND(IF($Q120=2,1,0),IF($X120&lt;30,1,0))</formula>
    </cfRule>
    <cfRule type="expression" priority="102" dxfId="1">
      <formula>AND(IF($Q120=3,1,0),IF($X120&lt;30,1,0))</formula>
    </cfRule>
    <cfRule type="expression" priority="103" dxfId="0">
      <formula>AND(IF($Q120=3,1,IF($Q120=4,1,0)),IF($F120&lt;=85,1,0))</formula>
    </cfRule>
  </conditionalFormatting>
  <conditionalFormatting sqref="AI120">
    <cfRule type="expression" priority="96" dxfId="3">
      <formula>AND(IF(OR($Q120=1,$Q120=2),1,0),IF($X120&lt;=20,1,0))</formula>
    </cfRule>
    <cfRule type="expression" priority="97" dxfId="2">
      <formula>AND(IF($Q120=2,1,0),IF($X120&lt;30,1,0))</formula>
    </cfRule>
    <cfRule type="expression" priority="98" dxfId="1">
      <formula>AND(IF($Q120=3,1,0),IF($X120&lt;30,1,0))</formula>
    </cfRule>
    <cfRule type="expression" priority="99" dxfId="0">
      <formula>AND(IF($Q120=3,1,IF($Q120=4,1,0)),IF($F120&lt;=85,1,0))</formula>
    </cfRule>
  </conditionalFormatting>
  <conditionalFormatting sqref="AV121">
    <cfRule type="expression" priority="94" dxfId="19">
      <formula>AV121="X"</formula>
    </cfRule>
    <cfRule type="expression" priority="95" dxfId="18">
      <formula>AV121="후보"</formula>
    </cfRule>
  </conditionalFormatting>
  <conditionalFormatting sqref="AC12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1">
    <cfRule type="expression" priority="85" dxfId="3">
      <formula>AND(IF(OR($Q121=1,$Q121=2),1,0),IF($X121&lt;=20,1,0))</formula>
    </cfRule>
    <cfRule type="expression" priority="86" dxfId="2">
      <formula>AND(IF($Q121=2,1,0),IF($X121&lt;30,1,0))</formula>
    </cfRule>
    <cfRule type="expression" priority="87" dxfId="1">
      <formula>AND(IF($Q121=3,1,0),IF($X121&lt;30,1,0))</formula>
    </cfRule>
    <cfRule type="expression" priority="88" dxfId="0">
      <formula>AND(IF($Q121=3,1,IF($Q121=4,1,0)),IF($F121&lt;=85,1,0))</formula>
    </cfRule>
  </conditionalFormatting>
  <conditionalFormatting sqref="X121">
    <cfRule type="expression" priority="81" dxfId="3">
      <formula>AND(IF(OR($Q121=1,$Q121=2),1,0),IF($X121&lt;=20,1,0))</formula>
    </cfRule>
    <cfRule type="expression" priority="82" dxfId="2">
      <formula>AND(IF($Q121=2,1,0),IF($X121&lt;30,1,0))</formula>
    </cfRule>
    <cfRule type="expression" priority="83" dxfId="1">
      <formula>AND(IF($Q121=3,1,0),IF($X121&lt;30,1,0))</formula>
    </cfRule>
    <cfRule type="expression" priority="84" dxfId="0">
      <formula>AND(IF($Q121=3,1,IF($Q121=4,1,0)),IF($F121&lt;=85,1,0))</formula>
    </cfRule>
  </conditionalFormatting>
  <conditionalFormatting sqref="AI121">
    <cfRule type="expression" priority="77" dxfId="3">
      <formula>AND(IF(OR($Q121=1,$Q121=2),1,0),IF($X121&lt;=20,1,0))</formula>
    </cfRule>
    <cfRule type="expression" priority="78" dxfId="2">
      <formula>AND(IF($Q121=2,1,0),IF($X121&lt;30,1,0))</formula>
    </cfRule>
    <cfRule type="expression" priority="79" dxfId="1">
      <formula>AND(IF($Q121=3,1,0),IF($X121&lt;30,1,0))</formula>
    </cfRule>
    <cfRule type="expression" priority="80" dxfId="0">
      <formula>AND(IF($Q121=3,1,IF($Q121=4,1,0)),IF($F121&lt;=85,1,0))</formula>
    </cfRule>
  </conditionalFormatting>
  <conditionalFormatting sqref="AV122">
    <cfRule type="expression" priority="75" dxfId="19">
      <formula>AV122="X"</formula>
    </cfRule>
    <cfRule type="expression" priority="76" dxfId="18">
      <formula>AV122="후보"</formula>
    </cfRule>
  </conditionalFormatting>
  <conditionalFormatting sqref="AC12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2">
    <cfRule type="expression" priority="66" dxfId="3">
      <formula>AND(IF(OR($Q122=1,$Q122=2),1,0),IF($X122&lt;=20,1,0))</formula>
    </cfRule>
    <cfRule type="expression" priority="67" dxfId="2">
      <formula>AND(IF($Q122=2,1,0),IF($X122&lt;30,1,0))</formula>
    </cfRule>
    <cfRule type="expression" priority="68" dxfId="1">
      <formula>AND(IF($Q122=3,1,0),IF($X122&lt;30,1,0))</formula>
    </cfRule>
    <cfRule type="expression" priority="69" dxfId="0">
      <formula>AND(IF($Q122=3,1,IF($Q122=4,1,0)),IF($F122&lt;=85,1,0))</formula>
    </cfRule>
  </conditionalFormatting>
  <conditionalFormatting sqref="X122">
    <cfRule type="expression" priority="62" dxfId="3">
      <formula>AND(IF(OR($Q122=1,$Q122=2),1,0),IF($X122&lt;=20,1,0))</formula>
    </cfRule>
    <cfRule type="expression" priority="63" dxfId="2">
      <formula>AND(IF($Q122=2,1,0),IF($X122&lt;30,1,0))</formula>
    </cfRule>
    <cfRule type="expression" priority="64" dxfId="1">
      <formula>AND(IF($Q122=3,1,0),IF($X122&lt;30,1,0))</formula>
    </cfRule>
    <cfRule type="expression" priority="65" dxfId="0">
      <formula>AND(IF($Q122=3,1,IF($Q122=4,1,0)),IF($F122&lt;=85,1,0))</formula>
    </cfRule>
  </conditionalFormatting>
  <conditionalFormatting sqref="AI122">
    <cfRule type="expression" priority="58" dxfId="3">
      <formula>AND(IF(OR($Q122=1,$Q122=2),1,0),IF($X122&lt;=20,1,0))</formula>
    </cfRule>
    <cfRule type="expression" priority="59" dxfId="2">
      <formula>AND(IF($Q122=2,1,0),IF($X122&lt;30,1,0))</formula>
    </cfRule>
    <cfRule type="expression" priority="60" dxfId="1">
      <formula>AND(IF($Q122=3,1,0),IF($X122&lt;30,1,0))</formula>
    </cfRule>
    <cfRule type="expression" priority="61" dxfId="0">
      <formula>AND(IF($Q122=3,1,IF($Q122=4,1,0)),IF($F122&lt;=85,1,0))</formula>
    </cfRule>
  </conditionalFormatting>
  <conditionalFormatting sqref="AV123">
    <cfRule type="expression" priority="56" dxfId="19">
      <formula>AV123="X"</formula>
    </cfRule>
    <cfRule type="expression" priority="57" dxfId="18">
      <formula>AV123="후보"</formula>
    </cfRule>
  </conditionalFormatting>
  <conditionalFormatting sqref="AC12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3">
    <cfRule type="expression" priority="47" dxfId="3">
      <formula>AND(IF(OR($Q123=1,$Q123=2),1,0),IF($X123&lt;=20,1,0))</formula>
    </cfRule>
    <cfRule type="expression" priority="48" dxfId="2">
      <formula>AND(IF($Q123=2,1,0),IF($X123&lt;30,1,0))</formula>
    </cfRule>
    <cfRule type="expression" priority="49" dxfId="1">
      <formula>AND(IF($Q123=3,1,0),IF($X123&lt;30,1,0))</formula>
    </cfRule>
    <cfRule type="expression" priority="50" dxfId="0">
      <formula>AND(IF($Q123=3,1,IF($Q123=4,1,0)),IF($F123&lt;=85,1,0))</formula>
    </cfRule>
  </conditionalFormatting>
  <conditionalFormatting sqref="X123">
    <cfRule type="expression" priority="43" dxfId="3">
      <formula>AND(IF(OR($Q123=1,$Q123=2),1,0),IF($X123&lt;=20,1,0))</formula>
    </cfRule>
    <cfRule type="expression" priority="44" dxfId="2">
      <formula>AND(IF($Q123=2,1,0),IF($X123&lt;30,1,0))</formula>
    </cfRule>
    <cfRule type="expression" priority="45" dxfId="1">
      <formula>AND(IF($Q123=3,1,0),IF($X123&lt;30,1,0))</formula>
    </cfRule>
    <cfRule type="expression" priority="46" dxfId="0">
      <formula>AND(IF($Q123=3,1,IF($Q123=4,1,0)),IF($F123&lt;=85,1,0))</formula>
    </cfRule>
  </conditionalFormatting>
  <conditionalFormatting sqref="AI123">
    <cfRule type="expression" priority="39" dxfId="3">
      <formula>AND(IF(OR($Q123=1,$Q123=2),1,0),IF($X123&lt;=20,1,0))</formula>
    </cfRule>
    <cfRule type="expression" priority="40" dxfId="2">
      <formula>AND(IF($Q123=2,1,0),IF($X123&lt;30,1,0))</formula>
    </cfRule>
    <cfRule type="expression" priority="41" dxfId="1">
      <formula>AND(IF($Q123=3,1,0),IF($X123&lt;30,1,0))</formula>
    </cfRule>
    <cfRule type="expression" priority="42" dxfId="0">
      <formula>AND(IF($Q123=3,1,IF($Q123=4,1,0)),IF($F123&lt;=85,1,0))</formula>
    </cfRule>
  </conditionalFormatting>
  <conditionalFormatting sqref="AV124">
    <cfRule type="expression" priority="37" dxfId="19">
      <formula>AV124="X"</formula>
    </cfRule>
    <cfRule type="expression" priority="38" dxfId="18">
      <formula>AV124="후보"</formula>
    </cfRule>
  </conditionalFormatting>
  <conditionalFormatting sqref="AC12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4">
    <cfRule type="expression" priority="28" dxfId="3">
      <formula>AND(IF(OR($Q124=1,$Q124=2),1,0),IF($X124&lt;=20,1,0))</formula>
    </cfRule>
    <cfRule type="expression" priority="29" dxfId="2">
      <formula>AND(IF($Q124=2,1,0),IF($X124&lt;30,1,0))</formula>
    </cfRule>
    <cfRule type="expression" priority="30" dxfId="1">
      <formula>AND(IF($Q124=3,1,0),IF($X124&lt;30,1,0))</formula>
    </cfRule>
    <cfRule type="expression" priority="31" dxfId="0">
      <formula>AND(IF($Q124=3,1,IF($Q124=4,1,0)),IF($F124&lt;=85,1,0))</formula>
    </cfRule>
  </conditionalFormatting>
  <conditionalFormatting sqref="X124">
    <cfRule type="expression" priority="24" dxfId="3">
      <formula>AND(IF(OR($Q124=1,$Q124=2),1,0),IF($X124&lt;=20,1,0))</formula>
    </cfRule>
    <cfRule type="expression" priority="25" dxfId="2">
      <formula>AND(IF($Q124=2,1,0),IF($X124&lt;30,1,0))</formula>
    </cfRule>
    <cfRule type="expression" priority="26" dxfId="1">
      <formula>AND(IF($Q124=3,1,0),IF($X124&lt;30,1,0))</formula>
    </cfRule>
    <cfRule type="expression" priority="27" dxfId="0">
      <formula>AND(IF($Q124=3,1,IF($Q124=4,1,0)),IF($F124&lt;=85,1,0))</formula>
    </cfRule>
  </conditionalFormatting>
  <conditionalFormatting sqref="AI124">
    <cfRule type="expression" priority="20" dxfId="3">
      <formula>AND(IF(OR($Q124=1,$Q124=2),1,0),IF($X124&lt;=20,1,0))</formula>
    </cfRule>
    <cfRule type="expression" priority="21" dxfId="2">
      <formula>AND(IF($Q124=2,1,0),IF($X124&lt;30,1,0))</formula>
    </cfRule>
    <cfRule type="expression" priority="22" dxfId="1">
      <formula>AND(IF($Q124=3,1,0),IF($X124&lt;30,1,0))</formula>
    </cfRule>
    <cfRule type="expression" priority="23" dxfId="0">
      <formula>AND(IF($Q124=3,1,IF($Q124=4,1,0)),IF($F124&lt;=85,1,0))</formula>
    </cfRule>
  </conditionalFormatting>
  <conditionalFormatting sqref="AV125">
    <cfRule type="expression" priority="18" dxfId="19">
      <formula>AV125="X"</formula>
    </cfRule>
    <cfRule type="expression" priority="19" dxfId="18">
      <formula>AV125="후보"</formula>
    </cfRule>
  </conditionalFormatting>
  <conditionalFormatting sqref="AC1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5">
    <cfRule type="expression" priority="9" dxfId="3">
      <formula>AND(IF(OR($Q125=1,$Q125=2),1,0),IF($X125&lt;=20,1,0))</formula>
    </cfRule>
    <cfRule type="expression" priority="10" dxfId="2">
      <formula>AND(IF($Q125=2,1,0),IF($X125&lt;30,1,0))</formula>
    </cfRule>
    <cfRule type="expression" priority="11" dxfId="1">
      <formula>AND(IF($Q125=3,1,0),IF($X125&lt;30,1,0))</formula>
    </cfRule>
    <cfRule type="expression" priority="12" dxfId="0">
      <formula>AND(IF($Q125=3,1,IF($Q125=4,1,0)),IF($F125&lt;=85,1,0))</formula>
    </cfRule>
  </conditionalFormatting>
  <conditionalFormatting sqref="X125">
    <cfRule type="expression" priority="5" dxfId="3">
      <formula>AND(IF(OR($Q125=1,$Q125=2),1,0),IF($X125&lt;=20,1,0))</formula>
    </cfRule>
    <cfRule type="expression" priority="6" dxfId="2">
      <formula>AND(IF($Q125=2,1,0),IF($X125&lt;30,1,0))</formula>
    </cfRule>
    <cfRule type="expression" priority="7" dxfId="1">
      <formula>AND(IF($Q125=3,1,0),IF($X125&lt;30,1,0))</formula>
    </cfRule>
    <cfRule type="expression" priority="8" dxfId="0">
      <formula>AND(IF($Q125=3,1,IF($Q125=4,1,0)),IF($F125&lt;=85,1,0))</formula>
    </cfRule>
  </conditionalFormatting>
  <conditionalFormatting sqref="AI125">
    <cfRule type="expression" priority="1" dxfId="3">
      <formula>AND(IF(OR($Q125=1,$Q125=2),1,0),IF($X125&lt;=20,1,0))</formula>
    </cfRule>
    <cfRule type="expression" priority="2" dxfId="2">
      <formula>AND(IF($Q125=2,1,0),IF($X125&lt;30,1,0))</formula>
    </cfRule>
    <cfRule type="expression" priority="3" dxfId="1">
      <formula>AND(IF($Q125=3,1,0),IF($X125&lt;30,1,0))</formula>
    </cfRule>
    <cfRule type="expression" priority="4" dxfId="0">
      <formula>AND(IF($Q125=3,1,IF($Q125=4,1,0)),IF($F125&lt;=85,1,0))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강내면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선광한빛</t>
        </is>
      </c>
      <c r="B6" s="16" t="inlineStr">
        <is>
          <t>'96.12.</t>
        </is>
      </c>
      <c r="C6" s="164" t="n">
        <v>350</v>
      </c>
      <c r="D6" s="161" t="n">
        <v>40.8</v>
      </c>
      <c r="E6" s="163" t="n">
        <v>12</v>
      </c>
      <c r="F6" s="161" t="n">
        <v>31.6</v>
      </c>
      <c r="G6" s="27" t="n">
        <v>10</v>
      </c>
      <c r="H6" s="164" t="n">
        <v>148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n">
        <v>40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선광한빛</t>
        </is>
      </c>
      <c r="B7" s="16" t="inlineStr">
        <is>
          <t>'96.12.</t>
        </is>
      </c>
      <c r="C7" s="164" t="n">
        <v>350</v>
      </c>
      <c r="D7" s="161" t="n">
        <v>71.59999999999999</v>
      </c>
      <c r="E7" s="163" t="n">
        <v>22</v>
      </c>
      <c r="F7" s="161" t="n">
        <v>59.8</v>
      </c>
      <c r="G7" s="27" t="n">
        <v>18</v>
      </c>
      <c r="H7" s="164" t="n">
        <v>96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선광한빛</t>
        </is>
      </c>
      <c r="B8" s="16" t="inlineStr">
        <is>
          <t>'96.12.</t>
        </is>
      </c>
      <c r="C8" s="164" t="n">
        <v>350</v>
      </c>
      <c r="D8" s="161" t="n">
        <v>97.8</v>
      </c>
      <c r="E8" s="163" t="n">
        <v>30</v>
      </c>
      <c r="F8" s="161" t="n">
        <v>85</v>
      </c>
      <c r="G8" s="27" t="n">
        <v>26</v>
      </c>
      <c r="H8" s="164" t="n">
        <v>91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97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선광한빛</t>
        </is>
      </c>
      <c r="B9" s="16" t="inlineStr">
        <is>
          <t>'96.12.</t>
        </is>
      </c>
      <c r="C9" s="164" t="n">
        <v>350</v>
      </c>
      <c r="D9" s="161" t="n">
        <v>97.7</v>
      </c>
      <c r="E9" s="163" t="n">
        <v>30</v>
      </c>
      <c r="F9" s="161" t="n">
        <v>84.90000000000001</v>
      </c>
      <c r="G9" s="27" t="n">
        <v>26</v>
      </c>
      <c r="H9" s="164" t="n">
        <v>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복</t>
        </is>
      </c>
      <c r="T9" s="8" t="n">
        <v>97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선광한빛</t>
        </is>
      </c>
      <c r="B10" s="16" t="inlineStr">
        <is>
          <t>'96.12.</t>
        </is>
      </c>
      <c r="C10" s="164" t="n">
        <v>350</v>
      </c>
      <c r="D10" s="161" t="n">
        <v>154.8</v>
      </c>
      <c r="E10" s="163" t="n">
        <v>47</v>
      </c>
      <c r="F10" s="161" t="n">
        <v>134.5</v>
      </c>
      <c r="G10" s="27" t="n">
        <v>41</v>
      </c>
      <c r="H10" s="164" t="n">
        <v>8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154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청원신성미소지움</t>
        </is>
      </c>
      <c r="B12" s="16" t="inlineStr">
        <is>
          <t>'08.09.</t>
        </is>
      </c>
      <c r="C12" s="164" t="n">
        <v>372</v>
      </c>
      <c r="D12" s="161" t="n">
        <v>111</v>
      </c>
      <c r="E12" s="163" t="n">
        <v>34</v>
      </c>
      <c r="F12" s="161" t="n">
        <v>84.5</v>
      </c>
      <c r="G12" s="27" t="n">
        <v>26</v>
      </c>
      <c r="H12" s="164" t="n">
        <v>146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110S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청원신성미소지움</t>
        </is>
      </c>
      <c r="B13" s="16" t="inlineStr">
        <is>
          <t>'08.09.</t>
        </is>
      </c>
      <c r="C13" s="164" t="n">
        <v>372</v>
      </c>
      <c r="D13" s="161" t="n">
        <v>111</v>
      </c>
      <c r="E13" s="163" t="n">
        <v>34</v>
      </c>
      <c r="F13" s="161" t="n">
        <v>84.5</v>
      </c>
      <c r="G13" s="27" t="n">
        <v>26</v>
      </c>
      <c r="H13" s="164" t="n">
        <v>58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110E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청원신성미소지움</t>
        </is>
      </c>
      <c r="B14" s="16" t="inlineStr">
        <is>
          <t>'08.09.</t>
        </is>
      </c>
      <c r="C14" s="164" t="n">
        <v>372</v>
      </c>
      <c r="D14" s="161" t="n">
        <v>131.2</v>
      </c>
      <c r="E14" s="163" t="n">
        <v>40</v>
      </c>
      <c r="F14" s="161" t="n">
        <v>108.4</v>
      </c>
      <c r="G14" s="27" t="n">
        <v>33</v>
      </c>
      <c r="H14" s="164" t="n">
        <v>112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131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청원신성미소지움</t>
        </is>
      </c>
      <c r="B15" s="16" t="inlineStr">
        <is>
          <t>'08.09.</t>
        </is>
      </c>
      <c r="C15" s="164" t="n">
        <v>372</v>
      </c>
      <c r="D15" s="161" t="n">
        <v>149.9</v>
      </c>
      <c r="E15" s="163" t="n">
        <v>45</v>
      </c>
      <c r="F15" s="161" t="n">
        <v>118.1</v>
      </c>
      <c r="G15" s="27" t="n">
        <v>36</v>
      </c>
      <c r="H15" s="164" t="n">
        <v>56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149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청원쌍용예가2단지</t>
        </is>
      </c>
      <c r="B17" s="16" t="inlineStr">
        <is>
          <t>'07.08.</t>
        </is>
      </c>
      <c r="C17" s="164" t="n">
        <v>231</v>
      </c>
      <c r="D17" s="161" t="n">
        <v>110.7</v>
      </c>
      <c r="E17" s="163" t="n">
        <v>33</v>
      </c>
      <c r="F17" s="161" t="n">
        <v>85</v>
      </c>
      <c r="G17" s="27" t="n">
        <v>26</v>
      </c>
      <c r="H17" s="164" t="n">
        <v>56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청원쌍용예가2단지</t>
        </is>
      </c>
      <c r="B18" s="16" t="inlineStr">
        <is>
          <t>'07.08.</t>
        </is>
      </c>
      <c r="C18" s="164" t="n">
        <v>231</v>
      </c>
      <c r="D18" s="161" t="n">
        <v>145.6</v>
      </c>
      <c r="E18" s="163" t="n">
        <v>44</v>
      </c>
      <c r="F18" s="161" t="n">
        <v>117.3</v>
      </c>
      <c r="G18" s="27" t="n">
        <v>35</v>
      </c>
      <c r="H18" s="164" t="n">
        <v>175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145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서호e타운</t>
        </is>
      </c>
      <c r="B20" s="16" t="inlineStr">
        <is>
          <t>'01.06.</t>
        </is>
      </c>
      <c r="C20" s="164" t="n">
        <v>277</v>
      </c>
      <c r="D20" s="161" t="n">
        <v>43.5</v>
      </c>
      <c r="E20" s="163" t="n">
        <v>13</v>
      </c>
      <c r="F20" s="161" t="n">
        <v>31.4</v>
      </c>
      <c r="G20" s="27" t="n">
        <v>10</v>
      </c>
      <c r="H20" s="164" t="n">
        <v>220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1</v>
      </c>
      <c r="R20" s="113" t="n">
        <v>1</v>
      </c>
      <c r="S20" s="113" t="inlineStr">
        <is>
          <t>복</t>
        </is>
      </c>
      <c r="T20" s="8" t="n">
        <v>43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서호e타운</t>
        </is>
      </c>
      <c r="B21" s="16" t="inlineStr">
        <is>
          <t>'01.06.</t>
        </is>
      </c>
      <c r="C21" s="164" t="n">
        <v>277</v>
      </c>
      <c r="D21" s="161" t="n">
        <v>51.9</v>
      </c>
      <c r="E21" s="163" t="n">
        <v>16</v>
      </c>
      <c r="F21" s="161" t="n">
        <v>39.2</v>
      </c>
      <c r="G21" s="27" t="n">
        <v>12</v>
      </c>
      <c r="H21" s="164" t="n">
        <v>57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2</v>
      </c>
      <c r="R21" s="113" t="n">
        <v>1</v>
      </c>
      <c r="S21" s="113" t="inlineStr">
        <is>
          <t>복</t>
        </is>
      </c>
      <c r="T21" s="8" t="n">
        <v>51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강내두진하트리움</t>
        </is>
      </c>
      <c r="B23" s="16" t="inlineStr">
        <is>
          <t>'18.08.</t>
        </is>
      </c>
      <c r="C23" s="164" t="n">
        <v>359</v>
      </c>
      <c r="D23" s="161" t="n">
        <v>90.09999999999999</v>
      </c>
      <c r="E23" s="163" t="n">
        <v>27</v>
      </c>
      <c r="F23" s="161" t="n">
        <v>65.7</v>
      </c>
      <c r="G23" s="27" t="n">
        <v>20</v>
      </c>
      <c r="H23" s="164" t="n">
        <v>359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90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강내태암수정</t>
        </is>
      </c>
      <c r="B25" s="16" t="inlineStr">
        <is>
          <t>'97.12.</t>
        </is>
      </c>
      <c r="C25" s="164" t="n">
        <v>410</v>
      </c>
      <c r="D25" s="161" t="n">
        <v>42</v>
      </c>
      <c r="E25" s="163" t="n">
        <v>13</v>
      </c>
      <c r="F25" s="161" t="n">
        <v>34.7</v>
      </c>
      <c r="G25" s="27" t="n">
        <v>10</v>
      </c>
      <c r="H25" s="164" t="n">
        <v>130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1</v>
      </c>
      <c r="R25" s="113" t="n">
        <v>1</v>
      </c>
      <c r="S25" s="113" t="inlineStr">
        <is>
          <t>계</t>
        </is>
      </c>
      <c r="T25" s="8" t="n">
        <v>41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강내태암수정</t>
        </is>
      </c>
      <c r="B26" s="16" t="inlineStr">
        <is>
          <t>'97.12.</t>
        </is>
      </c>
      <c r="C26" s="164" t="n">
        <v>410</v>
      </c>
      <c r="D26" s="161" t="n">
        <v>51.7</v>
      </c>
      <c r="E26" s="163" t="n">
        <v>16</v>
      </c>
      <c r="F26" s="161" t="n">
        <v>42.7</v>
      </c>
      <c r="G26" s="27" t="n">
        <v>13</v>
      </c>
      <c r="H26" s="164" t="n">
        <v>134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51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강내태암수정</t>
        </is>
      </c>
      <c r="B27" s="16" t="inlineStr">
        <is>
          <t>'97.12.</t>
        </is>
      </c>
      <c r="C27" s="164" t="n">
        <v>410</v>
      </c>
      <c r="D27" s="161" t="n">
        <v>56.4</v>
      </c>
      <c r="E27" s="163" t="n">
        <v>17</v>
      </c>
      <c r="F27" s="161" t="n">
        <v>42.7</v>
      </c>
      <c r="G27" s="27" t="n">
        <v>13</v>
      </c>
      <c r="H27" s="164" t="n">
        <v>29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56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강내태암수정</t>
        </is>
      </c>
      <c r="B28" s="16" t="inlineStr">
        <is>
          <t>'97.12.</t>
        </is>
      </c>
      <c r="C28" s="164" t="n">
        <v>410</v>
      </c>
      <c r="D28" s="161" t="n">
        <v>66.40000000000001</v>
      </c>
      <c r="E28" s="163" t="n">
        <v>20</v>
      </c>
      <c r="F28" s="161" t="n">
        <v>54.9</v>
      </c>
      <c r="G28" s="27" t="n">
        <v>17</v>
      </c>
      <c r="H28" s="164" t="n">
        <v>20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66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강내태암수정</t>
        </is>
      </c>
      <c r="B29" s="16" t="inlineStr">
        <is>
          <t>'97.12.</t>
        </is>
      </c>
      <c r="C29" s="164" t="n">
        <v>410</v>
      </c>
      <c r="D29" s="161" t="n">
        <v>78.5</v>
      </c>
      <c r="E29" s="163" t="n">
        <v>24</v>
      </c>
      <c r="F29" s="161" t="n">
        <v>59.7</v>
      </c>
      <c r="G29" s="27" t="n">
        <v>18</v>
      </c>
      <c r="H29" s="164" t="n">
        <v>50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계</t>
        </is>
      </c>
      <c r="T29" s="8" t="inlineStr">
        <is>
          <t>78A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강내태암수정</t>
        </is>
      </c>
      <c r="B30" s="16" t="inlineStr">
        <is>
          <t>'97.12.</t>
        </is>
      </c>
      <c r="C30" s="164" t="n">
        <v>410</v>
      </c>
      <c r="D30" s="161" t="n">
        <v>78.8</v>
      </c>
      <c r="E30" s="163" t="n">
        <v>24</v>
      </c>
      <c r="F30" s="161" t="n">
        <v>59.7</v>
      </c>
      <c r="G30" s="27" t="n">
        <v>18</v>
      </c>
      <c r="H30" s="164" t="n">
        <v>47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inlineStr">
        <is>
          <t>78B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19">
      <formula>AV4="X"</formula>
    </cfRule>
    <cfRule type="expression" priority="407" dxfId="18">
      <formula>AV4="후보"</formula>
    </cfRule>
  </conditionalFormatting>
  <conditionalFormatting sqref="AC1:AC2 AC4:AC6 N4:N5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N1:N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19">
      <formula>AV7="X"</formula>
    </cfRule>
    <cfRule type="expression" priority="386" dxfId="18">
      <formula>AV7="후보"</formula>
    </cfRule>
  </conditionalFormatting>
  <conditionalFormatting sqref="AC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19">
      <formula>AV8="X"</formula>
    </cfRule>
    <cfRule type="expression" priority="367" dxfId="18">
      <formula>AV8="후보"</formula>
    </cfRule>
  </conditionalFormatting>
  <conditionalFormatting sqref="AC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X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I8">
    <cfRule type="expression" priority="349" dxfId="3">
      <formula>AND(IF(OR($Q8=1,$Q8=2),1,0),IF($X8&lt;=20,1,0))</formula>
    </cfRule>
    <cfRule type="expression" priority="350" dxfId="2">
      <formula>AND(IF($Q8=2,1,0),IF($X8&lt;30,1,0))</formula>
    </cfRule>
    <cfRule type="expression" priority="351" dxfId="1">
      <formula>AND(IF($Q8=3,1,0),IF($X8&lt;30,1,0))</formula>
    </cfRule>
    <cfRule type="expression" priority="352" dxfId="0">
      <formula>AND(IF($Q8=3,1,IF($Q8=4,1,0)),IF($F8&lt;=85,1,0))</formula>
    </cfRule>
  </conditionalFormatting>
  <conditionalFormatting sqref="AV9">
    <cfRule type="expression" priority="347" dxfId="19">
      <formula>AV9="X"</formula>
    </cfRule>
    <cfRule type="expression" priority="348" dxfId="18">
      <formula>AV9="후보"</formula>
    </cfRule>
  </conditionalFormatting>
  <conditionalFormatting sqref="AC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9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19">
      <formula>AV10="X"</formula>
    </cfRule>
    <cfRule type="expression" priority="329" dxfId="18">
      <formula>AV10="후보"</formula>
    </cfRule>
  </conditionalFormatting>
  <conditionalFormatting sqref="AC10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0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19">
      <formula>AV11="X"</formula>
    </cfRule>
    <cfRule type="expression" priority="310" dxfId="18">
      <formula>AV11="후보"</formula>
    </cfRule>
  </conditionalFormatting>
  <conditionalFormatting sqref="AC11 N11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12">
    <cfRule type="expression" priority="304" dxfId="19">
      <formula>AV12="X"</formula>
    </cfRule>
    <cfRule type="expression" priority="305" dxfId="18">
      <formula>AV12="후보"</formula>
    </cfRule>
  </conditionalFormatting>
  <conditionalFormatting sqref="AC1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2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19">
      <formula>AV13="X"</formula>
    </cfRule>
    <cfRule type="expression" priority="286" dxfId="18">
      <formula>AV13="후보"</formula>
    </cfRule>
  </conditionalFormatting>
  <conditionalFormatting sqref="AC13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3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19">
      <formula>AV14="X"</formula>
    </cfRule>
    <cfRule type="expression" priority="267" dxfId="18">
      <formula>AV14="후보"</formula>
    </cfRule>
  </conditionalFormatting>
  <conditionalFormatting sqref="AC14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4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X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I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AV15">
    <cfRule type="expression" priority="247" dxfId="19">
      <formula>AV15="X"</formula>
    </cfRule>
    <cfRule type="expression" priority="248" dxfId="18">
      <formula>AV15="후보"</formula>
    </cfRule>
  </conditionalFormatting>
  <conditionalFormatting sqref="AC15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5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X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I15">
    <cfRule type="expression" priority="230" dxfId="3">
      <formula>AND(IF(OR($Q15=1,$Q15=2),1,0),IF($X15&lt;=20,1,0))</formula>
    </cfRule>
    <cfRule type="expression" priority="231" dxfId="2">
      <formula>AND(IF($Q15=2,1,0),IF($X15&lt;30,1,0))</formula>
    </cfRule>
    <cfRule type="expression" priority="232" dxfId="1">
      <formula>AND(IF($Q15=3,1,0),IF($X15&lt;30,1,0))</formula>
    </cfRule>
    <cfRule type="expression" priority="233" dxfId="0">
      <formula>AND(IF($Q15=3,1,IF($Q15=4,1,0)),IF($F15&lt;=85,1,0))</formula>
    </cfRule>
  </conditionalFormatting>
  <conditionalFormatting sqref="AV16">
    <cfRule type="expression" priority="228" dxfId="19">
      <formula>AV16="X"</formula>
    </cfRule>
    <cfRule type="expression" priority="229" dxfId="18">
      <formula>AV16="후보"</formula>
    </cfRule>
  </conditionalFormatting>
  <conditionalFormatting sqref="AC16 N16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17">
    <cfRule type="expression" priority="223" dxfId="19">
      <formula>AV17="X"</formula>
    </cfRule>
    <cfRule type="expression" priority="224" dxfId="18">
      <formula>AV17="후보"</formula>
    </cfRule>
  </conditionalFormatting>
  <conditionalFormatting sqref="AC1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19">
      <formula>AV18="X"</formula>
    </cfRule>
    <cfRule type="expression" priority="205" dxfId="18">
      <formula>AV18="후보"</formula>
    </cfRule>
  </conditionalFormatting>
  <conditionalFormatting sqref="AC1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X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I18">
    <cfRule type="expression" priority="187" dxfId="3">
      <formula>AND(IF(OR($Q18=1,$Q18=2),1,0),IF($X18&lt;=20,1,0))</formula>
    </cfRule>
    <cfRule type="expression" priority="188" dxfId="2">
      <formula>AND(IF($Q18=2,1,0),IF($X18&lt;30,1,0))</formula>
    </cfRule>
    <cfRule type="expression" priority="189" dxfId="1">
      <formula>AND(IF($Q18=3,1,0),IF($X18&lt;30,1,0))</formula>
    </cfRule>
    <cfRule type="expression" priority="190" dxfId="0">
      <formula>AND(IF($Q18=3,1,IF($Q18=4,1,0)),IF($F18&lt;=85,1,0))</formula>
    </cfRule>
  </conditionalFormatting>
  <conditionalFormatting sqref="AV19">
    <cfRule type="expression" priority="185" dxfId="19">
      <formula>AV19="X"</formula>
    </cfRule>
    <cfRule type="expression" priority="186" dxfId="18">
      <formula>AV19="후보"</formula>
    </cfRule>
  </conditionalFormatting>
  <conditionalFormatting sqref="AC19 N1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0">
    <cfRule type="expression" priority="180" dxfId="19">
      <formula>AV20="X"</formula>
    </cfRule>
    <cfRule type="expression" priority="181" dxfId="18">
      <formula>AV20="후보"</formula>
    </cfRule>
  </conditionalFormatting>
  <conditionalFormatting sqref="AC2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19">
      <formula>AV21="X"</formula>
    </cfRule>
    <cfRule type="expression" priority="162" dxfId="18">
      <formula>AV21="후보"</formula>
    </cfRule>
  </conditionalFormatting>
  <conditionalFormatting sqref="AC2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1">
    <cfRule type="expression" priority="152" dxfId="3">
      <formula>AND(IF(OR($Q21=1,$Q21=2),1,0),IF($X21&lt;=20,1,0))</formula>
    </cfRule>
    <cfRule type="expression" priority="153" dxfId="2">
      <formula>AND(IF($Q21=2,1,0),IF($X21&lt;30,1,0))</formula>
    </cfRule>
    <cfRule type="expression" priority="154" dxfId="1">
      <formula>AND(IF($Q21=3,1,0),IF($X21&lt;30,1,0))</formula>
    </cfRule>
    <cfRule type="expression" priority="155" dxfId="0">
      <formula>AND(IF($Q21=3,1,IF($Q21=4,1,0)),IF($F21&lt;=85,1,0))</formula>
    </cfRule>
  </conditionalFormatting>
  <conditionalFormatting sqref="X21">
    <cfRule type="expression" priority="148" dxfId="3">
      <formula>AND(IF(OR($Q21=1,$Q21=2),1,0),IF($X21&lt;=20,1,0))</formula>
    </cfRule>
    <cfRule type="expression" priority="149" dxfId="2">
      <formula>AND(IF($Q21=2,1,0),IF($X21&lt;30,1,0))</formula>
    </cfRule>
    <cfRule type="expression" priority="150" dxfId="1">
      <formula>AND(IF($Q21=3,1,0),IF($X21&lt;30,1,0))</formula>
    </cfRule>
    <cfRule type="expression" priority="151" dxfId="0">
      <formula>AND(IF($Q21=3,1,IF($Q21=4,1,0)),IF($F21&lt;=85,1,0))</formula>
    </cfRule>
  </conditionalFormatting>
  <conditionalFormatting sqref="AI21">
    <cfRule type="expression" priority="144" dxfId="3">
      <formula>AND(IF(OR($Q21=1,$Q21=2),1,0),IF($X21&lt;=20,1,0))</formula>
    </cfRule>
    <cfRule type="expression" priority="145" dxfId="2">
      <formula>AND(IF($Q21=2,1,0),IF($X21&lt;30,1,0))</formula>
    </cfRule>
    <cfRule type="expression" priority="146" dxfId="1">
      <formula>AND(IF($Q21=3,1,0),IF($X21&lt;30,1,0))</formula>
    </cfRule>
    <cfRule type="expression" priority="147" dxfId="0">
      <formula>AND(IF($Q21=3,1,IF($Q21=4,1,0)),IF($F21&lt;=85,1,0))</formula>
    </cfRule>
  </conditionalFormatting>
  <conditionalFormatting sqref="AV22">
    <cfRule type="expression" priority="142" dxfId="19">
      <formula>AV22="X"</formula>
    </cfRule>
    <cfRule type="expression" priority="143" dxfId="18">
      <formula>AV22="후보"</formula>
    </cfRule>
  </conditionalFormatting>
  <conditionalFormatting sqref="AC22 N2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23">
    <cfRule type="expression" priority="137" dxfId="19">
      <formula>AV23="X"</formula>
    </cfRule>
    <cfRule type="expression" priority="138" dxfId="18">
      <formula>AV23="후보"</formula>
    </cfRule>
  </conditionalFormatting>
  <conditionalFormatting sqref="AC2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19">
      <formula>AV24="X"</formula>
    </cfRule>
    <cfRule type="expression" priority="119" dxfId="18">
      <formula>AV24="후보"</formula>
    </cfRule>
  </conditionalFormatting>
  <conditionalFormatting sqref="AC24 N2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25">
    <cfRule type="expression" priority="113" dxfId="19">
      <formula>AV25="X"</formula>
    </cfRule>
    <cfRule type="expression" priority="114" dxfId="18">
      <formula>AV25="후보"</formula>
    </cfRule>
  </conditionalFormatting>
  <conditionalFormatting sqref="AC2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5">
    <cfRule type="expression" priority="104" dxfId="3">
      <formula>AND(IF(OR($Q25=1,$Q25=2),1,0),IF($X25&lt;=20,1,0))</formula>
    </cfRule>
    <cfRule type="expression" priority="105" dxfId="2">
      <formula>AND(IF($Q25=2,1,0),IF($X25&lt;30,1,0))</formula>
    </cfRule>
    <cfRule type="expression" priority="106" dxfId="1">
      <formula>AND(IF($Q25=3,1,0),IF($X25&lt;30,1,0))</formula>
    </cfRule>
    <cfRule type="expression" priority="107" dxfId="0">
      <formula>AND(IF($Q25=3,1,IF($Q25=4,1,0)),IF($F25&lt;=85,1,0))</formula>
    </cfRule>
  </conditionalFormatting>
  <conditionalFormatting sqref="X25">
    <cfRule type="expression" priority="100" dxfId="3">
      <formula>AND(IF(OR($Q25=1,$Q25=2),1,0),IF($X25&lt;=20,1,0))</formula>
    </cfRule>
    <cfRule type="expression" priority="101" dxfId="2">
      <formula>AND(IF($Q25=2,1,0),IF($X25&lt;30,1,0))</formula>
    </cfRule>
    <cfRule type="expression" priority="102" dxfId="1">
      <formula>AND(IF($Q25=3,1,0),IF($X25&lt;30,1,0))</formula>
    </cfRule>
    <cfRule type="expression" priority="103" dxfId="0">
      <formula>AND(IF($Q25=3,1,IF($Q25=4,1,0)),IF($F25&lt;=85,1,0))</formula>
    </cfRule>
  </conditionalFormatting>
  <conditionalFormatting sqref="AI25">
    <cfRule type="expression" priority="96" dxfId="3">
      <formula>AND(IF(OR($Q25=1,$Q25=2),1,0),IF($X25&lt;=20,1,0))</formula>
    </cfRule>
    <cfRule type="expression" priority="97" dxfId="2">
      <formula>AND(IF($Q25=2,1,0),IF($X25&lt;30,1,0))</formula>
    </cfRule>
    <cfRule type="expression" priority="98" dxfId="1">
      <formula>AND(IF($Q25=3,1,0),IF($X25&lt;30,1,0))</formula>
    </cfRule>
    <cfRule type="expression" priority="99" dxfId="0">
      <formula>AND(IF($Q25=3,1,IF($Q25=4,1,0)),IF($F25&lt;=85,1,0))</formula>
    </cfRule>
  </conditionalFormatting>
  <conditionalFormatting sqref="AV26">
    <cfRule type="expression" priority="94" dxfId="19">
      <formula>AV26="X"</formula>
    </cfRule>
    <cfRule type="expression" priority="95" dxfId="18">
      <formula>AV26="후보"</formula>
    </cfRule>
  </conditionalFormatting>
  <conditionalFormatting sqref="AC2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X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I26">
    <cfRule type="expression" priority="77" dxfId="3">
      <formula>AND(IF(OR($Q26=1,$Q26=2),1,0),IF($X26&lt;=20,1,0))</formula>
    </cfRule>
    <cfRule type="expression" priority="78" dxfId="2">
      <formula>AND(IF($Q26=2,1,0),IF($X26&lt;30,1,0))</formula>
    </cfRule>
    <cfRule type="expression" priority="79" dxfId="1">
      <formula>AND(IF($Q26=3,1,0),IF($X26&lt;30,1,0))</formula>
    </cfRule>
    <cfRule type="expression" priority="80" dxfId="0">
      <formula>AND(IF($Q26=3,1,IF($Q26=4,1,0)),IF($F26&lt;=85,1,0))</formula>
    </cfRule>
  </conditionalFormatting>
  <conditionalFormatting sqref="AV27">
    <cfRule type="expression" priority="75" dxfId="19">
      <formula>AV27="X"</formula>
    </cfRule>
    <cfRule type="expression" priority="76" dxfId="18">
      <formula>AV27="후보"</formula>
    </cfRule>
  </conditionalFormatting>
  <conditionalFormatting sqref="AC2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19">
      <formula>AV28="X"</formula>
    </cfRule>
    <cfRule type="expression" priority="57" dxfId="18">
      <formula>AV28="후보"</formula>
    </cfRule>
  </conditionalFormatting>
  <conditionalFormatting sqref="AC2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19">
      <formula>AV29="X"</formula>
    </cfRule>
    <cfRule type="expression" priority="38" dxfId="18">
      <formula>AV29="후보"</formula>
    </cfRule>
  </conditionalFormatting>
  <conditionalFormatting sqref="AC2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19">
      <formula>AV30="X"</formula>
    </cfRule>
    <cfRule type="expression" priority="19" dxfId="18">
      <formula>AV30="후보"</formula>
    </cfRule>
  </conditionalFormatting>
  <conditionalFormatting sqref="AC3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강서동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대림</t>
        </is>
      </c>
      <c r="B6" s="16" t="inlineStr">
        <is>
          <t>'90.11.</t>
        </is>
      </c>
      <c r="C6" s="164" t="n">
        <v>284</v>
      </c>
      <c r="D6" s="161" t="n">
        <v>85</v>
      </c>
      <c r="E6" s="163" t="n">
        <v>26</v>
      </c>
      <c r="F6" s="161" t="n">
        <v>58.6</v>
      </c>
      <c r="G6" s="27" t="n">
        <v>18</v>
      </c>
      <c r="H6" s="164" t="n">
        <v>134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n">
        <v>85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대림</t>
        </is>
      </c>
      <c r="B7" s="16" t="inlineStr">
        <is>
          <t>'90.11.</t>
        </is>
      </c>
      <c r="C7" s="164" t="n">
        <v>284</v>
      </c>
      <c r="D7" s="161" t="n">
        <v>105.4</v>
      </c>
      <c r="E7" s="163" t="n">
        <v>32</v>
      </c>
      <c r="F7" s="161" t="n">
        <v>84.90000000000001</v>
      </c>
      <c r="G7" s="27" t="n">
        <v>26</v>
      </c>
      <c r="H7" s="164" t="n">
        <v>150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청도</t>
        </is>
      </c>
      <c r="B9" s="16" t="inlineStr">
        <is>
          <t>'00.10.</t>
        </is>
      </c>
      <c r="C9" s="164" t="n">
        <v>207</v>
      </c>
      <c r="D9" s="161" t="n">
        <v>71.09999999999999</v>
      </c>
      <c r="E9" s="163" t="n">
        <v>22</v>
      </c>
      <c r="F9" s="161" t="n">
        <v>59.9</v>
      </c>
      <c r="G9" s="27" t="n">
        <v>18</v>
      </c>
      <c r="H9" s="164" t="n">
        <v>207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복</t>
        </is>
      </c>
      <c r="T9" s="8" t="n">
        <v>71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신해블루지움</t>
        </is>
      </c>
      <c r="B11" s="16" t="inlineStr">
        <is>
          <t>'17.11.</t>
        </is>
      </c>
      <c r="C11" s="164" t="n">
        <v>611</v>
      </c>
      <c r="D11" s="161" t="n">
        <v>44.5</v>
      </c>
      <c r="E11" s="163" t="n">
        <v>13</v>
      </c>
      <c r="F11" s="161" t="n">
        <v>22.1</v>
      </c>
      <c r="G11" s="27" t="n">
        <v>7</v>
      </c>
      <c r="H11" s="164" t="n">
        <v>497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1</v>
      </c>
      <c r="R11" s="113" t="n">
        <v>1</v>
      </c>
      <c r="S11" s="113" t="inlineStr">
        <is>
          <t>복</t>
        </is>
      </c>
      <c r="T11" s="8" t="inlineStr">
        <is>
          <t>44A1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신해블루지움</t>
        </is>
      </c>
      <c r="B12" s="16" t="inlineStr">
        <is>
          <t>'17.11.</t>
        </is>
      </c>
      <c r="C12" s="164" t="n">
        <v>611</v>
      </c>
      <c r="D12" s="161" t="n">
        <v>51.4</v>
      </c>
      <c r="E12" s="163" t="n">
        <v>16</v>
      </c>
      <c r="F12" s="161" t="n">
        <v>25.5</v>
      </c>
      <c r="G12" s="27" t="n">
        <v>8</v>
      </c>
      <c r="H12" s="164" t="n">
        <v>12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1</v>
      </c>
      <c r="R12" s="113" t="n">
        <v>1</v>
      </c>
      <c r="S12" s="113" t="inlineStr">
        <is>
          <t>계</t>
        </is>
      </c>
      <c r="T12" s="8" t="inlineStr">
        <is>
          <t>51A2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신해블루지움</t>
        </is>
      </c>
      <c r="B13" s="16" t="inlineStr">
        <is>
          <t>'17.11.</t>
        </is>
      </c>
      <c r="C13" s="164" t="n">
        <v>611</v>
      </c>
      <c r="D13" s="161" t="n">
        <v>52</v>
      </c>
      <c r="E13" s="163" t="n">
        <v>16</v>
      </c>
      <c r="F13" s="161" t="n">
        <v>25.9</v>
      </c>
      <c r="G13" s="27" t="n">
        <v>8</v>
      </c>
      <c r="H13" s="164" t="n">
        <v>17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1</v>
      </c>
      <c r="R13" s="113" t="n">
        <v>1</v>
      </c>
      <c r="S13" s="113" t="inlineStr">
        <is>
          <t>계</t>
        </is>
      </c>
      <c r="T13" s="8" t="inlineStr">
        <is>
          <t>52A3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신해블루지움</t>
        </is>
      </c>
      <c r="B14" s="16" t="inlineStr">
        <is>
          <t>'17.11.</t>
        </is>
      </c>
      <c r="C14" s="164" t="n">
        <v>611</v>
      </c>
      <c r="D14" s="161" t="n">
        <v>84.5</v>
      </c>
      <c r="E14" s="163" t="n">
        <v>26</v>
      </c>
      <c r="F14" s="161" t="n">
        <v>41.9</v>
      </c>
      <c r="G14" s="27" t="n">
        <v>13</v>
      </c>
      <c r="H14" s="164" t="n">
        <v>32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1</v>
      </c>
      <c r="R14" s="113" t="n">
        <v>1</v>
      </c>
      <c r="S14" s="113" t="inlineStr">
        <is>
          <t>계</t>
        </is>
      </c>
      <c r="T14" s="8" t="inlineStr">
        <is>
          <t>84B1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신해블루지움</t>
        </is>
      </c>
      <c r="B15" s="16" t="inlineStr">
        <is>
          <t>'17.11.</t>
        </is>
      </c>
      <c r="C15" s="164" t="n">
        <v>611</v>
      </c>
      <c r="D15" s="161" t="n">
        <v>94.40000000000001</v>
      </c>
      <c r="E15" s="163" t="n">
        <v>29</v>
      </c>
      <c r="F15" s="161" t="n">
        <v>46.8</v>
      </c>
      <c r="G15" s="27" t="n">
        <v>14</v>
      </c>
      <c r="H15" s="164" t="n">
        <v>49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inlineStr">
        <is>
          <t>94C1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신해블루지움</t>
        </is>
      </c>
      <c r="B16" s="16" t="inlineStr">
        <is>
          <t>'17.11.</t>
        </is>
      </c>
      <c r="C16" s="164" t="n">
        <v>611</v>
      </c>
      <c r="D16" s="161" t="n">
        <v>94.7</v>
      </c>
      <c r="E16" s="163" t="n">
        <v>29</v>
      </c>
      <c r="F16" s="161" t="n">
        <v>47</v>
      </c>
      <c r="G16" s="27" t="n">
        <v>14</v>
      </c>
      <c r="H16" s="164" t="n">
        <v>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1</v>
      </c>
      <c r="R16" s="113" t="n">
        <v>1</v>
      </c>
      <c r="S16" s="113" t="inlineStr">
        <is>
          <t>계</t>
        </is>
      </c>
      <c r="T16" s="8" t="inlineStr">
        <is>
          <t>94B2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신해블루지움</t>
        </is>
      </c>
      <c r="B17" s="16" t="inlineStr">
        <is>
          <t>'17.11.</t>
        </is>
      </c>
      <c r="C17" s="164" t="n">
        <v>611</v>
      </c>
      <c r="D17" s="161" t="n">
        <v>101</v>
      </c>
      <c r="E17" s="163" t="n">
        <v>31</v>
      </c>
      <c r="F17" s="161" t="n">
        <v>50.1</v>
      </c>
      <c r="G17" s="27" t="n">
        <v>15</v>
      </c>
      <c r="H17" s="164" t="n">
        <v>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101C2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이랜드타운힐스싱글스위트청주</t>
        </is>
      </c>
      <c r="B19" s="16" t="inlineStr">
        <is>
          <t>'19.09.</t>
        </is>
      </c>
      <c r="C19" s="164" t="n">
        <v>216</v>
      </c>
      <c r="D19" s="161" t="n">
        <v>55.9</v>
      </c>
      <c r="E19" s="163" t="n">
        <v>17</v>
      </c>
      <c r="F19" s="161" t="n">
        <v>23.4</v>
      </c>
      <c r="G19" s="27" t="n">
        <v>7</v>
      </c>
      <c r="H19" s="164" t="n">
        <v>180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1</v>
      </c>
      <c r="R19" s="113" t="n">
        <v>1</v>
      </c>
      <c r="S19" s="113" t="inlineStr">
        <is>
          <t>복</t>
        </is>
      </c>
      <c r="T19" s="8" t="inlineStr">
        <is>
          <t>55S1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이랜드타운힐스싱글스위트청주</t>
        </is>
      </c>
      <c r="B20" s="16" t="inlineStr">
        <is>
          <t>'19.09.</t>
        </is>
      </c>
      <c r="C20" s="164" t="n">
        <v>216</v>
      </c>
      <c r="D20" s="161" t="n">
        <v>56.6</v>
      </c>
      <c r="E20" s="163" t="n">
        <v>17</v>
      </c>
      <c r="F20" s="161" t="n">
        <v>23.4</v>
      </c>
      <c r="G20" s="27" t="n">
        <v>7</v>
      </c>
      <c r="H20" s="164" t="n">
        <v>36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1</v>
      </c>
      <c r="R20" s="113" t="n">
        <v>1</v>
      </c>
      <c r="S20" s="113" t="inlineStr">
        <is>
          <t>복</t>
        </is>
      </c>
      <c r="T20" s="8" t="inlineStr">
        <is>
          <t>56L1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우정</t>
        </is>
      </c>
      <c r="B22" s="16" t="inlineStr">
        <is>
          <t>'92.03.</t>
        </is>
      </c>
      <c r="C22" s="164" t="n">
        <v>233</v>
      </c>
      <c r="D22" s="161" t="n">
        <v>34.6</v>
      </c>
      <c r="E22" s="163" t="n">
        <v>10</v>
      </c>
      <c r="F22" s="161" t="n">
        <v>22.6</v>
      </c>
      <c r="G22" s="27" t="n">
        <v>7</v>
      </c>
      <c r="H22" s="164" t="n">
        <v>233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1</v>
      </c>
      <c r="R22" s="113" t="n">
        <v>1</v>
      </c>
      <c r="S22" s="113" t="inlineStr">
        <is>
          <t>복</t>
        </is>
      </c>
      <c r="T22" s="8" t="n">
        <v>34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강서동광모닝스카이</t>
        </is>
      </c>
      <c r="B24" s="16" t="inlineStr">
        <is>
          <t>'16.06.</t>
        </is>
      </c>
      <c r="C24" s="164" t="n">
        <v>419</v>
      </c>
      <c r="D24" s="161" t="n">
        <v>36.8</v>
      </c>
      <c r="E24" s="163" t="n">
        <v>11</v>
      </c>
      <c r="F24" s="161" t="n">
        <v>20.5</v>
      </c>
      <c r="G24" s="27" t="n">
        <v>6</v>
      </c>
      <c r="H24" s="164" t="n">
        <v>284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1</v>
      </c>
      <c r="R24" s="113" t="n">
        <v>1</v>
      </c>
      <c r="S24" s="113" t="inlineStr">
        <is>
          <t>계</t>
        </is>
      </c>
      <c r="T24" s="8" t="inlineStr">
        <is>
          <t>36D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강서동광모닝스카이</t>
        </is>
      </c>
      <c r="B25" s="16" t="inlineStr">
        <is>
          <t>'16.06.</t>
        </is>
      </c>
      <c r="C25" s="164" t="n">
        <v>419</v>
      </c>
      <c r="D25" s="161" t="n">
        <v>49.2</v>
      </c>
      <c r="E25" s="163" t="n">
        <v>15</v>
      </c>
      <c r="F25" s="161" t="n">
        <v>27.4</v>
      </c>
      <c r="G25" s="27" t="n">
        <v>8</v>
      </c>
      <c r="H25" s="164" t="n">
        <v>30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1</v>
      </c>
      <c r="R25" s="113" t="n">
        <v>1</v>
      </c>
      <c r="S25" s="113" t="inlineStr">
        <is>
          <t>계</t>
        </is>
      </c>
      <c r="T25" s="8" t="inlineStr">
        <is>
          <t>49F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강서동광모닝스카이</t>
        </is>
      </c>
      <c r="B26" s="16" t="inlineStr">
        <is>
          <t>'16.06.</t>
        </is>
      </c>
      <c r="C26" s="164" t="n">
        <v>419</v>
      </c>
      <c r="D26" s="161" t="n">
        <v>67.59999999999999</v>
      </c>
      <c r="E26" s="163" t="n">
        <v>20</v>
      </c>
      <c r="F26" s="161" t="n">
        <v>37.6</v>
      </c>
      <c r="G26" s="27" t="n">
        <v>11</v>
      </c>
      <c r="H26" s="164" t="n">
        <v>105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1</v>
      </c>
      <c r="R26" s="113" t="n">
        <v>1</v>
      </c>
      <c r="S26" s="113" t="inlineStr">
        <is>
          <t>계</t>
        </is>
      </c>
      <c r="T26" s="8" t="inlineStr">
        <is>
          <t>67E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19">
      <formula>AV4="X"</formula>
    </cfRule>
    <cfRule type="expression" priority="331" dxfId="18">
      <formula>AV4="후보"</formula>
    </cfRule>
  </conditionalFormatting>
  <conditionalFormatting sqref="AC1:AC2 AC4:AC6 N4:N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N1:N2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19">
      <formula>AV7="X"</formula>
    </cfRule>
    <cfRule type="expression" priority="310" dxfId="18">
      <formula>AV7="후보"</formula>
    </cfRule>
  </conditionalFormatting>
  <conditionalFormatting sqref="AC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7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X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I7">
    <cfRule type="expression" priority="292" dxfId="3">
      <formula>AND(IF(OR($Q7=1,$Q7=2),1,0),IF($X7&lt;=20,1,0))</formula>
    </cfRule>
    <cfRule type="expression" priority="293" dxfId="2">
      <formula>AND(IF($Q7=2,1,0),IF($X7&lt;30,1,0))</formula>
    </cfRule>
    <cfRule type="expression" priority="294" dxfId="1">
      <formula>AND(IF($Q7=3,1,0),IF($X7&lt;30,1,0))</formula>
    </cfRule>
    <cfRule type="expression" priority="295" dxfId="0">
      <formula>AND(IF($Q7=3,1,IF($Q7=4,1,0)),IF($F7&lt;=85,1,0))</formula>
    </cfRule>
  </conditionalFormatting>
  <conditionalFormatting sqref="AV8">
    <cfRule type="expression" priority="290" dxfId="19">
      <formula>AV8="X"</formula>
    </cfRule>
    <cfRule type="expression" priority="291" dxfId="18">
      <formula>AV8="후보"</formula>
    </cfRule>
  </conditionalFormatting>
  <conditionalFormatting sqref="AC8 N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9">
    <cfRule type="expression" priority="285" dxfId="19">
      <formula>AV9="X"</formula>
    </cfRule>
    <cfRule type="expression" priority="286" dxfId="18">
      <formula>AV9="후보"</formula>
    </cfRule>
  </conditionalFormatting>
  <conditionalFormatting sqref="AC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19">
      <formula>AV10="X"</formula>
    </cfRule>
    <cfRule type="expression" priority="267" dxfId="18">
      <formula>AV10="후보"</formula>
    </cfRule>
  </conditionalFormatting>
  <conditionalFormatting sqref="AC10 N1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1">
    <cfRule type="expression" priority="261" dxfId="19">
      <formula>AV11="X"</formula>
    </cfRule>
    <cfRule type="expression" priority="262" dxfId="18">
      <formula>AV11="후보"</formula>
    </cfRule>
  </conditionalFormatting>
  <conditionalFormatting sqref="AC1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1">
    <cfRule type="expression" priority="252" dxfId="3">
      <formula>AND(IF(OR($Q11=1,$Q11=2),1,0),IF($X11&lt;=20,1,0))</formula>
    </cfRule>
    <cfRule type="expression" priority="253" dxfId="2">
      <formula>AND(IF($Q11=2,1,0),IF($X11&lt;30,1,0))</formula>
    </cfRule>
    <cfRule type="expression" priority="254" dxfId="1">
      <formula>AND(IF($Q11=3,1,0),IF($X11&lt;30,1,0))</formula>
    </cfRule>
    <cfRule type="expression" priority="255" dxfId="0">
      <formula>AND(IF($Q11=3,1,IF($Q11=4,1,0)),IF($F11&lt;=85,1,0))</formula>
    </cfRule>
  </conditionalFormatting>
  <conditionalFormatting sqref="X11">
    <cfRule type="expression" priority="248" dxfId="3">
      <formula>AND(IF(OR($Q11=1,$Q11=2),1,0),IF($X11&lt;=20,1,0))</formula>
    </cfRule>
    <cfRule type="expression" priority="249" dxfId="2">
      <formula>AND(IF($Q11=2,1,0),IF($X11&lt;30,1,0))</formula>
    </cfRule>
    <cfRule type="expression" priority="250" dxfId="1">
      <formula>AND(IF($Q11=3,1,0),IF($X11&lt;30,1,0))</formula>
    </cfRule>
    <cfRule type="expression" priority="251" dxfId="0">
      <formula>AND(IF($Q11=3,1,IF($Q11=4,1,0)),IF($F11&lt;=85,1,0))</formula>
    </cfRule>
  </conditionalFormatting>
  <conditionalFormatting sqref="AI11">
    <cfRule type="expression" priority="244" dxfId="3">
      <formula>AND(IF(OR($Q11=1,$Q11=2),1,0),IF($X11&lt;=20,1,0))</formula>
    </cfRule>
    <cfRule type="expression" priority="245" dxfId="2">
      <formula>AND(IF($Q11=2,1,0),IF($X11&lt;30,1,0))</formula>
    </cfRule>
    <cfRule type="expression" priority="246" dxfId="1">
      <formula>AND(IF($Q11=3,1,0),IF($X11&lt;30,1,0))</formula>
    </cfRule>
    <cfRule type="expression" priority="247" dxfId="0">
      <formula>AND(IF($Q11=3,1,IF($Q11=4,1,0)),IF($F11&lt;=85,1,0))</formula>
    </cfRule>
  </conditionalFormatting>
  <conditionalFormatting sqref="AV12">
    <cfRule type="expression" priority="242" dxfId="19">
      <formula>AV12="X"</formula>
    </cfRule>
    <cfRule type="expression" priority="243" dxfId="18">
      <formula>AV12="후보"</formula>
    </cfRule>
  </conditionalFormatting>
  <conditionalFormatting sqref="AC1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2">
    <cfRule type="expression" priority="233" dxfId="3">
      <formula>AND(IF(OR($Q12=1,$Q12=2),1,0),IF($X12&lt;=20,1,0))</formula>
    </cfRule>
    <cfRule type="expression" priority="234" dxfId="2">
      <formula>AND(IF($Q12=2,1,0),IF($X12&lt;30,1,0))</formula>
    </cfRule>
    <cfRule type="expression" priority="235" dxfId="1">
      <formula>AND(IF($Q12=3,1,0),IF($X12&lt;30,1,0))</formula>
    </cfRule>
    <cfRule type="expression" priority="236" dxfId="0">
      <formula>AND(IF($Q12=3,1,IF($Q12=4,1,0)),IF($F12&lt;=85,1,0))</formula>
    </cfRule>
  </conditionalFormatting>
  <conditionalFormatting sqref="X12">
    <cfRule type="expression" priority="229" dxfId="3">
      <formula>AND(IF(OR($Q12=1,$Q12=2),1,0),IF($X12&lt;=20,1,0))</formula>
    </cfRule>
    <cfRule type="expression" priority="230" dxfId="2">
      <formula>AND(IF($Q12=2,1,0),IF($X12&lt;30,1,0))</formula>
    </cfRule>
    <cfRule type="expression" priority="231" dxfId="1">
      <formula>AND(IF($Q12=3,1,0),IF($X12&lt;30,1,0))</formula>
    </cfRule>
    <cfRule type="expression" priority="232" dxfId="0">
      <formula>AND(IF($Q12=3,1,IF($Q12=4,1,0)),IF($F12&lt;=85,1,0))</formula>
    </cfRule>
  </conditionalFormatting>
  <conditionalFormatting sqref="AI12">
    <cfRule type="expression" priority="225" dxfId="3">
      <formula>AND(IF(OR($Q12=1,$Q12=2),1,0),IF($X12&lt;=20,1,0))</formula>
    </cfRule>
    <cfRule type="expression" priority="226" dxfId="2">
      <formula>AND(IF($Q12=2,1,0),IF($X12&lt;30,1,0))</formula>
    </cfRule>
    <cfRule type="expression" priority="227" dxfId="1">
      <formula>AND(IF($Q12=3,1,0),IF($X12&lt;30,1,0))</formula>
    </cfRule>
    <cfRule type="expression" priority="228" dxfId="0">
      <formula>AND(IF($Q12=3,1,IF($Q12=4,1,0)),IF($F12&lt;=85,1,0))</formula>
    </cfRule>
  </conditionalFormatting>
  <conditionalFormatting sqref="AV13">
    <cfRule type="expression" priority="223" dxfId="19">
      <formula>AV13="X"</formula>
    </cfRule>
    <cfRule type="expression" priority="224" dxfId="18">
      <formula>AV13="후보"</formula>
    </cfRule>
  </conditionalFormatting>
  <conditionalFormatting sqref="AC1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3">
    <cfRule type="expression" priority="214" dxfId="3">
      <formula>AND(IF(OR($Q13=1,$Q13=2),1,0),IF($X13&lt;=20,1,0))</formula>
    </cfRule>
    <cfRule type="expression" priority="215" dxfId="2">
      <formula>AND(IF($Q13=2,1,0),IF($X13&lt;30,1,0))</formula>
    </cfRule>
    <cfRule type="expression" priority="216" dxfId="1">
      <formula>AND(IF($Q13=3,1,0),IF($X13&lt;30,1,0))</formula>
    </cfRule>
    <cfRule type="expression" priority="217" dxfId="0">
      <formula>AND(IF($Q13=3,1,IF($Q13=4,1,0)),IF($F13&lt;=85,1,0))</formula>
    </cfRule>
  </conditionalFormatting>
  <conditionalFormatting sqref="X13">
    <cfRule type="expression" priority="210" dxfId="3">
      <formula>AND(IF(OR($Q13=1,$Q13=2),1,0),IF($X13&lt;=20,1,0))</formula>
    </cfRule>
    <cfRule type="expression" priority="211" dxfId="2">
      <formula>AND(IF($Q13=2,1,0),IF($X13&lt;30,1,0))</formula>
    </cfRule>
    <cfRule type="expression" priority="212" dxfId="1">
      <formula>AND(IF($Q13=3,1,0),IF($X13&lt;30,1,0))</formula>
    </cfRule>
    <cfRule type="expression" priority="213" dxfId="0">
      <formula>AND(IF($Q13=3,1,IF($Q13=4,1,0)),IF($F13&lt;=85,1,0))</formula>
    </cfRule>
  </conditionalFormatting>
  <conditionalFormatting sqref="AI13">
    <cfRule type="expression" priority="206" dxfId="3">
      <formula>AND(IF(OR($Q13=1,$Q13=2),1,0),IF($X13&lt;=20,1,0))</formula>
    </cfRule>
    <cfRule type="expression" priority="207" dxfId="2">
      <formula>AND(IF($Q13=2,1,0),IF($X13&lt;30,1,0))</formula>
    </cfRule>
    <cfRule type="expression" priority="208" dxfId="1">
      <formula>AND(IF($Q13=3,1,0),IF($X13&lt;30,1,0))</formula>
    </cfRule>
    <cfRule type="expression" priority="209" dxfId="0">
      <formula>AND(IF($Q13=3,1,IF($Q13=4,1,0)),IF($F13&lt;=85,1,0))</formula>
    </cfRule>
  </conditionalFormatting>
  <conditionalFormatting sqref="AV14">
    <cfRule type="expression" priority="204" dxfId="19">
      <formula>AV14="X"</formula>
    </cfRule>
    <cfRule type="expression" priority="205" dxfId="18">
      <formula>AV14="후보"</formula>
    </cfRule>
  </conditionalFormatting>
  <conditionalFormatting sqref="AC1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19">
      <formula>AV15="X"</formula>
    </cfRule>
    <cfRule type="expression" priority="186" dxfId="18">
      <formula>AV15="후보"</formula>
    </cfRule>
  </conditionalFormatting>
  <conditionalFormatting sqref="AC1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19">
      <formula>AV16="X"</formula>
    </cfRule>
    <cfRule type="expression" priority="167" dxfId="18">
      <formula>AV16="후보"</formula>
    </cfRule>
  </conditionalFormatting>
  <conditionalFormatting sqref="AC1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19">
      <formula>AV17="X"</formula>
    </cfRule>
    <cfRule type="expression" priority="148" dxfId="18">
      <formula>AV17="후보"</formula>
    </cfRule>
  </conditionalFormatting>
  <conditionalFormatting sqref="AC1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17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17">
    <cfRule type="expression" priority="138" dxfId="3">
      <formula>AND(IF(OR($Q17=1,$Q17=2),1,0),IF($X17&lt;=20,1,0))</formula>
    </cfRule>
    <cfRule type="expression" priority="139" dxfId="2">
      <formula>AND(IF($Q17=2,1,0),IF($X17&lt;30,1,0))</formula>
    </cfRule>
    <cfRule type="expression" priority="140" dxfId="1">
      <formula>AND(IF($Q17=3,1,0),IF($X17&lt;30,1,0))</formula>
    </cfRule>
    <cfRule type="expression" priority="141" dxfId="0">
      <formula>AND(IF($Q17=3,1,IF($Q17=4,1,0)),IF($F17&lt;=85,1,0))</formula>
    </cfRule>
  </conditionalFormatting>
  <conditionalFormatting sqref="X17">
    <cfRule type="expression" priority="134" dxfId="3">
      <formula>AND(IF(OR($Q17=1,$Q17=2),1,0),IF($X17&lt;=20,1,0))</formula>
    </cfRule>
    <cfRule type="expression" priority="135" dxfId="2">
      <formula>AND(IF($Q17=2,1,0),IF($X17&lt;30,1,0))</formula>
    </cfRule>
    <cfRule type="expression" priority="136" dxfId="1">
      <formula>AND(IF($Q17=3,1,0),IF($X17&lt;30,1,0))</formula>
    </cfRule>
    <cfRule type="expression" priority="137" dxfId="0">
      <formula>AND(IF($Q17=3,1,IF($Q17=4,1,0)),IF($F17&lt;=85,1,0))</formula>
    </cfRule>
  </conditionalFormatting>
  <conditionalFormatting sqref="AI17">
    <cfRule type="expression" priority="130" dxfId="3">
      <formula>AND(IF(OR($Q17=1,$Q17=2),1,0),IF($X17&lt;=20,1,0))</formula>
    </cfRule>
    <cfRule type="expression" priority="131" dxfId="2">
      <formula>AND(IF($Q17=2,1,0),IF($X17&lt;30,1,0))</formula>
    </cfRule>
    <cfRule type="expression" priority="132" dxfId="1">
      <formula>AND(IF($Q17=3,1,0),IF($X17&lt;30,1,0))</formula>
    </cfRule>
    <cfRule type="expression" priority="133" dxfId="0">
      <formula>AND(IF($Q17=3,1,IF($Q17=4,1,0)),IF($F17&lt;=85,1,0))</formula>
    </cfRule>
  </conditionalFormatting>
  <conditionalFormatting sqref="AV18">
    <cfRule type="expression" priority="128" dxfId="19">
      <formula>AV18="X"</formula>
    </cfRule>
    <cfRule type="expression" priority="129" dxfId="18">
      <formula>AV18="후보"</formula>
    </cfRule>
  </conditionalFormatting>
  <conditionalFormatting sqref="AC18 N18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19">
    <cfRule type="expression" priority="123" dxfId="19">
      <formula>AV19="X"</formula>
    </cfRule>
    <cfRule type="expression" priority="124" dxfId="18">
      <formula>AV19="후보"</formula>
    </cfRule>
  </conditionalFormatting>
  <conditionalFormatting sqref="AC1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19">
      <formula>AV20="X"</formula>
    </cfRule>
    <cfRule type="expression" priority="105" dxfId="18">
      <formula>AV20="후보"</formula>
    </cfRule>
  </conditionalFormatting>
  <conditionalFormatting sqref="AC2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20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20">
    <cfRule type="expression" priority="95" dxfId="3">
      <formula>AND(IF(OR($Q20=1,$Q20=2),1,0),IF($X20&lt;=20,1,0))</formula>
    </cfRule>
    <cfRule type="expression" priority="96" dxfId="2">
      <formula>AND(IF($Q20=2,1,0),IF($X20&lt;30,1,0))</formula>
    </cfRule>
    <cfRule type="expression" priority="97" dxfId="1">
      <formula>AND(IF($Q20=3,1,0),IF($X20&lt;30,1,0))</formula>
    </cfRule>
    <cfRule type="expression" priority="98" dxfId="0">
      <formula>AND(IF($Q20=3,1,IF($Q20=4,1,0)),IF($F20&lt;=85,1,0))</formula>
    </cfRule>
  </conditionalFormatting>
  <conditionalFormatting sqref="X20">
    <cfRule type="expression" priority="91" dxfId="3">
      <formula>AND(IF(OR($Q20=1,$Q20=2),1,0),IF($X20&lt;=20,1,0))</formula>
    </cfRule>
    <cfRule type="expression" priority="92" dxfId="2">
      <formula>AND(IF($Q20=2,1,0),IF($X20&lt;30,1,0))</formula>
    </cfRule>
    <cfRule type="expression" priority="93" dxfId="1">
      <formula>AND(IF($Q20=3,1,0),IF($X20&lt;30,1,0))</formula>
    </cfRule>
    <cfRule type="expression" priority="94" dxfId="0">
      <formula>AND(IF($Q20=3,1,IF($Q20=4,1,0)),IF($F20&lt;=85,1,0))</formula>
    </cfRule>
  </conditionalFormatting>
  <conditionalFormatting sqref="AI20">
    <cfRule type="expression" priority="87" dxfId="3">
      <formula>AND(IF(OR($Q20=1,$Q20=2),1,0),IF($X20&lt;=20,1,0))</formula>
    </cfRule>
    <cfRule type="expression" priority="88" dxfId="2">
      <formula>AND(IF($Q20=2,1,0),IF($X20&lt;30,1,0))</formula>
    </cfRule>
    <cfRule type="expression" priority="89" dxfId="1">
      <formula>AND(IF($Q20=3,1,0),IF($X20&lt;30,1,0))</formula>
    </cfRule>
    <cfRule type="expression" priority="90" dxfId="0">
      <formula>AND(IF($Q20=3,1,IF($Q20=4,1,0)),IF($F20&lt;=85,1,0))</formula>
    </cfRule>
  </conditionalFormatting>
  <conditionalFormatting sqref="AV21">
    <cfRule type="expression" priority="85" dxfId="19">
      <formula>AV21="X"</formula>
    </cfRule>
    <cfRule type="expression" priority="86" dxfId="18">
      <formula>AV21="후보"</formula>
    </cfRule>
  </conditionalFormatting>
  <conditionalFormatting sqref="AC21 N21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22">
    <cfRule type="expression" priority="80" dxfId="19">
      <formula>AV22="X"</formula>
    </cfRule>
    <cfRule type="expression" priority="81" dxfId="18">
      <formula>AV22="후보"</formula>
    </cfRule>
  </conditionalFormatting>
  <conditionalFormatting sqref="AC2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19">
      <formula>AV23="X"</formula>
    </cfRule>
    <cfRule type="expression" priority="62" dxfId="18">
      <formula>AV23="후보"</formula>
    </cfRule>
  </conditionalFormatting>
  <conditionalFormatting sqref="AC23 N2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4">
    <cfRule type="expression" priority="56" dxfId="19">
      <formula>AV24="X"</formula>
    </cfRule>
    <cfRule type="expression" priority="57" dxfId="18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9">
      <formula>AV25="X"</formula>
    </cfRule>
    <cfRule type="expression" priority="38" dxfId="18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9">
      <formula>AV26="X"</formula>
    </cfRule>
    <cfRule type="expression" priority="19" dxfId="18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문암동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청주테크노폴리스지웰푸르지오</t>
        </is>
      </c>
      <c r="B6" s="16" t="inlineStr">
        <is>
          <t>'22.05.</t>
        </is>
      </c>
      <c r="C6" s="164" t="n">
        <v>1148</v>
      </c>
      <c r="D6" s="161" t="n">
        <v>79.09999999999999</v>
      </c>
      <c r="E6" s="163" t="n">
        <v>24</v>
      </c>
      <c r="F6" s="161" t="n">
        <v>60</v>
      </c>
      <c r="G6" s="27" t="n">
        <v>18</v>
      </c>
      <c r="H6" s="164" t="n">
        <v>246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청주테크노폴리스지웰푸르지오</t>
        </is>
      </c>
      <c r="B7" s="16" t="inlineStr">
        <is>
          <t>'22.05.</t>
        </is>
      </c>
      <c r="C7" s="164" t="n">
        <v>1148</v>
      </c>
      <c r="D7" s="161" t="n">
        <v>79.3</v>
      </c>
      <c r="E7" s="163" t="n">
        <v>24</v>
      </c>
      <c r="F7" s="161" t="n">
        <v>59.9</v>
      </c>
      <c r="G7" s="27" t="n">
        <v>18</v>
      </c>
      <c r="H7" s="164" t="n">
        <v>154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79B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청주테크노폴리스지웰푸르지오</t>
        </is>
      </c>
      <c r="B8" s="16" t="inlineStr">
        <is>
          <t>'22.05.</t>
        </is>
      </c>
      <c r="C8" s="164" t="n">
        <v>1148</v>
      </c>
      <c r="D8" s="161" t="n">
        <v>111</v>
      </c>
      <c r="E8" s="163" t="n">
        <v>34</v>
      </c>
      <c r="F8" s="161" t="n">
        <v>85</v>
      </c>
      <c r="G8" s="27" t="n">
        <v>26</v>
      </c>
      <c r="H8" s="164" t="n">
        <v>573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청주테크노폴리스지웰푸르지오</t>
        </is>
      </c>
      <c r="B9" s="16" t="inlineStr">
        <is>
          <t>'22.05.</t>
        </is>
      </c>
      <c r="C9" s="164" t="n">
        <v>1148</v>
      </c>
      <c r="D9" s="161" t="n">
        <v>110.6</v>
      </c>
      <c r="E9" s="163" t="n">
        <v>33</v>
      </c>
      <c r="F9" s="161" t="n">
        <v>84.8</v>
      </c>
      <c r="G9" s="27" t="n">
        <v>26</v>
      </c>
      <c r="H9" s="164" t="n">
        <v>84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110B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청주테크노폴리스지웰푸르지오</t>
        </is>
      </c>
      <c r="B10" s="16" t="inlineStr">
        <is>
          <t>'22.05.</t>
        </is>
      </c>
      <c r="C10" s="164" t="n">
        <v>1148</v>
      </c>
      <c r="D10" s="161" t="n">
        <v>129.8</v>
      </c>
      <c r="E10" s="163" t="n">
        <v>39</v>
      </c>
      <c r="F10" s="161" t="n">
        <v>100</v>
      </c>
      <c r="G10" s="27" t="n">
        <v>30</v>
      </c>
      <c r="H10" s="164" t="n">
        <v>91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129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19">
      <formula>AV4="X"</formula>
    </cfRule>
    <cfRule type="expression" priority="97" dxfId="18">
      <formula>AV4="후보"</formula>
    </cfRule>
  </conditionalFormatting>
  <conditionalFormatting sqref="AC1:AC2 AC4:AC6 N4:N5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N1:N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19">
      <formula>AV7="X"</formula>
    </cfRule>
    <cfRule type="expression" priority="76" dxfId="18">
      <formula>AV7="후보"</formula>
    </cfRule>
  </conditionalFormatting>
  <conditionalFormatting sqref="AC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19">
      <formula>AV8="X"</formula>
    </cfRule>
    <cfRule type="expression" priority="57" dxfId="18">
      <formula>AV8="후보"</formula>
    </cfRule>
  </conditionalFormatting>
  <conditionalFormatting sqref="AC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19">
      <formula>AV9="X"</formula>
    </cfRule>
    <cfRule type="expression" priority="38" dxfId="18">
      <formula>AV9="후보"</formula>
    </cfRule>
  </conditionalFormatting>
  <conditionalFormatting sqref="AC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19">
      <formula>AV10="X"</formula>
    </cfRule>
    <cfRule type="expression" priority="19" dxfId="18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9" sqref="A129:XFD12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복대동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형석(2442)</t>
        </is>
      </c>
      <c r="B6" s="16" t="inlineStr">
        <is>
          <t>'90.10.</t>
        </is>
      </c>
      <c r="C6" s="164" t="n">
        <v>270</v>
      </c>
      <c r="D6" s="161" t="n">
        <v>61.5</v>
      </c>
      <c r="E6" s="163" t="n">
        <v>19</v>
      </c>
      <c r="F6" s="161" t="n">
        <v>47.1</v>
      </c>
      <c r="G6" s="27" t="n">
        <v>14</v>
      </c>
      <c r="H6" s="164" t="n">
        <v>200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61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형석(2442)</t>
        </is>
      </c>
      <c r="B7" s="16" t="inlineStr">
        <is>
          <t>'90.10.</t>
        </is>
      </c>
      <c r="C7" s="164" t="n">
        <v>270</v>
      </c>
      <c r="D7" s="161" t="n">
        <v>73</v>
      </c>
      <c r="E7" s="163" t="n">
        <v>22</v>
      </c>
      <c r="F7" s="161" t="n">
        <v>57.3</v>
      </c>
      <c r="G7" s="27" t="n">
        <v>17</v>
      </c>
      <c r="H7" s="164" t="n">
        <v>70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삼일(2008)</t>
        </is>
      </c>
      <c r="B9" s="16" t="inlineStr">
        <is>
          <t>'90.09.</t>
        </is>
      </c>
      <c r="C9" s="164" t="n">
        <v>230</v>
      </c>
      <c r="D9" s="161" t="n">
        <v>91.40000000000001</v>
      </c>
      <c r="E9" s="163" t="n">
        <v>28</v>
      </c>
      <c r="F9" s="161" t="n">
        <v>72.59999999999999</v>
      </c>
      <c r="G9" s="27" t="n">
        <v>22</v>
      </c>
      <c r="H9" s="164" t="n">
        <v>20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91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삼일(2008)</t>
        </is>
      </c>
      <c r="B10" s="16" t="inlineStr">
        <is>
          <t>'90.09.</t>
        </is>
      </c>
      <c r="C10" s="164" t="n">
        <v>230</v>
      </c>
      <c r="D10" s="161" t="n">
        <v>105.9</v>
      </c>
      <c r="E10" s="163" t="n">
        <v>32</v>
      </c>
      <c r="F10" s="161" t="n">
        <v>84.09999999999999</v>
      </c>
      <c r="G10" s="27" t="n">
        <v>25</v>
      </c>
      <c r="H10" s="164" t="n">
        <v>130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105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삼일(2008)</t>
        </is>
      </c>
      <c r="B11" s="16" t="inlineStr">
        <is>
          <t>'90.09.</t>
        </is>
      </c>
      <c r="C11" s="164" t="n">
        <v>230</v>
      </c>
      <c r="D11" s="161" t="n">
        <v>154</v>
      </c>
      <c r="E11" s="163" t="n">
        <v>47</v>
      </c>
      <c r="F11" s="161" t="n">
        <v>122.3</v>
      </c>
      <c r="G11" s="27" t="n">
        <v>37</v>
      </c>
      <c r="H11" s="164" t="n">
        <v>40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153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삼일(2008)</t>
        </is>
      </c>
      <c r="B12" s="16" t="inlineStr">
        <is>
          <t>'90.09.</t>
        </is>
      </c>
      <c r="C12" s="164" t="n">
        <v>230</v>
      </c>
      <c r="D12" s="161" t="n">
        <v>153.1</v>
      </c>
      <c r="E12" s="163" t="n">
        <v>46</v>
      </c>
      <c r="F12" s="161" t="n">
        <v>121.6</v>
      </c>
      <c r="G12" s="27" t="n">
        <v>37</v>
      </c>
      <c r="H12" s="164" t="n">
        <v>20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복</t>
        </is>
      </c>
      <c r="T12" s="8" t="n">
        <v>153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삼일(2008)</t>
        </is>
      </c>
      <c r="B13" s="16" t="inlineStr">
        <is>
          <t>'90.09.</t>
        </is>
      </c>
      <c r="C13" s="164" t="n">
        <v>230</v>
      </c>
      <c r="D13" s="161" t="n">
        <v>165.5</v>
      </c>
      <c r="E13" s="163" t="n">
        <v>50</v>
      </c>
      <c r="F13" s="161" t="n">
        <v>131.4</v>
      </c>
      <c r="G13" s="27" t="n">
        <v>40</v>
      </c>
      <c r="H13" s="164" t="n">
        <v>20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165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현대1차</t>
        </is>
      </c>
      <c r="B15" s="16" t="inlineStr">
        <is>
          <t>'99.05.</t>
        </is>
      </c>
      <c r="C15" s="164" t="n">
        <v>380</v>
      </c>
      <c r="D15" s="161" t="n">
        <v>102</v>
      </c>
      <c r="E15" s="163" t="n">
        <v>31</v>
      </c>
      <c r="F15" s="161" t="n">
        <v>85</v>
      </c>
      <c r="G15" s="27" t="n">
        <v>26</v>
      </c>
      <c r="H15" s="164" t="n">
        <v>86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102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현대1차</t>
        </is>
      </c>
      <c r="B16" s="16" t="inlineStr">
        <is>
          <t>'99.05.</t>
        </is>
      </c>
      <c r="C16" s="164" t="n">
        <v>380</v>
      </c>
      <c r="D16" s="161" t="n">
        <v>105.9</v>
      </c>
      <c r="E16" s="163" t="n">
        <v>32</v>
      </c>
      <c r="F16" s="161" t="n">
        <v>86.8</v>
      </c>
      <c r="G16" s="27" t="n">
        <v>26</v>
      </c>
      <c r="H16" s="164" t="n">
        <v>4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2</v>
      </c>
      <c r="S16" s="113" t="inlineStr">
        <is>
          <t>계</t>
        </is>
      </c>
      <c r="T16" s="8" t="n">
        <v>105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현대1차</t>
        </is>
      </c>
      <c r="B17" s="16" t="inlineStr">
        <is>
          <t>'99.05.</t>
        </is>
      </c>
      <c r="C17" s="164" t="n">
        <v>380</v>
      </c>
      <c r="D17" s="161" t="n">
        <v>119.7</v>
      </c>
      <c r="E17" s="163" t="n">
        <v>36</v>
      </c>
      <c r="F17" s="161" t="n">
        <v>99.8</v>
      </c>
      <c r="G17" s="27" t="n">
        <v>30</v>
      </c>
      <c r="H17" s="164" t="n">
        <v>60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119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현대1차</t>
        </is>
      </c>
      <c r="B18" s="16" t="inlineStr">
        <is>
          <t>'99.05.</t>
        </is>
      </c>
      <c r="C18" s="164" t="n">
        <v>380</v>
      </c>
      <c r="D18" s="161" t="n">
        <v>121.3</v>
      </c>
      <c r="E18" s="163" t="n">
        <v>37</v>
      </c>
      <c r="F18" s="161" t="n">
        <v>99.3</v>
      </c>
      <c r="G18" s="27" t="n">
        <v>30</v>
      </c>
      <c r="H18" s="164" t="n">
        <v>110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121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현대1차</t>
        </is>
      </c>
      <c r="B19" s="16" t="inlineStr">
        <is>
          <t>'99.05.</t>
        </is>
      </c>
      <c r="C19" s="164" t="n">
        <v>380</v>
      </c>
      <c r="D19" s="161" t="n">
        <v>161.1</v>
      </c>
      <c r="E19" s="163" t="n">
        <v>49</v>
      </c>
      <c r="F19" s="161" t="n">
        <v>134.2</v>
      </c>
      <c r="G19" s="27" t="n">
        <v>41</v>
      </c>
      <c r="H19" s="164" t="n">
        <v>90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161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현대1차</t>
        </is>
      </c>
      <c r="B20" s="16" t="inlineStr">
        <is>
          <t>'99.05.</t>
        </is>
      </c>
      <c r="C20" s="164" t="n">
        <v>380</v>
      </c>
      <c r="D20" s="161" t="n">
        <v>209.3</v>
      </c>
      <c r="E20" s="163" t="n">
        <v>63</v>
      </c>
      <c r="F20" s="161" t="n">
        <v>181.1</v>
      </c>
      <c r="G20" s="27" t="n">
        <v>55</v>
      </c>
      <c r="H20" s="164" t="n">
        <v>30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5</v>
      </c>
      <c r="R20" s="113" t="n">
        <v>2</v>
      </c>
      <c r="S20" s="113" t="inlineStr">
        <is>
          <t>계</t>
        </is>
      </c>
      <c r="T20" s="8" t="n">
        <v>209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두진하트리움</t>
        </is>
      </c>
      <c r="B22" s="16" t="inlineStr">
        <is>
          <t>'99.08.</t>
        </is>
      </c>
      <c r="C22" s="164" t="n">
        <v>527</v>
      </c>
      <c r="D22" s="161" t="n">
        <v>76.40000000000001</v>
      </c>
      <c r="E22" s="163" t="n">
        <v>23</v>
      </c>
      <c r="F22" s="161" t="n">
        <v>59.9</v>
      </c>
      <c r="G22" s="27" t="n">
        <v>18</v>
      </c>
      <c r="H22" s="164" t="n">
        <v>299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76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두진하트리움</t>
        </is>
      </c>
      <c r="B23" s="16" t="inlineStr">
        <is>
          <t>'99.08.</t>
        </is>
      </c>
      <c r="C23" s="164" t="n">
        <v>527</v>
      </c>
      <c r="D23" s="161" t="n">
        <v>81</v>
      </c>
      <c r="E23" s="163" t="n">
        <v>25</v>
      </c>
      <c r="F23" s="161" t="n">
        <v>59.9</v>
      </c>
      <c r="G23" s="27" t="n">
        <v>18</v>
      </c>
      <c r="H23" s="164" t="n">
        <v>228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81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신영지웰시티1차</t>
        </is>
      </c>
      <c r="B25" s="16" t="inlineStr">
        <is>
          <t>'10.06.</t>
        </is>
      </c>
      <c r="C25" s="164" t="n">
        <v>2164</v>
      </c>
      <c r="D25" s="161" t="n">
        <v>128.7</v>
      </c>
      <c r="E25" s="163" t="n">
        <v>39</v>
      </c>
      <c r="F25" s="161" t="n">
        <v>99.09999999999999</v>
      </c>
      <c r="G25" s="27" t="n">
        <v>30</v>
      </c>
      <c r="H25" s="164" t="n">
        <v>688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128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신영지웰시티1차</t>
        </is>
      </c>
      <c r="B26" s="16" t="inlineStr">
        <is>
          <t>'10.06.</t>
        </is>
      </c>
      <c r="C26" s="164" t="n">
        <v>2164</v>
      </c>
      <c r="D26" s="161" t="n">
        <v>162.1</v>
      </c>
      <c r="E26" s="163" t="n">
        <v>49</v>
      </c>
      <c r="F26" s="161" t="n">
        <v>124.8</v>
      </c>
      <c r="G26" s="27" t="n">
        <v>38</v>
      </c>
      <c r="H26" s="164" t="n">
        <v>688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162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신영지웰시티1차</t>
        </is>
      </c>
      <c r="B27" s="16" t="inlineStr">
        <is>
          <t>'10.06.</t>
        </is>
      </c>
      <c r="C27" s="164" t="n">
        <v>2164</v>
      </c>
      <c r="D27" s="161" t="n">
        <v>198.2</v>
      </c>
      <c r="E27" s="163" t="n">
        <v>60</v>
      </c>
      <c r="F27" s="161" t="n">
        <v>152.7</v>
      </c>
      <c r="G27" s="27" t="n">
        <v>46</v>
      </c>
      <c r="H27" s="164" t="n">
        <v>688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198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신영지웰시티1차</t>
        </is>
      </c>
      <c r="B28" s="16" t="inlineStr">
        <is>
          <t>'10.06.</t>
        </is>
      </c>
      <c r="C28" s="164" t="n">
        <v>2164</v>
      </c>
      <c r="D28" s="161" t="n">
        <v>211.2</v>
      </c>
      <c r="E28" s="163" t="n">
        <v>64</v>
      </c>
      <c r="F28" s="161" t="n">
        <v>162.6</v>
      </c>
      <c r="G28" s="27" t="n">
        <v>49</v>
      </c>
      <c r="H28" s="164" t="n">
        <v>50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5</v>
      </c>
      <c r="R28" s="113" t="n">
        <v>3</v>
      </c>
      <c r="S28" s="113" t="inlineStr">
        <is>
          <t>계</t>
        </is>
      </c>
      <c r="T28" s="8" t="n">
        <v>211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신영지웰시티1차</t>
        </is>
      </c>
      <c r="B29" s="16" t="inlineStr">
        <is>
          <t>'10.06.</t>
        </is>
      </c>
      <c r="C29" s="164" t="n">
        <v>2164</v>
      </c>
      <c r="D29" s="161" t="n">
        <v>255.8</v>
      </c>
      <c r="E29" s="163" t="n">
        <v>77</v>
      </c>
      <c r="F29" s="161" t="n">
        <v>197</v>
      </c>
      <c r="G29" s="27" t="n">
        <v>60</v>
      </c>
      <c r="H29" s="164" t="n">
        <v>50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5</v>
      </c>
      <c r="R29" s="113" t="n">
        <v>3</v>
      </c>
      <c r="S29" s="113" t="inlineStr">
        <is>
          <t>계</t>
        </is>
      </c>
      <c r="T29" s="8" t="n">
        <v>255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세원테마빌</t>
        </is>
      </c>
      <c r="B31" s="16" t="inlineStr">
        <is>
          <t>'01.12.</t>
        </is>
      </c>
      <c r="C31" s="164" t="n">
        <v>388</v>
      </c>
      <c r="D31" s="161" t="n">
        <v>103.6</v>
      </c>
      <c r="E31" s="163" t="n">
        <v>31</v>
      </c>
      <c r="F31" s="161" t="n">
        <v>75</v>
      </c>
      <c r="G31" s="27" t="n">
        <v>23</v>
      </c>
      <c r="H31" s="164" t="n">
        <v>288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103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세원테마빌</t>
        </is>
      </c>
      <c r="B32" s="16" t="inlineStr">
        <is>
          <t>'01.12.</t>
        </is>
      </c>
      <c r="C32" s="164" t="n">
        <v>388</v>
      </c>
      <c r="D32" s="161" t="n">
        <v>118.2</v>
      </c>
      <c r="E32" s="163" t="n">
        <v>36</v>
      </c>
      <c r="F32" s="161" t="n">
        <v>85</v>
      </c>
      <c r="G32" s="27" t="n">
        <v>26</v>
      </c>
      <c r="H32" s="164" t="n">
        <v>100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118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더샵청주센트럴</t>
        </is>
      </c>
      <c r="B34" s="16" t="inlineStr">
        <is>
          <t>'24.03.</t>
        </is>
      </c>
      <c r="C34" s="164" t="n">
        <v>986</v>
      </c>
      <c r="D34" s="161" t="n">
        <v>58.8</v>
      </c>
      <c r="E34" s="163" t="n">
        <v>18</v>
      </c>
      <c r="F34" s="161" t="n">
        <v>39.3</v>
      </c>
      <c r="G34" s="27" t="n">
        <v>12</v>
      </c>
      <c r="H34" s="164" t="n">
        <v>90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n">
        <v>58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더샵청주센트럴</t>
        </is>
      </c>
      <c r="B35" s="16" t="inlineStr">
        <is>
          <t>'24.03.</t>
        </is>
      </c>
      <c r="C35" s="164" t="n">
        <v>986</v>
      </c>
      <c r="D35" s="161" t="n">
        <v>82.09999999999999</v>
      </c>
      <c r="E35" s="163" t="n">
        <v>25</v>
      </c>
      <c r="F35" s="161" t="n">
        <v>59.9</v>
      </c>
      <c r="G35" s="27" t="n">
        <v>18</v>
      </c>
      <c r="H35" s="164" t="n">
        <v>48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82A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더샵청주센트럴</t>
        </is>
      </c>
      <c r="B36" s="16" t="inlineStr">
        <is>
          <t>'24.03.</t>
        </is>
      </c>
      <c r="C36" s="164" t="n">
        <v>986</v>
      </c>
      <c r="D36" s="161" t="n">
        <v>82.7</v>
      </c>
      <c r="E36" s="163" t="n">
        <v>25</v>
      </c>
      <c r="F36" s="161" t="n">
        <v>60</v>
      </c>
      <c r="G36" s="27" t="n">
        <v>18</v>
      </c>
      <c r="H36" s="164" t="n">
        <v>16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82B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더샵청주센트럴</t>
        </is>
      </c>
      <c r="B37" s="16" t="inlineStr">
        <is>
          <t>'24.03.</t>
        </is>
      </c>
      <c r="C37" s="164" t="n">
        <v>986</v>
      </c>
      <c r="D37" s="161" t="n">
        <v>101.3</v>
      </c>
      <c r="E37" s="163" t="n">
        <v>31</v>
      </c>
      <c r="F37" s="161" t="n">
        <v>75</v>
      </c>
      <c r="G37" s="27" t="n">
        <v>23</v>
      </c>
      <c r="H37" s="164" t="n">
        <v>186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101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더샵청주센트럴</t>
        </is>
      </c>
      <c r="B38" s="16" t="inlineStr">
        <is>
          <t>'24.03.</t>
        </is>
      </c>
      <c r="C38" s="164" t="n">
        <v>986</v>
      </c>
      <c r="D38" s="161" t="n">
        <v>111.7</v>
      </c>
      <c r="E38" s="163" t="n">
        <v>34</v>
      </c>
      <c r="F38" s="161" t="n">
        <v>85</v>
      </c>
      <c r="G38" s="27" t="n">
        <v>26</v>
      </c>
      <c r="H38" s="164" t="n">
        <v>407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111A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더샵청주센트럴</t>
        </is>
      </c>
      <c r="B39" s="16" t="inlineStr">
        <is>
          <t>'24.03.</t>
        </is>
      </c>
      <c r="C39" s="164" t="n">
        <v>986</v>
      </c>
      <c r="D39" s="161" t="n">
        <v>112.9</v>
      </c>
      <c r="E39" s="163" t="n">
        <v>34</v>
      </c>
      <c r="F39" s="161" t="n">
        <v>85</v>
      </c>
      <c r="G39" s="27" t="n">
        <v>26</v>
      </c>
      <c r="H39" s="164" t="n">
        <v>86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112B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더샵청주센트럴</t>
        </is>
      </c>
      <c r="B40" s="16" t="inlineStr">
        <is>
          <t>'24.03.</t>
        </is>
      </c>
      <c r="C40" s="164" t="n">
        <v>986</v>
      </c>
      <c r="D40" s="161" t="n">
        <v>112.8</v>
      </c>
      <c r="E40" s="163" t="n">
        <v>34</v>
      </c>
      <c r="F40" s="161" t="n">
        <v>85</v>
      </c>
      <c r="G40" s="27" t="n">
        <v>26</v>
      </c>
      <c r="H40" s="164" t="n">
        <v>50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112C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더샵청주센트럴</t>
        </is>
      </c>
      <c r="B41" s="16" t="inlineStr">
        <is>
          <t>'24.03.</t>
        </is>
      </c>
      <c r="C41" s="164" t="n">
        <v>986</v>
      </c>
      <c r="D41" s="161" t="n">
        <v>112.8</v>
      </c>
      <c r="E41" s="163" t="n">
        <v>34</v>
      </c>
      <c r="F41" s="161" t="n">
        <v>85</v>
      </c>
      <c r="G41" s="27" t="n">
        <v>26</v>
      </c>
      <c r="H41" s="164" t="n">
        <v>43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112D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복대두진하트리움</t>
        </is>
      </c>
      <c r="B43" s="16" t="inlineStr">
        <is>
          <t>'15.11.</t>
        </is>
      </c>
      <c r="C43" s="164" t="n">
        <v>356</v>
      </c>
      <c r="D43" s="161" t="n">
        <v>85.90000000000001</v>
      </c>
      <c r="E43" s="163" t="n">
        <v>26</v>
      </c>
      <c r="F43" s="161" t="n">
        <v>59.9</v>
      </c>
      <c r="G43" s="27" t="n">
        <v>18</v>
      </c>
      <c r="H43" s="164" t="n">
        <v>92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85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복대두진하트리움</t>
        </is>
      </c>
      <c r="B44" s="16" t="inlineStr">
        <is>
          <t>'15.11.</t>
        </is>
      </c>
      <c r="C44" s="164" t="n">
        <v>356</v>
      </c>
      <c r="D44" s="161" t="n">
        <v>109.6</v>
      </c>
      <c r="E44" s="163" t="n">
        <v>33</v>
      </c>
      <c r="F44" s="161" t="n">
        <v>84.90000000000001</v>
      </c>
      <c r="G44" s="27" t="n">
        <v>26</v>
      </c>
      <c r="H44" s="164" t="n">
        <v>136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109A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복대두진하트리움</t>
        </is>
      </c>
      <c r="B45" s="16" t="inlineStr">
        <is>
          <t>'15.11.</t>
        </is>
      </c>
      <c r="C45" s="164" t="n">
        <v>356</v>
      </c>
      <c r="D45" s="161" t="n">
        <v>109.4</v>
      </c>
      <c r="E45" s="163" t="n">
        <v>33</v>
      </c>
      <c r="F45" s="161" t="n">
        <v>84.90000000000001</v>
      </c>
      <c r="G45" s="27" t="n">
        <v>26</v>
      </c>
      <c r="H45" s="164" t="n">
        <v>68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109B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복대두진하트리움</t>
        </is>
      </c>
      <c r="B46" s="16" t="inlineStr">
        <is>
          <t>'15.11.</t>
        </is>
      </c>
      <c r="C46" s="164" t="n">
        <v>356</v>
      </c>
      <c r="D46" s="161" t="n">
        <v>109.2</v>
      </c>
      <c r="E46" s="163" t="n">
        <v>33</v>
      </c>
      <c r="F46" s="161" t="n">
        <v>84.90000000000001</v>
      </c>
      <c r="G46" s="27" t="n">
        <v>26</v>
      </c>
      <c r="H46" s="164" t="n">
        <v>60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109C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금호어울림2단지</t>
        </is>
      </c>
      <c r="B48" s="16" t="inlineStr">
        <is>
          <t>'09.02.</t>
        </is>
      </c>
      <c r="C48" s="164" t="n">
        <v>586</v>
      </c>
      <c r="D48" s="161" t="n">
        <v>113.7</v>
      </c>
      <c r="E48" s="163" t="n">
        <v>34</v>
      </c>
      <c r="F48" s="161" t="n">
        <v>84.59999999999999</v>
      </c>
      <c r="G48" s="27" t="n">
        <v>26</v>
      </c>
      <c r="H48" s="164" t="n">
        <v>268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n">
        <v>113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금호어울림2단지</t>
        </is>
      </c>
      <c r="B49" s="16" t="inlineStr">
        <is>
          <t>'09.02.</t>
        </is>
      </c>
      <c r="C49" s="164" t="n">
        <v>586</v>
      </c>
      <c r="D49" s="161" t="n">
        <v>125.5</v>
      </c>
      <c r="E49" s="163" t="n">
        <v>38</v>
      </c>
      <c r="F49" s="161" t="n">
        <v>99.7</v>
      </c>
      <c r="G49" s="27" t="n">
        <v>30</v>
      </c>
      <c r="H49" s="164" t="n">
        <v>56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125A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금호어울림2단지</t>
        </is>
      </c>
      <c r="B50" s="16" t="inlineStr">
        <is>
          <t>'09.02.</t>
        </is>
      </c>
      <c r="C50" s="164" t="n">
        <v>586</v>
      </c>
      <c r="D50" s="161" t="n">
        <v>154.1</v>
      </c>
      <c r="E50" s="163" t="n">
        <v>47</v>
      </c>
      <c r="F50" s="161" t="n">
        <v>123.6</v>
      </c>
      <c r="G50" s="27" t="n">
        <v>37</v>
      </c>
      <c r="H50" s="164" t="n">
        <v>89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n">
        <v>154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금호어울림2단지</t>
        </is>
      </c>
      <c r="B51" s="16" t="inlineStr">
        <is>
          <t>'09.02.</t>
        </is>
      </c>
      <c r="C51" s="164" t="n">
        <v>586</v>
      </c>
      <c r="D51" s="161" t="n">
        <v>164.7</v>
      </c>
      <c r="E51" s="163" t="n">
        <v>50</v>
      </c>
      <c r="F51" s="161" t="n">
        <v>131.3</v>
      </c>
      <c r="G51" s="27" t="n">
        <v>40</v>
      </c>
      <c r="H51" s="164" t="n">
        <v>56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inlineStr">
        <is>
          <t>164A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금호어울림2단지</t>
        </is>
      </c>
      <c r="B52" s="16" t="inlineStr">
        <is>
          <t>'09.02.</t>
        </is>
      </c>
      <c r="C52" s="164" t="n">
        <v>586</v>
      </c>
      <c r="D52" s="161" t="n">
        <v>197</v>
      </c>
      <c r="E52" s="163" t="n">
        <v>60</v>
      </c>
      <c r="F52" s="161" t="n">
        <v>163.8</v>
      </c>
      <c r="G52" s="27" t="n">
        <v>50</v>
      </c>
      <c r="H52" s="164" t="n">
        <v>114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196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금호어울림2단지</t>
        </is>
      </c>
      <c r="B53" s="16" t="inlineStr">
        <is>
          <t>'09.02.</t>
        </is>
      </c>
      <c r="C53" s="164" t="n">
        <v>586</v>
      </c>
      <c r="D53" s="161" t="n">
        <v>258.4</v>
      </c>
      <c r="E53" s="163" t="n">
        <v>78</v>
      </c>
      <c r="F53" s="161" t="n">
        <v>212</v>
      </c>
      <c r="G53" s="27" t="n">
        <v>64</v>
      </c>
      <c r="H53" s="164" t="n">
        <v>3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258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삼일(3034)</t>
        </is>
      </c>
      <c r="B55" s="16" t="inlineStr">
        <is>
          <t>'98.11.</t>
        </is>
      </c>
      <c r="C55" s="164" t="n">
        <v>478</v>
      </c>
      <c r="D55" s="161" t="n">
        <v>105.5</v>
      </c>
      <c r="E55" s="163" t="n">
        <v>32</v>
      </c>
      <c r="F55" s="161" t="n">
        <v>84.90000000000001</v>
      </c>
      <c r="G55" s="27" t="n">
        <v>26</v>
      </c>
      <c r="H55" s="164" t="n">
        <v>328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105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삼일(3034)</t>
        </is>
      </c>
      <c r="B56" s="16" t="inlineStr">
        <is>
          <t>'98.11.</t>
        </is>
      </c>
      <c r="C56" s="164" t="n">
        <v>478</v>
      </c>
      <c r="D56" s="161" t="n">
        <v>108</v>
      </c>
      <c r="E56" s="163" t="n">
        <v>33</v>
      </c>
      <c r="F56" s="161" t="n">
        <v>84.90000000000001</v>
      </c>
      <c r="G56" s="27" t="n">
        <v>26</v>
      </c>
      <c r="H56" s="164" t="n">
        <v>150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108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주은</t>
        </is>
      </c>
      <c r="B58" s="16" t="inlineStr">
        <is>
          <t>'02.12.</t>
        </is>
      </c>
      <c r="C58" s="164" t="n">
        <v>220</v>
      </c>
      <c r="D58" s="161" t="n">
        <v>78</v>
      </c>
      <c r="E58" s="163" t="n">
        <v>24</v>
      </c>
      <c r="F58" s="161" t="n">
        <v>59.6</v>
      </c>
      <c r="G58" s="27" t="n">
        <v>18</v>
      </c>
      <c r="H58" s="164" t="n">
        <v>220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n">
        <v>78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1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2" t="n"/>
      <c r="P59" s="162" t="n"/>
      <c r="Q59" s="163" t="n"/>
      <c r="R59" s="163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0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청주지웰시티푸르지오</t>
        </is>
      </c>
      <c r="B60" s="16" t="inlineStr">
        <is>
          <t>'19.10.</t>
        </is>
      </c>
      <c r="C60" s="164" t="n">
        <v>466</v>
      </c>
      <c r="D60" s="161" t="n">
        <v>106.1</v>
      </c>
      <c r="E60" s="163" t="n">
        <v>32</v>
      </c>
      <c r="F60" s="161" t="n">
        <v>70.7</v>
      </c>
      <c r="G60" s="27" t="n">
        <v>21</v>
      </c>
      <c r="H60" s="164" t="n">
        <v>47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106B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청주지웰시티푸르지오</t>
        </is>
      </c>
      <c r="B61" s="16" t="inlineStr">
        <is>
          <t>'19.10.</t>
        </is>
      </c>
      <c r="C61" s="164" t="n">
        <v>466</v>
      </c>
      <c r="D61" s="161" t="n">
        <v>107.3</v>
      </c>
      <c r="E61" s="163" t="n">
        <v>32</v>
      </c>
      <c r="F61" s="161" t="n">
        <v>70.90000000000001</v>
      </c>
      <c r="G61" s="27" t="n">
        <v>21</v>
      </c>
      <c r="H61" s="164" t="n">
        <v>47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107A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청주지웰시티푸르지오</t>
        </is>
      </c>
      <c r="B62" s="16" t="inlineStr">
        <is>
          <t>'19.10.</t>
        </is>
      </c>
      <c r="C62" s="164" t="n">
        <v>466</v>
      </c>
      <c r="D62" s="161" t="n">
        <v>125.3</v>
      </c>
      <c r="E62" s="163" t="n">
        <v>38</v>
      </c>
      <c r="F62" s="161" t="n">
        <v>84.8</v>
      </c>
      <c r="G62" s="27" t="n">
        <v>26</v>
      </c>
      <c r="H62" s="164" t="n">
        <v>47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125E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청주지웰시티푸르지오</t>
        </is>
      </c>
      <c r="B63" s="16" t="inlineStr">
        <is>
          <t>'19.10.</t>
        </is>
      </c>
      <c r="C63" s="164" t="n">
        <v>466</v>
      </c>
      <c r="D63" s="161" t="n">
        <v>126.4</v>
      </c>
      <c r="E63" s="163" t="n">
        <v>38</v>
      </c>
      <c r="F63" s="161" t="n">
        <v>84.7</v>
      </c>
      <c r="G63" s="27" t="n">
        <v>26</v>
      </c>
      <c r="H63" s="164" t="n">
        <v>94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126B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청주지웰시티푸르지오</t>
        </is>
      </c>
      <c r="B64" s="16" t="inlineStr">
        <is>
          <t>'19.10.</t>
        </is>
      </c>
      <c r="C64" s="164" t="n">
        <v>466</v>
      </c>
      <c r="D64" s="161" t="n">
        <v>126.4</v>
      </c>
      <c r="E64" s="163" t="n">
        <v>38</v>
      </c>
      <c r="F64" s="161" t="n">
        <v>84.7</v>
      </c>
      <c r="G64" s="27" t="n">
        <v>26</v>
      </c>
      <c r="H64" s="164" t="n">
        <v>92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126A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청주지웰시티푸르지오</t>
        </is>
      </c>
      <c r="B65" s="16" t="inlineStr">
        <is>
          <t>'19.10.</t>
        </is>
      </c>
      <c r="C65" s="164" t="n">
        <v>466</v>
      </c>
      <c r="D65" s="161" t="n">
        <v>126.1</v>
      </c>
      <c r="E65" s="163" t="n">
        <v>38</v>
      </c>
      <c r="F65" s="161" t="n">
        <v>84.7</v>
      </c>
      <c r="G65" s="27" t="n">
        <v>26</v>
      </c>
      <c r="H65" s="164" t="n">
        <v>92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126C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청주지웰시티푸르지오</t>
        </is>
      </c>
      <c r="B66" s="16" t="inlineStr">
        <is>
          <t>'19.10.</t>
        </is>
      </c>
      <c r="C66" s="164" t="n">
        <v>466</v>
      </c>
      <c r="D66" s="161" t="n">
        <v>126.1</v>
      </c>
      <c r="E66" s="163" t="n">
        <v>38</v>
      </c>
      <c r="F66" s="161" t="n">
        <v>84.7</v>
      </c>
      <c r="G66" s="27" t="n">
        <v>26</v>
      </c>
      <c r="H66" s="164" t="n">
        <v>47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126D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형석(992)</t>
        </is>
      </c>
      <c r="B68" s="16" t="inlineStr">
        <is>
          <t>'90.01.</t>
        </is>
      </c>
      <c r="C68" s="164" t="n">
        <v>355</v>
      </c>
      <c r="D68" s="161" t="n">
        <v>35.4</v>
      </c>
      <c r="E68" s="163" t="n">
        <v>11</v>
      </c>
      <c r="F68" s="161" t="n">
        <v>22.7</v>
      </c>
      <c r="G68" s="27" t="n">
        <v>7</v>
      </c>
      <c r="H68" s="164" t="n">
        <v>95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1</v>
      </c>
      <c r="R68" s="113" t="n">
        <v>1</v>
      </c>
      <c r="S68" s="113" t="inlineStr">
        <is>
          <t>계</t>
        </is>
      </c>
      <c r="T68" s="8" t="n">
        <v>35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형석(992)</t>
        </is>
      </c>
      <c r="B69" s="16" t="inlineStr">
        <is>
          <t>'90.01.</t>
        </is>
      </c>
      <c r="C69" s="164" t="n">
        <v>355</v>
      </c>
      <c r="D69" s="161" t="n">
        <v>50.9</v>
      </c>
      <c r="E69" s="163" t="n">
        <v>15</v>
      </c>
      <c r="F69" s="161" t="n">
        <v>39.8</v>
      </c>
      <c r="G69" s="27" t="n">
        <v>12</v>
      </c>
      <c r="H69" s="164" t="n">
        <v>100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2</v>
      </c>
      <c r="R69" s="113" t="n">
        <v>1</v>
      </c>
      <c r="S69" s="113" t="inlineStr">
        <is>
          <t>계</t>
        </is>
      </c>
      <c r="T69" s="8" t="n">
        <v>50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형석(992)</t>
        </is>
      </c>
      <c r="B70" s="16" t="inlineStr">
        <is>
          <t>'90.01.</t>
        </is>
      </c>
      <c r="C70" s="164" t="n">
        <v>355</v>
      </c>
      <c r="D70" s="161" t="n">
        <v>73.09999999999999</v>
      </c>
      <c r="E70" s="163" t="n">
        <v>22</v>
      </c>
      <c r="F70" s="161" t="n">
        <v>59.9</v>
      </c>
      <c r="G70" s="27" t="n">
        <v>18</v>
      </c>
      <c r="H70" s="164" t="n">
        <v>80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1</v>
      </c>
      <c r="S70" s="113" t="inlineStr">
        <is>
          <t>계</t>
        </is>
      </c>
      <c r="T70" s="8" t="n">
        <v>73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형석(992)</t>
        </is>
      </c>
      <c r="B71" s="16" t="inlineStr">
        <is>
          <t>'90.01.</t>
        </is>
      </c>
      <c r="C71" s="164" t="n">
        <v>355</v>
      </c>
      <c r="D71" s="161" t="n">
        <v>99.40000000000001</v>
      </c>
      <c r="E71" s="163" t="n">
        <v>30</v>
      </c>
      <c r="F71" s="161" t="n">
        <v>84.90000000000001</v>
      </c>
      <c r="G71" s="27" t="n">
        <v>26</v>
      </c>
      <c r="H71" s="164" t="n">
        <v>80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n">
        <v>99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벽산</t>
        </is>
      </c>
      <c r="B73" s="16" t="inlineStr">
        <is>
          <t>'99.06.</t>
        </is>
      </c>
      <c r="C73" s="164" t="n">
        <v>274</v>
      </c>
      <c r="D73" s="161" t="n">
        <v>124.5</v>
      </c>
      <c r="E73" s="163" t="n">
        <v>38</v>
      </c>
      <c r="F73" s="161" t="n">
        <v>99.7</v>
      </c>
      <c r="G73" s="27" t="n">
        <v>30</v>
      </c>
      <c r="H73" s="164" t="n">
        <v>26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n">
        <v>124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벽산</t>
        </is>
      </c>
      <c r="B74" s="16" t="inlineStr">
        <is>
          <t>'99.06.</t>
        </is>
      </c>
      <c r="C74" s="164" t="n">
        <v>274</v>
      </c>
      <c r="D74" s="161" t="n">
        <v>126.3</v>
      </c>
      <c r="E74" s="163" t="n">
        <v>38</v>
      </c>
      <c r="F74" s="161" t="n">
        <v>100.9</v>
      </c>
      <c r="G74" s="27" t="n">
        <v>31</v>
      </c>
      <c r="H74" s="164" t="n">
        <v>102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126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벽산</t>
        </is>
      </c>
      <c r="B75" s="16" t="inlineStr">
        <is>
          <t>'99.06.</t>
        </is>
      </c>
      <c r="C75" s="164" t="n">
        <v>274</v>
      </c>
      <c r="D75" s="161" t="n">
        <v>159.1</v>
      </c>
      <c r="E75" s="163" t="n">
        <v>48</v>
      </c>
      <c r="F75" s="161" t="n">
        <v>134.2</v>
      </c>
      <c r="G75" s="27" t="n">
        <v>41</v>
      </c>
      <c r="H75" s="164" t="n">
        <v>116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4</v>
      </c>
      <c r="R75" s="113" t="n">
        <v>2</v>
      </c>
      <c r="S75" s="113" t="inlineStr">
        <is>
          <t>계</t>
        </is>
      </c>
      <c r="T75" s="8" t="n">
        <v>159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벽산</t>
        </is>
      </c>
      <c r="B76" s="16" t="inlineStr">
        <is>
          <t>'99.06.</t>
        </is>
      </c>
      <c r="C76" s="164" t="n">
        <v>274</v>
      </c>
      <c r="D76" s="161" t="n">
        <v>206.8</v>
      </c>
      <c r="E76" s="163" t="n">
        <v>63</v>
      </c>
      <c r="F76" s="161" t="n">
        <v>175.8</v>
      </c>
      <c r="G76" s="27" t="n">
        <v>53</v>
      </c>
      <c r="H76" s="164" t="n">
        <v>30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5</v>
      </c>
      <c r="R76" s="113" t="n">
        <v>2</v>
      </c>
      <c r="S76" s="113" t="inlineStr">
        <is>
          <t>계</t>
        </is>
      </c>
      <c r="T76" s="8" t="n">
        <v>206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복대대원</t>
        </is>
      </c>
      <c r="B78" s="16" t="inlineStr">
        <is>
          <t>'99.10.</t>
        </is>
      </c>
      <c r="C78" s="164" t="n">
        <v>812</v>
      </c>
      <c r="D78" s="161" t="n">
        <v>76.2</v>
      </c>
      <c r="E78" s="163" t="n">
        <v>23</v>
      </c>
      <c r="F78" s="161" t="n">
        <v>59.9</v>
      </c>
      <c r="G78" s="27" t="n">
        <v>18</v>
      </c>
      <c r="H78" s="164" t="n">
        <v>169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76A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복대대원</t>
        </is>
      </c>
      <c r="B79" s="16" t="inlineStr">
        <is>
          <t>'99.10.</t>
        </is>
      </c>
      <c r="C79" s="164" t="n">
        <v>812</v>
      </c>
      <c r="D79" s="161" t="n">
        <v>76.8</v>
      </c>
      <c r="E79" s="163" t="n">
        <v>23</v>
      </c>
      <c r="F79" s="161" t="n">
        <v>60</v>
      </c>
      <c r="G79" s="27" t="n">
        <v>18</v>
      </c>
      <c r="H79" s="164" t="n">
        <v>69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2</v>
      </c>
      <c r="R79" s="113" t="n">
        <v>1</v>
      </c>
      <c r="S79" s="113" t="inlineStr">
        <is>
          <t>계</t>
        </is>
      </c>
      <c r="T79" s="8" t="inlineStr">
        <is>
          <t>76B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복대대원</t>
        </is>
      </c>
      <c r="B80" s="16" t="inlineStr">
        <is>
          <t>'99.10.</t>
        </is>
      </c>
      <c r="C80" s="164" t="n">
        <v>812</v>
      </c>
      <c r="D80" s="161" t="n">
        <v>83.09999999999999</v>
      </c>
      <c r="E80" s="163" t="n">
        <v>25</v>
      </c>
      <c r="F80" s="161" t="n">
        <v>69.90000000000001</v>
      </c>
      <c r="G80" s="27" t="n">
        <v>21</v>
      </c>
      <c r="H80" s="164" t="n">
        <v>12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83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복대대원</t>
        </is>
      </c>
      <c r="B81" s="16" t="inlineStr">
        <is>
          <t>'99.10.</t>
        </is>
      </c>
      <c r="C81" s="164" t="n">
        <v>812</v>
      </c>
      <c r="D81" s="161" t="n">
        <v>97.90000000000001</v>
      </c>
      <c r="E81" s="163" t="n">
        <v>30</v>
      </c>
      <c r="F81" s="161" t="n">
        <v>80.3</v>
      </c>
      <c r="G81" s="27" t="n">
        <v>24</v>
      </c>
      <c r="H81" s="164" t="n">
        <v>298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97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복대대원</t>
        </is>
      </c>
      <c r="B82" s="16" t="inlineStr">
        <is>
          <t>'99.10.</t>
        </is>
      </c>
      <c r="C82" s="164" t="n">
        <v>812</v>
      </c>
      <c r="D82" s="161" t="n">
        <v>107.6</v>
      </c>
      <c r="E82" s="163" t="n">
        <v>33</v>
      </c>
      <c r="F82" s="161" t="n">
        <v>85</v>
      </c>
      <c r="G82" s="27" t="n">
        <v>26</v>
      </c>
      <c r="H82" s="164" t="n">
        <v>264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107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신영지웰홈스</t>
        </is>
      </c>
      <c r="B84" s="16" t="inlineStr">
        <is>
          <t>'09.12.</t>
        </is>
      </c>
      <c r="C84" s="164" t="n">
        <v>452</v>
      </c>
      <c r="D84" s="161" t="n">
        <v>110.8</v>
      </c>
      <c r="E84" s="163" t="n">
        <v>34</v>
      </c>
      <c r="F84" s="161" t="n">
        <v>84.8</v>
      </c>
      <c r="G84" s="27" t="n">
        <v>26</v>
      </c>
      <c r="H84" s="164" t="n">
        <v>129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110B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신영지웰홈스</t>
        </is>
      </c>
      <c r="B85" s="16" t="inlineStr">
        <is>
          <t>'09.12.</t>
        </is>
      </c>
      <c r="C85" s="164" t="n">
        <v>452</v>
      </c>
      <c r="D85" s="161" t="n">
        <v>110.8</v>
      </c>
      <c r="E85" s="163" t="n">
        <v>34</v>
      </c>
      <c r="F85" s="161" t="n">
        <v>84.8</v>
      </c>
      <c r="G85" s="27" t="n">
        <v>26</v>
      </c>
      <c r="H85" s="164" t="n">
        <v>115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110C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신영지웰홈스</t>
        </is>
      </c>
      <c r="B86" s="16" t="inlineStr">
        <is>
          <t>'09.12.</t>
        </is>
      </c>
      <c r="C86" s="164" t="n">
        <v>452</v>
      </c>
      <c r="D86" s="161" t="n">
        <v>111.5</v>
      </c>
      <c r="E86" s="163" t="n">
        <v>34</v>
      </c>
      <c r="F86" s="161" t="n">
        <v>84.90000000000001</v>
      </c>
      <c r="G86" s="27" t="n">
        <v>26</v>
      </c>
      <c r="H86" s="164" t="n">
        <v>127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111A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신영지웰홈스</t>
        </is>
      </c>
      <c r="B87" s="16" t="inlineStr">
        <is>
          <t>'09.12.</t>
        </is>
      </c>
      <c r="C87" s="164" t="n">
        <v>452</v>
      </c>
      <c r="D87" s="161" t="n">
        <v>156.8</v>
      </c>
      <c r="E87" s="163" t="n">
        <v>47</v>
      </c>
      <c r="F87" s="161" t="n">
        <v>124.9</v>
      </c>
      <c r="G87" s="27" t="n">
        <v>38</v>
      </c>
      <c r="H87" s="164" t="n">
        <v>78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n">
        <v>156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신영지웰홈스</t>
        </is>
      </c>
      <c r="B88" s="16" t="inlineStr">
        <is>
          <t>'09.12.</t>
        </is>
      </c>
      <c r="C88" s="164" t="n">
        <v>452</v>
      </c>
      <c r="D88" s="161" t="n">
        <v>225.6</v>
      </c>
      <c r="E88" s="163" t="n">
        <v>68</v>
      </c>
      <c r="F88" s="161" t="n">
        <v>176.9</v>
      </c>
      <c r="G88" s="27" t="n">
        <v>54</v>
      </c>
      <c r="H88" s="164" t="n">
        <v>3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4</v>
      </c>
      <c r="R88" s="113" t="n">
        <v>3</v>
      </c>
      <c r="S88" s="113" t="inlineStr">
        <is>
          <t>계</t>
        </is>
      </c>
      <c r="T88" s="8" t="n">
        <v>225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영조아름다운나날1차</t>
        </is>
      </c>
      <c r="B90" s="16" t="inlineStr">
        <is>
          <t>'03.10.</t>
        </is>
      </c>
      <c r="C90" s="164" t="n">
        <v>952</v>
      </c>
      <c r="D90" s="161" t="n">
        <v>76.3</v>
      </c>
      <c r="E90" s="163" t="n">
        <v>23</v>
      </c>
      <c r="F90" s="161" t="n">
        <v>59.3</v>
      </c>
      <c r="G90" s="27" t="n">
        <v>18</v>
      </c>
      <c r="H90" s="164" t="n">
        <v>734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1</v>
      </c>
      <c r="S90" s="113" t="inlineStr">
        <is>
          <t>계</t>
        </is>
      </c>
      <c r="T90" s="8" t="inlineStr">
        <is>
          <t>76A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영조아름다운나날1차</t>
        </is>
      </c>
      <c r="B91" s="16" t="inlineStr">
        <is>
          <t>'03.10.</t>
        </is>
      </c>
      <c r="C91" s="164" t="n">
        <v>952</v>
      </c>
      <c r="D91" s="161" t="n">
        <v>76.40000000000001</v>
      </c>
      <c r="E91" s="163" t="n">
        <v>23</v>
      </c>
      <c r="F91" s="161" t="n">
        <v>59.3</v>
      </c>
      <c r="G91" s="27" t="n">
        <v>18</v>
      </c>
      <c r="H91" s="164" t="n">
        <v>218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1</v>
      </c>
      <c r="S91" s="113" t="inlineStr">
        <is>
          <t>계</t>
        </is>
      </c>
      <c r="T91" s="8" t="inlineStr">
        <is>
          <t>76B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n"/>
      <c r="B92" s="113" t="n"/>
      <c r="C92" s="10" t="n"/>
      <c r="D92" s="13" t="n"/>
      <c r="E92" s="20" t="n"/>
      <c r="F92" s="161" t="n"/>
      <c r="G92" s="13" t="n"/>
      <c r="H92" s="13" t="n"/>
      <c r="I92" s="13" t="n"/>
      <c r="J92" s="13" t="n"/>
      <c r="K92" s="13" t="n"/>
      <c r="L92" s="13" t="n"/>
      <c r="M92" s="13" t="n"/>
      <c r="N92" s="13" t="n"/>
      <c r="O92" s="162" t="n"/>
      <c r="P92" s="162" t="n"/>
      <c r="Q92" s="163" t="n"/>
      <c r="R92" s="163" t="n"/>
      <c r="S92" s="13" t="n"/>
      <c r="T92" s="70" t="n"/>
      <c r="U92" s="13" t="n"/>
      <c r="W92" s="107">
        <f>$A$4&amp;" "&amp;A93&amp;"("&amp;B93&amp;","&amp;C93&amp;"^)"</f>
        <v/>
      </c>
      <c r="X92" s="108" t="n"/>
      <c r="Y92" s="108" t="n"/>
      <c r="Z92" s="108" t="n"/>
      <c r="AA92" s="108" t="n"/>
      <c r="AB92" s="108" t="n"/>
      <c r="AC92" s="108" t="n"/>
      <c r="AD92" s="108" t="n"/>
      <c r="AE92" s="108" t="n"/>
      <c r="AF92" s="109" t="n"/>
      <c r="AH92" s="36">
        <f>IF(A92="","",A92)</f>
        <v/>
      </c>
      <c r="AI92" s="160">
        <f>IF(E92="","",E92)</f>
        <v/>
      </c>
      <c r="AJ92" s="113" t="n"/>
      <c r="AK92" s="113" t="n"/>
      <c r="AL92" s="113" t="n"/>
      <c r="AM92" s="113" t="n"/>
      <c r="AN92" s="113" t="n"/>
      <c r="AO92" s="113" t="n"/>
      <c r="AP92" s="113" t="n"/>
      <c r="AQ92" s="113" t="n"/>
      <c r="AR92" s="113" t="n"/>
      <c r="AS92" s="113" t="n"/>
      <c r="AT92" s="113" t="n"/>
      <c r="AU92" s="113" t="n"/>
      <c r="AV92" s="113" t="n"/>
    </row>
    <row r="93">
      <c r="A93" s="13" t="inlineStr">
        <is>
          <t>현대2차</t>
        </is>
      </c>
      <c r="B93" s="16" t="inlineStr">
        <is>
          <t>'99.05.</t>
        </is>
      </c>
      <c r="C93" s="164" t="n">
        <v>1464</v>
      </c>
      <c r="D93" s="161" t="n">
        <v>77.40000000000001</v>
      </c>
      <c r="E93" s="163" t="n">
        <v>23</v>
      </c>
      <c r="F93" s="161" t="n">
        <v>60</v>
      </c>
      <c r="G93" s="27" t="n">
        <v>18</v>
      </c>
      <c r="H93" s="164" t="n">
        <v>1158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77B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현대2차</t>
        </is>
      </c>
      <c r="B94" s="16" t="inlineStr">
        <is>
          <t>'99.05.</t>
        </is>
      </c>
      <c r="C94" s="164" t="n">
        <v>1464</v>
      </c>
      <c r="D94" s="161" t="n">
        <v>77.5</v>
      </c>
      <c r="E94" s="163" t="n">
        <v>23</v>
      </c>
      <c r="F94" s="161" t="n">
        <v>59.9</v>
      </c>
      <c r="G94" s="27" t="n">
        <v>18</v>
      </c>
      <c r="H94" s="164" t="n">
        <v>306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2</v>
      </c>
      <c r="R94" s="113" t="n">
        <v>1</v>
      </c>
      <c r="S94" s="113" t="inlineStr">
        <is>
          <t>계</t>
        </is>
      </c>
      <c r="T94" s="8" t="inlineStr">
        <is>
          <t>77A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청주복대두진하트리움2차</t>
        </is>
      </c>
      <c r="B96" s="16" t="inlineStr">
        <is>
          <t>'18.11.</t>
        </is>
      </c>
      <c r="C96" s="164" t="n">
        <v>293</v>
      </c>
      <c r="D96" s="161" t="n">
        <v>101.4</v>
      </c>
      <c r="E96" s="163" t="n">
        <v>31</v>
      </c>
      <c r="F96" s="161" t="n">
        <v>74.90000000000001</v>
      </c>
      <c r="G96" s="27" t="n">
        <v>23</v>
      </c>
      <c r="H96" s="164" t="n">
        <v>126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101B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청주복대두진하트리움2차</t>
        </is>
      </c>
      <c r="B97" s="16" t="inlineStr">
        <is>
          <t>'18.11.</t>
        </is>
      </c>
      <c r="C97" s="164" t="n">
        <v>293</v>
      </c>
      <c r="D97" s="161" t="n">
        <v>102</v>
      </c>
      <c r="E97" s="163" t="n">
        <v>31</v>
      </c>
      <c r="F97" s="161" t="n">
        <v>74.90000000000001</v>
      </c>
      <c r="G97" s="27" t="n">
        <v>23</v>
      </c>
      <c r="H97" s="164" t="n">
        <v>137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102A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청주복대두진하트리움2차</t>
        </is>
      </c>
      <c r="B98" s="16" t="inlineStr">
        <is>
          <t>'18.11.</t>
        </is>
      </c>
      <c r="C98" s="164" t="n">
        <v>293</v>
      </c>
      <c r="D98" s="161" t="n">
        <v>102.1</v>
      </c>
      <c r="E98" s="163" t="n">
        <v>31</v>
      </c>
      <c r="F98" s="161" t="n">
        <v>74.8</v>
      </c>
      <c r="G98" s="27" t="n">
        <v>23</v>
      </c>
      <c r="H98" s="164" t="n">
        <v>30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102C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n"/>
      <c r="B99" s="113" t="n"/>
      <c r="C99" s="10" t="n"/>
      <c r="D99" s="13" t="n"/>
      <c r="E99" s="20" t="n"/>
      <c r="F99" s="161" t="n"/>
      <c r="G99" s="13" t="n"/>
      <c r="H99" s="13" t="n"/>
      <c r="I99" s="13" t="n"/>
      <c r="J99" s="13" t="n"/>
      <c r="K99" s="13" t="n"/>
      <c r="L99" s="13" t="n"/>
      <c r="M99" s="13" t="n"/>
      <c r="N99" s="13" t="n"/>
      <c r="O99" s="162" t="n"/>
      <c r="P99" s="162" t="n"/>
      <c r="Q99" s="163" t="n"/>
      <c r="R99" s="163" t="n"/>
      <c r="S99" s="13" t="n"/>
      <c r="T99" s="70" t="n"/>
      <c r="U99" s="13" t="n"/>
      <c r="W99" s="107">
        <f>$A$4&amp;" "&amp;A100&amp;"("&amp;B100&amp;","&amp;C100&amp;"^)"</f>
        <v/>
      </c>
      <c r="X99" s="108" t="n"/>
      <c r="Y99" s="108" t="n"/>
      <c r="Z99" s="108" t="n"/>
      <c r="AA99" s="108" t="n"/>
      <c r="AB99" s="108" t="n"/>
      <c r="AC99" s="108" t="n"/>
      <c r="AD99" s="108" t="n"/>
      <c r="AE99" s="108" t="n"/>
      <c r="AF99" s="109" t="n"/>
      <c r="AH99" s="36">
        <f>IF(A99="","",A99)</f>
        <v/>
      </c>
      <c r="AI99" s="160">
        <f>IF(E99="","",E99)</f>
        <v/>
      </c>
      <c r="AJ99" s="113" t="n"/>
      <c r="AK99" s="113" t="n"/>
      <c r="AL99" s="113" t="n"/>
      <c r="AM99" s="113" t="n"/>
      <c r="AN99" s="113" t="n"/>
      <c r="AO99" s="113" t="n"/>
      <c r="AP99" s="113" t="n"/>
      <c r="AQ99" s="113" t="n"/>
      <c r="AR99" s="113" t="n"/>
      <c r="AS99" s="113" t="n"/>
      <c r="AT99" s="113" t="n"/>
      <c r="AU99" s="113" t="n"/>
      <c r="AV99" s="113" t="n"/>
    </row>
    <row r="100">
      <c r="A100" s="13" t="inlineStr">
        <is>
          <t>두산위브지웰시티2차</t>
        </is>
      </c>
      <c r="B100" s="16" t="inlineStr">
        <is>
          <t>'15.06.</t>
        </is>
      </c>
      <c r="C100" s="164" t="n">
        <v>1956</v>
      </c>
      <c r="D100" s="161" t="n">
        <v>112.9</v>
      </c>
      <c r="E100" s="163" t="n">
        <v>34</v>
      </c>
      <c r="F100" s="161" t="n">
        <v>80.5</v>
      </c>
      <c r="G100" s="27" t="n">
        <v>24</v>
      </c>
      <c r="H100" s="164" t="n">
        <v>652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112B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두산위브지웰시티2차</t>
        </is>
      </c>
      <c r="B101" s="16" t="inlineStr">
        <is>
          <t>'15.06.</t>
        </is>
      </c>
      <c r="C101" s="164" t="n">
        <v>1956</v>
      </c>
      <c r="D101" s="161" t="n">
        <v>113.1</v>
      </c>
      <c r="E101" s="163" t="n">
        <v>34</v>
      </c>
      <c r="F101" s="161" t="n">
        <v>80.09999999999999</v>
      </c>
      <c r="G101" s="27" t="n">
        <v>24</v>
      </c>
      <c r="H101" s="164" t="n">
        <v>652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113A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두산위브지웰시티2차</t>
        </is>
      </c>
      <c r="B102" s="16" t="inlineStr">
        <is>
          <t>'15.06.</t>
        </is>
      </c>
      <c r="C102" s="164" t="n">
        <v>1956</v>
      </c>
      <c r="D102" s="161" t="n">
        <v>113.4</v>
      </c>
      <c r="E102" s="163" t="n">
        <v>34</v>
      </c>
      <c r="F102" s="161" t="n">
        <v>80</v>
      </c>
      <c r="G102" s="27" t="n">
        <v>24</v>
      </c>
      <c r="H102" s="164" t="n">
        <v>652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113C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n"/>
      <c r="B103" s="113" t="n"/>
      <c r="C103" s="10" t="n"/>
      <c r="D103" s="13" t="n"/>
      <c r="E103" s="20" t="n"/>
      <c r="F103" s="161" t="n"/>
      <c r="G103" s="13" t="n"/>
      <c r="H103" s="13" t="n"/>
      <c r="I103" s="13" t="n"/>
      <c r="J103" s="13" t="n"/>
      <c r="K103" s="13" t="n"/>
      <c r="L103" s="13" t="n"/>
      <c r="M103" s="13" t="n"/>
      <c r="N103" s="13" t="n"/>
      <c r="O103" s="162" t="n"/>
      <c r="P103" s="162" t="n"/>
      <c r="Q103" s="163" t="n"/>
      <c r="R103" s="163" t="n"/>
      <c r="S103" s="13" t="n"/>
      <c r="T103" s="70" t="n"/>
      <c r="U103" s="13" t="n"/>
      <c r="W103" s="107">
        <f>$A$4&amp;" "&amp;A104&amp;"("&amp;B104&amp;","&amp;C104&amp;"^)"</f>
        <v/>
      </c>
      <c r="X103" s="108" t="n"/>
      <c r="Y103" s="108" t="n"/>
      <c r="Z103" s="108" t="n"/>
      <c r="AA103" s="108" t="n"/>
      <c r="AB103" s="108" t="n"/>
      <c r="AC103" s="108" t="n"/>
      <c r="AD103" s="108" t="n"/>
      <c r="AE103" s="108" t="n"/>
      <c r="AF103" s="109" t="n"/>
      <c r="AH103" s="36">
        <f>IF(A103="","",A103)</f>
        <v/>
      </c>
      <c r="AI103" s="160">
        <f>IF(E103="","",E103)</f>
        <v/>
      </c>
      <c r="AJ103" s="113" t="n"/>
      <c r="AK103" s="113" t="n"/>
      <c r="AL103" s="113" t="n"/>
      <c r="AM103" s="113" t="n"/>
      <c r="AN103" s="113" t="n"/>
      <c r="AO103" s="113" t="n"/>
      <c r="AP103" s="113" t="n"/>
      <c r="AQ103" s="113" t="n"/>
      <c r="AR103" s="113" t="n"/>
      <c r="AS103" s="113" t="n"/>
      <c r="AT103" s="113" t="n"/>
      <c r="AU103" s="113" t="n"/>
      <c r="AV103" s="113" t="n"/>
    </row>
    <row r="104">
      <c r="A104" s="13" t="inlineStr">
        <is>
          <t>덕성</t>
        </is>
      </c>
      <c r="B104" s="16" t="inlineStr">
        <is>
          <t>'91.12.</t>
        </is>
      </c>
      <c r="C104" s="164" t="n">
        <v>498</v>
      </c>
      <c r="D104" s="161" t="n">
        <v>35.1</v>
      </c>
      <c r="E104" s="163" t="n">
        <v>11</v>
      </c>
      <c r="F104" s="161" t="n">
        <v>22.7</v>
      </c>
      <c r="G104" s="27" t="n">
        <v>7</v>
      </c>
      <c r="H104" s="164" t="n">
        <v>456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1</v>
      </c>
      <c r="R104" s="113" t="n">
        <v>1</v>
      </c>
      <c r="S104" s="113" t="inlineStr">
        <is>
          <t>복</t>
        </is>
      </c>
      <c r="T104" s="8" t="n">
        <v>35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덕성</t>
        </is>
      </c>
      <c r="B105" s="16" t="inlineStr">
        <is>
          <t>'91.12.</t>
        </is>
      </c>
      <c r="C105" s="164" t="n">
        <v>498</v>
      </c>
      <c r="D105" s="161" t="n">
        <v>80.5</v>
      </c>
      <c r="E105" s="163" t="n">
        <v>24</v>
      </c>
      <c r="F105" s="161" t="n">
        <v>52.1</v>
      </c>
      <c r="G105" s="27" t="n">
        <v>16</v>
      </c>
      <c r="H105" s="164" t="n">
        <v>42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복</t>
        </is>
      </c>
      <c r="T105" s="8" t="n">
        <v>80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1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2" t="n"/>
      <c r="P106" s="162" t="n"/>
      <c r="Q106" s="163" t="n"/>
      <c r="R106" s="163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0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세원</t>
        </is>
      </c>
      <c r="B107" s="16" t="inlineStr">
        <is>
          <t>'90.08.</t>
        </is>
      </c>
      <c r="C107" s="164" t="n">
        <v>200</v>
      </c>
      <c r="D107" s="161" t="n">
        <v>60.7</v>
      </c>
      <c r="E107" s="163" t="n">
        <v>18</v>
      </c>
      <c r="F107" s="161" t="n">
        <v>48.4</v>
      </c>
      <c r="G107" s="27" t="n">
        <v>15</v>
      </c>
      <c r="H107" s="164" t="n">
        <v>5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2</v>
      </c>
      <c r="R107" s="113" t="n">
        <v>1</v>
      </c>
      <c r="S107" s="113" t="inlineStr">
        <is>
          <t>계</t>
        </is>
      </c>
      <c r="T107" s="8" t="n">
        <v>60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세원</t>
        </is>
      </c>
      <c r="B108" s="16" t="inlineStr">
        <is>
          <t>'90.08.</t>
        </is>
      </c>
      <c r="C108" s="164" t="n">
        <v>200</v>
      </c>
      <c r="D108" s="161" t="n">
        <v>72.90000000000001</v>
      </c>
      <c r="E108" s="163" t="n">
        <v>22</v>
      </c>
      <c r="F108" s="161" t="n">
        <v>59.4</v>
      </c>
      <c r="G108" s="27" t="n">
        <v>18</v>
      </c>
      <c r="H108" s="164" t="n">
        <v>75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1</v>
      </c>
      <c r="S108" s="113" t="inlineStr">
        <is>
          <t>계</t>
        </is>
      </c>
      <c r="T108" s="8" t="n">
        <v>72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세원</t>
        </is>
      </c>
      <c r="B109" s="16" t="inlineStr">
        <is>
          <t>'90.08.</t>
        </is>
      </c>
      <c r="C109" s="164" t="n">
        <v>200</v>
      </c>
      <c r="D109" s="161" t="n">
        <v>101.9</v>
      </c>
      <c r="E109" s="163" t="n">
        <v>31</v>
      </c>
      <c r="F109" s="161" t="n">
        <v>84.90000000000001</v>
      </c>
      <c r="G109" s="27" t="n">
        <v>26</v>
      </c>
      <c r="H109" s="164" t="n">
        <v>120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n">
        <v>101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1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2" t="n"/>
      <c r="P110" s="162" t="n"/>
      <c r="Q110" s="163" t="n"/>
      <c r="R110" s="163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0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덕일</t>
        </is>
      </c>
      <c r="B111" s="16" t="inlineStr">
        <is>
          <t>'89.12.</t>
        </is>
      </c>
      <c r="C111" s="164" t="n">
        <v>350</v>
      </c>
      <c r="D111" s="161" t="n">
        <v>58.7</v>
      </c>
      <c r="E111" s="163" t="n">
        <v>18</v>
      </c>
      <c r="F111" s="161" t="n">
        <v>49.6</v>
      </c>
      <c r="G111" s="27" t="n">
        <v>15</v>
      </c>
      <c r="H111" s="164" t="n">
        <v>200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2</v>
      </c>
      <c r="R111" s="113" t="n">
        <v>1</v>
      </c>
      <c r="S111" s="113" t="inlineStr">
        <is>
          <t>계</t>
        </is>
      </c>
      <c r="T111" s="8" t="n">
        <v>58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덕일</t>
        </is>
      </c>
      <c r="B112" s="16" t="inlineStr">
        <is>
          <t>'89.12.</t>
        </is>
      </c>
      <c r="C112" s="164" t="n">
        <v>350</v>
      </c>
      <c r="D112" s="161" t="n">
        <v>64.90000000000001</v>
      </c>
      <c r="E112" s="163" t="n">
        <v>20</v>
      </c>
      <c r="F112" s="161" t="n">
        <v>49.6</v>
      </c>
      <c r="G112" s="27" t="n">
        <v>15</v>
      </c>
      <c r="H112" s="164" t="n">
        <v>10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64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덕일</t>
        </is>
      </c>
      <c r="B113" s="16" t="inlineStr">
        <is>
          <t>'89.12.</t>
        </is>
      </c>
      <c r="C113" s="164" t="n">
        <v>350</v>
      </c>
      <c r="D113" s="161" t="n">
        <v>68.7</v>
      </c>
      <c r="E113" s="163" t="n">
        <v>21</v>
      </c>
      <c r="F113" s="161" t="n">
        <v>59.6</v>
      </c>
      <c r="G113" s="27" t="n">
        <v>18</v>
      </c>
      <c r="H113" s="164" t="n">
        <v>5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1</v>
      </c>
      <c r="S113" s="113" t="inlineStr">
        <is>
          <t>계</t>
        </is>
      </c>
      <c r="T113" s="8" t="inlineStr">
        <is>
          <t>68A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덕일</t>
        </is>
      </c>
      <c r="B114" s="16" t="inlineStr">
        <is>
          <t>'89.12.</t>
        </is>
      </c>
      <c r="C114" s="164" t="n">
        <v>350</v>
      </c>
      <c r="D114" s="161" t="n">
        <v>68.7</v>
      </c>
      <c r="E114" s="163" t="n">
        <v>21</v>
      </c>
      <c r="F114" s="161" t="n">
        <v>59.6</v>
      </c>
      <c r="G114" s="27" t="n">
        <v>18</v>
      </c>
      <c r="H114" s="164" t="n">
        <v>5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1</v>
      </c>
      <c r="S114" s="113" t="inlineStr">
        <is>
          <t>계</t>
        </is>
      </c>
      <c r="T114" s="8" t="inlineStr">
        <is>
          <t>68B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덕일</t>
        </is>
      </c>
      <c r="B115" s="16" t="inlineStr">
        <is>
          <t>'89.12.</t>
        </is>
      </c>
      <c r="C115" s="164" t="n">
        <v>350</v>
      </c>
      <c r="D115" s="161" t="n">
        <v>69</v>
      </c>
      <c r="E115" s="163" t="n">
        <v>21</v>
      </c>
      <c r="F115" s="161" t="n">
        <v>59.9</v>
      </c>
      <c r="G115" s="27" t="n">
        <v>18</v>
      </c>
      <c r="H115" s="164" t="n">
        <v>130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1</v>
      </c>
      <c r="S115" s="113" t="inlineStr">
        <is>
          <t>계</t>
        </is>
      </c>
      <c r="T115" s="8" t="n">
        <v>69</v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n"/>
      <c r="B116" s="113" t="n"/>
      <c r="C116" s="10" t="n"/>
      <c r="D116" s="13" t="n"/>
      <c r="E116" s="20" t="n"/>
      <c r="F116" s="161" t="n"/>
      <c r="G116" s="13" t="n"/>
      <c r="H116" s="13" t="n"/>
      <c r="I116" s="13" t="n"/>
      <c r="J116" s="13" t="n"/>
      <c r="K116" s="13" t="n"/>
      <c r="L116" s="13" t="n"/>
      <c r="M116" s="13" t="n"/>
      <c r="N116" s="13" t="n"/>
      <c r="O116" s="162" t="n"/>
      <c r="P116" s="162" t="n"/>
      <c r="Q116" s="163" t="n"/>
      <c r="R116" s="163" t="n"/>
      <c r="S116" s="13" t="n"/>
      <c r="T116" s="70" t="n"/>
      <c r="U116" s="13" t="n"/>
      <c r="W116" s="107">
        <f>$A$4&amp;" "&amp;A117&amp;"("&amp;B117&amp;","&amp;C117&amp;"^)"</f>
        <v/>
      </c>
      <c r="X116" s="108" t="n"/>
      <c r="Y116" s="108" t="n"/>
      <c r="Z116" s="108" t="n"/>
      <c r="AA116" s="108" t="n"/>
      <c r="AB116" s="108" t="n"/>
      <c r="AC116" s="108" t="n"/>
      <c r="AD116" s="108" t="n"/>
      <c r="AE116" s="108" t="n"/>
      <c r="AF116" s="109" t="n"/>
      <c r="AH116" s="36">
        <f>IF(A116="","",A116)</f>
        <v/>
      </c>
      <c r="AI116" s="160">
        <f>IF(E116="","",E116)</f>
        <v/>
      </c>
      <c r="AJ116" s="113" t="n"/>
      <c r="AK116" s="113" t="n"/>
      <c r="AL116" s="113" t="n"/>
      <c r="AM116" s="113" t="n"/>
      <c r="AN116" s="113" t="n"/>
      <c r="AO116" s="113" t="n"/>
      <c r="AP116" s="113" t="n"/>
      <c r="AQ116" s="113" t="n"/>
      <c r="AR116" s="113" t="n"/>
      <c r="AS116" s="113" t="n"/>
      <c r="AT116" s="113" t="n"/>
      <c r="AU116" s="113" t="n"/>
      <c r="AV116" s="113" t="n"/>
    </row>
    <row r="117">
      <c r="A117" s="13" t="inlineStr">
        <is>
          <t>세원느티마을</t>
        </is>
      </c>
      <c r="B117" s="16" t="inlineStr">
        <is>
          <t>'99.09.</t>
        </is>
      </c>
      <c r="C117" s="164" t="n">
        <v>526</v>
      </c>
      <c r="D117" s="161" t="n">
        <v>76.3</v>
      </c>
      <c r="E117" s="163" t="n">
        <v>23</v>
      </c>
      <c r="F117" s="161" t="n">
        <v>60</v>
      </c>
      <c r="G117" s="27" t="n">
        <v>18</v>
      </c>
      <c r="H117" s="164" t="n">
        <v>380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n">
        <v>76</v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세원느티마을</t>
        </is>
      </c>
      <c r="B118" s="16" t="inlineStr">
        <is>
          <t>'99.09.</t>
        </is>
      </c>
      <c r="C118" s="164" t="n">
        <v>526</v>
      </c>
      <c r="D118" s="161" t="n">
        <v>81.59999999999999</v>
      </c>
      <c r="E118" s="163" t="n">
        <v>25</v>
      </c>
      <c r="F118" s="161" t="n">
        <v>60</v>
      </c>
      <c r="G118" s="27" t="n">
        <v>18</v>
      </c>
      <c r="H118" s="164" t="n">
        <v>146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n">
        <v>81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n"/>
      <c r="B119" s="113" t="n"/>
      <c r="C119" s="10" t="n"/>
      <c r="D119" s="13" t="n"/>
      <c r="E119" s="20" t="n"/>
      <c r="F119" s="161" t="n"/>
      <c r="G119" s="13" t="n"/>
      <c r="H119" s="13" t="n"/>
      <c r="I119" s="13" t="n"/>
      <c r="J119" s="13" t="n"/>
      <c r="K119" s="13" t="n"/>
      <c r="L119" s="13" t="n"/>
      <c r="M119" s="13" t="n"/>
      <c r="N119" s="13" t="n"/>
      <c r="O119" s="162" t="n"/>
      <c r="P119" s="162" t="n"/>
      <c r="Q119" s="163" t="n"/>
      <c r="R119" s="163" t="n"/>
      <c r="S119" s="13" t="n"/>
      <c r="T119" s="70" t="n"/>
      <c r="U119" s="13" t="n"/>
      <c r="W119" s="107">
        <f>$A$4&amp;" "&amp;A120&amp;"("&amp;B120&amp;","&amp;C120&amp;"^)"</f>
        <v/>
      </c>
      <c r="X119" s="108" t="n"/>
      <c r="Y119" s="108" t="n"/>
      <c r="Z119" s="108" t="n"/>
      <c r="AA119" s="108" t="n"/>
      <c r="AB119" s="108" t="n"/>
      <c r="AC119" s="108" t="n"/>
      <c r="AD119" s="108" t="n"/>
      <c r="AE119" s="108" t="n"/>
      <c r="AF119" s="109" t="n"/>
      <c r="AH119" s="36">
        <f>IF(A119="","",A119)</f>
        <v/>
      </c>
      <c r="AI119" s="160">
        <f>IF(E119="","",E119)</f>
        <v/>
      </c>
      <c r="AJ119" s="113" t="n"/>
      <c r="AK119" s="113" t="n"/>
      <c r="AL119" s="113" t="n"/>
      <c r="AM119" s="113" t="n"/>
      <c r="AN119" s="113" t="n"/>
      <c r="AO119" s="113" t="n"/>
      <c r="AP119" s="113" t="n"/>
      <c r="AQ119" s="113" t="n"/>
      <c r="AR119" s="113" t="n"/>
      <c r="AS119" s="113" t="n"/>
      <c r="AT119" s="113" t="n"/>
      <c r="AU119" s="113" t="n"/>
      <c r="AV119" s="113" t="n"/>
    </row>
    <row r="120">
      <c r="A120" s="13" t="inlineStr">
        <is>
          <t>아름다운나날2차</t>
        </is>
      </c>
      <c r="B120" s="16" t="inlineStr">
        <is>
          <t>'04.11.</t>
        </is>
      </c>
      <c r="C120" s="164" t="n">
        <v>539</v>
      </c>
      <c r="D120" s="161" t="n">
        <v>103.2</v>
      </c>
      <c r="E120" s="163" t="n">
        <v>31</v>
      </c>
      <c r="F120" s="161" t="n">
        <v>79.40000000000001</v>
      </c>
      <c r="G120" s="27" t="n">
        <v>24</v>
      </c>
      <c r="H120" s="164" t="n">
        <v>202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n">
        <v>103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아름다운나날2차</t>
        </is>
      </c>
      <c r="B121" s="16" t="inlineStr">
        <is>
          <t>'04.11.</t>
        </is>
      </c>
      <c r="C121" s="164" t="n">
        <v>539</v>
      </c>
      <c r="D121" s="161" t="n">
        <v>112.9</v>
      </c>
      <c r="E121" s="163" t="n">
        <v>34</v>
      </c>
      <c r="F121" s="161" t="n">
        <v>84.90000000000001</v>
      </c>
      <c r="G121" s="27" t="n">
        <v>26</v>
      </c>
      <c r="H121" s="164" t="n">
        <v>337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2</v>
      </c>
      <c r="S121" s="113" t="inlineStr">
        <is>
          <t>계</t>
        </is>
      </c>
      <c r="T121" s="8" t="n">
        <v>112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n"/>
      <c r="B122" s="113" t="n"/>
      <c r="C122" s="10" t="n"/>
      <c r="D122" s="13" t="n"/>
      <c r="E122" s="20" t="n"/>
      <c r="F122" s="161" t="n"/>
      <c r="G122" s="13" t="n"/>
      <c r="H122" s="13" t="n"/>
      <c r="I122" s="13" t="n"/>
      <c r="J122" s="13" t="n"/>
      <c r="K122" s="13" t="n"/>
      <c r="L122" s="13" t="n"/>
      <c r="M122" s="13" t="n"/>
      <c r="N122" s="13" t="n"/>
      <c r="O122" s="162" t="n"/>
      <c r="P122" s="162" t="n"/>
      <c r="Q122" s="163" t="n"/>
      <c r="R122" s="163" t="n"/>
      <c r="S122" s="13" t="n"/>
      <c r="T122" s="70" t="n"/>
      <c r="U122" s="13" t="n"/>
      <c r="W122" s="107">
        <f>$A$4&amp;" "&amp;A123&amp;"("&amp;B123&amp;","&amp;C123&amp;"^)"</f>
        <v/>
      </c>
      <c r="X122" s="108" t="n"/>
      <c r="Y122" s="108" t="n"/>
      <c r="Z122" s="108" t="n"/>
      <c r="AA122" s="108" t="n"/>
      <c r="AB122" s="108" t="n"/>
      <c r="AC122" s="108" t="n"/>
      <c r="AD122" s="108" t="n"/>
      <c r="AE122" s="108" t="n"/>
      <c r="AF122" s="109" t="n"/>
      <c r="AH122" s="36">
        <f>IF(A122="","",A122)</f>
        <v/>
      </c>
      <c r="AI122" s="160">
        <f>IF(E122="","",E122)</f>
        <v/>
      </c>
      <c r="AJ122" s="113" t="n"/>
      <c r="AK122" s="113" t="n"/>
      <c r="AL122" s="113" t="n"/>
      <c r="AM122" s="113" t="n"/>
      <c r="AN122" s="113" t="n"/>
      <c r="AO122" s="113" t="n"/>
      <c r="AP122" s="113" t="n"/>
      <c r="AQ122" s="113" t="n"/>
      <c r="AR122" s="113" t="n"/>
      <c r="AS122" s="113" t="n"/>
      <c r="AT122" s="113" t="n"/>
      <c r="AU122" s="113" t="n"/>
      <c r="AV122" s="113" t="n"/>
    </row>
    <row r="123">
      <c r="A123" s="13" t="inlineStr">
        <is>
          <t>금호어울림1단지</t>
        </is>
      </c>
      <c r="B123" s="16" t="inlineStr">
        <is>
          <t>'09.02.</t>
        </is>
      </c>
      <c r="C123" s="164" t="n">
        <v>648</v>
      </c>
      <c r="D123" s="161" t="n">
        <v>114.2</v>
      </c>
      <c r="E123" s="163" t="n">
        <v>35</v>
      </c>
      <c r="F123" s="161" t="n">
        <v>84.59999999999999</v>
      </c>
      <c r="G123" s="27" t="n">
        <v>26</v>
      </c>
      <c r="H123" s="164" t="n">
        <v>136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n">
        <v>114</v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금호어울림1단지</t>
        </is>
      </c>
      <c r="B124" s="16" t="inlineStr">
        <is>
          <t>'09.02.</t>
        </is>
      </c>
      <c r="C124" s="164" t="n">
        <v>648</v>
      </c>
      <c r="D124" s="161" t="n">
        <v>125.1</v>
      </c>
      <c r="E124" s="163" t="n">
        <v>38</v>
      </c>
      <c r="F124" s="161" t="n">
        <v>99.7</v>
      </c>
      <c r="G124" s="27" t="n">
        <v>30</v>
      </c>
      <c r="H124" s="164" t="n">
        <v>76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125B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금호어울림1단지</t>
        </is>
      </c>
      <c r="B125" s="16" t="inlineStr">
        <is>
          <t>'09.02.</t>
        </is>
      </c>
      <c r="C125" s="164" t="n">
        <v>648</v>
      </c>
      <c r="D125" s="161" t="n">
        <v>125.2</v>
      </c>
      <c r="E125" s="163" t="n">
        <v>38</v>
      </c>
      <c r="F125" s="161" t="n">
        <v>99.7</v>
      </c>
      <c r="G125" s="27" t="n">
        <v>30</v>
      </c>
      <c r="H125" s="164" t="n">
        <v>73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125A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금호어울림1단지</t>
        </is>
      </c>
      <c r="B126" s="16" t="inlineStr">
        <is>
          <t>'09.02.</t>
        </is>
      </c>
      <c r="C126" s="164" t="n">
        <v>648</v>
      </c>
      <c r="D126" s="161" t="n">
        <v>152.6</v>
      </c>
      <c r="E126" s="163" t="n">
        <v>46</v>
      </c>
      <c r="F126" s="161" t="n">
        <v>123.6</v>
      </c>
      <c r="G126" s="27" t="n">
        <v>37</v>
      </c>
      <c r="H126" s="164" t="n">
        <v>136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4</v>
      </c>
      <c r="R126" s="113" t="n">
        <v>2</v>
      </c>
      <c r="S126" s="113" t="inlineStr">
        <is>
          <t>계</t>
        </is>
      </c>
      <c r="T126" s="8" t="n">
        <v>152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금호어울림1단지</t>
        </is>
      </c>
      <c r="B127" s="16" t="inlineStr">
        <is>
          <t>'09.02.</t>
        </is>
      </c>
      <c r="C127" s="164" t="n">
        <v>648</v>
      </c>
      <c r="D127" s="161" t="n">
        <v>164.7</v>
      </c>
      <c r="E127" s="163" t="n">
        <v>50</v>
      </c>
      <c r="F127" s="161" t="n">
        <v>131.6</v>
      </c>
      <c r="G127" s="27" t="n">
        <v>40</v>
      </c>
      <c r="H127" s="164" t="n">
        <v>150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4</v>
      </c>
      <c r="R127" s="113" t="n">
        <v>2</v>
      </c>
      <c r="S127" s="113" t="inlineStr">
        <is>
          <t>계</t>
        </is>
      </c>
      <c r="T127" s="8" t="inlineStr">
        <is>
          <t>164B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금호어울림1단지</t>
        </is>
      </c>
      <c r="B128" s="16" t="inlineStr">
        <is>
          <t>'09.02.</t>
        </is>
      </c>
      <c r="C128" s="164" t="n">
        <v>648</v>
      </c>
      <c r="D128" s="161" t="n">
        <v>164.2</v>
      </c>
      <c r="E128" s="163" t="n">
        <v>50</v>
      </c>
      <c r="F128" s="161" t="n">
        <v>131.3</v>
      </c>
      <c r="G128" s="27" t="n">
        <v>40</v>
      </c>
      <c r="H128" s="164" t="n">
        <v>73</v>
      </c>
      <c r="I128" s="165" t="n"/>
      <c r="J128" s="165" t="n"/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inlineStr">
        <is>
          <t>164A</t>
        </is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금호어울림1단지</t>
        </is>
      </c>
      <c r="B129" s="16" t="inlineStr">
        <is>
          <t>'09.02.</t>
        </is>
      </c>
      <c r="C129" s="164" t="n">
        <v>648</v>
      </c>
      <c r="D129" s="161" t="n">
        <v>256.6</v>
      </c>
      <c r="E129" s="163" t="n">
        <v>78</v>
      </c>
      <c r="F129" s="161" t="n">
        <v>201.5</v>
      </c>
      <c r="G129" s="27" t="n">
        <v>61</v>
      </c>
      <c r="H129" s="164" t="n">
        <v>4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4</v>
      </c>
      <c r="R129" s="113" t="n">
        <v>2</v>
      </c>
      <c r="S129" s="113" t="inlineStr">
        <is>
          <t>계</t>
        </is>
      </c>
      <c r="T129" s="8" t="n">
        <v>256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</sheetData>
  <mergeCells count="1">
    <mergeCell ref="AJ1:AN1"/>
  </mergeCells>
  <conditionalFormatting sqref="AV4:AV6">
    <cfRule type="expression" priority="2007" dxfId="19">
      <formula>AV4="X"</formula>
    </cfRule>
    <cfRule type="expression" priority="2008" dxfId="18">
      <formula>AV4="후보"</formula>
    </cfRule>
  </conditionalFormatting>
  <conditionalFormatting sqref="AC1:AC2 AC4:AC6 N4:N5">
    <cfRule type="cellIs" priority="2004" operator="greaterThan" dxfId="13">
      <formula>0.9</formula>
    </cfRule>
    <cfRule type="cellIs" priority="2005" operator="greaterThan" dxfId="12">
      <formula>0.85</formula>
    </cfRule>
  </conditionalFormatting>
  <conditionalFormatting sqref="N1:N2">
    <cfRule type="cellIs" priority="2002" operator="greaterThan" dxfId="13">
      <formula>0.9</formula>
    </cfRule>
    <cfRule type="cellIs" priority="2003" operator="greaterThan" dxfId="12">
      <formula>0.85</formula>
    </cfRule>
  </conditionalFormatting>
  <conditionalFormatting sqref="N6">
    <cfRule type="cellIs" priority="2000" operator="greaterThan" dxfId="13">
      <formula>0.9</formula>
    </cfRule>
    <cfRule type="cellIs" priority="2001" operator="greaterThan" dxfId="12">
      <formula>0.85</formula>
    </cfRule>
  </conditionalFormatting>
  <conditionalFormatting sqref="E6">
    <cfRule type="expression" priority="1996" dxfId="3">
      <formula>AND(IF(OR($Q6=1,$Q6=2),1,0),IF($X6&lt;=20,1,0))</formula>
    </cfRule>
    <cfRule type="expression" priority="1997" dxfId="2">
      <formula>AND(IF($Q6=2,1,0),IF($X6&lt;30,1,0))</formula>
    </cfRule>
    <cfRule type="expression" priority="1998" dxfId="1">
      <formula>AND(IF($Q6=3,1,0),IF($X6&lt;30,1,0))</formula>
    </cfRule>
    <cfRule type="expression" priority="1999" dxfId="0">
      <formula>AND(IF($Q6=3,1,IF($Q6=4,1,0)),IF($F6&lt;=85,1,0))</formula>
    </cfRule>
  </conditionalFormatting>
  <conditionalFormatting sqref="X6">
    <cfRule type="expression" priority="1992" dxfId="3">
      <formula>AND(IF(OR($Q6=1,$Q6=2),1,0),IF($X6&lt;=20,1,0))</formula>
    </cfRule>
    <cfRule type="expression" priority="1993" dxfId="2">
      <formula>AND(IF($Q6=2,1,0),IF($X6&lt;30,1,0))</formula>
    </cfRule>
    <cfRule type="expression" priority="1994" dxfId="1">
      <formula>AND(IF($Q6=3,1,0),IF($X6&lt;30,1,0))</formula>
    </cfRule>
    <cfRule type="expression" priority="1995" dxfId="0">
      <formula>AND(IF($Q6=3,1,IF($Q6=4,1,0)),IF($F6&lt;=85,1,0))</formula>
    </cfRule>
  </conditionalFormatting>
  <conditionalFormatting sqref="AI6">
    <cfRule type="expression" priority="1988" dxfId="3">
      <formula>AND(IF(OR($Q6=1,$Q6=2),1,0),IF($X6&lt;=20,1,0))</formula>
    </cfRule>
    <cfRule type="expression" priority="1989" dxfId="2">
      <formula>AND(IF($Q6=2,1,0),IF($X6&lt;30,1,0))</formula>
    </cfRule>
    <cfRule type="expression" priority="1990" dxfId="1">
      <formula>AND(IF($Q6=3,1,0),IF($X6&lt;30,1,0))</formula>
    </cfRule>
    <cfRule type="expression" priority="1991" dxfId="0">
      <formula>AND(IF($Q6=3,1,IF($Q6=4,1,0)),IF($F6&lt;=85,1,0))</formula>
    </cfRule>
  </conditionalFormatting>
  <conditionalFormatting sqref="AV7">
    <cfRule type="expression" priority="1986" dxfId="19">
      <formula>AV7="X"</formula>
    </cfRule>
    <cfRule type="expression" priority="1987" dxfId="18">
      <formula>AV7="후보"</formula>
    </cfRule>
  </conditionalFormatting>
  <conditionalFormatting sqref="AC7">
    <cfRule type="cellIs" priority="1983" operator="greaterThan" dxfId="13">
      <formula>0.9</formula>
    </cfRule>
    <cfRule type="cellIs" priority="1984" operator="greaterThan" dxfId="12">
      <formula>0.85</formula>
    </cfRule>
  </conditionalFormatting>
  <conditionalFormatting sqref="N7">
    <cfRule type="cellIs" priority="1981" operator="greaterThan" dxfId="13">
      <formula>0.9</formula>
    </cfRule>
    <cfRule type="cellIs" priority="1982" operator="greaterThan" dxfId="12">
      <formula>0.85</formula>
    </cfRule>
  </conditionalFormatting>
  <conditionalFormatting sqref="E7">
    <cfRule type="expression" priority="1977" dxfId="3">
      <formula>AND(IF(OR($Q7=1,$Q7=2),1,0),IF($X7&lt;=20,1,0))</formula>
    </cfRule>
    <cfRule type="expression" priority="1978" dxfId="2">
      <formula>AND(IF($Q7=2,1,0),IF($X7&lt;30,1,0))</formula>
    </cfRule>
    <cfRule type="expression" priority="1979" dxfId="1">
      <formula>AND(IF($Q7=3,1,0),IF($X7&lt;30,1,0))</formula>
    </cfRule>
    <cfRule type="expression" priority="1980" dxfId="0">
      <formula>AND(IF($Q7=3,1,IF($Q7=4,1,0)),IF($F7&lt;=85,1,0))</formula>
    </cfRule>
  </conditionalFormatting>
  <conditionalFormatting sqref="X7">
    <cfRule type="expression" priority="1973" dxfId="3">
      <formula>AND(IF(OR($Q7=1,$Q7=2),1,0),IF($X7&lt;=20,1,0))</formula>
    </cfRule>
    <cfRule type="expression" priority="1974" dxfId="2">
      <formula>AND(IF($Q7=2,1,0),IF($X7&lt;30,1,0))</formula>
    </cfRule>
    <cfRule type="expression" priority="1975" dxfId="1">
      <formula>AND(IF($Q7=3,1,0),IF($X7&lt;30,1,0))</formula>
    </cfRule>
    <cfRule type="expression" priority="1976" dxfId="0">
      <formula>AND(IF($Q7=3,1,IF($Q7=4,1,0)),IF($F7&lt;=85,1,0))</formula>
    </cfRule>
  </conditionalFormatting>
  <conditionalFormatting sqref="AI7">
    <cfRule type="expression" priority="1969" dxfId="3">
      <formula>AND(IF(OR($Q7=1,$Q7=2),1,0),IF($X7&lt;=20,1,0))</formula>
    </cfRule>
    <cfRule type="expression" priority="1970" dxfId="2">
      <formula>AND(IF($Q7=2,1,0),IF($X7&lt;30,1,0))</formula>
    </cfRule>
    <cfRule type="expression" priority="1971" dxfId="1">
      <formula>AND(IF($Q7=3,1,0),IF($X7&lt;30,1,0))</formula>
    </cfRule>
    <cfRule type="expression" priority="1972" dxfId="0">
      <formula>AND(IF($Q7=3,1,IF($Q7=4,1,0)),IF($F7&lt;=85,1,0))</formula>
    </cfRule>
  </conditionalFormatting>
  <conditionalFormatting sqref="AV8">
    <cfRule type="expression" priority="1967" dxfId="19">
      <formula>AV8="X"</formula>
    </cfRule>
    <cfRule type="expression" priority="1968" dxfId="18">
      <formula>AV8="후보"</formula>
    </cfRule>
  </conditionalFormatting>
  <conditionalFormatting sqref="AC8 N8">
    <cfRule type="cellIs" priority="1964" operator="greaterThan" dxfId="13">
      <formula>0.9</formula>
    </cfRule>
    <cfRule type="cellIs" priority="1965" operator="greaterThan" dxfId="12">
      <formula>0.85</formula>
    </cfRule>
  </conditionalFormatting>
  <conditionalFormatting sqref="AV9">
    <cfRule type="expression" priority="1962" dxfId="19">
      <formula>AV9="X"</formula>
    </cfRule>
    <cfRule type="expression" priority="1963" dxfId="18">
      <formula>AV9="후보"</formula>
    </cfRule>
  </conditionalFormatting>
  <conditionalFormatting sqref="AC9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9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9">
    <cfRule type="expression" priority="1953" dxfId="3">
      <formula>AND(IF(OR($Q9=1,$Q9=2),1,0),IF($X9&lt;=20,1,0))</formula>
    </cfRule>
    <cfRule type="expression" priority="1954" dxfId="2">
      <formula>AND(IF($Q9=2,1,0),IF($X9&lt;30,1,0))</formula>
    </cfRule>
    <cfRule type="expression" priority="1955" dxfId="1">
      <formula>AND(IF($Q9=3,1,0),IF($X9&lt;30,1,0))</formula>
    </cfRule>
    <cfRule type="expression" priority="1956" dxfId="0">
      <formula>AND(IF($Q9=3,1,IF($Q9=4,1,0)),IF($F9&lt;=85,1,0))</formula>
    </cfRule>
  </conditionalFormatting>
  <conditionalFormatting sqref="X9">
    <cfRule type="expression" priority="1949" dxfId="3">
      <formula>AND(IF(OR($Q9=1,$Q9=2),1,0),IF($X9&lt;=20,1,0))</formula>
    </cfRule>
    <cfRule type="expression" priority="1950" dxfId="2">
      <formula>AND(IF($Q9=2,1,0),IF($X9&lt;30,1,0))</formula>
    </cfRule>
    <cfRule type="expression" priority="1951" dxfId="1">
      <formula>AND(IF($Q9=3,1,0),IF($X9&lt;30,1,0))</formula>
    </cfRule>
    <cfRule type="expression" priority="1952" dxfId="0">
      <formula>AND(IF($Q9=3,1,IF($Q9=4,1,0)),IF($F9&lt;=85,1,0))</formula>
    </cfRule>
  </conditionalFormatting>
  <conditionalFormatting sqref="AI9">
    <cfRule type="expression" priority="1945" dxfId="3">
      <formula>AND(IF(OR($Q9=1,$Q9=2),1,0),IF($X9&lt;=20,1,0))</formula>
    </cfRule>
    <cfRule type="expression" priority="1946" dxfId="2">
      <formula>AND(IF($Q9=2,1,0),IF($X9&lt;30,1,0))</formula>
    </cfRule>
    <cfRule type="expression" priority="1947" dxfId="1">
      <formula>AND(IF($Q9=3,1,0),IF($X9&lt;30,1,0))</formula>
    </cfRule>
    <cfRule type="expression" priority="1948" dxfId="0">
      <formula>AND(IF($Q9=3,1,IF($Q9=4,1,0)),IF($F9&lt;=85,1,0))</formula>
    </cfRule>
  </conditionalFormatting>
  <conditionalFormatting sqref="AV10">
    <cfRule type="expression" priority="1943" dxfId="19">
      <formula>AV10="X"</formula>
    </cfRule>
    <cfRule type="expression" priority="1944" dxfId="18">
      <formula>AV10="후보"</formula>
    </cfRule>
  </conditionalFormatting>
  <conditionalFormatting sqref="AC10">
    <cfRule type="cellIs" priority="1940" operator="greaterThan" dxfId="13">
      <formula>0.9</formula>
    </cfRule>
    <cfRule type="cellIs" priority="1941" operator="greaterThan" dxfId="12">
      <formula>0.85</formula>
    </cfRule>
  </conditionalFormatting>
  <conditionalFormatting sqref="N10">
    <cfRule type="cellIs" priority="1938" operator="greaterThan" dxfId="13">
      <formula>0.9</formula>
    </cfRule>
    <cfRule type="cellIs" priority="1939" operator="greaterThan" dxfId="12">
      <formula>0.85</formula>
    </cfRule>
  </conditionalFormatting>
  <conditionalFormatting sqref="E10">
    <cfRule type="expression" priority="1934" dxfId="3">
      <formula>AND(IF(OR($Q10=1,$Q10=2),1,0),IF($X10&lt;=20,1,0))</formula>
    </cfRule>
    <cfRule type="expression" priority="1935" dxfId="2">
      <formula>AND(IF($Q10=2,1,0),IF($X10&lt;30,1,0))</formula>
    </cfRule>
    <cfRule type="expression" priority="1936" dxfId="1">
      <formula>AND(IF($Q10=3,1,0),IF($X10&lt;30,1,0))</formula>
    </cfRule>
    <cfRule type="expression" priority="1937" dxfId="0">
      <formula>AND(IF($Q10=3,1,IF($Q10=4,1,0)),IF($F10&lt;=85,1,0))</formula>
    </cfRule>
  </conditionalFormatting>
  <conditionalFormatting sqref="X10">
    <cfRule type="expression" priority="1930" dxfId="3">
      <formula>AND(IF(OR($Q10=1,$Q10=2),1,0),IF($X10&lt;=20,1,0))</formula>
    </cfRule>
    <cfRule type="expression" priority="1931" dxfId="2">
      <formula>AND(IF($Q10=2,1,0),IF($X10&lt;30,1,0))</formula>
    </cfRule>
    <cfRule type="expression" priority="1932" dxfId="1">
      <formula>AND(IF($Q10=3,1,0),IF($X10&lt;30,1,0))</formula>
    </cfRule>
    <cfRule type="expression" priority="1933" dxfId="0">
      <formula>AND(IF($Q10=3,1,IF($Q10=4,1,0)),IF($F10&lt;=85,1,0))</formula>
    </cfRule>
  </conditionalFormatting>
  <conditionalFormatting sqref="AI10">
    <cfRule type="expression" priority="1926" dxfId="3">
      <formula>AND(IF(OR($Q10=1,$Q10=2),1,0),IF($X10&lt;=20,1,0))</formula>
    </cfRule>
    <cfRule type="expression" priority="1927" dxfId="2">
      <formula>AND(IF($Q10=2,1,0),IF($X10&lt;30,1,0))</formula>
    </cfRule>
    <cfRule type="expression" priority="1928" dxfId="1">
      <formula>AND(IF($Q10=3,1,0),IF($X10&lt;30,1,0))</formula>
    </cfRule>
    <cfRule type="expression" priority="1929" dxfId="0">
      <formula>AND(IF($Q10=3,1,IF($Q10=4,1,0)),IF($F10&lt;=85,1,0))</formula>
    </cfRule>
  </conditionalFormatting>
  <conditionalFormatting sqref="AV11">
    <cfRule type="expression" priority="1924" dxfId="19">
      <formula>AV11="X"</formula>
    </cfRule>
    <cfRule type="expression" priority="1925" dxfId="18">
      <formula>AV11="후보"</formula>
    </cfRule>
  </conditionalFormatting>
  <conditionalFormatting sqref="AC11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11">
    <cfRule type="cellIs" priority="1919" operator="greaterThan" dxfId="13">
      <formula>0.9</formula>
    </cfRule>
    <cfRule type="cellIs" priority="1920" operator="greaterThan" dxfId="12">
      <formula>0.85</formula>
    </cfRule>
  </conditionalFormatting>
  <conditionalFormatting sqref="E11">
    <cfRule type="expression" priority="1915" dxfId="3">
      <formula>AND(IF(OR($Q11=1,$Q11=2),1,0),IF($X11&lt;=20,1,0))</formula>
    </cfRule>
    <cfRule type="expression" priority="1916" dxfId="2">
      <formula>AND(IF($Q11=2,1,0),IF($X11&lt;30,1,0))</formula>
    </cfRule>
    <cfRule type="expression" priority="1917" dxfId="1">
      <formula>AND(IF($Q11=3,1,0),IF($X11&lt;30,1,0))</formula>
    </cfRule>
    <cfRule type="expression" priority="1918" dxfId="0">
      <formula>AND(IF($Q11=3,1,IF($Q11=4,1,0)),IF($F11&lt;=85,1,0))</formula>
    </cfRule>
  </conditionalFormatting>
  <conditionalFormatting sqref="X11">
    <cfRule type="expression" priority="1911" dxfId="3">
      <formula>AND(IF(OR($Q11=1,$Q11=2),1,0),IF($X11&lt;=20,1,0))</formula>
    </cfRule>
    <cfRule type="expression" priority="1912" dxfId="2">
      <formula>AND(IF($Q11=2,1,0),IF($X11&lt;30,1,0))</formula>
    </cfRule>
    <cfRule type="expression" priority="1913" dxfId="1">
      <formula>AND(IF($Q11=3,1,0),IF($X11&lt;30,1,0))</formula>
    </cfRule>
    <cfRule type="expression" priority="1914" dxfId="0">
      <formula>AND(IF($Q11=3,1,IF($Q11=4,1,0)),IF($F11&lt;=85,1,0))</formula>
    </cfRule>
  </conditionalFormatting>
  <conditionalFormatting sqref="AI11">
    <cfRule type="expression" priority="1907" dxfId="3">
      <formula>AND(IF(OR($Q11=1,$Q11=2),1,0),IF($X11&lt;=20,1,0))</formula>
    </cfRule>
    <cfRule type="expression" priority="1908" dxfId="2">
      <formula>AND(IF($Q11=2,1,0),IF($X11&lt;30,1,0))</formula>
    </cfRule>
    <cfRule type="expression" priority="1909" dxfId="1">
      <formula>AND(IF($Q11=3,1,0),IF($X11&lt;30,1,0))</formula>
    </cfRule>
    <cfRule type="expression" priority="1910" dxfId="0">
      <formula>AND(IF($Q11=3,1,IF($Q11=4,1,0)),IF($F11&lt;=85,1,0))</formula>
    </cfRule>
  </conditionalFormatting>
  <conditionalFormatting sqref="AV12">
    <cfRule type="expression" priority="1905" dxfId="19">
      <formula>AV12="X"</formula>
    </cfRule>
    <cfRule type="expression" priority="1906" dxfId="18">
      <formula>AV12="후보"</formula>
    </cfRule>
  </conditionalFormatting>
  <conditionalFormatting sqref="AC12">
    <cfRule type="cellIs" priority="1902" operator="greaterThan" dxfId="13">
      <formula>0.9</formula>
    </cfRule>
    <cfRule type="cellIs" priority="1903" operator="greaterThan" dxfId="12">
      <formula>0.85</formula>
    </cfRule>
  </conditionalFormatting>
  <conditionalFormatting sqref="N12">
    <cfRule type="cellIs" priority="1900" operator="greaterThan" dxfId="13">
      <formula>0.9</formula>
    </cfRule>
    <cfRule type="cellIs" priority="1901" operator="greaterThan" dxfId="12">
      <formula>0.85</formula>
    </cfRule>
  </conditionalFormatting>
  <conditionalFormatting sqref="E12">
    <cfRule type="expression" priority="1896" dxfId="3">
      <formula>AND(IF(OR($Q12=1,$Q12=2),1,0),IF($X12&lt;=20,1,0))</formula>
    </cfRule>
    <cfRule type="expression" priority="1897" dxfId="2">
      <formula>AND(IF($Q12=2,1,0),IF($X12&lt;30,1,0))</formula>
    </cfRule>
    <cfRule type="expression" priority="1898" dxfId="1">
      <formula>AND(IF($Q12=3,1,0),IF($X12&lt;30,1,0))</formula>
    </cfRule>
    <cfRule type="expression" priority="1899" dxfId="0">
      <formula>AND(IF($Q12=3,1,IF($Q12=4,1,0)),IF($F12&lt;=85,1,0))</formula>
    </cfRule>
  </conditionalFormatting>
  <conditionalFormatting sqref="X12">
    <cfRule type="expression" priority="1892" dxfId="3">
      <formula>AND(IF(OR($Q12=1,$Q12=2),1,0),IF($X12&lt;=20,1,0))</formula>
    </cfRule>
    <cfRule type="expression" priority="1893" dxfId="2">
      <formula>AND(IF($Q12=2,1,0),IF($X12&lt;30,1,0))</formula>
    </cfRule>
    <cfRule type="expression" priority="1894" dxfId="1">
      <formula>AND(IF($Q12=3,1,0),IF($X12&lt;30,1,0))</formula>
    </cfRule>
    <cfRule type="expression" priority="1895" dxfId="0">
      <formula>AND(IF($Q12=3,1,IF($Q12=4,1,0)),IF($F12&lt;=85,1,0))</formula>
    </cfRule>
  </conditionalFormatting>
  <conditionalFormatting sqref="AI12">
    <cfRule type="expression" priority="1888" dxfId="3">
      <formula>AND(IF(OR($Q12=1,$Q12=2),1,0),IF($X12&lt;=20,1,0))</formula>
    </cfRule>
    <cfRule type="expression" priority="1889" dxfId="2">
      <formula>AND(IF($Q12=2,1,0),IF($X12&lt;30,1,0))</formula>
    </cfRule>
    <cfRule type="expression" priority="1890" dxfId="1">
      <formula>AND(IF($Q12=3,1,0),IF($X12&lt;30,1,0))</formula>
    </cfRule>
    <cfRule type="expression" priority="1891" dxfId="0">
      <formula>AND(IF($Q12=3,1,IF($Q12=4,1,0)),IF($F12&lt;=85,1,0))</formula>
    </cfRule>
  </conditionalFormatting>
  <conditionalFormatting sqref="AV13">
    <cfRule type="expression" priority="1886" dxfId="19">
      <formula>AV13="X"</formula>
    </cfRule>
    <cfRule type="expression" priority="1887" dxfId="18">
      <formula>AV13="후보"</formula>
    </cfRule>
  </conditionalFormatting>
  <conditionalFormatting sqref="AC13">
    <cfRule type="cellIs" priority="1883" operator="greaterThan" dxfId="13">
      <formula>0.9</formula>
    </cfRule>
    <cfRule type="cellIs" priority="1884" operator="greaterThan" dxfId="12">
      <formula>0.85</formula>
    </cfRule>
  </conditionalFormatting>
  <conditionalFormatting sqref="N13">
    <cfRule type="cellIs" priority="1881" operator="greaterThan" dxfId="13">
      <formula>0.9</formula>
    </cfRule>
    <cfRule type="cellIs" priority="1882" operator="greaterThan" dxfId="12">
      <formula>0.85</formula>
    </cfRule>
  </conditionalFormatting>
  <conditionalFormatting sqref="E13">
    <cfRule type="expression" priority="1877" dxfId="3">
      <formula>AND(IF(OR($Q13=1,$Q13=2),1,0),IF($X13&lt;=20,1,0))</formula>
    </cfRule>
    <cfRule type="expression" priority="1878" dxfId="2">
      <formula>AND(IF($Q13=2,1,0),IF($X13&lt;30,1,0))</formula>
    </cfRule>
    <cfRule type="expression" priority="1879" dxfId="1">
      <formula>AND(IF($Q13=3,1,0),IF($X13&lt;30,1,0))</formula>
    </cfRule>
    <cfRule type="expression" priority="1880" dxfId="0">
      <formula>AND(IF($Q13=3,1,IF($Q13=4,1,0)),IF($F13&lt;=85,1,0))</formula>
    </cfRule>
  </conditionalFormatting>
  <conditionalFormatting sqref="X13">
    <cfRule type="expression" priority="1873" dxfId="3">
      <formula>AND(IF(OR($Q13=1,$Q13=2),1,0),IF($X13&lt;=20,1,0))</formula>
    </cfRule>
    <cfRule type="expression" priority="1874" dxfId="2">
      <formula>AND(IF($Q13=2,1,0),IF($X13&lt;30,1,0))</formula>
    </cfRule>
    <cfRule type="expression" priority="1875" dxfId="1">
      <formula>AND(IF($Q13=3,1,0),IF($X13&lt;30,1,0))</formula>
    </cfRule>
    <cfRule type="expression" priority="1876" dxfId="0">
      <formula>AND(IF($Q13=3,1,IF($Q13=4,1,0)),IF($F13&lt;=85,1,0))</formula>
    </cfRule>
  </conditionalFormatting>
  <conditionalFormatting sqref="AI13">
    <cfRule type="expression" priority="1869" dxfId="3">
      <formula>AND(IF(OR($Q13=1,$Q13=2),1,0),IF($X13&lt;=20,1,0))</formula>
    </cfRule>
    <cfRule type="expression" priority="1870" dxfId="2">
      <formula>AND(IF($Q13=2,1,0),IF($X13&lt;30,1,0))</formula>
    </cfRule>
    <cfRule type="expression" priority="1871" dxfId="1">
      <formula>AND(IF($Q13=3,1,0),IF($X13&lt;30,1,0))</formula>
    </cfRule>
    <cfRule type="expression" priority="1872" dxfId="0">
      <formula>AND(IF($Q13=3,1,IF($Q13=4,1,0)),IF($F13&lt;=85,1,0))</formula>
    </cfRule>
  </conditionalFormatting>
  <conditionalFormatting sqref="AV14">
    <cfRule type="expression" priority="1867" dxfId="19">
      <formula>AV14="X"</formula>
    </cfRule>
    <cfRule type="expression" priority="1868" dxfId="18">
      <formula>AV14="후보"</formula>
    </cfRule>
  </conditionalFormatting>
  <conditionalFormatting sqref="AC14 N14">
    <cfRule type="cellIs" priority="1864" operator="greaterThan" dxfId="13">
      <formula>0.9</formula>
    </cfRule>
    <cfRule type="cellIs" priority="1865" operator="greaterThan" dxfId="12">
      <formula>0.85</formula>
    </cfRule>
  </conditionalFormatting>
  <conditionalFormatting sqref="AV15">
    <cfRule type="expression" priority="1862" dxfId="19">
      <formula>AV15="X"</formula>
    </cfRule>
    <cfRule type="expression" priority="1863" dxfId="18">
      <formula>AV15="후보"</formula>
    </cfRule>
  </conditionalFormatting>
  <conditionalFormatting sqref="AC15">
    <cfRule type="cellIs" priority="1859" operator="greaterThan" dxfId="13">
      <formula>0.9</formula>
    </cfRule>
    <cfRule type="cellIs" priority="1860" operator="greaterThan" dxfId="12">
      <formula>0.85</formula>
    </cfRule>
  </conditionalFormatting>
  <conditionalFormatting sqref="N15">
    <cfRule type="cellIs" priority="1857" operator="greaterThan" dxfId="13">
      <formula>0.9</formula>
    </cfRule>
    <cfRule type="cellIs" priority="1858" operator="greaterThan" dxfId="12">
      <formula>0.85</formula>
    </cfRule>
  </conditionalFormatting>
  <conditionalFormatting sqref="E15">
    <cfRule type="expression" priority="1853" dxfId="3">
      <formula>AND(IF(OR($Q15=1,$Q15=2),1,0),IF($X15&lt;=20,1,0))</formula>
    </cfRule>
    <cfRule type="expression" priority="1854" dxfId="2">
      <formula>AND(IF($Q15=2,1,0),IF($X15&lt;30,1,0))</formula>
    </cfRule>
    <cfRule type="expression" priority="1855" dxfId="1">
      <formula>AND(IF($Q15=3,1,0),IF($X15&lt;30,1,0))</formula>
    </cfRule>
    <cfRule type="expression" priority="1856" dxfId="0">
      <formula>AND(IF($Q15=3,1,IF($Q15=4,1,0)),IF($F15&lt;=85,1,0))</formula>
    </cfRule>
  </conditionalFormatting>
  <conditionalFormatting sqref="X15">
    <cfRule type="expression" priority="1849" dxfId="3">
      <formula>AND(IF(OR($Q15=1,$Q15=2),1,0),IF($X15&lt;=20,1,0))</formula>
    </cfRule>
    <cfRule type="expression" priority="1850" dxfId="2">
      <formula>AND(IF($Q15=2,1,0),IF($X15&lt;30,1,0))</formula>
    </cfRule>
    <cfRule type="expression" priority="1851" dxfId="1">
      <formula>AND(IF($Q15=3,1,0),IF($X15&lt;30,1,0))</formula>
    </cfRule>
    <cfRule type="expression" priority="1852" dxfId="0">
      <formula>AND(IF($Q15=3,1,IF($Q15=4,1,0)),IF($F15&lt;=85,1,0))</formula>
    </cfRule>
  </conditionalFormatting>
  <conditionalFormatting sqref="AI15">
    <cfRule type="expression" priority="1845" dxfId="3">
      <formula>AND(IF(OR($Q15=1,$Q15=2),1,0),IF($X15&lt;=20,1,0))</formula>
    </cfRule>
    <cfRule type="expression" priority="1846" dxfId="2">
      <formula>AND(IF($Q15=2,1,0),IF($X15&lt;30,1,0))</formula>
    </cfRule>
    <cfRule type="expression" priority="1847" dxfId="1">
      <formula>AND(IF($Q15=3,1,0),IF($X15&lt;30,1,0))</formula>
    </cfRule>
    <cfRule type="expression" priority="1848" dxfId="0">
      <formula>AND(IF($Q15=3,1,IF($Q15=4,1,0)),IF($F15&lt;=85,1,0))</formula>
    </cfRule>
  </conditionalFormatting>
  <conditionalFormatting sqref="AV16">
    <cfRule type="expression" priority="1843" dxfId="19">
      <formula>AV16="X"</formula>
    </cfRule>
    <cfRule type="expression" priority="1844" dxfId="18">
      <formula>AV16="후보"</formula>
    </cfRule>
  </conditionalFormatting>
  <conditionalFormatting sqref="AC16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N16">
    <cfRule type="cellIs" priority="1838" operator="greaterThan" dxfId="13">
      <formula>0.9</formula>
    </cfRule>
    <cfRule type="cellIs" priority="1839" operator="greaterThan" dxfId="12">
      <formula>0.85</formula>
    </cfRule>
  </conditionalFormatting>
  <conditionalFormatting sqref="E16">
    <cfRule type="expression" priority="1834" dxfId="3">
      <formula>AND(IF(OR($Q16=1,$Q16=2),1,0),IF($X16&lt;=20,1,0))</formula>
    </cfRule>
    <cfRule type="expression" priority="1835" dxfId="2">
      <formula>AND(IF($Q16=2,1,0),IF($X16&lt;30,1,0))</formula>
    </cfRule>
    <cfRule type="expression" priority="1836" dxfId="1">
      <formula>AND(IF($Q16=3,1,0),IF($X16&lt;30,1,0))</formula>
    </cfRule>
    <cfRule type="expression" priority="1837" dxfId="0">
      <formula>AND(IF($Q16=3,1,IF($Q16=4,1,0)),IF($F16&lt;=85,1,0))</formula>
    </cfRule>
  </conditionalFormatting>
  <conditionalFormatting sqref="X16">
    <cfRule type="expression" priority="1830" dxfId="3">
      <formula>AND(IF(OR($Q16=1,$Q16=2),1,0),IF($X16&lt;=20,1,0))</formula>
    </cfRule>
    <cfRule type="expression" priority="1831" dxfId="2">
      <formula>AND(IF($Q16=2,1,0),IF($X16&lt;30,1,0))</formula>
    </cfRule>
    <cfRule type="expression" priority="1832" dxfId="1">
      <formula>AND(IF($Q16=3,1,0),IF($X16&lt;30,1,0))</formula>
    </cfRule>
    <cfRule type="expression" priority="1833" dxfId="0">
      <formula>AND(IF($Q16=3,1,IF($Q16=4,1,0)),IF($F16&lt;=85,1,0))</formula>
    </cfRule>
  </conditionalFormatting>
  <conditionalFormatting sqref="AI16">
    <cfRule type="expression" priority="1826" dxfId="3">
      <formula>AND(IF(OR($Q16=1,$Q16=2),1,0),IF($X16&lt;=20,1,0))</formula>
    </cfRule>
    <cfRule type="expression" priority="1827" dxfId="2">
      <formula>AND(IF($Q16=2,1,0),IF($X16&lt;30,1,0))</formula>
    </cfRule>
    <cfRule type="expression" priority="1828" dxfId="1">
      <formula>AND(IF($Q16=3,1,0),IF($X16&lt;30,1,0))</formula>
    </cfRule>
    <cfRule type="expression" priority="1829" dxfId="0">
      <formula>AND(IF($Q16=3,1,IF($Q16=4,1,0)),IF($F16&lt;=85,1,0))</formula>
    </cfRule>
  </conditionalFormatting>
  <conditionalFormatting sqref="AV17">
    <cfRule type="expression" priority="1824" dxfId="19">
      <formula>AV17="X"</formula>
    </cfRule>
    <cfRule type="expression" priority="1825" dxfId="18">
      <formula>AV17="후보"</formula>
    </cfRule>
  </conditionalFormatting>
  <conditionalFormatting sqref="AC17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N17">
    <cfRule type="cellIs" priority="1819" operator="greaterThan" dxfId="13">
      <formula>0.9</formula>
    </cfRule>
    <cfRule type="cellIs" priority="1820" operator="greaterThan" dxfId="12">
      <formula>0.85</formula>
    </cfRule>
  </conditionalFormatting>
  <conditionalFormatting sqref="E17">
    <cfRule type="expression" priority="1815" dxfId="3">
      <formula>AND(IF(OR($Q17=1,$Q17=2),1,0),IF($X17&lt;=20,1,0))</formula>
    </cfRule>
    <cfRule type="expression" priority="1816" dxfId="2">
      <formula>AND(IF($Q17=2,1,0),IF($X17&lt;30,1,0))</formula>
    </cfRule>
    <cfRule type="expression" priority="1817" dxfId="1">
      <formula>AND(IF($Q17=3,1,0),IF($X17&lt;30,1,0))</formula>
    </cfRule>
    <cfRule type="expression" priority="1818" dxfId="0">
      <formula>AND(IF($Q17=3,1,IF($Q17=4,1,0)),IF($F17&lt;=85,1,0))</formula>
    </cfRule>
  </conditionalFormatting>
  <conditionalFormatting sqref="X17">
    <cfRule type="expression" priority="1811" dxfId="3">
      <formula>AND(IF(OR($Q17=1,$Q17=2),1,0),IF($X17&lt;=20,1,0))</formula>
    </cfRule>
    <cfRule type="expression" priority="1812" dxfId="2">
      <formula>AND(IF($Q17=2,1,0),IF($X17&lt;30,1,0))</formula>
    </cfRule>
    <cfRule type="expression" priority="1813" dxfId="1">
      <formula>AND(IF($Q17=3,1,0),IF($X17&lt;30,1,0))</formula>
    </cfRule>
    <cfRule type="expression" priority="1814" dxfId="0">
      <formula>AND(IF($Q17=3,1,IF($Q17=4,1,0)),IF($F17&lt;=85,1,0))</formula>
    </cfRule>
  </conditionalFormatting>
  <conditionalFormatting sqref="AI17">
    <cfRule type="expression" priority="1807" dxfId="3">
      <formula>AND(IF(OR($Q17=1,$Q17=2),1,0),IF($X17&lt;=20,1,0))</formula>
    </cfRule>
    <cfRule type="expression" priority="1808" dxfId="2">
      <formula>AND(IF($Q17=2,1,0),IF($X17&lt;30,1,0))</formula>
    </cfRule>
    <cfRule type="expression" priority="1809" dxfId="1">
      <formula>AND(IF($Q17=3,1,0),IF($X17&lt;30,1,0))</formula>
    </cfRule>
    <cfRule type="expression" priority="1810" dxfId="0">
      <formula>AND(IF($Q17=3,1,IF($Q17=4,1,0)),IF($F17&lt;=85,1,0))</formula>
    </cfRule>
  </conditionalFormatting>
  <conditionalFormatting sqref="AV18">
    <cfRule type="expression" priority="1805" dxfId="19">
      <formula>AV18="X"</formula>
    </cfRule>
    <cfRule type="expression" priority="1806" dxfId="18">
      <formula>AV18="후보"</formula>
    </cfRule>
  </conditionalFormatting>
  <conditionalFormatting sqref="AC18">
    <cfRule type="cellIs" priority="1802" operator="greaterThan" dxfId="13">
      <formula>0.9</formula>
    </cfRule>
    <cfRule type="cellIs" priority="1803" operator="greaterThan" dxfId="12">
      <formula>0.85</formula>
    </cfRule>
  </conditionalFormatting>
  <conditionalFormatting sqref="N18">
    <cfRule type="cellIs" priority="1800" operator="greaterThan" dxfId="13">
      <formula>0.9</formula>
    </cfRule>
    <cfRule type="cellIs" priority="1801" operator="greaterThan" dxfId="12">
      <formula>0.85</formula>
    </cfRule>
  </conditionalFormatting>
  <conditionalFormatting sqref="E18">
    <cfRule type="expression" priority="1796" dxfId="3">
      <formula>AND(IF(OR($Q18=1,$Q18=2),1,0),IF($X18&lt;=20,1,0))</formula>
    </cfRule>
    <cfRule type="expression" priority="1797" dxfId="2">
      <formula>AND(IF($Q18=2,1,0),IF($X18&lt;30,1,0))</formula>
    </cfRule>
    <cfRule type="expression" priority="1798" dxfId="1">
      <formula>AND(IF($Q18=3,1,0),IF($X18&lt;30,1,0))</formula>
    </cfRule>
    <cfRule type="expression" priority="1799" dxfId="0">
      <formula>AND(IF($Q18=3,1,IF($Q18=4,1,0)),IF($F18&lt;=85,1,0))</formula>
    </cfRule>
  </conditionalFormatting>
  <conditionalFormatting sqref="X18">
    <cfRule type="expression" priority="1792" dxfId="3">
      <formula>AND(IF(OR($Q18=1,$Q18=2),1,0),IF($X18&lt;=20,1,0))</formula>
    </cfRule>
    <cfRule type="expression" priority="1793" dxfId="2">
      <formula>AND(IF($Q18=2,1,0),IF($X18&lt;30,1,0))</formula>
    </cfRule>
    <cfRule type="expression" priority="1794" dxfId="1">
      <formula>AND(IF($Q18=3,1,0),IF($X18&lt;30,1,0))</formula>
    </cfRule>
    <cfRule type="expression" priority="1795" dxfId="0">
      <formula>AND(IF($Q18=3,1,IF($Q18=4,1,0)),IF($F18&lt;=85,1,0))</formula>
    </cfRule>
  </conditionalFormatting>
  <conditionalFormatting sqref="AI18">
    <cfRule type="expression" priority="1788" dxfId="3">
      <formula>AND(IF(OR($Q18=1,$Q18=2),1,0),IF($X18&lt;=20,1,0))</formula>
    </cfRule>
    <cfRule type="expression" priority="1789" dxfId="2">
      <formula>AND(IF($Q18=2,1,0),IF($X18&lt;30,1,0))</formula>
    </cfRule>
    <cfRule type="expression" priority="1790" dxfId="1">
      <formula>AND(IF($Q18=3,1,0),IF($X18&lt;30,1,0))</formula>
    </cfRule>
    <cfRule type="expression" priority="1791" dxfId="0">
      <formula>AND(IF($Q18=3,1,IF($Q18=4,1,0)),IF($F18&lt;=85,1,0))</formula>
    </cfRule>
  </conditionalFormatting>
  <conditionalFormatting sqref="AV19">
    <cfRule type="expression" priority="1786" dxfId="19">
      <formula>AV19="X"</formula>
    </cfRule>
    <cfRule type="expression" priority="1787" dxfId="18">
      <formula>AV19="후보"</formula>
    </cfRule>
  </conditionalFormatting>
  <conditionalFormatting sqref="AC19">
    <cfRule type="cellIs" priority="1783" operator="greaterThan" dxfId="13">
      <formula>0.9</formula>
    </cfRule>
    <cfRule type="cellIs" priority="1784" operator="greaterThan" dxfId="12">
      <formula>0.85</formula>
    </cfRule>
  </conditionalFormatting>
  <conditionalFormatting sqref="N19">
    <cfRule type="cellIs" priority="1781" operator="greaterThan" dxfId="13">
      <formula>0.9</formula>
    </cfRule>
    <cfRule type="cellIs" priority="1782" operator="greaterThan" dxfId="12">
      <formula>0.85</formula>
    </cfRule>
  </conditionalFormatting>
  <conditionalFormatting sqref="E19">
    <cfRule type="expression" priority="1777" dxfId="3">
      <formula>AND(IF(OR($Q19=1,$Q19=2),1,0),IF($X19&lt;=20,1,0))</formula>
    </cfRule>
    <cfRule type="expression" priority="1778" dxfId="2">
      <formula>AND(IF($Q19=2,1,0),IF($X19&lt;30,1,0))</formula>
    </cfRule>
    <cfRule type="expression" priority="1779" dxfId="1">
      <formula>AND(IF($Q19=3,1,0),IF($X19&lt;30,1,0))</formula>
    </cfRule>
    <cfRule type="expression" priority="1780" dxfId="0">
      <formula>AND(IF($Q19=3,1,IF($Q19=4,1,0)),IF($F19&lt;=85,1,0))</formula>
    </cfRule>
  </conditionalFormatting>
  <conditionalFormatting sqref="X19">
    <cfRule type="expression" priority="1773" dxfId="3">
      <formula>AND(IF(OR($Q19=1,$Q19=2),1,0),IF($X19&lt;=20,1,0))</formula>
    </cfRule>
    <cfRule type="expression" priority="1774" dxfId="2">
      <formula>AND(IF($Q19=2,1,0),IF($X19&lt;30,1,0))</formula>
    </cfRule>
    <cfRule type="expression" priority="1775" dxfId="1">
      <formula>AND(IF($Q19=3,1,0),IF($X19&lt;30,1,0))</formula>
    </cfRule>
    <cfRule type="expression" priority="1776" dxfId="0">
      <formula>AND(IF($Q19=3,1,IF($Q19=4,1,0)),IF($F19&lt;=85,1,0))</formula>
    </cfRule>
  </conditionalFormatting>
  <conditionalFormatting sqref="AI19">
    <cfRule type="expression" priority="1769" dxfId="3">
      <formula>AND(IF(OR($Q19=1,$Q19=2),1,0),IF($X19&lt;=20,1,0))</formula>
    </cfRule>
    <cfRule type="expression" priority="1770" dxfId="2">
      <formula>AND(IF($Q19=2,1,0),IF($X19&lt;30,1,0))</formula>
    </cfRule>
    <cfRule type="expression" priority="1771" dxfId="1">
      <formula>AND(IF($Q19=3,1,0),IF($X19&lt;30,1,0))</formula>
    </cfRule>
    <cfRule type="expression" priority="1772" dxfId="0">
      <formula>AND(IF($Q19=3,1,IF($Q19=4,1,0)),IF($F19&lt;=85,1,0))</formula>
    </cfRule>
  </conditionalFormatting>
  <conditionalFormatting sqref="AV20">
    <cfRule type="expression" priority="1767" dxfId="19">
      <formula>AV20="X"</formula>
    </cfRule>
    <cfRule type="expression" priority="1768" dxfId="18">
      <formula>AV20="후보"</formula>
    </cfRule>
  </conditionalFormatting>
  <conditionalFormatting sqref="AC20">
    <cfRule type="cellIs" priority="1764" operator="greaterThan" dxfId="13">
      <formula>0.9</formula>
    </cfRule>
    <cfRule type="cellIs" priority="1765" operator="greaterThan" dxfId="12">
      <formula>0.85</formula>
    </cfRule>
  </conditionalFormatting>
  <conditionalFormatting sqref="N20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E20">
    <cfRule type="expression" priority="1758" dxfId="3">
      <formula>AND(IF(OR($Q20=1,$Q20=2),1,0),IF($X20&lt;=20,1,0))</formula>
    </cfRule>
    <cfRule type="expression" priority="1759" dxfId="2">
      <formula>AND(IF($Q20=2,1,0),IF($X20&lt;30,1,0))</formula>
    </cfRule>
    <cfRule type="expression" priority="1760" dxfId="1">
      <formula>AND(IF($Q20=3,1,0),IF($X20&lt;30,1,0))</formula>
    </cfRule>
    <cfRule type="expression" priority="1761" dxfId="0">
      <formula>AND(IF($Q20=3,1,IF($Q20=4,1,0)),IF($F20&lt;=85,1,0))</formula>
    </cfRule>
  </conditionalFormatting>
  <conditionalFormatting sqref="X20">
    <cfRule type="expression" priority="1754" dxfId="3">
      <formula>AND(IF(OR($Q20=1,$Q20=2),1,0),IF($X20&lt;=20,1,0))</formula>
    </cfRule>
    <cfRule type="expression" priority="1755" dxfId="2">
      <formula>AND(IF($Q20=2,1,0),IF($X20&lt;30,1,0))</formula>
    </cfRule>
    <cfRule type="expression" priority="1756" dxfId="1">
      <formula>AND(IF($Q20=3,1,0),IF($X20&lt;30,1,0))</formula>
    </cfRule>
    <cfRule type="expression" priority="1757" dxfId="0">
      <formula>AND(IF($Q20=3,1,IF($Q20=4,1,0)),IF($F20&lt;=85,1,0))</formula>
    </cfRule>
  </conditionalFormatting>
  <conditionalFormatting sqref="AI20">
    <cfRule type="expression" priority="1750" dxfId="3">
      <formula>AND(IF(OR($Q20=1,$Q20=2),1,0),IF($X20&lt;=20,1,0))</formula>
    </cfRule>
    <cfRule type="expression" priority="1751" dxfId="2">
      <formula>AND(IF($Q20=2,1,0),IF($X20&lt;30,1,0))</formula>
    </cfRule>
    <cfRule type="expression" priority="1752" dxfId="1">
      <formula>AND(IF($Q20=3,1,0),IF($X20&lt;30,1,0))</formula>
    </cfRule>
    <cfRule type="expression" priority="1753" dxfId="0">
      <formula>AND(IF($Q20=3,1,IF($Q20=4,1,0)),IF($F20&lt;=85,1,0))</formula>
    </cfRule>
  </conditionalFormatting>
  <conditionalFormatting sqref="AV21">
    <cfRule type="expression" priority="1748" dxfId="19">
      <formula>AV21="X"</formula>
    </cfRule>
    <cfRule type="expression" priority="1749" dxfId="18">
      <formula>AV21="후보"</formula>
    </cfRule>
  </conditionalFormatting>
  <conditionalFormatting sqref="AC21 N21">
    <cfRule type="cellIs" priority="1745" operator="greaterThan" dxfId="13">
      <formula>0.9</formula>
    </cfRule>
    <cfRule type="cellIs" priority="1746" operator="greaterThan" dxfId="12">
      <formula>0.85</formula>
    </cfRule>
  </conditionalFormatting>
  <conditionalFormatting sqref="AV22">
    <cfRule type="expression" priority="1743" dxfId="19">
      <formula>AV22="X"</formula>
    </cfRule>
    <cfRule type="expression" priority="1744" dxfId="18">
      <formula>AV22="후보"</formula>
    </cfRule>
  </conditionalFormatting>
  <conditionalFormatting sqref="AC22">
    <cfRule type="cellIs" priority="1740" operator="greaterThan" dxfId="13">
      <formula>0.9</formula>
    </cfRule>
    <cfRule type="cellIs" priority="1741" operator="greaterThan" dxfId="12">
      <formula>0.85</formula>
    </cfRule>
  </conditionalFormatting>
  <conditionalFormatting sqref="N22">
    <cfRule type="cellIs" priority="1738" operator="greaterThan" dxfId="13">
      <formula>0.9</formula>
    </cfRule>
    <cfRule type="cellIs" priority="1739" operator="greaterThan" dxfId="12">
      <formula>0.85</formula>
    </cfRule>
  </conditionalFormatting>
  <conditionalFormatting sqref="E22">
    <cfRule type="expression" priority="1734" dxfId="3">
      <formula>AND(IF(OR($Q22=1,$Q22=2),1,0),IF($X22&lt;=20,1,0))</formula>
    </cfRule>
    <cfRule type="expression" priority="1735" dxfId="2">
      <formula>AND(IF($Q22=2,1,0),IF($X22&lt;30,1,0))</formula>
    </cfRule>
    <cfRule type="expression" priority="1736" dxfId="1">
      <formula>AND(IF($Q22=3,1,0),IF($X22&lt;30,1,0))</formula>
    </cfRule>
    <cfRule type="expression" priority="1737" dxfId="0">
      <formula>AND(IF($Q22=3,1,IF($Q22=4,1,0)),IF($F22&lt;=85,1,0))</formula>
    </cfRule>
  </conditionalFormatting>
  <conditionalFormatting sqref="X22">
    <cfRule type="expression" priority="1730" dxfId="3">
      <formula>AND(IF(OR($Q22=1,$Q22=2),1,0),IF($X22&lt;=20,1,0))</formula>
    </cfRule>
    <cfRule type="expression" priority="1731" dxfId="2">
      <formula>AND(IF($Q22=2,1,0),IF($X22&lt;30,1,0))</formula>
    </cfRule>
    <cfRule type="expression" priority="1732" dxfId="1">
      <formula>AND(IF($Q22=3,1,0),IF($X22&lt;30,1,0))</formula>
    </cfRule>
    <cfRule type="expression" priority="1733" dxfId="0">
      <formula>AND(IF($Q22=3,1,IF($Q22=4,1,0)),IF($F22&lt;=85,1,0))</formula>
    </cfRule>
  </conditionalFormatting>
  <conditionalFormatting sqref="AI22">
    <cfRule type="expression" priority="1726" dxfId="3">
      <formula>AND(IF(OR($Q22=1,$Q22=2),1,0),IF($X22&lt;=20,1,0))</formula>
    </cfRule>
    <cfRule type="expression" priority="1727" dxfId="2">
      <formula>AND(IF($Q22=2,1,0),IF($X22&lt;30,1,0))</formula>
    </cfRule>
    <cfRule type="expression" priority="1728" dxfId="1">
      <formula>AND(IF($Q22=3,1,0),IF($X22&lt;30,1,0))</formula>
    </cfRule>
    <cfRule type="expression" priority="1729" dxfId="0">
      <formula>AND(IF($Q22=3,1,IF($Q22=4,1,0)),IF($F22&lt;=85,1,0))</formula>
    </cfRule>
  </conditionalFormatting>
  <conditionalFormatting sqref="AV23">
    <cfRule type="expression" priority="1724" dxfId="19">
      <formula>AV23="X"</formula>
    </cfRule>
    <cfRule type="expression" priority="1725" dxfId="18">
      <formula>AV23="후보"</formula>
    </cfRule>
  </conditionalFormatting>
  <conditionalFormatting sqref="AC23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N23">
    <cfRule type="cellIs" priority="1719" operator="greaterThan" dxfId="13">
      <formula>0.9</formula>
    </cfRule>
    <cfRule type="cellIs" priority="1720" operator="greaterThan" dxfId="12">
      <formula>0.85</formula>
    </cfRule>
  </conditionalFormatting>
  <conditionalFormatting sqref="E23">
    <cfRule type="expression" priority="1715" dxfId="3">
      <formula>AND(IF(OR($Q23=1,$Q23=2),1,0),IF($X23&lt;=20,1,0))</formula>
    </cfRule>
    <cfRule type="expression" priority="1716" dxfId="2">
      <formula>AND(IF($Q23=2,1,0),IF($X23&lt;30,1,0))</formula>
    </cfRule>
    <cfRule type="expression" priority="1717" dxfId="1">
      <formula>AND(IF($Q23=3,1,0),IF($X23&lt;30,1,0))</formula>
    </cfRule>
    <cfRule type="expression" priority="1718" dxfId="0">
      <formula>AND(IF($Q23=3,1,IF($Q23=4,1,0)),IF($F23&lt;=85,1,0))</formula>
    </cfRule>
  </conditionalFormatting>
  <conditionalFormatting sqref="X23">
    <cfRule type="expression" priority="1711" dxfId="3">
      <formula>AND(IF(OR($Q23=1,$Q23=2),1,0),IF($X23&lt;=20,1,0))</formula>
    </cfRule>
    <cfRule type="expression" priority="1712" dxfId="2">
      <formula>AND(IF($Q23=2,1,0),IF($X23&lt;30,1,0))</formula>
    </cfRule>
    <cfRule type="expression" priority="1713" dxfId="1">
      <formula>AND(IF($Q23=3,1,0),IF($X23&lt;30,1,0))</formula>
    </cfRule>
    <cfRule type="expression" priority="1714" dxfId="0">
      <formula>AND(IF($Q23=3,1,IF($Q23=4,1,0)),IF($F23&lt;=85,1,0))</formula>
    </cfRule>
  </conditionalFormatting>
  <conditionalFormatting sqref="AI23">
    <cfRule type="expression" priority="1707" dxfId="3">
      <formula>AND(IF(OR($Q23=1,$Q23=2),1,0),IF($X23&lt;=20,1,0))</formula>
    </cfRule>
    <cfRule type="expression" priority="1708" dxfId="2">
      <formula>AND(IF($Q23=2,1,0),IF($X23&lt;30,1,0))</formula>
    </cfRule>
    <cfRule type="expression" priority="1709" dxfId="1">
      <formula>AND(IF($Q23=3,1,0),IF($X23&lt;30,1,0))</formula>
    </cfRule>
    <cfRule type="expression" priority="1710" dxfId="0">
      <formula>AND(IF($Q23=3,1,IF($Q23=4,1,0)),IF($F23&lt;=85,1,0))</formula>
    </cfRule>
  </conditionalFormatting>
  <conditionalFormatting sqref="AV24">
    <cfRule type="expression" priority="1705" dxfId="19">
      <formula>AV24="X"</formula>
    </cfRule>
    <cfRule type="expression" priority="1706" dxfId="18">
      <formula>AV24="후보"</formula>
    </cfRule>
  </conditionalFormatting>
  <conditionalFormatting sqref="AC24 N24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AV25">
    <cfRule type="expression" priority="1700" dxfId="19">
      <formula>AV25="X"</formula>
    </cfRule>
    <cfRule type="expression" priority="1701" dxfId="18">
      <formula>AV25="후보"</formula>
    </cfRule>
  </conditionalFormatting>
  <conditionalFormatting sqref="AC25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N25">
    <cfRule type="cellIs" priority="1695" operator="greaterThan" dxfId="13">
      <formula>0.9</formula>
    </cfRule>
    <cfRule type="cellIs" priority="1696" operator="greaterThan" dxfId="12">
      <formula>0.85</formula>
    </cfRule>
  </conditionalFormatting>
  <conditionalFormatting sqref="E25">
    <cfRule type="expression" priority="1691" dxfId="3">
      <formula>AND(IF(OR($Q25=1,$Q25=2),1,0),IF($X25&lt;=20,1,0))</formula>
    </cfRule>
    <cfRule type="expression" priority="1692" dxfId="2">
      <formula>AND(IF($Q25=2,1,0),IF($X25&lt;30,1,0))</formula>
    </cfRule>
    <cfRule type="expression" priority="1693" dxfId="1">
      <formula>AND(IF($Q25=3,1,0),IF($X25&lt;30,1,0))</formula>
    </cfRule>
    <cfRule type="expression" priority="1694" dxfId="0">
      <formula>AND(IF($Q25=3,1,IF($Q25=4,1,0)),IF($F25&lt;=85,1,0))</formula>
    </cfRule>
  </conditionalFormatting>
  <conditionalFormatting sqref="X25">
    <cfRule type="expression" priority="1687" dxfId="3">
      <formula>AND(IF(OR($Q25=1,$Q25=2),1,0),IF($X25&lt;=20,1,0))</formula>
    </cfRule>
    <cfRule type="expression" priority="1688" dxfId="2">
      <formula>AND(IF($Q25=2,1,0),IF($X25&lt;30,1,0))</formula>
    </cfRule>
    <cfRule type="expression" priority="1689" dxfId="1">
      <formula>AND(IF($Q25=3,1,0),IF($X25&lt;30,1,0))</formula>
    </cfRule>
    <cfRule type="expression" priority="1690" dxfId="0">
      <formula>AND(IF($Q25=3,1,IF($Q25=4,1,0)),IF($F25&lt;=85,1,0))</formula>
    </cfRule>
  </conditionalFormatting>
  <conditionalFormatting sqref="AI25">
    <cfRule type="expression" priority="1683" dxfId="3">
      <formula>AND(IF(OR($Q25=1,$Q25=2),1,0),IF($X25&lt;=20,1,0))</formula>
    </cfRule>
    <cfRule type="expression" priority="1684" dxfId="2">
      <formula>AND(IF($Q25=2,1,0),IF($X25&lt;30,1,0))</formula>
    </cfRule>
    <cfRule type="expression" priority="1685" dxfId="1">
      <formula>AND(IF($Q25=3,1,0),IF($X25&lt;30,1,0))</formula>
    </cfRule>
    <cfRule type="expression" priority="1686" dxfId="0">
      <formula>AND(IF($Q25=3,1,IF($Q25=4,1,0)),IF($F25&lt;=85,1,0))</formula>
    </cfRule>
  </conditionalFormatting>
  <conditionalFormatting sqref="AV26">
    <cfRule type="expression" priority="1681" dxfId="19">
      <formula>AV26="X"</formula>
    </cfRule>
    <cfRule type="expression" priority="1682" dxfId="18">
      <formula>AV26="후보"</formula>
    </cfRule>
  </conditionalFormatting>
  <conditionalFormatting sqref="AC26">
    <cfRule type="cellIs" priority="1678" operator="greaterThan" dxfId="13">
      <formula>0.9</formula>
    </cfRule>
    <cfRule type="cellIs" priority="1679" operator="greaterThan" dxfId="12">
      <formula>0.85</formula>
    </cfRule>
  </conditionalFormatting>
  <conditionalFormatting sqref="N26">
    <cfRule type="cellIs" priority="1676" operator="greaterThan" dxfId="13">
      <formula>0.9</formula>
    </cfRule>
    <cfRule type="cellIs" priority="1677" operator="greaterThan" dxfId="12">
      <formula>0.85</formula>
    </cfRule>
  </conditionalFormatting>
  <conditionalFormatting sqref="E26">
    <cfRule type="expression" priority="1672" dxfId="3">
      <formula>AND(IF(OR($Q26=1,$Q26=2),1,0),IF($X26&lt;=20,1,0))</formula>
    </cfRule>
    <cfRule type="expression" priority="1673" dxfId="2">
      <formula>AND(IF($Q26=2,1,0),IF($X26&lt;30,1,0))</formula>
    </cfRule>
    <cfRule type="expression" priority="1674" dxfId="1">
      <formula>AND(IF($Q26=3,1,0),IF($X26&lt;30,1,0))</formula>
    </cfRule>
    <cfRule type="expression" priority="1675" dxfId="0">
      <formula>AND(IF($Q26=3,1,IF($Q26=4,1,0)),IF($F26&lt;=85,1,0))</formula>
    </cfRule>
  </conditionalFormatting>
  <conditionalFormatting sqref="X26">
    <cfRule type="expression" priority="1668" dxfId="3">
      <formula>AND(IF(OR($Q26=1,$Q26=2),1,0),IF($X26&lt;=20,1,0))</formula>
    </cfRule>
    <cfRule type="expression" priority="1669" dxfId="2">
      <formula>AND(IF($Q26=2,1,0),IF($X26&lt;30,1,0))</formula>
    </cfRule>
    <cfRule type="expression" priority="1670" dxfId="1">
      <formula>AND(IF($Q26=3,1,0),IF($X26&lt;30,1,0))</formula>
    </cfRule>
    <cfRule type="expression" priority="1671" dxfId="0">
      <formula>AND(IF($Q26=3,1,IF($Q26=4,1,0)),IF($F26&lt;=85,1,0))</formula>
    </cfRule>
  </conditionalFormatting>
  <conditionalFormatting sqref="AI26">
    <cfRule type="expression" priority="1664" dxfId="3">
      <formula>AND(IF(OR($Q26=1,$Q26=2),1,0),IF($X26&lt;=20,1,0))</formula>
    </cfRule>
    <cfRule type="expression" priority="1665" dxfId="2">
      <formula>AND(IF($Q26=2,1,0),IF($X26&lt;30,1,0))</formula>
    </cfRule>
    <cfRule type="expression" priority="1666" dxfId="1">
      <formula>AND(IF($Q26=3,1,0),IF($X26&lt;30,1,0))</formula>
    </cfRule>
    <cfRule type="expression" priority="1667" dxfId="0">
      <formula>AND(IF($Q26=3,1,IF($Q26=4,1,0)),IF($F26&lt;=85,1,0))</formula>
    </cfRule>
  </conditionalFormatting>
  <conditionalFormatting sqref="AV27">
    <cfRule type="expression" priority="1662" dxfId="19">
      <formula>AV27="X"</formula>
    </cfRule>
    <cfRule type="expression" priority="1663" dxfId="18">
      <formula>AV27="후보"</formula>
    </cfRule>
  </conditionalFormatting>
  <conditionalFormatting sqref="AC27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N27">
    <cfRule type="cellIs" priority="1657" operator="greaterThan" dxfId="13">
      <formula>0.9</formula>
    </cfRule>
    <cfRule type="cellIs" priority="1658" operator="greaterThan" dxfId="12">
      <formula>0.85</formula>
    </cfRule>
  </conditionalFormatting>
  <conditionalFormatting sqref="E27">
    <cfRule type="expression" priority="1653" dxfId="3">
      <formula>AND(IF(OR($Q27=1,$Q27=2),1,0),IF($X27&lt;=20,1,0))</formula>
    </cfRule>
    <cfRule type="expression" priority="1654" dxfId="2">
      <formula>AND(IF($Q27=2,1,0),IF($X27&lt;30,1,0))</formula>
    </cfRule>
    <cfRule type="expression" priority="1655" dxfId="1">
      <formula>AND(IF($Q27=3,1,0),IF($X27&lt;30,1,0))</formula>
    </cfRule>
    <cfRule type="expression" priority="1656" dxfId="0">
      <formula>AND(IF($Q27=3,1,IF($Q27=4,1,0)),IF($F27&lt;=85,1,0))</formula>
    </cfRule>
  </conditionalFormatting>
  <conditionalFormatting sqref="X27">
    <cfRule type="expression" priority="1649" dxfId="3">
      <formula>AND(IF(OR($Q27=1,$Q27=2),1,0),IF($X27&lt;=20,1,0))</formula>
    </cfRule>
    <cfRule type="expression" priority="1650" dxfId="2">
      <formula>AND(IF($Q27=2,1,0),IF($X27&lt;30,1,0))</formula>
    </cfRule>
    <cfRule type="expression" priority="1651" dxfId="1">
      <formula>AND(IF($Q27=3,1,0),IF($X27&lt;30,1,0))</formula>
    </cfRule>
    <cfRule type="expression" priority="1652" dxfId="0">
      <formula>AND(IF($Q27=3,1,IF($Q27=4,1,0)),IF($F27&lt;=85,1,0))</formula>
    </cfRule>
  </conditionalFormatting>
  <conditionalFormatting sqref="AI27">
    <cfRule type="expression" priority="1645" dxfId="3">
      <formula>AND(IF(OR($Q27=1,$Q27=2),1,0),IF($X27&lt;=20,1,0))</formula>
    </cfRule>
    <cfRule type="expression" priority="1646" dxfId="2">
      <formula>AND(IF($Q27=2,1,0),IF($X27&lt;30,1,0))</formula>
    </cfRule>
    <cfRule type="expression" priority="1647" dxfId="1">
      <formula>AND(IF($Q27=3,1,0),IF($X27&lt;30,1,0))</formula>
    </cfRule>
    <cfRule type="expression" priority="1648" dxfId="0">
      <formula>AND(IF($Q27=3,1,IF($Q27=4,1,0)),IF($F27&lt;=85,1,0))</formula>
    </cfRule>
  </conditionalFormatting>
  <conditionalFormatting sqref="AV28">
    <cfRule type="expression" priority="1643" dxfId="19">
      <formula>AV28="X"</formula>
    </cfRule>
    <cfRule type="expression" priority="1644" dxfId="18">
      <formula>AV28="후보"</formula>
    </cfRule>
  </conditionalFormatting>
  <conditionalFormatting sqref="AC28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N28">
    <cfRule type="cellIs" priority="1638" operator="greaterThan" dxfId="13">
      <formula>0.9</formula>
    </cfRule>
    <cfRule type="cellIs" priority="1639" operator="greaterThan" dxfId="12">
      <formula>0.85</formula>
    </cfRule>
  </conditionalFormatting>
  <conditionalFormatting sqref="E28">
    <cfRule type="expression" priority="1634" dxfId="3">
      <formula>AND(IF(OR($Q28=1,$Q28=2),1,0),IF($X28&lt;=20,1,0))</formula>
    </cfRule>
    <cfRule type="expression" priority="1635" dxfId="2">
      <formula>AND(IF($Q28=2,1,0),IF($X28&lt;30,1,0))</formula>
    </cfRule>
    <cfRule type="expression" priority="1636" dxfId="1">
      <formula>AND(IF($Q28=3,1,0),IF($X28&lt;30,1,0))</formula>
    </cfRule>
    <cfRule type="expression" priority="1637" dxfId="0">
      <formula>AND(IF($Q28=3,1,IF($Q28=4,1,0)),IF($F28&lt;=85,1,0))</formula>
    </cfRule>
  </conditionalFormatting>
  <conditionalFormatting sqref="X28">
    <cfRule type="expression" priority="1630" dxfId="3">
      <formula>AND(IF(OR($Q28=1,$Q28=2),1,0),IF($X28&lt;=20,1,0))</formula>
    </cfRule>
    <cfRule type="expression" priority="1631" dxfId="2">
      <formula>AND(IF($Q28=2,1,0),IF($X28&lt;30,1,0))</formula>
    </cfRule>
    <cfRule type="expression" priority="1632" dxfId="1">
      <formula>AND(IF($Q28=3,1,0),IF($X28&lt;30,1,0))</formula>
    </cfRule>
    <cfRule type="expression" priority="1633" dxfId="0">
      <formula>AND(IF($Q28=3,1,IF($Q28=4,1,0)),IF($F28&lt;=85,1,0))</formula>
    </cfRule>
  </conditionalFormatting>
  <conditionalFormatting sqref="AI28">
    <cfRule type="expression" priority="1626" dxfId="3">
      <formula>AND(IF(OR($Q28=1,$Q28=2),1,0),IF($X28&lt;=20,1,0))</formula>
    </cfRule>
    <cfRule type="expression" priority="1627" dxfId="2">
      <formula>AND(IF($Q28=2,1,0),IF($X28&lt;30,1,0))</formula>
    </cfRule>
    <cfRule type="expression" priority="1628" dxfId="1">
      <formula>AND(IF($Q28=3,1,0),IF($X28&lt;30,1,0))</formula>
    </cfRule>
    <cfRule type="expression" priority="1629" dxfId="0">
      <formula>AND(IF($Q28=3,1,IF($Q28=4,1,0)),IF($F28&lt;=85,1,0))</formula>
    </cfRule>
  </conditionalFormatting>
  <conditionalFormatting sqref="AV29">
    <cfRule type="expression" priority="1624" dxfId="19">
      <formula>AV29="X"</formula>
    </cfRule>
    <cfRule type="expression" priority="1625" dxfId="18">
      <formula>AV29="후보"</formula>
    </cfRule>
  </conditionalFormatting>
  <conditionalFormatting sqref="AC29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N29">
    <cfRule type="cellIs" priority="1619" operator="greaterThan" dxfId="13">
      <formula>0.9</formula>
    </cfRule>
    <cfRule type="cellIs" priority="1620" operator="greaterThan" dxfId="12">
      <formula>0.85</formula>
    </cfRule>
  </conditionalFormatting>
  <conditionalFormatting sqref="E29">
    <cfRule type="expression" priority="1615" dxfId="3">
      <formula>AND(IF(OR($Q29=1,$Q29=2),1,0),IF($X29&lt;=20,1,0))</formula>
    </cfRule>
    <cfRule type="expression" priority="1616" dxfId="2">
      <formula>AND(IF($Q29=2,1,0),IF($X29&lt;30,1,0))</formula>
    </cfRule>
    <cfRule type="expression" priority="1617" dxfId="1">
      <formula>AND(IF($Q29=3,1,0),IF($X29&lt;30,1,0))</formula>
    </cfRule>
    <cfRule type="expression" priority="1618" dxfId="0">
      <formula>AND(IF($Q29=3,1,IF($Q29=4,1,0)),IF($F29&lt;=85,1,0))</formula>
    </cfRule>
  </conditionalFormatting>
  <conditionalFormatting sqref="X29">
    <cfRule type="expression" priority="1611" dxfId="3">
      <formula>AND(IF(OR($Q29=1,$Q29=2),1,0),IF($X29&lt;=20,1,0))</formula>
    </cfRule>
    <cfRule type="expression" priority="1612" dxfId="2">
      <formula>AND(IF($Q29=2,1,0),IF($X29&lt;30,1,0))</formula>
    </cfRule>
    <cfRule type="expression" priority="1613" dxfId="1">
      <formula>AND(IF($Q29=3,1,0),IF($X29&lt;30,1,0))</formula>
    </cfRule>
    <cfRule type="expression" priority="1614" dxfId="0">
      <formula>AND(IF($Q29=3,1,IF($Q29=4,1,0)),IF($F29&lt;=85,1,0))</formula>
    </cfRule>
  </conditionalFormatting>
  <conditionalFormatting sqref="AI29">
    <cfRule type="expression" priority="1607" dxfId="3">
      <formula>AND(IF(OR($Q29=1,$Q29=2),1,0),IF($X29&lt;=20,1,0))</formula>
    </cfRule>
    <cfRule type="expression" priority="1608" dxfId="2">
      <formula>AND(IF($Q29=2,1,0),IF($X29&lt;30,1,0))</formula>
    </cfRule>
    <cfRule type="expression" priority="1609" dxfId="1">
      <formula>AND(IF($Q29=3,1,0),IF($X29&lt;30,1,0))</formula>
    </cfRule>
    <cfRule type="expression" priority="1610" dxfId="0">
      <formula>AND(IF($Q29=3,1,IF($Q29=4,1,0)),IF($F29&lt;=85,1,0))</formula>
    </cfRule>
  </conditionalFormatting>
  <conditionalFormatting sqref="AV30">
    <cfRule type="expression" priority="1605" dxfId="19">
      <formula>AV30="X"</formula>
    </cfRule>
    <cfRule type="expression" priority="1606" dxfId="18">
      <formula>AV30="후보"</formula>
    </cfRule>
  </conditionalFormatting>
  <conditionalFormatting sqref="AC30 N30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AV31">
    <cfRule type="expression" priority="1600" dxfId="19">
      <formula>AV31="X"</formula>
    </cfRule>
    <cfRule type="expression" priority="1601" dxfId="18">
      <formula>AV31="후보"</formula>
    </cfRule>
  </conditionalFormatting>
  <conditionalFormatting sqref="AC31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31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E31">
    <cfRule type="expression" priority="1591" dxfId="3">
      <formula>AND(IF(OR($Q31=1,$Q31=2),1,0),IF($X31&lt;=20,1,0))</formula>
    </cfRule>
    <cfRule type="expression" priority="1592" dxfId="2">
      <formula>AND(IF($Q31=2,1,0),IF($X31&lt;30,1,0))</formula>
    </cfRule>
    <cfRule type="expression" priority="1593" dxfId="1">
      <formula>AND(IF($Q31=3,1,0),IF($X31&lt;30,1,0))</formula>
    </cfRule>
    <cfRule type="expression" priority="1594" dxfId="0">
      <formula>AND(IF($Q31=3,1,IF($Q31=4,1,0)),IF($F31&lt;=85,1,0))</formula>
    </cfRule>
  </conditionalFormatting>
  <conditionalFormatting sqref="X31">
    <cfRule type="expression" priority="1587" dxfId="3">
      <formula>AND(IF(OR($Q31=1,$Q31=2),1,0),IF($X31&lt;=20,1,0))</formula>
    </cfRule>
    <cfRule type="expression" priority="1588" dxfId="2">
      <formula>AND(IF($Q31=2,1,0),IF($X31&lt;30,1,0))</formula>
    </cfRule>
    <cfRule type="expression" priority="1589" dxfId="1">
      <formula>AND(IF($Q31=3,1,0),IF($X31&lt;30,1,0))</formula>
    </cfRule>
    <cfRule type="expression" priority="1590" dxfId="0">
      <formula>AND(IF($Q31=3,1,IF($Q31=4,1,0)),IF($F31&lt;=85,1,0))</formula>
    </cfRule>
  </conditionalFormatting>
  <conditionalFormatting sqref="AI31">
    <cfRule type="expression" priority="1583" dxfId="3">
      <formula>AND(IF(OR($Q31=1,$Q31=2),1,0),IF($X31&lt;=20,1,0))</formula>
    </cfRule>
    <cfRule type="expression" priority="1584" dxfId="2">
      <formula>AND(IF($Q31=2,1,0),IF($X31&lt;30,1,0))</formula>
    </cfRule>
    <cfRule type="expression" priority="1585" dxfId="1">
      <formula>AND(IF($Q31=3,1,0),IF($X31&lt;30,1,0))</formula>
    </cfRule>
    <cfRule type="expression" priority="1586" dxfId="0">
      <formula>AND(IF($Q31=3,1,IF($Q31=4,1,0)),IF($F31&lt;=85,1,0))</formula>
    </cfRule>
  </conditionalFormatting>
  <conditionalFormatting sqref="AV32">
    <cfRule type="expression" priority="1581" dxfId="19">
      <formula>AV32="X"</formula>
    </cfRule>
    <cfRule type="expression" priority="1582" dxfId="18">
      <formula>AV32="후보"</formula>
    </cfRule>
  </conditionalFormatting>
  <conditionalFormatting sqref="AC32">
    <cfRule type="cellIs" priority="1578" operator="greaterThan" dxfId="13">
      <formula>0.9</formula>
    </cfRule>
    <cfRule type="cellIs" priority="1579" operator="greaterThan" dxfId="12">
      <formula>0.85</formula>
    </cfRule>
  </conditionalFormatting>
  <conditionalFormatting sqref="N32">
    <cfRule type="cellIs" priority="1576" operator="greaterThan" dxfId="13">
      <formula>0.9</formula>
    </cfRule>
    <cfRule type="cellIs" priority="1577" operator="greaterThan" dxfId="12">
      <formula>0.85</formula>
    </cfRule>
  </conditionalFormatting>
  <conditionalFormatting sqref="E32">
    <cfRule type="expression" priority="1572" dxfId="3">
      <formula>AND(IF(OR($Q32=1,$Q32=2),1,0),IF($X32&lt;=20,1,0))</formula>
    </cfRule>
    <cfRule type="expression" priority="1573" dxfId="2">
      <formula>AND(IF($Q32=2,1,0),IF($X32&lt;30,1,0))</formula>
    </cfRule>
    <cfRule type="expression" priority="1574" dxfId="1">
      <formula>AND(IF($Q32=3,1,0),IF($X32&lt;30,1,0))</formula>
    </cfRule>
    <cfRule type="expression" priority="1575" dxfId="0">
      <formula>AND(IF($Q32=3,1,IF($Q32=4,1,0)),IF($F32&lt;=85,1,0))</formula>
    </cfRule>
  </conditionalFormatting>
  <conditionalFormatting sqref="X32">
    <cfRule type="expression" priority="1568" dxfId="3">
      <formula>AND(IF(OR($Q32=1,$Q32=2),1,0),IF($X32&lt;=20,1,0))</formula>
    </cfRule>
    <cfRule type="expression" priority="1569" dxfId="2">
      <formula>AND(IF($Q32=2,1,0),IF($X32&lt;30,1,0))</formula>
    </cfRule>
    <cfRule type="expression" priority="1570" dxfId="1">
      <formula>AND(IF($Q32=3,1,0),IF($X32&lt;30,1,0))</formula>
    </cfRule>
    <cfRule type="expression" priority="1571" dxfId="0">
      <formula>AND(IF($Q32=3,1,IF($Q32=4,1,0)),IF($F32&lt;=85,1,0))</formula>
    </cfRule>
  </conditionalFormatting>
  <conditionalFormatting sqref="AI32">
    <cfRule type="expression" priority="1564" dxfId="3">
      <formula>AND(IF(OR($Q32=1,$Q32=2),1,0),IF($X32&lt;=20,1,0))</formula>
    </cfRule>
    <cfRule type="expression" priority="1565" dxfId="2">
      <formula>AND(IF($Q32=2,1,0),IF($X32&lt;30,1,0))</formula>
    </cfRule>
    <cfRule type="expression" priority="1566" dxfId="1">
      <formula>AND(IF($Q32=3,1,0),IF($X32&lt;30,1,0))</formula>
    </cfRule>
    <cfRule type="expression" priority="1567" dxfId="0">
      <formula>AND(IF($Q32=3,1,IF($Q32=4,1,0)),IF($F32&lt;=85,1,0))</formula>
    </cfRule>
  </conditionalFormatting>
  <conditionalFormatting sqref="AV33">
    <cfRule type="expression" priority="1562" dxfId="19">
      <formula>AV33="X"</formula>
    </cfRule>
    <cfRule type="expression" priority="1563" dxfId="18">
      <formula>AV33="후보"</formula>
    </cfRule>
  </conditionalFormatting>
  <conditionalFormatting sqref="AC33 N33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AV34">
    <cfRule type="expression" priority="1557" dxfId="19">
      <formula>AV34="X"</formula>
    </cfRule>
    <cfRule type="expression" priority="1558" dxfId="18">
      <formula>AV34="후보"</formula>
    </cfRule>
  </conditionalFormatting>
  <conditionalFormatting sqref="AC34">
    <cfRule type="cellIs" priority="1554" operator="greaterThan" dxfId="13">
      <formula>0.9</formula>
    </cfRule>
    <cfRule type="cellIs" priority="1555" operator="greaterThan" dxfId="12">
      <formula>0.85</formula>
    </cfRule>
  </conditionalFormatting>
  <conditionalFormatting sqref="N34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E34">
    <cfRule type="expression" priority="1548" dxfId="3">
      <formula>AND(IF(OR($Q34=1,$Q34=2),1,0),IF($X34&lt;=20,1,0))</formula>
    </cfRule>
    <cfRule type="expression" priority="1549" dxfId="2">
      <formula>AND(IF($Q34=2,1,0),IF($X34&lt;30,1,0))</formula>
    </cfRule>
    <cfRule type="expression" priority="1550" dxfId="1">
      <formula>AND(IF($Q34=3,1,0),IF($X34&lt;30,1,0))</formula>
    </cfRule>
    <cfRule type="expression" priority="1551" dxfId="0">
      <formula>AND(IF($Q34=3,1,IF($Q34=4,1,0)),IF($F34&lt;=85,1,0))</formula>
    </cfRule>
  </conditionalFormatting>
  <conditionalFormatting sqref="X34">
    <cfRule type="expression" priority="1544" dxfId="3">
      <formula>AND(IF(OR($Q34=1,$Q34=2),1,0),IF($X34&lt;=20,1,0))</formula>
    </cfRule>
    <cfRule type="expression" priority="1545" dxfId="2">
      <formula>AND(IF($Q34=2,1,0),IF($X34&lt;30,1,0))</formula>
    </cfRule>
    <cfRule type="expression" priority="1546" dxfId="1">
      <formula>AND(IF($Q34=3,1,0),IF($X34&lt;30,1,0))</formula>
    </cfRule>
    <cfRule type="expression" priority="1547" dxfId="0">
      <formula>AND(IF($Q34=3,1,IF($Q34=4,1,0)),IF($F34&lt;=85,1,0))</formula>
    </cfRule>
  </conditionalFormatting>
  <conditionalFormatting sqref="AI34">
    <cfRule type="expression" priority="1540" dxfId="3">
      <formula>AND(IF(OR($Q34=1,$Q34=2),1,0),IF($X34&lt;=20,1,0))</formula>
    </cfRule>
    <cfRule type="expression" priority="1541" dxfId="2">
      <formula>AND(IF($Q34=2,1,0),IF($X34&lt;30,1,0))</formula>
    </cfRule>
    <cfRule type="expression" priority="1542" dxfId="1">
      <formula>AND(IF($Q34=3,1,0),IF($X34&lt;30,1,0))</formula>
    </cfRule>
    <cfRule type="expression" priority="1543" dxfId="0">
      <formula>AND(IF($Q34=3,1,IF($Q34=4,1,0)),IF($F34&lt;=85,1,0))</formula>
    </cfRule>
  </conditionalFormatting>
  <conditionalFormatting sqref="AV35">
    <cfRule type="expression" priority="1538" dxfId="19">
      <formula>AV35="X"</formula>
    </cfRule>
    <cfRule type="expression" priority="1539" dxfId="18">
      <formula>AV35="후보"</formula>
    </cfRule>
  </conditionalFormatting>
  <conditionalFormatting sqref="AC35">
    <cfRule type="cellIs" priority="1535" operator="greaterThan" dxfId="13">
      <formula>0.9</formula>
    </cfRule>
    <cfRule type="cellIs" priority="1536" operator="greaterThan" dxfId="12">
      <formula>0.85</formula>
    </cfRule>
  </conditionalFormatting>
  <conditionalFormatting sqref="N35">
    <cfRule type="cellIs" priority="1533" operator="greaterThan" dxfId="13">
      <formula>0.9</formula>
    </cfRule>
    <cfRule type="cellIs" priority="1534" operator="greaterThan" dxfId="12">
      <formula>0.85</formula>
    </cfRule>
  </conditionalFormatting>
  <conditionalFormatting sqref="E35">
    <cfRule type="expression" priority="1529" dxfId="3">
      <formula>AND(IF(OR($Q35=1,$Q35=2),1,0),IF($X35&lt;=20,1,0))</formula>
    </cfRule>
    <cfRule type="expression" priority="1530" dxfId="2">
      <formula>AND(IF($Q35=2,1,0),IF($X35&lt;30,1,0))</formula>
    </cfRule>
    <cfRule type="expression" priority="1531" dxfId="1">
      <formula>AND(IF($Q35=3,1,0),IF($X35&lt;30,1,0))</formula>
    </cfRule>
    <cfRule type="expression" priority="1532" dxfId="0">
      <formula>AND(IF($Q35=3,1,IF($Q35=4,1,0)),IF($F35&lt;=85,1,0))</formula>
    </cfRule>
  </conditionalFormatting>
  <conditionalFormatting sqref="X35">
    <cfRule type="expression" priority="1525" dxfId="3">
      <formula>AND(IF(OR($Q35=1,$Q35=2),1,0),IF($X35&lt;=20,1,0))</formula>
    </cfRule>
    <cfRule type="expression" priority="1526" dxfId="2">
      <formula>AND(IF($Q35=2,1,0),IF($X35&lt;30,1,0))</formula>
    </cfRule>
    <cfRule type="expression" priority="1527" dxfId="1">
      <formula>AND(IF($Q35=3,1,0),IF($X35&lt;30,1,0))</formula>
    </cfRule>
    <cfRule type="expression" priority="1528" dxfId="0">
      <formula>AND(IF($Q35=3,1,IF($Q35=4,1,0)),IF($F35&lt;=85,1,0))</formula>
    </cfRule>
  </conditionalFormatting>
  <conditionalFormatting sqref="AI35">
    <cfRule type="expression" priority="1521" dxfId="3">
      <formula>AND(IF(OR($Q35=1,$Q35=2),1,0),IF($X35&lt;=20,1,0))</formula>
    </cfRule>
    <cfRule type="expression" priority="1522" dxfId="2">
      <formula>AND(IF($Q35=2,1,0),IF($X35&lt;30,1,0))</formula>
    </cfRule>
    <cfRule type="expression" priority="1523" dxfId="1">
      <formula>AND(IF($Q35=3,1,0),IF($X35&lt;30,1,0))</formula>
    </cfRule>
    <cfRule type="expression" priority="1524" dxfId="0">
      <formula>AND(IF($Q35=3,1,IF($Q35=4,1,0)),IF($F35&lt;=85,1,0))</formula>
    </cfRule>
  </conditionalFormatting>
  <conditionalFormatting sqref="AV36">
    <cfRule type="expression" priority="1519" dxfId="19">
      <formula>AV36="X"</formula>
    </cfRule>
    <cfRule type="expression" priority="1520" dxfId="18">
      <formula>AV36="후보"</formula>
    </cfRule>
  </conditionalFormatting>
  <conditionalFormatting sqref="AC36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N36">
    <cfRule type="cellIs" priority="1514" operator="greaterThan" dxfId="13">
      <formula>0.9</formula>
    </cfRule>
    <cfRule type="cellIs" priority="1515" operator="greaterThan" dxfId="12">
      <formula>0.85</formula>
    </cfRule>
  </conditionalFormatting>
  <conditionalFormatting sqref="E36">
    <cfRule type="expression" priority="1510" dxfId="3">
      <formula>AND(IF(OR($Q36=1,$Q36=2),1,0),IF($X36&lt;=20,1,0))</formula>
    </cfRule>
    <cfRule type="expression" priority="1511" dxfId="2">
      <formula>AND(IF($Q36=2,1,0),IF($X36&lt;30,1,0))</formula>
    </cfRule>
    <cfRule type="expression" priority="1512" dxfId="1">
      <formula>AND(IF($Q36=3,1,0),IF($X36&lt;30,1,0))</formula>
    </cfRule>
    <cfRule type="expression" priority="1513" dxfId="0">
      <formula>AND(IF($Q36=3,1,IF($Q36=4,1,0)),IF($F36&lt;=85,1,0))</formula>
    </cfRule>
  </conditionalFormatting>
  <conditionalFormatting sqref="X36">
    <cfRule type="expression" priority="1506" dxfId="3">
      <formula>AND(IF(OR($Q36=1,$Q36=2),1,0),IF($X36&lt;=20,1,0))</formula>
    </cfRule>
    <cfRule type="expression" priority="1507" dxfId="2">
      <formula>AND(IF($Q36=2,1,0),IF($X36&lt;30,1,0))</formula>
    </cfRule>
    <cfRule type="expression" priority="1508" dxfId="1">
      <formula>AND(IF($Q36=3,1,0),IF($X36&lt;30,1,0))</formula>
    </cfRule>
    <cfRule type="expression" priority="1509" dxfId="0">
      <formula>AND(IF($Q36=3,1,IF($Q36=4,1,0)),IF($F36&lt;=85,1,0))</formula>
    </cfRule>
  </conditionalFormatting>
  <conditionalFormatting sqref="AI36">
    <cfRule type="expression" priority="1502" dxfId="3">
      <formula>AND(IF(OR($Q36=1,$Q36=2),1,0),IF($X36&lt;=20,1,0))</formula>
    </cfRule>
    <cfRule type="expression" priority="1503" dxfId="2">
      <formula>AND(IF($Q36=2,1,0),IF($X36&lt;30,1,0))</formula>
    </cfRule>
    <cfRule type="expression" priority="1504" dxfId="1">
      <formula>AND(IF($Q36=3,1,0),IF($X36&lt;30,1,0))</formula>
    </cfRule>
    <cfRule type="expression" priority="1505" dxfId="0">
      <formula>AND(IF($Q36=3,1,IF($Q36=4,1,0)),IF($F36&lt;=85,1,0))</formula>
    </cfRule>
  </conditionalFormatting>
  <conditionalFormatting sqref="AV37">
    <cfRule type="expression" priority="1500" dxfId="19">
      <formula>AV37="X"</formula>
    </cfRule>
    <cfRule type="expression" priority="1501" dxfId="18">
      <formula>AV37="후보"</formula>
    </cfRule>
  </conditionalFormatting>
  <conditionalFormatting sqref="AC37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N37">
    <cfRule type="cellIs" priority="1495" operator="greaterThan" dxfId="13">
      <formula>0.9</formula>
    </cfRule>
    <cfRule type="cellIs" priority="1496" operator="greaterThan" dxfId="12">
      <formula>0.85</formula>
    </cfRule>
  </conditionalFormatting>
  <conditionalFormatting sqref="E37">
    <cfRule type="expression" priority="1491" dxfId="3">
      <formula>AND(IF(OR($Q37=1,$Q37=2),1,0),IF($X37&lt;=20,1,0))</formula>
    </cfRule>
    <cfRule type="expression" priority="1492" dxfId="2">
      <formula>AND(IF($Q37=2,1,0),IF($X37&lt;30,1,0))</formula>
    </cfRule>
    <cfRule type="expression" priority="1493" dxfId="1">
      <formula>AND(IF($Q37=3,1,0),IF($X37&lt;30,1,0))</formula>
    </cfRule>
    <cfRule type="expression" priority="1494" dxfId="0">
      <formula>AND(IF($Q37=3,1,IF($Q37=4,1,0)),IF($F37&lt;=85,1,0))</formula>
    </cfRule>
  </conditionalFormatting>
  <conditionalFormatting sqref="X37">
    <cfRule type="expression" priority="1487" dxfId="3">
      <formula>AND(IF(OR($Q37=1,$Q37=2),1,0),IF($X37&lt;=20,1,0))</formula>
    </cfRule>
    <cfRule type="expression" priority="1488" dxfId="2">
      <formula>AND(IF($Q37=2,1,0),IF($X37&lt;30,1,0))</formula>
    </cfRule>
    <cfRule type="expression" priority="1489" dxfId="1">
      <formula>AND(IF($Q37=3,1,0),IF($X37&lt;30,1,0))</formula>
    </cfRule>
    <cfRule type="expression" priority="1490" dxfId="0">
      <formula>AND(IF($Q37=3,1,IF($Q37=4,1,0)),IF($F37&lt;=85,1,0))</formula>
    </cfRule>
  </conditionalFormatting>
  <conditionalFormatting sqref="AI37">
    <cfRule type="expression" priority="1483" dxfId="3">
      <formula>AND(IF(OR($Q37=1,$Q37=2),1,0),IF($X37&lt;=20,1,0))</formula>
    </cfRule>
    <cfRule type="expression" priority="1484" dxfId="2">
      <formula>AND(IF($Q37=2,1,0),IF($X37&lt;30,1,0))</formula>
    </cfRule>
    <cfRule type="expression" priority="1485" dxfId="1">
      <formula>AND(IF($Q37=3,1,0),IF($X37&lt;30,1,0))</formula>
    </cfRule>
    <cfRule type="expression" priority="1486" dxfId="0">
      <formula>AND(IF($Q37=3,1,IF($Q37=4,1,0)),IF($F37&lt;=85,1,0))</formula>
    </cfRule>
  </conditionalFormatting>
  <conditionalFormatting sqref="AV38">
    <cfRule type="expression" priority="1481" dxfId="19">
      <formula>AV38="X"</formula>
    </cfRule>
    <cfRule type="expression" priority="1482" dxfId="18">
      <formula>AV38="후보"</formula>
    </cfRule>
  </conditionalFormatting>
  <conditionalFormatting sqref="AC38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N38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E38">
    <cfRule type="expression" priority="1472" dxfId="3">
      <formula>AND(IF(OR($Q38=1,$Q38=2),1,0),IF($X38&lt;=20,1,0))</formula>
    </cfRule>
    <cfRule type="expression" priority="1473" dxfId="2">
      <formula>AND(IF($Q38=2,1,0),IF($X38&lt;30,1,0))</formula>
    </cfRule>
    <cfRule type="expression" priority="1474" dxfId="1">
      <formula>AND(IF($Q38=3,1,0),IF($X38&lt;30,1,0))</formula>
    </cfRule>
    <cfRule type="expression" priority="1475" dxfId="0">
      <formula>AND(IF($Q38=3,1,IF($Q38=4,1,0)),IF($F38&lt;=85,1,0))</formula>
    </cfRule>
  </conditionalFormatting>
  <conditionalFormatting sqref="X38">
    <cfRule type="expression" priority="1468" dxfId="3">
      <formula>AND(IF(OR($Q38=1,$Q38=2),1,0),IF($X38&lt;=20,1,0))</formula>
    </cfRule>
    <cfRule type="expression" priority="1469" dxfId="2">
      <formula>AND(IF($Q38=2,1,0),IF($X38&lt;30,1,0))</formula>
    </cfRule>
    <cfRule type="expression" priority="1470" dxfId="1">
      <formula>AND(IF($Q38=3,1,0),IF($X38&lt;30,1,0))</formula>
    </cfRule>
    <cfRule type="expression" priority="1471" dxfId="0">
      <formula>AND(IF($Q38=3,1,IF($Q38=4,1,0)),IF($F38&lt;=85,1,0))</formula>
    </cfRule>
  </conditionalFormatting>
  <conditionalFormatting sqref="AI38">
    <cfRule type="expression" priority="1464" dxfId="3">
      <formula>AND(IF(OR($Q38=1,$Q38=2),1,0),IF($X38&lt;=20,1,0))</formula>
    </cfRule>
    <cfRule type="expression" priority="1465" dxfId="2">
      <formula>AND(IF($Q38=2,1,0),IF($X38&lt;30,1,0))</formula>
    </cfRule>
    <cfRule type="expression" priority="1466" dxfId="1">
      <formula>AND(IF($Q38=3,1,0),IF($X38&lt;30,1,0))</formula>
    </cfRule>
    <cfRule type="expression" priority="1467" dxfId="0">
      <formula>AND(IF($Q38=3,1,IF($Q38=4,1,0)),IF($F38&lt;=85,1,0))</formula>
    </cfRule>
  </conditionalFormatting>
  <conditionalFormatting sqref="AV39">
    <cfRule type="expression" priority="1462" dxfId="19">
      <formula>AV39="X"</formula>
    </cfRule>
    <cfRule type="expression" priority="1463" dxfId="18">
      <formula>AV39="후보"</formula>
    </cfRule>
  </conditionalFormatting>
  <conditionalFormatting sqref="AC39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N39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E39">
    <cfRule type="expression" priority="1453" dxfId="3">
      <formula>AND(IF(OR($Q39=1,$Q39=2),1,0),IF($X39&lt;=20,1,0))</formula>
    </cfRule>
    <cfRule type="expression" priority="1454" dxfId="2">
      <formula>AND(IF($Q39=2,1,0),IF($X39&lt;30,1,0))</formula>
    </cfRule>
    <cfRule type="expression" priority="1455" dxfId="1">
      <formula>AND(IF($Q39=3,1,0),IF($X39&lt;30,1,0))</formula>
    </cfRule>
    <cfRule type="expression" priority="1456" dxfId="0">
      <formula>AND(IF($Q39=3,1,IF($Q39=4,1,0)),IF($F39&lt;=85,1,0))</formula>
    </cfRule>
  </conditionalFormatting>
  <conditionalFormatting sqref="X39">
    <cfRule type="expression" priority="1449" dxfId="3">
      <formula>AND(IF(OR($Q39=1,$Q39=2),1,0),IF($X39&lt;=20,1,0))</formula>
    </cfRule>
    <cfRule type="expression" priority="1450" dxfId="2">
      <formula>AND(IF($Q39=2,1,0),IF($X39&lt;30,1,0))</formula>
    </cfRule>
    <cfRule type="expression" priority="1451" dxfId="1">
      <formula>AND(IF($Q39=3,1,0),IF($X39&lt;30,1,0))</formula>
    </cfRule>
    <cfRule type="expression" priority="1452" dxfId="0">
      <formula>AND(IF($Q39=3,1,IF($Q39=4,1,0)),IF($F39&lt;=85,1,0))</formula>
    </cfRule>
  </conditionalFormatting>
  <conditionalFormatting sqref="AI39">
    <cfRule type="expression" priority="1445" dxfId="3">
      <formula>AND(IF(OR($Q39=1,$Q39=2),1,0),IF($X39&lt;=20,1,0))</formula>
    </cfRule>
    <cfRule type="expression" priority="1446" dxfId="2">
      <formula>AND(IF($Q39=2,1,0),IF($X39&lt;30,1,0))</formula>
    </cfRule>
    <cfRule type="expression" priority="1447" dxfId="1">
      <formula>AND(IF($Q39=3,1,0),IF($X39&lt;30,1,0))</formula>
    </cfRule>
    <cfRule type="expression" priority="1448" dxfId="0">
      <formula>AND(IF($Q39=3,1,IF($Q39=4,1,0)),IF($F39&lt;=85,1,0))</formula>
    </cfRule>
  </conditionalFormatting>
  <conditionalFormatting sqref="AV40">
    <cfRule type="expression" priority="1443" dxfId="19">
      <formula>AV40="X"</formula>
    </cfRule>
    <cfRule type="expression" priority="1444" dxfId="18">
      <formula>AV40="후보"</formula>
    </cfRule>
  </conditionalFormatting>
  <conditionalFormatting sqref="AC40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N40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E40">
    <cfRule type="expression" priority="1434" dxfId="3">
      <formula>AND(IF(OR($Q40=1,$Q40=2),1,0),IF($X40&lt;=20,1,0))</formula>
    </cfRule>
    <cfRule type="expression" priority="1435" dxfId="2">
      <formula>AND(IF($Q40=2,1,0),IF($X40&lt;30,1,0))</formula>
    </cfRule>
    <cfRule type="expression" priority="1436" dxfId="1">
      <formula>AND(IF($Q40=3,1,0),IF($X40&lt;30,1,0))</formula>
    </cfRule>
    <cfRule type="expression" priority="1437" dxfId="0">
      <formula>AND(IF($Q40=3,1,IF($Q40=4,1,0)),IF($F40&lt;=85,1,0))</formula>
    </cfRule>
  </conditionalFormatting>
  <conditionalFormatting sqref="X40">
    <cfRule type="expression" priority="1430" dxfId="3">
      <formula>AND(IF(OR($Q40=1,$Q40=2),1,0),IF($X40&lt;=20,1,0))</formula>
    </cfRule>
    <cfRule type="expression" priority="1431" dxfId="2">
      <formula>AND(IF($Q40=2,1,0),IF($X40&lt;30,1,0))</formula>
    </cfRule>
    <cfRule type="expression" priority="1432" dxfId="1">
      <formula>AND(IF($Q40=3,1,0),IF($X40&lt;30,1,0))</formula>
    </cfRule>
    <cfRule type="expression" priority="1433" dxfId="0">
      <formula>AND(IF($Q40=3,1,IF($Q40=4,1,0)),IF($F40&lt;=85,1,0))</formula>
    </cfRule>
  </conditionalFormatting>
  <conditionalFormatting sqref="AI40">
    <cfRule type="expression" priority="1426" dxfId="3">
      <formula>AND(IF(OR($Q40=1,$Q40=2),1,0),IF($X40&lt;=20,1,0))</formula>
    </cfRule>
    <cfRule type="expression" priority="1427" dxfId="2">
      <formula>AND(IF($Q40=2,1,0),IF($X40&lt;30,1,0))</formula>
    </cfRule>
    <cfRule type="expression" priority="1428" dxfId="1">
      <formula>AND(IF($Q40=3,1,0),IF($X40&lt;30,1,0))</formula>
    </cfRule>
    <cfRule type="expression" priority="1429" dxfId="0">
      <formula>AND(IF($Q40=3,1,IF($Q40=4,1,0)),IF($F40&lt;=85,1,0))</formula>
    </cfRule>
  </conditionalFormatting>
  <conditionalFormatting sqref="AV41">
    <cfRule type="expression" priority="1424" dxfId="19">
      <formula>AV41="X"</formula>
    </cfRule>
    <cfRule type="expression" priority="1425" dxfId="18">
      <formula>AV41="후보"</formula>
    </cfRule>
  </conditionalFormatting>
  <conditionalFormatting sqref="AC41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N41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E41">
    <cfRule type="expression" priority="1415" dxfId="3">
      <formula>AND(IF(OR($Q41=1,$Q41=2),1,0),IF($X41&lt;=20,1,0))</formula>
    </cfRule>
    <cfRule type="expression" priority="1416" dxfId="2">
      <formula>AND(IF($Q41=2,1,0),IF($X41&lt;30,1,0))</formula>
    </cfRule>
    <cfRule type="expression" priority="1417" dxfId="1">
      <formula>AND(IF($Q41=3,1,0),IF($X41&lt;30,1,0))</formula>
    </cfRule>
    <cfRule type="expression" priority="1418" dxfId="0">
      <formula>AND(IF($Q41=3,1,IF($Q41=4,1,0)),IF($F41&lt;=85,1,0))</formula>
    </cfRule>
  </conditionalFormatting>
  <conditionalFormatting sqref="X41">
    <cfRule type="expression" priority="1411" dxfId="3">
      <formula>AND(IF(OR($Q41=1,$Q41=2),1,0),IF($X41&lt;=20,1,0))</formula>
    </cfRule>
    <cfRule type="expression" priority="1412" dxfId="2">
      <formula>AND(IF($Q41=2,1,0),IF($X41&lt;30,1,0))</formula>
    </cfRule>
    <cfRule type="expression" priority="1413" dxfId="1">
      <formula>AND(IF($Q41=3,1,0),IF($X41&lt;30,1,0))</formula>
    </cfRule>
    <cfRule type="expression" priority="1414" dxfId="0">
      <formula>AND(IF($Q41=3,1,IF($Q41=4,1,0)),IF($F41&lt;=85,1,0))</formula>
    </cfRule>
  </conditionalFormatting>
  <conditionalFormatting sqref="AI41">
    <cfRule type="expression" priority="1407" dxfId="3">
      <formula>AND(IF(OR($Q41=1,$Q41=2),1,0),IF($X41&lt;=20,1,0))</formula>
    </cfRule>
    <cfRule type="expression" priority="1408" dxfId="2">
      <formula>AND(IF($Q41=2,1,0),IF($X41&lt;30,1,0))</formula>
    </cfRule>
    <cfRule type="expression" priority="1409" dxfId="1">
      <formula>AND(IF($Q41=3,1,0),IF($X41&lt;30,1,0))</formula>
    </cfRule>
    <cfRule type="expression" priority="1410" dxfId="0">
      <formula>AND(IF($Q41=3,1,IF($Q41=4,1,0)),IF($F41&lt;=85,1,0))</formula>
    </cfRule>
  </conditionalFormatting>
  <conditionalFormatting sqref="AV42">
    <cfRule type="expression" priority="1405" dxfId="19">
      <formula>AV42="X"</formula>
    </cfRule>
    <cfRule type="expression" priority="1406" dxfId="18">
      <formula>AV42="후보"</formula>
    </cfRule>
  </conditionalFormatting>
  <conditionalFormatting sqref="AC42 N42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AV43">
    <cfRule type="expression" priority="1400" dxfId="19">
      <formula>AV43="X"</formula>
    </cfRule>
    <cfRule type="expression" priority="1401" dxfId="18">
      <formula>AV43="후보"</formula>
    </cfRule>
  </conditionalFormatting>
  <conditionalFormatting sqref="AC43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N43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E43">
    <cfRule type="expression" priority="1391" dxfId="3">
      <formula>AND(IF(OR($Q43=1,$Q43=2),1,0),IF($X43&lt;=20,1,0))</formula>
    </cfRule>
    <cfRule type="expression" priority="1392" dxfId="2">
      <formula>AND(IF($Q43=2,1,0),IF($X43&lt;30,1,0))</formula>
    </cfRule>
    <cfRule type="expression" priority="1393" dxfId="1">
      <formula>AND(IF($Q43=3,1,0),IF($X43&lt;30,1,0))</formula>
    </cfRule>
    <cfRule type="expression" priority="1394" dxfId="0">
      <formula>AND(IF($Q43=3,1,IF($Q43=4,1,0)),IF($F43&lt;=85,1,0))</formula>
    </cfRule>
  </conditionalFormatting>
  <conditionalFormatting sqref="X43">
    <cfRule type="expression" priority="1387" dxfId="3">
      <formula>AND(IF(OR($Q43=1,$Q43=2),1,0),IF($X43&lt;=20,1,0))</formula>
    </cfRule>
    <cfRule type="expression" priority="1388" dxfId="2">
      <formula>AND(IF($Q43=2,1,0),IF($X43&lt;30,1,0))</formula>
    </cfRule>
    <cfRule type="expression" priority="1389" dxfId="1">
      <formula>AND(IF($Q43=3,1,0),IF($X43&lt;30,1,0))</formula>
    </cfRule>
    <cfRule type="expression" priority="1390" dxfId="0">
      <formula>AND(IF($Q43=3,1,IF($Q43=4,1,0)),IF($F43&lt;=85,1,0))</formula>
    </cfRule>
  </conditionalFormatting>
  <conditionalFormatting sqref="AI43">
    <cfRule type="expression" priority="1383" dxfId="3">
      <formula>AND(IF(OR($Q43=1,$Q43=2),1,0),IF($X43&lt;=20,1,0))</formula>
    </cfRule>
    <cfRule type="expression" priority="1384" dxfId="2">
      <formula>AND(IF($Q43=2,1,0),IF($X43&lt;30,1,0))</formula>
    </cfRule>
    <cfRule type="expression" priority="1385" dxfId="1">
      <formula>AND(IF($Q43=3,1,0),IF($X43&lt;30,1,0))</formula>
    </cfRule>
    <cfRule type="expression" priority="1386" dxfId="0">
      <formula>AND(IF($Q43=3,1,IF($Q43=4,1,0)),IF($F43&lt;=85,1,0))</formula>
    </cfRule>
  </conditionalFormatting>
  <conditionalFormatting sqref="AV44">
    <cfRule type="expression" priority="1381" dxfId="19">
      <formula>AV44="X"</formula>
    </cfRule>
    <cfRule type="expression" priority="1382" dxfId="18">
      <formula>AV44="후보"</formula>
    </cfRule>
  </conditionalFormatting>
  <conditionalFormatting sqref="AC44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N44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E44">
    <cfRule type="expression" priority="1372" dxfId="3">
      <formula>AND(IF(OR($Q44=1,$Q44=2),1,0),IF($X44&lt;=20,1,0))</formula>
    </cfRule>
    <cfRule type="expression" priority="1373" dxfId="2">
      <formula>AND(IF($Q44=2,1,0),IF($X44&lt;30,1,0))</formula>
    </cfRule>
    <cfRule type="expression" priority="1374" dxfId="1">
      <formula>AND(IF($Q44=3,1,0),IF($X44&lt;30,1,0))</formula>
    </cfRule>
    <cfRule type="expression" priority="1375" dxfId="0">
      <formula>AND(IF($Q44=3,1,IF($Q44=4,1,0)),IF($F44&lt;=85,1,0))</formula>
    </cfRule>
  </conditionalFormatting>
  <conditionalFormatting sqref="X44">
    <cfRule type="expression" priority="1368" dxfId="3">
      <formula>AND(IF(OR($Q44=1,$Q44=2),1,0),IF($X44&lt;=20,1,0))</formula>
    </cfRule>
    <cfRule type="expression" priority="1369" dxfId="2">
      <formula>AND(IF($Q44=2,1,0),IF($X44&lt;30,1,0))</formula>
    </cfRule>
    <cfRule type="expression" priority="1370" dxfId="1">
      <formula>AND(IF($Q44=3,1,0),IF($X44&lt;30,1,0))</formula>
    </cfRule>
    <cfRule type="expression" priority="1371" dxfId="0">
      <formula>AND(IF($Q44=3,1,IF($Q44=4,1,0)),IF($F44&lt;=85,1,0))</formula>
    </cfRule>
  </conditionalFormatting>
  <conditionalFormatting sqref="AI44">
    <cfRule type="expression" priority="1364" dxfId="3">
      <formula>AND(IF(OR($Q44=1,$Q44=2),1,0),IF($X44&lt;=20,1,0))</formula>
    </cfRule>
    <cfRule type="expression" priority="1365" dxfId="2">
      <formula>AND(IF($Q44=2,1,0),IF($X44&lt;30,1,0))</formula>
    </cfRule>
    <cfRule type="expression" priority="1366" dxfId="1">
      <formula>AND(IF($Q44=3,1,0),IF($X44&lt;30,1,0))</formula>
    </cfRule>
    <cfRule type="expression" priority="1367" dxfId="0">
      <formula>AND(IF($Q44=3,1,IF($Q44=4,1,0)),IF($F44&lt;=85,1,0))</formula>
    </cfRule>
  </conditionalFormatting>
  <conditionalFormatting sqref="AV45">
    <cfRule type="expression" priority="1362" dxfId="19">
      <formula>AV45="X"</formula>
    </cfRule>
    <cfRule type="expression" priority="1363" dxfId="18">
      <formula>AV45="후보"</formula>
    </cfRule>
  </conditionalFormatting>
  <conditionalFormatting sqref="AC45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N45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E45">
    <cfRule type="expression" priority="1353" dxfId="3">
      <formula>AND(IF(OR($Q45=1,$Q45=2),1,0),IF($X45&lt;=20,1,0))</formula>
    </cfRule>
    <cfRule type="expression" priority="1354" dxfId="2">
      <formula>AND(IF($Q45=2,1,0),IF($X45&lt;30,1,0))</formula>
    </cfRule>
    <cfRule type="expression" priority="1355" dxfId="1">
      <formula>AND(IF($Q45=3,1,0),IF($X45&lt;30,1,0))</formula>
    </cfRule>
    <cfRule type="expression" priority="1356" dxfId="0">
      <formula>AND(IF($Q45=3,1,IF($Q45=4,1,0)),IF($F45&lt;=85,1,0))</formula>
    </cfRule>
  </conditionalFormatting>
  <conditionalFormatting sqref="X45">
    <cfRule type="expression" priority="1349" dxfId="3">
      <formula>AND(IF(OR($Q45=1,$Q45=2),1,0),IF($X45&lt;=20,1,0))</formula>
    </cfRule>
    <cfRule type="expression" priority="1350" dxfId="2">
      <formula>AND(IF($Q45=2,1,0),IF($X45&lt;30,1,0))</formula>
    </cfRule>
    <cfRule type="expression" priority="1351" dxfId="1">
      <formula>AND(IF($Q45=3,1,0),IF($X45&lt;30,1,0))</formula>
    </cfRule>
    <cfRule type="expression" priority="1352" dxfId="0">
      <formula>AND(IF($Q45=3,1,IF($Q45=4,1,0)),IF($F45&lt;=85,1,0))</formula>
    </cfRule>
  </conditionalFormatting>
  <conditionalFormatting sqref="AI45">
    <cfRule type="expression" priority="1345" dxfId="3">
      <formula>AND(IF(OR($Q45=1,$Q45=2),1,0),IF($X45&lt;=20,1,0))</formula>
    </cfRule>
    <cfRule type="expression" priority="1346" dxfId="2">
      <formula>AND(IF($Q45=2,1,0),IF($X45&lt;30,1,0))</formula>
    </cfRule>
    <cfRule type="expression" priority="1347" dxfId="1">
      <formula>AND(IF($Q45=3,1,0),IF($X45&lt;30,1,0))</formula>
    </cfRule>
    <cfRule type="expression" priority="1348" dxfId="0">
      <formula>AND(IF($Q45=3,1,IF($Q45=4,1,0)),IF($F45&lt;=85,1,0))</formula>
    </cfRule>
  </conditionalFormatting>
  <conditionalFormatting sqref="AV46">
    <cfRule type="expression" priority="1343" dxfId="19">
      <formula>AV46="X"</formula>
    </cfRule>
    <cfRule type="expression" priority="1344" dxfId="18">
      <formula>AV46="후보"</formula>
    </cfRule>
  </conditionalFormatting>
  <conditionalFormatting sqref="AC46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N46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E46">
    <cfRule type="expression" priority="1334" dxfId="3">
      <formula>AND(IF(OR($Q46=1,$Q46=2),1,0),IF($X46&lt;=20,1,0))</formula>
    </cfRule>
    <cfRule type="expression" priority="1335" dxfId="2">
      <formula>AND(IF($Q46=2,1,0),IF($X46&lt;30,1,0))</formula>
    </cfRule>
    <cfRule type="expression" priority="1336" dxfId="1">
      <formula>AND(IF($Q46=3,1,0),IF($X46&lt;30,1,0))</formula>
    </cfRule>
    <cfRule type="expression" priority="1337" dxfId="0">
      <formula>AND(IF($Q46=3,1,IF($Q46=4,1,0)),IF($F46&lt;=85,1,0))</formula>
    </cfRule>
  </conditionalFormatting>
  <conditionalFormatting sqref="X46">
    <cfRule type="expression" priority="1330" dxfId="3">
      <formula>AND(IF(OR($Q46=1,$Q46=2),1,0),IF($X46&lt;=20,1,0))</formula>
    </cfRule>
    <cfRule type="expression" priority="1331" dxfId="2">
      <formula>AND(IF($Q46=2,1,0),IF($X46&lt;30,1,0))</formula>
    </cfRule>
    <cfRule type="expression" priority="1332" dxfId="1">
      <formula>AND(IF($Q46=3,1,0),IF($X46&lt;30,1,0))</formula>
    </cfRule>
    <cfRule type="expression" priority="1333" dxfId="0">
      <formula>AND(IF($Q46=3,1,IF($Q46=4,1,0)),IF($F46&lt;=85,1,0))</formula>
    </cfRule>
  </conditionalFormatting>
  <conditionalFormatting sqref="AI46">
    <cfRule type="expression" priority="1326" dxfId="3">
      <formula>AND(IF(OR($Q46=1,$Q46=2),1,0),IF($X46&lt;=20,1,0))</formula>
    </cfRule>
    <cfRule type="expression" priority="1327" dxfId="2">
      <formula>AND(IF($Q46=2,1,0),IF($X46&lt;30,1,0))</formula>
    </cfRule>
    <cfRule type="expression" priority="1328" dxfId="1">
      <formula>AND(IF($Q46=3,1,0),IF($X46&lt;30,1,0))</formula>
    </cfRule>
    <cfRule type="expression" priority="1329" dxfId="0">
      <formula>AND(IF($Q46=3,1,IF($Q46=4,1,0)),IF($F46&lt;=85,1,0))</formula>
    </cfRule>
  </conditionalFormatting>
  <conditionalFormatting sqref="AV47">
    <cfRule type="expression" priority="1324" dxfId="19">
      <formula>AV47="X"</formula>
    </cfRule>
    <cfRule type="expression" priority="1325" dxfId="18">
      <formula>AV47="후보"</formula>
    </cfRule>
  </conditionalFormatting>
  <conditionalFormatting sqref="AC47 N47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AV48">
    <cfRule type="expression" priority="1319" dxfId="19">
      <formula>AV48="X"</formula>
    </cfRule>
    <cfRule type="expression" priority="1320" dxfId="18">
      <formula>AV48="후보"</formula>
    </cfRule>
  </conditionalFormatting>
  <conditionalFormatting sqref="AC48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N48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E48">
    <cfRule type="expression" priority="1310" dxfId="3">
      <formula>AND(IF(OR($Q48=1,$Q48=2),1,0),IF($X48&lt;=20,1,0))</formula>
    </cfRule>
    <cfRule type="expression" priority="1311" dxfId="2">
      <formula>AND(IF($Q48=2,1,0),IF($X48&lt;30,1,0))</formula>
    </cfRule>
    <cfRule type="expression" priority="1312" dxfId="1">
      <formula>AND(IF($Q48=3,1,0),IF($X48&lt;30,1,0))</formula>
    </cfRule>
    <cfRule type="expression" priority="1313" dxfId="0">
      <formula>AND(IF($Q48=3,1,IF($Q48=4,1,0)),IF($F48&lt;=85,1,0))</formula>
    </cfRule>
  </conditionalFormatting>
  <conditionalFormatting sqref="X48">
    <cfRule type="expression" priority="1306" dxfId="3">
      <formula>AND(IF(OR($Q48=1,$Q48=2),1,0),IF($X48&lt;=20,1,0))</formula>
    </cfRule>
    <cfRule type="expression" priority="1307" dxfId="2">
      <formula>AND(IF($Q48=2,1,0),IF($X48&lt;30,1,0))</formula>
    </cfRule>
    <cfRule type="expression" priority="1308" dxfId="1">
      <formula>AND(IF($Q48=3,1,0),IF($X48&lt;30,1,0))</formula>
    </cfRule>
    <cfRule type="expression" priority="1309" dxfId="0">
      <formula>AND(IF($Q48=3,1,IF($Q48=4,1,0)),IF($F48&lt;=85,1,0))</formula>
    </cfRule>
  </conditionalFormatting>
  <conditionalFormatting sqref="AI48">
    <cfRule type="expression" priority="1302" dxfId="3">
      <formula>AND(IF(OR($Q48=1,$Q48=2),1,0),IF($X48&lt;=20,1,0))</formula>
    </cfRule>
    <cfRule type="expression" priority="1303" dxfId="2">
      <formula>AND(IF($Q48=2,1,0),IF($X48&lt;30,1,0))</formula>
    </cfRule>
    <cfRule type="expression" priority="1304" dxfId="1">
      <formula>AND(IF($Q48=3,1,0),IF($X48&lt;30,1,0))</formula>
    </cfRule>
    <cfRule type="expression" priority="1305" dxfId="0">
      <formula>AND(IF($Q48=3,1,IF($Q48=4,1,0)),IF($F48&lt;=85,1,0))</formula>
    </cfRule>
  </conditionalFormatting>
  <conditionalFormatting sqref="AV49">
    <cfRule type="expression" priority="1300" dxfId="19">
      <formula>AV49="X"</formula>
    </cfRule>
    <cfRule type="expression" priority="1301" dxfId="18">
      <formula>AV49="후보"</formula>
    </cfRule>
  </conditionalFormatting>
  <conditionalFormatting sqref="AC49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N49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E49">
    <cfRule type="expression" priority="1291" dxfId="3">
      <formula>AND(IF(OR($Q49=1,$Q49=2),1,0),IF($X49&lt;=20,1,0))</formula>
    </cfRule>
    <cfRule type="expression" priority="1292" dxfId="2">
      <formula>AND(IF($Q49=2,1,0),IF($X49&lt;30,1,0))</formula>
    </cfRule>
    <cfRule type="expression" priority="1293" dxfId="1">
      <formula>AND(IF($Q49=3,1,0),IF($X49&lt;30,1,0))</formula>
    </cfRule>
    <cfRule type="expression" priority="1294" dxfId="0">
      <formula>AND(IF($Q49=3,1,IF($Q49=4,1,0)),IF($F49&lt;=85,1,0))</formula>
    </cfRule>
  </conditionalFormatting>
  <conditionalFormatting sqref="X49">
    <cfRule type="expression" priority="1287" dxfId="3">
      <formula>AND(IF(OR($Q49=1,$Q49=2),1,0),IF($X49&lt;=20,1,0))</formula>
    </cfRule>
    <cfRule type="expression" priority="1288" dxfId="2">
      <formula>AND(IF($Q49=2,1,0),IF($X49&lt;30,1,0))</formula>
    </cfRule>
    <cfRule type="expression" priority="1289" dxfId="1">
      <formula>AND(IF($Q49=3,1,0),IF($X49&lt;30,1,0))</formula>
    </cfRule>
    <cfRule type="expression" priority="1290" dxfId="0">
      <formula>AND(IF($Q49=3,1,IF($Q49=4,1,0)),IF($F49&lt;=85,1,0))</formula>
    </cfRule>
  </conditionalFormatting>
  <conditionalFormatting sqref="AI49">
    <cfRule type="expression" priority="1283" dxfId="3">
      <formula>AND(IF(OR($Q49=1,$Q49=2),1,0),IF($X49&lt;=20,1,0))</formula>
    </cfRule>
    <cfRule type="expression" priority="1284" dxfId="2">
      <formula>AND(IF($Q49=2,1,0),IF($X49&lt;30,1,0))</formula>
    </cfRule>
    <cfRule type="expression" priority="1285" dxfId="1">
      <formula>AND(IF($Q49=3,1,0),IF($X49&lt;30,1,0))</formula>
    </cfRule>
    <cfRule type="expression" priority="1286" dxfId="0">
      <formula>AND(IF($Q49=3,1,IF($Q49=4,1,0)),IF($F49&lt;=85,1,0))</formula>
    </cfRule>
  </conditionalFormatting>
  <conditionalFormatting sqref="AV50">
    <cfRule type="expression" priority="1281" dxfId="19">
      <formula>AV50="X"</formula>
    </cfRule>
    <cfRule type="expression" priority="1282" dxfId="18">
      <formula>AV50="후보"</formula>
    </cfRule>
  </conditionalFormatting>
  <conditionalFormatting sqref="AC50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N50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E50">
    <cfRule type="expression" priority="1272" dxfId="3">
      <formula>AND(IF(OR($Q50=1,$Q50=2),1,0),IF($X50&lt;=20,1,0))</formula>
    </cfRule>
    <cfRule type="expression" priority="1273" dxfId="2">
      <formula>AND(IF($Q50=2,1,0),IF($X50&lt;30,1,0))</formula>
    </cfRule>
    <cfRule type="expression" priority="1274" dxfId="1">
      <formula>AND(IF($Q50=3,1,0),IF($X50&lt;30,1,0))</formula>
    </cfRule>
    <cfRule type="expression" priority="1275" dxfId="0">
      <formula>AND(IF($Q50=3,1,IF($Q50=4,1,0)),IF($F50&lt;=85,1,0))</formula>
    </cfRule>
  </conditionalFormatting>
  <conditionalFormatting sqref="X50">
    <cfRule type="expression" priority="1268" dxfId="3">
      <formula>AND(IF(OR($Q50=1,$Q50=2),1,0),IF($X50&lt;=20,1,0))</formula>
    </cfRule>
    <cfRule type="expression" priority="1269" dxfId="2">
      <formula>AND(IF($Q50=2,1,0),IF($X50&lt;30,1,0))</formula>
    </cfRule>
    <cfRule type="expression" priority="1270" dxfId="1">
      <formula>AND(IF($Q50=3,1,0),IF($X50&lt;30,1,0))</formula>
    </cfRule>
    <cfRule type="expression" priority="1271" dxfId="0">
      <formula>AND(IF($Q50=3,1,IF($Q50=4,1,0)),IF($F50&lt;=85,1,0))</formula>
    </cfRule>
  </conditionalFormatting>
  <conditionalFormatting sqref="AI50">
    <cfRule type="expression" priority="1264" dxfId="3">
      <formula>AND(IF(OR($Q50=1,$Q50=2),1,0),IF($X50&lt;=20,1,0))</formula>
    </cfRule>
    <cfRule type="expression" priority="1265" dxfId="2">
      <formula>AND(IF($Q50=2,1,0),IF($X50&lt;30,1,0))</formula>
    </cfRule>
    <cfRule type="expression" priority="1266" dxfId="1">
      <formula>AND(IF($Q50=3,1,0),IF($X50&lt;30,1,0))</formula>
    </cfRule>
    <cfRule type="expression" priority="1267" dxfId="0">
      <formula>AND(IF($Q50=3,1,IF($Q50=4,1,0)),IF($F50&lt;=85,1,0))</formula>
    </cfRule>
  </conditionalFormatting>
  <conditionalFormatting sqref="AV51">
    <cfRule type="expression" priority="1262" dxfId="19">
      <formula>AV51="X"</formula>
    </cfRule>
    <cfRule type="expression" priority="1263" dxfId="18">
      <formula>AV51="후보"</formula>
    </cfRule>
  </conditionalFormatting>
  <conditionalFormatting sqref="AC51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N51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E51">
    <cfRule type="expression" priority="1253" dxfId="3">
      <formula>AND(IF(OR($Q51=1,$Q51=2),1,0),IF($X51&lt;=20,1,0))</formula>
    </cfRule>
    <cfRule type="expression" priority="1254" dxfId="2">
      <formula>AND(IF($Q51=2,1,0),IF($X51&lt;30,1,0))</formula>
    </cfRule>
    <cfRule type="expression" priority="1255" dxfId="1">
      <formula>AND(IF($Q51=3,1,0),IF($X51&lt;30,1,0))</formula>
    </cfRule>
    <cfRule type="expression" priority="1256" dxfId="0">
      <formula>AND(IF($Q51=3,1,IF($Q51=4,1,0)),IF($F51&lt;=85,1,0))</formula>
    </cfRule>
  </conditionalFormatting>
  <conditionalFormatting sqref="X51">
    <cfRule type="expression" priority="1249" dxfId="3">
      <formula>AND(IF(OR($Q51=1,$Q51=2),1,0),IF($X51&lt;=20,1,0))</formula>
    </cfRule>
    <cfRule type="expression" priority="1250" dxfId="2">
      <formula>AND(IF($Q51=2,1,0),IF($X51&lt;30,1,0))</formula>
    </cfRule>
    <cfRule type="expression" priority="1251" dxfId="1">
      <formula>AND(IF($Q51=3,1,0),IF($X51&lt;30,1,0))</formula>
    </cfRule>
    <cfRule type="expression" priority="1252" dxfId="0">
      <formula>AND(IF($Q51=3,1,IF($Q51=4,1,0)),IF($F51&lt;=85,1,0))</formula>
    </cfRule>
  </conditionalFormatting>
  <conditionalFormatting sqref="AI51">
    <cfRule type="expression" priority="1245" dxfId="3">
      <formula>AND(IF(OR($Q51=1,$Q51=2),1,0),IF($X51&lt;=20,1,0))</formula>
    </cfRule>
    <cfRule type="expression" priority="1246" dxfId="2">
      <formula>AND(IF($Q51=2,1,0),IF($X51&lt;30,1,0))</formula>
    </cfRule>
    <cfRule type="expression" priority="1247" dxfId="1">
      <formula>AND(IF($Q51=3,1,0),IF($X51&lt;30,1,0))</formula>
    </cfRule>
    <cfRule type="expression" priority="1248" dxfId="0">
      <formula>AND(IF($Q51=3,1,IF($Q51=4,1,0)),IF($F51&lt;=85,1,0))</formula>
    </cfRule>
  </conditionalFormatting>
  <conditionalFormatting sqref="AV52">
    <cfRule type="expression" priority="1243" dxfId="19">
      <formula>AV52="X"</formula>
    </cfRule>
    <cfRule type="expression" priority="1244" dxfId="18">
      <formula>AV52="후보"</formula>
    </cfRule>
  </conditionalFormatting>
  <conditionalFormatting sqref="AC52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N52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E52">
    <cfRule type="expression" priority="1234" dxfId="3">
      <formula>AND(IF(OR($Q52=1,$Q52=2),1,0),IF($X52&lt;=20,1,0))</formula>
    </cfRule>
    <cfRule type="expression" priority="1235" dxfId="2">
      <formula>AND(IF($Q52=2,1,0),IF($X52&lt;30,1,0))</formula>
    </cfRule>
    <cfRule type="expression" priority="1236" dxfId="1">
      <formula>AND(IF($Q52=3,1,0),IF($X52&lt;30,1,0))</formula>
    </cfRule>
    <cfRule type="expression" priority="1237" dxfId="0">
      <formula>AND(IF($Q52=3,1,IF($Q52=4,1,0)),IF($F52&lt;=85,1,0))</formula>
    </cfRule>
  </conditionalFormatting>
  <conditionalFormatting sqref="X52">
    <cfRule type="expression" priority="1230" dxfId="3">
      <formula>AND(IF(OR($Q52=1,$Q52=2),1,0),IF($X52&lt;=20,1,0))</formula>
    </cfRule>
    <cfRule type="expression" priority="1231" dxfId="2">
      <formula>AND(IF($Q52=2,1,0),IF($X52&lt;30,1,0))</formula>
    </cfRule>
    <cfRule type="expression" priority="1232" dxfId="1">
      <formula>AND(IF($Q52=3,1,0),IF($X52&lt;30,1,0))</formula>
    </cfRule>
    <cfRule type="expression" priority="1233" dxfId="0">
      <formula>AND(IF($Q52=3,1,IF($Q52=4,1,0)),IF($F52&lt;=85,1,0))</formula>
    </cfRule>
  </conditionalFormatting>
  <conditionalFormatting sqref="AI52">
    <cfRule type="expression" priority="1226" dxfId="3">
      <formula>AND(IF(OR($Q52=1,$Q52=2),1,0),IF($X52&lt;=20,1,0))</formula>
    </cfRule>
    <cfRule type="expression" priority="1227" dxfId="2">
      <formula>AND(IF($Q52=2,1,0),IF($X52&lt;30,1,0))</formula>
    </cfRule>
    <cfRule type="expression" priority="1228" dxfId="1">
      <formula>AND(IF($Q52=3,1,0),IF($X52&lt;30,1,0))</formula>
    </cfRule>
    <cfRule type="expression" priority="1229" dxfId="0">
      <formula>AND(IF($Q52=3,1,IF($Q52=4,1,0)),IF($F52&lt;=85,1,0))</formula>
    </cfRule>
  </conditionalFormatting>
  <conditionalFormatting sqref="AV53">
    <cfRule type="expression" priority="1224" dxfId="19">
      <formula>AV53="X"</formula>
    </cfRule>
    <cfRule type="expression" priority="1225" dxfId="18">
      <formula>AV53="후보"</formula>
    </cfRule>
  </conditionalFormatting>
  <conditionalFormatting sqref="AC53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53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53">
    <cfRule type="expression" priority="1215" dxfId="3">
      <formula>AND(IF(OR($Q53=1,$Q53=2),1,0),IF($X53&lt;=20,1,0))</formula>
    </cfRule>
    <cfRule type="expression" priority="1216" dxfId="2">
      <formula>AND(IF($Q53=2,1,0),IF($X53&lt;30,1,0))</formula>
    </cfRule>
    <cfRule type="expression" priority="1217" dxfId="1">
      <formula>AND(IF($Q53=3,1,0),IF($X53&lt;30,1,0))</formula>
    </cfRule>
    <cfRule type="expression" priority="1218" dxfId="0">
      <formula>AND(IF($Q53=3,1,IF($Q53=4,1,0)),IF($F53&lt;=85,1,0))</formula>
    </cfRule>
  </conditionalFormatting>
  <conditionalFormatting sqref="X53">
    <cfRule type="expression" priority="1211" dxfId="3">
      <formula>AND(IF(OR($Q53=1,$Q53=2),1,0),IF($X53&lt;=20,1,0))</formula>
    </cfRule>
    <cfRule type="expression" priority="1212" dxfId="2">
      <formula>AND(IF($Q53=2,1,0),IF($X53&lt;30,1,0))</formula>
    </cfRule>
    <cfRule type="expression" priority="1213" dxfId="1">
      <formula>AND(IF($Q53=3,1,0),IF($X53&lt;30,1,0))</formula>
    </cfRule>
    <cfRule type="expression" priority="1214" dxfId="0">
      <formula>AND(IF($Q53=3,1,IF($Q53=4,1,0)),IF($F53&lt;=85,1,0))</formula>
    </cfRule>
  </conditionalFormatting>
  <conditionalFormatting sqref="AI53">
    <cfRule type="expression" priority="1207" dxfId="3">
      <formula>AND(IF(OR($Q53=1,$Q53=2),1,0),IF($X53&lt;=20,1,0))</formula>
    </cfRule>
    <cfRule type="expression" priority="1208" dxfId="2">
      <formula>AND(IF($Q53=2,1,0),IF($X53&lt;30,1,0))</formula>
    </cfRule>
    <cfRule type="expression" priority="1209" dxfId="1">
      <formula>AND(IF($Q53=3,1,0),IF($X53&lt;30,1,0))</formula>
    </cfRule>
    <cfRule type="expression" priority="1210" dxfId="0">
      <formula>AND(IF($Q53=3,1,IF($Q53=4,1,0)),IF($F53&lt;=85,1,0))</formula>
    </cfRule>
  </conditionalFormatting>
  <conditionalFormatting sqref="AV54">
    <cfRule type="expression" priority="1205" dxfId="19">
      <formula>AV54="X"</formula>
    </cfRule>
    <cfRule type="expression" priority="1206" dxfId="18">
      <formula>AV54="후보"</formula>
    </cfRule>
  </conditionalFormatting>
  <conditionalFormatting sqref="AC54 N54">
    <cfRule type="cellIs" priority="1202" operator="greaterThan" dxfId="13">
      <formula>0.9</formula>
    </cfRule>
    <cfRule type="cellIs" priority="1203" operator="greaterThan" dxfId="12">
      <formula>0.85</formula>
    </cfRule>
  </conditionalFormatting>
  <conditionalFormatting sqref="AV55">
    <cfRule type="expression" priority="1200" dxfId="19">
      <formula>AV55="X"</formula>
    </cfRule>
    <cfRule type="expression" priority="1201" dxfId="18">
      <formula>AV55="후보"</formula>
    </cfRule>
  </conditionalFormatting>
  <conditionalFormatting sqref="AC55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N55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E55">
    <cfRule type="expression" priority="1191" dxfId="3">
      <formula>AND(IF(OR($Q55=1,$Q55=2),1,0),IF($X55&lt;=20,1,0))</formula>
    </cfRule>
    <cfRule type="expression" priority="1192" dxfId="2">
      <formula>AND(IF($Q55=2,1,0),IF($X55&lt;30,1,0))</formula>
    </cfRule>
    <cfRule type="expression" priority="1193" dxfId="1">
      <formula>AND(IF($Q55=3,1,0),IF($X55&lt;30,1,0))</formula>
    </cfRule>
    <cfRule type="expression" priority="1194" dxfId="0">
      <formula>AND(IF($Q55=3,1,IF($Q55=4,1,0)),IF($F55&lt;=85,1,0))</formula>
    </cfRule>
  </conditionalFormatting>
  <conditionalFormatting sqref="X55">
    <cfRule type="expression" priority="1187" dxfId="3">
      <formula>AND(IF(OR($Q55=1,$Q55=2),1,0),IF($X55&lt;=20,1,0))</formula>
    </cfRule>
    <cfRule type="expression" priority="1188" dxfId="2">
      <formula>AND(IF($Q55=2,1,0),IF($X55&lt;30,1,0))</formula>
    </cfRule>
    <cfRule type="expression" priority="1189" dxfId="1">
      <formula>AND(IF($Q55=3,1,0),IF($X55&lt;30,1,0))</formula>
    </cfRule>
    <cfRule type="expression" priority="1190" dxfId="0">
      <formula>AND(IF($Q55=3,1,IF($Q55=4,1,0)),IF($F55&lt;=85,1,0))</formula>
    </cfRule>
  </conditionalFormatting>
  <conditionalFormatting sqref="AI55">
    <cfRule type="expression" priority="1183" dxfId="3">
      <formula>AND(IF(OR($Q55=1,$Q55=2),1,0),IF($X55&lt;=20,1,0))</formula>
    </cfRule>
    <cfRule type="expression" priority="1184" dxfId="2">
      <formula>AND(IF($Q55=2,1,0),IF($X55&lt;30,1,0))</formula>
    </cfRule>
    <cfRule type="expression" priority="1185" dxfId="1">
      <formula>AND(IF($Q55=3,1,0),IF($X55&lt;30,1,0))</formula>
    </cfRule>
    <cfRule type="expression" priority="1186" dxfId="0">
      <formula>AND(IF($Q55=3,1,IF($Q55=4,1,0)),IF($F55&lt;=85,1,0))</formula>
    </cfRule>
  </conditionalFormatting>
  <conditionalFormatting sqref="AV56">
    <cfRule type="expression" priority="1181" dxfId="19">
      <formula>AV56="X"</formula>
    </cfRule>
    <cfRule type="expression" priority="1182" dxfId="18">
      <formula>AV56="후보"</formula>
    </cfRule>
  </conditionalFormatting>
  <conditionalFormatting sqref="AC56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56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56">
    <cfRule type="expression" priority="1172" dxfId="3">
      <formula>AND(IF(OR($Q56=1,$Q56=2),1,0),IF($X56&lt;=20,1,0))</formula>
    </cfRule>
    <cfRule type="expression" priority="1173" dxfId="2">
      <formula>AND(IF($Q56=2,1,0),IF($X56&lt;30,1,0))</formula>
    </cfRule>
    <cfRule type="expression" priority="1174" dxfId="1">
      <formula>AND(IF($Q56=3,1,0),IF($X56&lt;30,1,0))</formula>
    </cfRule>
    <cfRule type="expression" priority="1175" dxfId="0">
      <formula>AND(IF($Q56=3,1,IF($Q56=4,1,0)),IF($F56&lt;=85,1,0))</formula>
    </cfRule>
  </conditionalFormatting>
  <conditionalFormatting sqref="X56">
    <cfRule type="expression" priority="1168" dxfId="3">
      <formula>AND(IF(OR($Q56=1,$Q56=2),1,0),IF($X56&lt;=20,1,0))</formula>
    </cfRule>
    <cfRule type="expression" priority="1169" dxfId="2">
      <formula>AND(IF($Q56=2,1,0),IF($X56&lt;30,1,0))</formula>
    </cfRule>
    <cfRule type="expression" priority="1170" dxfId="1">
      <formula>AND(IF($Q56=3,1,0),IF($X56&lt;30,1,0))</formula>
    </cfRule>
    <cfRule type="expression" priority="1171" dxfId="0">
      <formula>AND(IF($Q56=3,1,IF($Q56=4,1,0)),IF($F56&lt;=85,1,0))</formula>
    </cfRule>
  </conditionalFormatting>
  <conditionalFormatting sqref="AI56">
    <cfRule type="expression" priority="1164" dxfId="3">
      <formula>AND(IF(OR($Q56=1,$Q56=2),1,0),IF($X56&lt;=20,1,0))</formula>
    </cfRule>
    <cfRule type="expression" priority="1165" dxfId="2">
      <formula>AND(IF($Q56=2,1,0),IF($X56&lt;30,1,0))</formula>
    </cfRule>
    <cfRule type="expression" priority="1166" dxfId="1">
      <formula>AND(IF($Q56=3,1,0),IF($X56&lt;30,1,0))</formula>
    </cfRule>
    <cfRule type="expression" priority="1167" dxfId="0">
      <formula>AND(IF($Q56=3,1,IF($Q56=4,1,0)),IF($F56&lt;=85,1,0))</formula>
    </cfRule>
  </conditionalFormatting>
  <conditionalFormatting sqref="AV57">
    <cfRule type="expression" priority="1162" dxfId="19">
      <formula>AV57="X"</formula>
    </cfRule>
    <cfRule type="expression" priority="1163" dxfId="18">
      <formula>AV57="후보"</formula>
    </cfRule>
  </conditionalFormatting>
  <conditionalFormatting sqref="AC57 N57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AV58">
    <cfRule type="expression" priority="1157" dxfId="19">
      <formula>AV58="X"</formula>
    </cfRule>
    <cfRule type="expression" priority="1158" dxfId="18">
      <formula>AV58="후보"</formula>
    </cfRule>
  </conditionalFormatting>
  <conditionalFormatting sqref="AC58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N58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E58">
    <cfRule type="expression" priority="1148" dxfId="3">
      <formula>AND(IF(OR($Q58=1,$Q58=2),1,0),IF($X58&lt;=20,1,0))</formula>
    </cfRule>
    <cfRule type="expression" priority="1149" dxfId="2">
      <formula>AND(IF($Q58=2,1,0),IF($X58&lt;30,1,0))</formula>
    </cfRule>
    <cfRule type="expression" priority="1150" dxfId="1">
      <formula>AND(IF($Q58=3,1,0),IF($X58&lt;30,1,0))</formula>
    </cfRule>
    <cfRule type="expression" priority="1151" dxfId="0">
      <formula>AND(IF($Q58=3,1,IF($Q58=4,1,0)),IF($F58&lt;=85,1,0))</formula>
    </cfRule>
  </conditionalFormatting>
  <conditionalFormatting sqref="X58">
    <cfRule type="expression" priority="1144" dxfId="3">
      <formula>AND(IF(OR($Q58=1,$Q58=2),1,0),IF($X58&lt;=20,1,0))</formula>
    </cfRule>
    <cfRule type="expression" priority="1145" dxfId="2">
      <formula>AND(IF($Q58=2,1,0),IF($X58&lt;30,1,0))</formula>
    </cfRule>
    <cfRule type="expression" priority="1146" dxfId="1">
      <formula>AND(IF($Q58=3,1,0),IF($X58&lt;30,1,0))</formula>
    </cfRule>
    <cfRule type="expression" priority="1147" dxfId="0">
      <formula>AND(IF($Q58=3,1,IF($Q58=4,1,0)),IF($F58&lt;=85,1,0))</formula>
    </cfRule>
  </conditionalFormatting>
  <conditionalFormatting sqref="AI58">
    <cfRule type="expression" priority="1140" dxfId="3">
      <formula>AND(IF(OR($Q58=1,$Q58=2),1,0),IF($X58&lt;=20,1,0))</formula>
    </cfRule>
    <cfRule type="expression" priority="1141" dxfId="2">
      <formula>AND(IF($Q58=2,1,0),IF($X58&lt;30,1,0))</formula>
    </cfRule>
    <cfRule type="expression" priority="1142" dxfId="1">
      <formula>AND(IF($Q58=3,1,0),IF($X58&lt;30,1,0))</formula>
    </cfRule>
    <cfRule type="expression" priority="1143" dxfId="0">
      <formula>AND(IF($Q58=3,1,IF($Q58=4,1,0)),IF($F58&lt;=85,1,0))</formula>
    </cfRule>
  </conditionalFormatting>
  <conditionalFormatting sqref="AV59">
    <cfRule type="expression" priority="1138" dxfId="19">
      <formula>AV59="X"</formula>
    </cfRule>
    <cfRule type="expression" priority="1139" dxfId="18">
      <formula>AV59="후보"</formula>
    </cfRule>
  </conditionalFormatting>
  <conditionalFormatting sqref="AC59 N59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AV60">
    <cfRule type="expression" priority="1133" dxfId="19">
      <formula>AV60="X"</formula>
    </cfRule>
    <cfRule type="expression" priority="1134" dxfId="18">
      <formula>AV60="후보"</formula>
    </cfRule>
  </conditionalFormatting>
  <conditionalFormatting sqref="AC60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N60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E60">
    <cfRule type="expression" priority="1124" dxfId="3">
      <formula>AND(IF(OR($Q60=1,$Q60=2),1,0),IF($X60&lt;=20,1,0))</formula>
    </cfRule>
    <cfRule type="expression" priority="1125" dxfId="2">
      <formula>AND(IF($Q60=2,1,0),IF($X60&lt;30,1,0))</formula>
    </cfRule>
    <cfRule type="expression" priority="1126" dxfId="1">
      <formula>AND(IF($Q60=3,1,0),IF($X60&lt;30,1,0))</formula>
    </cfRule>
    <cfRule type="expression" priority="1127" dxfId="0">
      <formula>AND(IF($Q60=3,1,IF($Q60=4,1,0)),IF($F60&lt;=85,1,0))</formula>
    </cfRule>
  </conditionalFormatting>
  <conditionalFormatting sqref="X60">
    <cfRule type="expression" priority="1120" dxfId="3">
      <formula>AND(IF(OR($Q60=1,$Q60=2),1,0),IF($X60&lt;=20,1,0))</formula>
    </cfRule>
    <cfRule type="expression" priority="1121" dxfId="2">
      <formula>AND(IF($Q60=2,1,0),IF($X60&lt;30,1,0))</formula>
    </cfRule>
    <cfRule type="expression" priority="1122" dxfId="1">
      <formula>AND(IF($Q60=3,1,0),IF($X60&lt;30,1,0))</formula>
    </cfRule>
    <cfRule type="expression" priority="1123" dxfId="0">
      <formula>AND(IF($Q60=3,1,IF($Q60=4,1,0)),IF($F60&lt;=85,1,0))</formula>
    </cfRule>
  </conditionalFormatting>
  <conditionalFormatting sqref="AI60">
    <cfRule type="expression" priority="1116" dxfId="3">
      <formula>AND(IF(OR($Q60=1,$Q60=2),1,0),IF($X60&lt;=20,1,0))</formula>
    </cfRule>
    <cfRule type="expression" priority="1117" dxfId="2">
      <formula>AND(IF($Q60=2,1,0),IF($X60&lt;30,1,0))</formula>
    </cfRule>
    <cfRule type="expression" priority="1118" dxfId="1">
      <formula>AND(IF($Q60=3,1,0),IF($X60&lt;30,1,0))</formula>
    </cfRule>
    <cfRule type="expression" priority="1119" dxfId="0">
      <formula>AND(IF($Q60=3,1,IF($Q60=4,1,0)),IF($F60&lt;=85,1,0))</formula>
    </cfRule>
  </conditionalFormatting>
  <conditionalFormatting sqref="AV61">
    <cfRule type="expression" priority="1114" dxfId="19">
      <formula>AV61="X"</formula>
    </cfRule>
    <cfRule type="expression" priority="1115" dxfId="18">
      <formula>AV61="후보"</formula>
    </cfRule>
  </conditionalFormatting>
  <conditionalFormatting sqref="AC61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61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E61">
    <cfRule type="expression" priority="1105" dxfId="3">
      <formula>AND(IF(OR($Q61=1,$Q61=2),1,0),IF($X61&lt;=20,1,0))</formula>
    </cfRule>
    <cfRule type="expression" priority="1106" dxfId="2">
      <formula>AND(IF($Q61=2,1,0),IF($X61&lt;30,1,0))</formula>
    </cfRule>
    <cfRule type="expression" priority="1107" dxfId="1">
      <formula>AND(IF($Q61=3,1,0),IF($X61&lt;30,1,0))</formula>
    </cfRule>
    <cfRule type="expression" priority="1108" dxfId="0">
      <formula>AND(IF($Q61=3,1,IF($Q61=4,1,0)),IF($F61&lt;=85,1,0))</formula>
    </cfRule>
  </conditionalFormatting>
  <conditionalFormatting sqref="X61">
    <cfRule type="expression" priority="1101" dxfId="3">
      <formula>AND(IF(OR($Q61=1,$Q61=2),1,0),IF($X61&lt;=20,1,0))</formula>
    </cfRule>
    <cfRule type="expression" priority="1102" dxfId="2">
      <formula>AND(IF($Q61=2,1,0),IF($X61&lt;30,1,0))</formula>
    </cfRule>
    <cfRule type="expression" priority="1103" dxfId="1">
      <formula>AND(IF($Q61=3,1,0),IF($X61&lt;30,1,0))</formula>
    </cfRule>
    <cfRule type="expression" priority="1104" dxfId="0">
      <formula>AND(IF($Q61=3,1,IF($Q61=4,1,0)),IF($F61&lt;=85,1,0))</formula>
    </cfRule>
  </conditionalFormatting>
  <conditionalFormatting sqref="AI61">
    <cfRule type="expression" priority="1097" dxfId="3">
      <formula>AND(IF(OR($Q61=1,$Q61=2),1,0),IF($X61&lt;=20,1,0))</formula>
    </cfRule>
    <cfRule type="expression" priority="1098" dxfId="2">
      <formula>AND(IF($Q61=2,1,0),IF($X61&lt;30,1,0))</formula>
    </cfRule>
    <cfRule type="expression" priority="1099" dxfId="1">
      <formula>AND(IF($Q61=3,1,0),IF($X61&lt;30,1,0))</formula>
    </cfRule>
    <cfRule type="expression" priority="1100" dxfId="0">
      <formula>AND(IF($Q61=3,1,IF($Q61=4,1,0)),IF($F61&lt;=85,1,0))</formula>
    </cfRule>
  </conditionalFormatting>
  <conditionalFormatting sqref="AV62">
    <cfRule type="expression" priority="1095" dxfId="19">
      <formula>AV62="X"</formula>
    </cfRule>
    <cfRule type="expression" priority="1096" dxfId="18">
      <formula>AV62="후보"</formula>
    </cfRule>
  </conditionalFormatting>
  <conditionalFormatting sqref="AC62">
    <cfRule type="cellIs" priority="1092" operator="greaterThan" dxfId="13">
      <formula>0.9</formula>
    </cfRule>
    <cfRule type="cellIs" priority="1093" operator="greaterThan" dxfId="12">
      <formula>0.85</formula>
    </cfRule>
  </conditionalFormatting>
  <conditionalFormatting sqref="N62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E62">
    <cfRule type="expression" priority="1086" dxfId="3">
      <formula>AND(IF(OR($Q62=1,$Q62=2),1,0),IF($X62&lt;=20,1,0))</formula>
    </cfRule>
    <cfRule type="expression" priority="1087" dxfId="2">
      <formula>AND(IF($Q62=2,1,0),IF($X62&lt;30,1,0))</formula>
    </cfRule>
    <cfRule type="expression" priority="1088" dxfId="1">
      <formula>AND(IF($Q62=3,1,0),IF($X62&lt;30,1,0))</formula>
    </cfRule>
    <cfRule type="expression" priority="1089" dxfId="0">
      <formula>AND(IF($Q62=3,1,IF($Q62=4,1,0)),IF($F62&lt;=85,1,0))</formula>
    </cfRule>
  </conditionalFormatting>
  <conditionalFormatting sqref="X62">
    <cfRule type="expression" priority="1082" dxfId="3">
      <formula>AND(IF(OR($Q62=1,$Q62=2),1,0),IF($X62&lt;=20,1,0))</formula>
    </cfRule>
    <cfRule type="expression" priority="1083" dxfId="2">
      <formula>AND(IF($Q62=2,1,0),IF($X62&lt;30,1,0))</formula>
    </cfRule>
    <cfRule type="expression" priority="1084" dxfId="1">
      <formula>AND(IF($Q62=3,1,0),IF($X62&lt;30,1,0))</formula>
    </cfRule>
    <cfRule type="expression" priority="1085" dxfId="0">
      <formula>AND(IF($Q62=3,1,IF($Q62=4,1,0)),IF($F62&lt;=85,1,0))</formula>
    </cfRule>
  </conditionalFormatting>
  <conditionalFormatting sqref="AI62">
    <cfRule type="expression" priority="1078" dxfId="3">
      <formula>AND(IF(OR($Q62=1,$Q62=2),1,0),IF($X62&lt;=20,1,0))</formula>
    </cfRule>
    <cfRule type="expression" priority="1079" dxfId="2">
      <formula>AND(IF($Q62=2,1,0),IF($X62&lt;30,1,0))</formula>
    </cfRule>
    <cfRule type="expression" priority="1080" dxfId="1">
      <formula>AND(IF($Q62=3,1,0),IF($X62&lt;30,1,0))</formula>
    </cfRule>
    <cfRule type="expression" priority="1081" dxfId="0">
      <formula>AND(IF($Q62=3,1,IF($Q62=4,1,0)),IF($F62&lt;=85,1,0))</formula>
    </cfRule>
  </conditionalFormatting>
  <conditionalFormatting sqref="AV63">
    <cfRule type="expression" priority="1076" dxfId="19">
      <formula>AV63="X"</formula>
    </cfRule>
    <cfRule type="expression" priority="1077" dxfId="18">
      <formula>AV63="후보"</formula>
    </cfRule>
  </conditionalFormatting>
  <conditionalFormatting sqref="AC63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N63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E63">
    <cfRule type="expression" priority="1067" dxfId="3">
      <formula>AND(IF(OR($Q63=1,$Q63=2),1,0),IF($X63&lt;=20,1,0))</formula>
    </cfRule>
    <cfRule type="expression" priority="1068" dxfId="2">
      <formula>AND(IF($Q63=2,1,0),IF($X63&lt;30,1,0))</formula>
    </cfRule>
    <cfRule type="expression" priority="1069" dxfId="1">
      <formula>AND(IF($Q63=3,1,0),IF($X63&lt;30,1,0))</formula>
    </cfRule>
    <cfRule type="expression" priority="1070" dxfId="0">
      <formula>AND(IF($Q63=3,1,IF($Q63=4,1,0)),IF($F63&lt;=85,1,0))</formula>
    </cfRule>
  </conditionalFormatting>
  <conditionalFormatting sqref="X63">
    <cfRule type="expression" priority="1063" dxfId="3">
      <formula>AND(IF(OR($Q63=1,$Q63=2),1,0),IF($X63&lt;=20,1,0))</formula>
    </cfRule>
    <cfRule type="expression" priority="1064" dxfId="2">
      <formula>AND(IF($Q63=2,1,0),IF($X63&lt;30,1,0))</formula>
    </cfRule>
    <cfRule type="expression" priority="1065" dxfId="1">
      <formula>AND(IF($Q63=3,1,0),IF($X63&lt;30,1,0))</formula>
    </cfRule>
    <cfRule type="expression" priority="1066" dxfId="0">
      <formula>AND(IF($Q63=3,1,IF($Q63=4,1,0)),IF($F63&lt;=85,1,0))</formula>
    </cfRule>
  </conditionalFormatting>
  <conditionalFormatting sqref="AI63">
    <cfRule type="expression" priority="1059" dxfId="3">
      <formula>AND(IF(OR($Q63=1,$Q63=2),1,0),IF($X63&lt;=20,1,0))</formula>
    </cfRule>
    <cfRule type="expression" priority="1060" dxfId="2">
      <formula>AND(IF($Q63=2,1,0),IF($X63&lt;30,1,0))</formula>
    </cfRule>
    <cfRule type="expression" priority="1061" dxfId="1">
      <formula>AND(IF($Q63=3,1,0),IF($X63&lt;30,1,0))</formula>
    </cfRule>
    <cfRule type="expression" priority="1062" dxfId="0">
      <formula>AND(IF($Q63=3,1,IF($Q63=4,1,0)),IF($F63&lt;=85,1,0))</formula>
    </cfRule>
  </conditionalFormatting>
  <conditionalFormatting sqref="AV64">
    <cfRule type="expression" priority="1057" dxfId="19">
      <formula>AV64="X"</formula>
    </cfRule>
    <cfRule type="expression" priority="1058" dxfId="18">
      <formula>AV64="후보"</formula>
    </cfRule>
  </conditionalFormatting>
  <conditionalFormatting sqref="AC64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N64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E64">
    <cfRule type="expression" priority="1048" dxfId="3">
      <formula>AND(IF(OR($Q64=1,$Q64=2),1,0),IF($X64&lt;=20,1,0))</formula>
    </cfRule>
    <cfRule type="expression" priority="1049" dxfId="2">
      <formula>AND(IF($Q64=2,1,0),IF($X64&lt;30,1,0))</formula>
    </cfRule>
    <cfRule type="expression" priority="1050" dxfId="1">
      <formula>AND(IF($Q64=3,1,0),IF($X64&lt;30,1,0))</formula>
    </cfRule>
    <cfRule type="expression" priority="1051" dxfId="0">
      <formula>AND(IF($Q64=3,1,IF($Q64=4,1,0)),IF($F64&lt;=85,1,0))</formula>
    </cfRule>
  </conditionalFormatting>
  <conditionalFormatting sqref="X64">
    <cfRule type="expression" priority="1044" dxfId="3">
      <formula>AND(IF(OR($Q64=1,$Q64=2),1,0),IF($X64&lt;=20,1,0))</formula>
    </cfRule>
    <cfRule type="expression" priority="1045" dxfId="2">
      <formula>AND(IF($Q64=2,1,0),IF($X64&lt;30,1,0))</formula>
    </cfRule>
    <cfRule type="expression" priority="1046" dxfId="1">
      <formula>AND(IF($Q64=3,1,0),IF($X64&lt;30,1,0))</formula>
    </cfRule>
    <cfRule type="expression" priority="1047" dxfId="0">
      <formula>AND(IF($Q64=3,1,IF($Q64=4,1,0)),IF($F64&lt;=85,1,0))</formula>
    </cfRule>
  </conditionalFormatting>
  <conditionalFormatting sqref="AI64">
    <cfRule type="expression" priority="1040" dxfId="3">
      <formula>AND(IF(OR($Q64=1,$Q64=2),1,0),IF($X64&lt;=20,1,0))</formula>
    </cfRule>
    <cfRule type="expression" priority="1041" dxfId="2">
      <formula>AND(IF($Q64=2,1,0),IF($X64&lt;30,1,0))</formula>
    </cfRule>
    <cfRule type="expression" priority="1042" dxfId="1">
      <formula>AND(IF($Q64=3,1,0),IF($X64&lt;30,1,0))</formula>
    </cfRule>
    <cfRule type="expression" priority="1043" dxfId="0">
      <formula>AND(IF($Q64=3,1,IF($Q64=4,1,0)),IF($F64&lt;=85,1,0))</formula>
    </cfRule>
  </conditionalFormatting>
  <conditionalFormatting sqref="AV65">
    <cfRule type="expression" priority="1038" dxfId="19">
      <formula>AV65="X"</formula>
    </cfRule>
    <cfRule type="expression" priority="1039" dxfId="18">
      <formula>AV65="후보"</formula>
    </cfRule>
  </conditionalFormatting>
  <conditionalFormatting sqref="AC65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6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65">
    <cfRule type="expression" priority="1029" dxfId="3">
      <formula>AND(IF(OR($Q65=1,$Q65=2),1,0),IF($X65&lt;=20,1,0))</formula>
    </cfRule>
    <cfRule type="expression" priority="1030" dxfId="2">
      <formula>AND(IF($Q65=2,1,0),IF($X65&lt;30,1,0))</formula>
    </cfRule>
    <cfRule type="expression" priority="1031" dxfId="1">
      <formula>AND(IF($Q65=3,1,0),IF($X65&lt;30,1,0))</formula>
    </cfRule>
    <cfRule type="expression" priority="1032" dxfId="0">
      <formula>AND(IF($Q65=3,1,IF($Q65=4,1,0)),IF($F65&lt;=85,1,0))</formula>
    </cfRule>
  </conditionalFormatting>
  <conditionalFormatting sqref="X65">
    <cfRule type="expression" priority="1025" dxfId="3">
      <formula>AND(IF(OR($Q65=1,$Q65=2),1,0),IF($X65&lt;=20,1,0))</formula>
    </cfRule>
    <cfRule type="expression" priority="1026" dxfId="2">
      <formula>AND(IF($Q65=2,1,0),IF($X65&lt;30,1,0))</formula>
    </cfRule>
    <cfRule type="expression" priority="1027" dxfId="1">
      <formula>AND(IF($Q65=3,1,0),IF($X65&lt;30,1,0))</formula>
    </cfRule>
    <cfRule type="expression" priority="1028" dxfId="0">
      <formula>AND(IF($Q65=3,1,IF($Q65=4,1,0)),IF($F65&lt;=85,1,0))</formula>
    </cfRule>
  </conditionalFormatting>
  <conditionalFormatting sqref="AI65">
    <cfRule type="expression" priority="1021" dxfId="3">
      <formula>AND(IF(OR($Q65=1,$Q65=2),1,0),IF($X65&lt;=20,1,0))</formula>
    </cfRule>
    <cfRule type="expression" priority="1022" dxfId="2">
      <formula>AND(IF($Q65=2,1,0),IF($X65&lt;30,1,0))</formula>
    </cfRule>
    <cfRule type="expression" priority="1023" dxfId="1">
      <formula>AND(IF($Q65=3,1,0),IF($X65&lt;30,1,0))</formula>
    </cfRule>
    <cfRule type="expression" priority="1024" dxfId="0">
      <formula>AND(IF($Q65=3,1,IF($Q65=4,1,0)),IF($F65&lt;=85,1,0))</formula>
    </cfRule>
  </conditionalFormatting>
  <conditionalFormatting sqref="AV66">
    <cfRule type="expression" priority="1019" dxfId="19">
      <formula>AV66="X"</formula>
    </cfRule>
    <cfRule type="expression" priority="1020" dxfId="18">
      <formula>AV66="후보"</formula>
    </cfRule>
  </conditionalFormatting>
  <conditionalFormatting sqref="AC66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66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66">
    <cfRule type="expression" priority="1010" dxfId="3">
      <formula>AND(IF(OR($Q66=1,$Q66=2),1,0),IF($X66&lt;=20,1,0))</formula>
    </cfRule>
    <cfRule type="expression" priority="1011" dxfId="2">
      <formula>AND(IF($Q66=2,1,0),IF($X66&lt;30,1,0))</formula>
    </cfRule>
    <cfRule type="expression" priority="1012" dxfId="1">
      <formula>AND(IF($Q66=3,1,0),IF($X66&lt;30,1,0))</formula>
    </cfRule>
    <cfRule type="expression" priority="1013" dxfId="0">
      <formula>AND(IF($Q66=3,1,IF($Q66=4,1,0)),IF($F66&lt;=85,1,0))</formula>
    </cfRule>
  </conditionalFormatting>
  <conditionalFormatting sqref="X66">
    <cfRule type="expression" priority="1006" dxfId="3">
      <formula>AND(IF(OR($Q66=1,$Q66=2),1,0),IF($X66&lt;=20,1,0))</formula>
    </cfRule>
    <cfRule type="expression" priority="1007" dxfId="2">
      <formula>AND(IF($Q66=2,1,0),IF($X66&lt;30,1,0))</formula>
    </cfRule>
    <cfRule type="expression" priority="1008" dxfId="1">
      <formula>AND(IF($Q66=3,1,0),IF($X66&lt;30,1,0))</formula>
    </cfRule>
    <cfRule type="expression" priority="1009" dxfId="0">
      <formula>AND(IF($Q66=3,1,IF($Q66=4,1,0)),IF($F66&lt;=85,1,0))</formula>
    </cfRule>
  </conditionalFormatting>
  <conditionalFormatting sqref="AI66">
    <cfRule type="expression" priority="1002" dxfId="3">
      <formula>AND(IF(OR($Q66=1,$Q66=2),1,0),IF($X66&lt;=20,1,0))</formula>
    </cfRule>
    <cfRule type="expression" priority="1003" dxfId="2">
      <formula>AND(IF($Q66=2,1,0),IF($X66&lt;30,1,0))</formula>
    </cfRule>
    <cfRule type="expression" priority="1004" dxfId="1">
      <formula>AND(IF($Q66=3,1,0),IF($X66&lt;30,1,0))</formula>
    </cfRule>
    <cfRule type="expression" priority="1005" dxfId="0">
      <formula>AND(IF($Q66=3,1,IF($Q66=4,1,0)),IF($F66&lt;=85,1,0))</formula>
    </cfRule>
  </conditionalFormatting>
  <conditionalFormatting sqref="AV67">
    <cfRule type="expression" priority="1000" dxfId="19">
      <formula>AV67="X"</formula>
    </cfRule>
    <cfRule type="expression" priority="1001" dxfId="18">
      <formula>AV67="후보"</formula>
    </cfRule>
  </conditionalFormatting>
  <conditionalFormatting sqref="AC67 N67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AV68">
    <cfRule type="expression" priority="995" dxfId="19">
      <formula>AV68="X"</formula>
    </cfRule>
    <cfRule type="expression" priority="996" dxfId="18">
      <formula>AV68="후보"</formula>
    </cfRule>
  </conditionalFormatting>
  <conditionalFormatting sqref="AC68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N68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E68">
    <cfRule type="expression" priority="986" dxfId="3">
      <formula>AND(IF(OR($Q68=1,$Q68=2),1,0),IF($X68&lt;=20,1,0))</formula>
    </cfRule>
    <cfRule type="expression" priority="987" dxfId="2">
      <formula>AND(IF($Q68=2,1,0),IF($X68&lt;30,1,0))</formula>
    </cfRule>
    <cfRule type="expression" priority="988" dxfId="1">
      <formula>AND(IF($Q68=3,1,0),IF($X68&lt;30,1,0))</formula>
    </cfRule>
    <cfRule type="expression" priority="989" dxfId="0">
      <formula>AND(IF($Q68=3,1,IF($Q68=4,1,0)),IF($F68&lt;=85,1,0))</formula>
    </cfRule>
  </conditionalFormatting>
  <conditionalFormatting sqref="X68">
    <cfRule type="expression" priority="982" dxfId="3">
      <formula>AND(IF(OR($Q68=1,$Q68=2),1,0),IF($X68&lt;=20,1,0))</formula>
    </cfRule>
    <cfRule type="expression" priority="983" dxfId="2">
      <formula>AND(IF($Q68=2,1,0),IF($X68&lt;30,1,0))</formula>
    </cfRule>
    <cfRule type="expression" priority="984" dxfId="1">
      <formula>AND(IF($Q68=3,1,0),IF($X68&lt;30,1,0))</formula>
    </cfRule>
    <cfRule type="expression" priority="985" dxfId="0">
      <formula>AND(IF($Q68=3,1,IF($Q68=4,1,0)),IF($F68&lt;=85,1,0))</formula>
    </cfRule>
  </conditionalFormatting>
  <conditionalFormatting sqref="AI68">
    <cfRule type="expression" priority="978" dxfId="3">
      <formula>AND(IF(OR($Q68=1,$Q68=2),1,0),IF($X68&lt;=20,1,0))</formula>
    </cfRule>
    <cfRule type="expression" priority="979" dxfId="2">
      <formula>AND(IF($Q68=2,1,0),IF($X68&lt;30,1,0))</formula>
    </cfRule>
    <cfRule type="expression" priority="980" dxfId="1">
      <formula>AND(IF($Q68=3,1,0),IF($X68&lt;30,1,0))</formula>
    </cfRule>
    <cfRule type="expression" priority="981" dxfId="0">
      <formula>AND(IF($Q68=3,1,IF($Q68=4,1,0)),IF($F68&lt;=85,1,0))</formula>
    </cfRule>
  </conditionalFormatting>
  <conditionalFormatting sqref="AV69">
    <cfRule type="expression" priority="976" dxfId="19">
      <formula>AV69="X"</formula>
    </cfRule>
    <cfRule type="expression" priority="977" dxfId="18">
      <formula>AV69="후보"</formula>
    </cfRule>
  </conditionalFormatting>
  <conditionalFormatting sqref="AC6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N69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E69">
    <cfRule type="expression" priority="967" dxfId="3">
      <formula>AND(IF(OR($Q69=1,$Q69=2),1,0),IF($X69&lt;=20,1,0))</formula>
    </cfRule>
    <cfRule type="expression" priority="968" dxfId="2">
      <formula>AND(IF($Q69=2,1,0),IF($X69&lt;30,1,0))</formula>
    </cfRule>
    <cfRule type="expression" priority="969" dxfId="1">
      <formula>AND(IF($Q69=3,1,0),IF($X69&lt;30,1,0))</formula>
    </cfRule>
    <cfRule type="expression" priority="970" dxfId="0">
      <formula>AND(IF($Q69=3,1,IF($Q69=4,1,0)),IF($F69&lt;=85,1,0))</formula>
    </cfRule>
  </conditionalFormatting>
  <conditionalFormatting sqref="X69">
    <cfRule type="expression" priority="963" dxfId="3">
      <formula>AND(IF(OR($Q69=1,$Q69=2),1,0),IF($X69&lt;=20,1,0))</formula>
    </cfRule>
    <cfRule type="expression" priority="964" dxfId="2">
      <formula>AND(IF($Q69=2,1,0),IF($X69&lt;30,1,0))</formula>
    </cfRule>
    <cfRule type="expression" priority="965" dxfId="1">
      <formula>AND(IF($Q69=3,1,0),IF($X69&lt;30,1,0))</formula>
    </cfRule>
    <cfRule type="expression" priority="966" dxfId="0">
      <formula>AND(IF($Q69=3,1,IF($Q69=4,1,0)),IF($F69&lt;=85,1,0))</formula>
    </cfRule>
  </conditionalFormatting>
  <conditionalFormatting sqref="AI69">
    <cfRule type="expression" priority="959" dxfId="3">
      <formula>AND(IF(OR($Q69=1,$Q69=2),1,0),IF($X69&lt;=20,1,0))</formula>
    </cfRule>
    <cfRule type="expression" priority="960" dxfId="2">
      <formula>AND(IF($Q69=2,1,0),IF($X69&lt;30,1,0))</formula>
    </cfRule>
    <cfRule type="expression" priority="961" dxfId="1">
      <formula>AND(IF($Q69=3,1,0),IF($X69&lt;30,1,0))</formula>
    </cfRule>
    <cfRule type="expression" priority="962" dxfId="0">
      <formula>AND(IF($Q69=3,1,IF($Q69=4,1,0)),IF($F69&lt;=85,1,0))</formula>
    </cfRule>
  </conditionalFormatting>
  <conditionalFormatting sqref="AV70">
    <cfRule type="expression" priority="957" dxfId="19">
      <formula>AV70="X"</formula>
    </cfRule>
    <cfRule type="expression" priority="958" dxfId="18">
      <formula>AV70="후보"</formula>
    </cfRule>
  </conditionalFormatting>
  <conditionalFormatting sqref="AC70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70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70">
    <cfRule type="expression" priority="948" dxfId="3">
      <formula>AND(IF(OR($Q70=1,$Q70=2),1,0),IF($X70&lt;=20,1,0))</formula>
    </cfRule>
    <cfRule type="expression" priority="949" dxfId="2">
      <formula>AND(IF($Q70=2,1,0),IF($X70&lt;30,1,0))</formula>
    </cfRule>
    <cfRule type="expression" priority="950" dxfId="1">
      <formula>AND(IF($Q70=3,1,0),IF($X70&lt;30,1,0))</formula>
    </cfRule>
    <cfRule type="expression" priority="951" dxfId="0">
      <formula>AND(IF($Q70=3,1,IF($Q70=4,1,0)),IF($F70&lt;=85,1,0))</formula>
    </cfRule>
  </conditionalFormatting>
  <conditionalFormatting sqref="X70">
    <cfRule type="expression" priority="944" dxfId="3">
      <formula>AND(IF(OR($Q70=1,$Q70=2),1,0),IF($X70&lt;=20,1,0))</formula>
    </cfRule>
    <cfRule type="expression" priority="945" dxfId="2">
      <formula>AND(IF($Q70=2,1,0),IF($X70&lt;30,1,0))</formula>
    </cfRule>
    <cfRule type="expression" priority="946" dxfId="1">
      <formula>AND(IF($Q70=3,1,0),IF($X70&lt;30,1,0))</formula>
    </cfRule>
    <cfRule type="expression" priority="947" dxfId="0">
      <formula>AND(IF($Q70=3,1,IF($Q70=4,1,0)),IF($F70&lt;=85,1,0))</formula>
    </cfRule>
  </conditionalFormatting>
  <conditionalFormatting sqref="AI70">
    <cfRule type="expression" priority="940" dxfId="3">
      <formula>AND(IF(OR($Q70=1,$Q70=2),1,0),IF($X70&lt;=20,1,0))</formula>
    </cfRule>
    <cfRule type="expression" priority="941" dxfId="2">
      <formula>AND(IF($Q70=2,1,0),IF($X70&lt;30,1,0))</formula>
    </cfRule>
    <cfRule type="expression" priority="942" dxfId="1">
      <formula>AND(IF($Q70=3,1,0),IF($X70&lt;30,1,0))</formula>
    </cfRule>
    <cfRule type="expression" priority="943" dxfId="0">
      <formula>AND(IF($Q70=3,1,IF($Q70=4,1,0)),IF($F70&lt;=85,1,0))</formula>
    </cfRule>
  </conditionalFormatting>
  <conditionalFormatting sqref="AV71">
    <cfRule type="expression" priority="938" dxfId="19">
      <formula>AV71="X"</formula>
    </cfRule>
    <cfRule type="expression" priority="939" dxfId="18">
      <formula>AV71="후보"</formula>
    </cfRule>
  </conditionalFormatting>
  <conditionalFormatting sqref="AC71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71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71">
    <cfRule type="expression" priority="929" dxfId="3">
      <formula>AND(IF(OR($Q71=1,$Q71=2),1,0),IF($X71&lt;=20,1,0))</formula>
    </cfRule>
    <cfRule type="expression" priority="930" dxfId="2">
      <formula>AND(IF($Q71=2,1,0),IF($X71&lt;30,1,0))</formula>
    </cfRule>
    <cfRule type="expression" priority="931" dxfId="1">
      <formula>AND(IF($Q71=3,1,0),IF($X71&lt;30,1,0))</formula>
    </cfRule>
    <cfRule type="expression" priority="932" dxfId="0">
      <formula>AND(IF($Q71=3,1,IF($Q71=4,1,0)),IF($F71&lt;=85,1,0))</formula>
    </cfRule>
  </conditionalFormatting>
  <conditionalFormatting sqref="X71">
    <cfRule type="expression" priority="925" dxfId="3">
      <formula>AND(IF(OR($Q71=1,$Q71=2),1,0),IF($X71&lt;=20,1,0))</formula>
    </cfRule>
    <cfRule type="expression" priority="926" dxfId="2">
      <formula>AND(IF($Q71=2,1,0),IF($X71&lt;30,1,0))</formula>
    </cfRule>
    <cfRule type="expression" priority="927" dxfId="1">
      <formula>AND(IF($Q71=3,1,0),IF($X71&lt;30,1,0))</formula>
    </cfRule>
    <cfRule type="expression" priority="928" dxfId="0">
      <formula>AND(IF($Q71=3,1,IF($Q71=4,1,0)),IF($F71&lt;=85,1,0))</formula>
    </cfRule>
  </conditionalFormatting>
  <conditionalFormatting sqref="AI71">
    <cfRule type="expression" priority="921" dxfId="3">
      <formula>AND(IF(OR($Q71=1,$Q71=2),1,0),IF($X71&lt;=20,1,0))</formula>
    </cfRule>
    <cfRule type="expression" priority="922" dxfId="2">
      <formula>AND(IF($Q71=2,1,0),IF($X71&lt;30,1,0))</formula>
    </cfRule>
    <cfRule type="expression" priority="923" dxfId="1">
      <formula>AND(IF($Q71=3,1,0),IF($X71&lt;30,1,0))</formula>
    </cfRule>
    <cfRule type="expression" priority="924" dxfId="0">
      <formula>AND(IF($Q71=3,1,IF($Q71=4,1,0)),IF($F71&lt;=85,1,0))</formula>
    </cfRule>
  </conditionalFormatting>
  <conditionalFormatting sqref="AV72">
    <cfRule type="expression" priority="919" dxfId="19">
      <formula>AV72="X"</formula>
    </cfRule>
    <cfRule type="expression" priority="920" dxfId="18">
      <formula>AV72="후보"</formula>
    </cfRule>
  </conditionalFormatting>
  <conditionalFormatting sqref="AC72 N72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AV73">
    <cfRule type="expression" priority="914" dxfId="19">
      <formula>AV73="X"</formula>
    </cfRule>
    <cfRule type="expression" priority="915" dxfId="18">
      <formula>AV73="후보"</formula>
    </cfRule>
  </conditionalFormatting>
  <conditionalFormatting sqref="AC73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N73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73">
    <cfRule type="expression" priority="905" dxfId="3">
      <formula>AND(IF(OR($Q73=1,$Q73=2),1,0),IF($X73&lt;=20,1,0))</formula>
    </cfRule>
    <cfRule type="expression" priority="906" dxfId="2">
      <formula>AND(IF($Q73=2,1,0),IF($X73&lt;30,1,0))</formula>
    </cfRule>
    <cfRule type="expression" priority="907" dxfId="1">
      <formula>AND(IF($Q73=3,1,0),IF($X73&lt;30,1,0))</formula>
    </cfRule>
    <cfRule type="expression" priority="908" dxfId="0">
      <formula>AND(IF($Q73=3,1,IF($Q73=4,1,0)),IF($F73&lt;=85,1,0))</formula>
    </cfRule>
  </conditionalFormatting>
  <conditionalFormatting sqref="X73">
    <cfRule type="expression" priority="901" dxfId="3">
      <formula>AND(IF(OR($Q73=1,$Q73=2),1,0),IF($X73&lt;=20,1,0))</formula>
    </cfRule>
    <cfRule type="expression" priority="902" dxfId="2">
      <formula>AND(IF($Q73=2,1,0),IF($X73&lt;30,1,0))</formula>
    </cfRule>
    <cfRule type="expression" priority="903" dxfId="1">
      <formula>AND(IF($Q73=3,1,0),IF($X73&lt;30,1,0))</formula>
    </cfRule>
    <cfRule type="expression" priority="904" dxfId="0">
      <formula>AND(IF($Q73=3,1,IF($Q73=4,1,0)),IF($F73&lt;=85,1,0))</formula>
    </cfRule>
  </conditionalFormatting>
  <conditionalFormatting sqref="AI73">
    <cfRule type="expression" priority="897" dxfId="3">
      <formula>AND(IF(OR($Q73=1,$Q73=2),1,0),IF($X73&lt;=20,1,0))</formula>
    </cfRule>
    <cfRule type="expression" priority="898" dxfId="2">
      <formula>AND(IF($Q73=2,1,0),IF($X73&lt;30,1,0))</formula>
    </cfRule>
    <cfRule type="expression" priority="899" dxfId="1">
      <formula>AND(IF($Q73=3,1,0),IF($X73&lt;30,1,0))</formula>
    </cfRule>
    <cfRule type="expression" priority="900" dxfId="0">
      <formula>AND(IF($Q73=3,1,IF($Q73=4,1,0)),IF($F73&lt;=85,1,0))</formula>
    </cfRule>
  </conditionalFormatting>
  <conditionalFormatting sqref="AV74">
    <cfRule type="expression" priority="895" dxfId="19">
      <formula>AV74="X"</formula>
    </cfRule>
    <cfRule type="expression" priority="896" dxfId="18">
      <formula>AV74="후보"</formula>
    </cfRule>
  </conditionalFormatting>
  <conditionalFormatting sqref="AC74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N74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E74">
    <cfRule type="expression" priority="886" dxfId="3">
      <formula>AND(IF(OR($Q74=1,$Q74=2),1,0),IF($X74&lt;=20,1,0))</formula>
    </cfRule>
    <cfRule type="expression" priority="887" dxfId="2">
      <formula>AND(IF($Q74=2,1,0),IF($X74&lt;30,1,0))</formula>
    </cfRule>
    <cfRule type="expression" priority="888" dxfId="1">
      <formula>AND(IF($Q74=3,1,0),IF($X74&lt;30,1,0))</formula>
    </cfRule>
    <cfRule type="expression" priority="889" dxfId="0">
      <formula>AND(IF($Q74=3,1,IF($Q74=4,1,0)),IF($F74&lt;=85,1,0))</formula>
    </cfRule>
  </conditionalFormatting>
  <conditionalFormatting sqref="X74">
    <cfRule type="expression" priority="882" dxfId="3">
      <formula>AND(IF(OR($Q74=1,$Q74=2),1,0),IF($X74&lt;=20,1,0))</formula>
    </cfRule>
    <cfRule type="expression" priority="883" dxfId="2">
      <formula>AND(IF($Q74=2,1,0),IF($X74&lt;30,1,0))</formula>
    </cfRule>
    <cfRule type="expression" priority="884" dxfId="1">
      <formula>AND(IF($Q74=3,1,0),IF($X74&lt;30,1,0))</formula>
    </cfRule>
    <cfRule type="expression" priority="885" dxfId="0">
      <formula>AND(IF($Q74=3,1,IF($Q74=4,1,0)),IF($F74&lt;=85,1,0))</formula>
    </cfRule>
  </conditionalFormatting>
  <conditionalFormatting sqref="AI74">
    <cfRule type="expression" priority="878" dxfId="3">
      <formula>AND(IF(OR($Q74=1,$Q74=2),1,0),IF($X74&lt;=20,1,0))</formula>
    </cfRule>
    <cfRule type="expression" priority="879" dxfId="2">
      <formula>AND(IF($Q74=2,1,0),IF($X74&lt;30,1,0))</formula>
    </cfRule>
    <cfRule type="expression" priority="880" dxfId="1">
      <formula>AND(IF($Q74=3,1,0),IF($X74&lt;30,1,0))</formula>
    </cfRule>
    <cfRule type="expression" priority="881" dxfId="0">
      <formula>AND(IF($Q74=3,1,IF($Q74=4,1,0)),IF($F74&lt;=85,1,0))</formula>
    </cfRule>
  </conditionalFormatting>
  <conditionalFormatting sqref="AV75">
    <cfRule type="expression" priority="876" dxfId="19">
      <formula>AV75="X"</formula>
    </cfRule>
    <cfRule type="expression" priority="877" dxfId="18">
      <formula>AV75="후보"</formula>
    </cfRule>
  </conditionalFormatting>
  <conditionalFormatting sqref="AC75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75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75">
    <cfRule type="expression" priority="867" dxfId="3">
      <formula>AND(IF(OR($Q75=1,$Q75=2),1,0),IF($X75&lt;=20,1,0))</formula>
    </cfRule>
    <cfRule type="expression" priority="868" dxfId="2">
      <formula>AND(IF($Q75=2,1,0),IF($X75&lt;30,1,0))</formula>
    </cfRule>
    <cfRule type="expression" priority="869" dxfId="1">
      <formula>AND(IF($Q75=3,1,0),IF($X75&lt;30,1,0))</formula>
    </cfRule>
    <cfRule type="expression" priority="870" dxfId="0">
      <formula>AND(IF($Q75=3,1,IF($Q75=4,1,0)),IF($F75&lt;=85,1,0))</formula>
    </cfRule>
  </conditionalFormatting>
  <conditionalFormatting sqref="X75">
    <cfRule type="expression" priority="863" dxfId="3">
      <formula>AND(IF(OR($Q75=1,$Q75=2),1,0),IF($X75&lt;=20,1,0))</formula>
    </cfRule>
    <cfRule type="expression" priority="864" dxfId="2">
      <formula>AND(IF($Q75=2,1,0),IF($X75&lt;30,1,0))</formula>
    </cfRule>
    <cfRule type="expression" priority="865" dxfId="1">
      <formula>AND(IF($Q75=3,1,0),IF($X75&lt;30,1,0))</formula>
    </cfRule>
    <cfRule type="expression" priority="866" dxfId="0">
      <formula>AND(IF($Q75=3,1,IF($Q75=4,1,0)),IF($F75&lt;=85,1,0))</formula>
    </cfRule>
  </conditionalFormatting>
  <conditionalFormatting sqref="AI75">
    <cfRule type="expression" priority="859" dxfId="3">
      <formula>AND(IF(OR($Q75=1,$Q75=2),1,0),IF($X75&lt;=20,1,0))</formula>
    </cfRule>
    <cfRule type="expression" priority="860" dxfId="2">
      <formula>AND(IF($Q75=2,1,0),IF($X75&lt;30,1,0))</formula>
    </cfRule>
    <cfRule type="expression" priority="861" dxfId="1">
      <formula>AND(IF($Q75=3,1,0),IF($X75&lt;30,1,0))</formula>
    </cfRule>
    <cfRule type="expression" priority="862" dxfId="0">
      <formula>AND(IF($Q75=3,1,IF($Q75=4,1,0)),IF($F75&lt;=85,1,0))</formula>
    </cfRule>
  </conditionalFormatting>
  <conditionalFormatting sqref="AV76">
    <cfRule type="expression" priority="857" dxfId="19">
      <formula>AV76="X"</formula>
    </cfRule>
    <cfRule type="expression" priority="858" dxfId="18">
      <formula>AV76="후보"</formula>
    </cfRule>
  </conditionalFormatting>
  <conditionalFormatting sqref="AC76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76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76">
    <cfRule type="expression" priority="848" dxfId="3">
      <formula>AND(IF(OR($Q76=1,$Q76=2),1,0),IF($X76&lt;=20,1,0))</formula>
    </cfRule>
    <cfRule type="expression" priority="849" dxfId="2">
      <formula>AND(IF($Q76=2,1,0),IF($X76&lt;30,1,0))</formula>
    </cfRule>
    <cfRule type="expression" priority="850" dxfId="1">
      <formula>AND(IF($Q76=3,1,0),IF($X76&lt;30,1,0))</formula>
    </cfRule>
    <cfRule type="expression" priority="851" dxfId="0">
      <formula>AND(IF($Q76=3,1,IF($Q76=4,1,0)),IF($F76&lt;=85,1,0))</formula>
    </cfRule>
  </conditionalFormatting>
  <conditionalFormatting sqref="X76">
    <cfRule type="expression" priority="844" dxfId="3">
      <formula>AND(IF(OR($Q76=1,$Q76=2),1,0),IF($X76&lt;=20,1,0))</formula>
    </cfRule>
    <cfRule type="expression" priority="845" dxfId="2">
      <formula>AND(IF($Q76=2,1,0),IF($X76&lt;30,1,0))</formula>
    </cfRule>
    <cfRule type="expression" priority="846" dxfId="1">
      <formula>AND(IF($Q76=3,1,0),IF($X76&lt;30,1,0))</formula>
    </cfRule>
    <cfRule type="expression" priority="847" dxfId="0">
      <formula>AND(IF($Q76=3,1,IF($Q76=4,1,0)),IF($F76&lt;=85,1,0))</formula>
    </cfRule>
  </conditionalFormatting>
  <conditionalFormatting sqref="AI76">
    <cfRule type="expression" priority="840" dxfId="3">
      <formula>AND(IF(OR($Q76=1,$Q76=2),1,0),IF($X76&lt;=20,1,0))</formula>
    </cfRule>
    <cfRule type="expression" priority="841" dxfId="2">
      <formula>AND(IF($Q76=2,1,0),IF($X76&lt;30,1,0))</formula>
    </cfRule>
    <cfRule type="expression" priority="842" dxfId="1">
      <formula>AND(IF($Q76=3,1,0),IF($X76&lt;30,1,0))</formula>
    </cfRule>
    <cfRule type="expression" priority="843" dxfId="0">
      <formula>AND(IF($Q76=3,1,IF($Q76=4,1,0)),IF($F76&lt;=85,1,0))</formula>
    </cfRule>
  </conditionalFormatting>
  <conditionalFormatting sqref="AV77">
    <cfRule type="expression" priority="838" dxfId="19">
      <formula>AV77="X"</formula>
    </cfRule>
    <cfRule type="expression" priority="839" dxfId="18">
      <formula>AV77="후보"</formula>
    </cfRule>
  </conditionalFormatting>
  <conditionalFormatting sqref="AC77 N77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AV78">
    <cfRule type="expression" priority="833" dxfId="19">
      <formula>AV78="X"</formula>
    </cfRule>
    <cfRule type="expression" priority="834" dxfId="18">
      <formula>AV78="후보"</formula>
    </cfRule>
  </conditionalFormatting>
  <conditionalFormatting sqref="AC78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78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78">
    <cfRule type="expression" priority="824" dxfId="3">
      <formula>AND(IF(OR($Q78=1,$Q78=2),1,0),IF($X78&lt;=20,1,0))</formula>
    </cfRule>
    <cfRule type="expression" priority="825" dxfId="2">
      <formula>AND(IF($Q78=2,1,0),IF($X78&lt;30,1,0))</formula>
    </cfRule>
    <cfRule type="expression" priority="826" dxfId="1">
      <formula>AND(IF($Q78=3,1,0),IF($X78&lt;30,1,0))</formula>
    </cfRule>
    <cfRule type="expression" priority="827" dxfId="0">
      <formula>AND(IF($Q78=3,1,IF($Q78=4,1,0)),IF($F78&lt;=85,1,0))</formula>
    </cfRule>
  </conditionalFormatting>
  <conditionalFormatting sqref="X78">
    <cfRule type="expression" priority="820" dxfId="3">
      <formula>AND(IF(OR($Q78=1,$Q78=2),1,0),IF($X78&lt;=20,1,0))</formula>
    </cfRule>
    <cfRule type="expression" priority="821" dxfId="2">
      <formula>AND(IF($Q78=2,1,0),IF($X78&lt;30,1,0))</formula>
    </cfRule>
    <cfRule type="expression" priority="822" dxfId="1">
      <formula>AND(IF($Q78=3,1,0),IF($X78&lt;30,1,0))</formula>
    </cfRule>
    <cfRule type="expression" priority="823" dxfId="0">
      <formula>AND(IF($Q78=3,1,IF($Q78=4,1,0)),IF($F78&lt;=85,1,0))</formula>
    </cfRule>
  </conditionalFormatting>
  <conditionalFormatting sqref="AI78">
    <cfRule type="expression" priority="816" dxfId="3">
      <formula>AND(IF(OR($Q78=1,$Q78=2),1,0),IF($X78&lt;=20,1,0))</formula>
    </cfRule>
    <cfRule type="expression" priority="817" dxfId="2">
      <formula>AND(IF($Q78=2,1,0),IF($X78&lt;30,1,0))</formula>
    </cfRule>
    <cfRule type="expression" priority="818" dxfId="1">
      <formula>AND(IF($Q78=3,1,0),IF($X78&lt;30,1,0))</formula>
    </cfRule>
    <cfRule type="expression" priority="819" dxfId="0">
      <formula>AND(IF($Q78=3,1,IF($Q78=4,1,0)),IF($F78&lt;=85,1,0))</formula>
    </cfRule>
  </conditionalFormatting>
  <conditionalFormatting sqref="AV79">
    <cfRule type="expression" priority="814" dxfId="19">
      <formula>AV79="X"</formula>
    </cfRule>
    <cfRule type="expression" priority="815" dxfId="18">
      <formula>AV79="후보"</formula>
    </cfRule>
  </conditionalFormatting>
  <conditionalFormatting sqref="AC79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79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79">
    <cfRule type="expression" priority="805" dxfId="3">
      <formula>AND(IF(OR($Q79=1,$Q79=2),1,0),IF($X79&lt;=20,1,0))</formula>
    </cfRule>
    <cfRule type="expression" priority="806" dxfId="2">
      <formula>AND(IF($Q79=2,1,0),IF($X79&lt;30,1,0))</formula>
    </cfRule>
    <cfRule type="expression" priority="807" dxfId="1">
      <formula>AND(IF($Q79=3,1,0),IF($X79&lt;30,1,0))</formula>
    </cfRule>
    <cfRule type="expression" priority="808" dxfId="0">
      <formula>AND(IF($Q79=3,1,IF($Q79=4,1,0)),IF($F79&lt;=85,1,0))</formula>
    </cfRule>
  </conditionalFormatting>
  <conditionalFormatting sqref="X79">
    <cfRule type="expression" priority="801" dxfId="3">
      <formula>AND(IF(OR($Q79=1,$Q79=2),1,0),IF($X79&lt;=20,1,0))</formula>
    </cfRule>
    <cfRule type="expression" priority="802" dxfId="2">
      <formula>AND(IF($Q79=2,1,0),IF($X79&lt;30,1,0))</formula>
    </cfRule>
    <cfRule type="expression" priority="803" dxfId="1">
      <formula>AND(IF($Q79=3,1,0),IF($X79&lt;30,1,0))</formula>
    </cfRule>
    <cfRule type="expression" priority="804" dxfId="0">
      <formula>AND(IF($Q79=3,1,IF($Q79=4,1,0)),IF($F79&lt;=85,1,0))</formula>
    </cfRule>
  </conditionalFormatting>
  <conditionalFormatting sqref="AI79">
    <cfRule type="expression" priority="797" dxfId="3">
      <formula>AND(IF(OR($Q79=1,$Q79=2),1,0),IF($X79&lt;=20,1,0))</formula>
    </cfRule>
    <cfRule type="expression" priority="798" dxfId="2">
      <formula>AND(IF($Q79=2,1,0),IF($X79&lt;30,1,0))</formula>
    </cfRule>
    <cfRule type="expression" priority="799" dxfId="1">
      <formula>AND(IF($Q79=3,1,0),IF($X79&lt;30,1,0))</formula>
    </cfRule>
    <cfRule type="expression" priority="800" dxfId="0">
      <formula>AND(IF($Q79=3,1,IF($Q79=4,1,0)),IF($F79&lt;=85,1,0))</formula>
    </cfRule>
  </conditionalFormatting>
  <conditionalFormatting sqref="AV80">
    <cfRule type="expression" priority="795" dxfId="19">
      <formula>AV80="X"</formula>
    </cfRule>
    <cfRule type="expression" priority="796" dxfId="18">
      <formula>AV80="후보"</formula>
    </cfRule>
  </conditionalFormatting>
  <conditionalFormatting sqref="AC80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80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80">
    <cfRule type="expression" priority="786" dxfId="3">
      <formula>AND(IF(OR($Q80=1,$Q80=2),1,0),IF($X80&lt;=20,1,0))</formula>
    </cfRule>
    <cfRule type="expression" priority="787" dxfId="2">
      <formula>AND(IF($Q80=2,1,0),IF($X80&lt;30,1,0))</formula>
    </cfRule>
    <cfRule type="expression" priority="788" dxfId="1">
      <formula>AND(IF($Q80=3,1,0),IF($X80&lt;30,1,0))</formula>
    </cfRule>
    <cfRule type="expression" priority="789" dxfId="0">
      <formula>AND(IF($Q80=3,1,IF($Q80=4,1,0)),IF($F80&lt;=85,1,0))</formula>
    </cfRule>
  </conditionalFormatting>
  <conditionalFormatting sqref="X80">
    <cfRule type="expression" priority="782" dxfId="3">
      <formula>AND(IF(OR($Q80=1,$Q80=2),1,0),IF($X80&lt;=20,1,0))</formula>
    </cfRule>
    <cfRule type="expression" priority="783" dxfId="2">
      <formula>AND(IF($Q80=2,1,0),IF($X80&lt;30,1,0))</formula>
    </cfRule>
    <cfRule type="expression" priority="784" dxfId="1">
      <formula>AND(IF($Q80=3,1,0),IF($X80&lt;30,1,0))</formula>
    </cfRule>
    <cfRule type="expression" priority="785" dxfId="0">
      <formula>AND(IF($Q80=3,1,IF($Q80=4,1,0)),IF($F80&lt;=85,1,0))</formula>
    </cfRule>
  </conditionalFormatting>
  <conditionalFormatting sqref="AI80">
    <cfRule type="expression" priority="778" dxfId="3">
      <formula>AND(IF(OR($Q80=1,$Q80=2),1,0),IF($X80&lt;=20,1,0))</formula>
    </cfRule>
    <cfRule type="expression" priority="779" dxfId="2">
      <formula>AND(IF($Q80=2,1,0),IF($X80&lt;30,1,0))</formula>
    </cfRule>
    <cfRule type="expression" priority="780" dxfId="1">
      <formula>AND(IF($Q80=3,1,0),IF($X80&lt;30,1,0))</formula>
    </cfRule>
    <cfRule type="expression" priority="781" dxfId="0">
      <formula>AND(IF($Q80=3,1,IF($Q80=4,1,0)),IF($F80&lt;=85,1,0))</formula>
    </cfRule>
  </conditionalFormatting>
  <conditionalFormatting sqref="AV81">
    <cfRule type="expression" priority="776" dxfId="19">
      <formula>AV81="X"</formula>
    </cfRule>
    <cfRule type="expression" priority="777" dxfId="18">
      <formula>AV81="후보"</formula>
    </cfRule>
  </conditionalFormatting>
  <conditionalFormatting sqref="AC81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81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81">
    <cfRule type="expression" priority="767" dxfId="3">
      <formula>AND(IF(OR($Q81=1,$Q81=2),1,0),IF($X81&lt;=20,1,0))</formula>
    </cfRule>
    <cfRule type="expression" priority="768" dxfId="2">
      <formula>AND(IF($Q81=2,1,0),IF($X81&lt;30,1,0))</formula>
    </cfRule>
    <cfRule type="expression" priority="769" dxfId="1">
      <formula>AND(IF($Q81=3,1,0),IF($X81&lt;30,1,0))</formula>
    </cfRule>
    <cfRule type="expression" priority="770" dxfId="0">
      <formula>AND(IF($Q81=3,1,IF($Q81=4,1,0)),IF($F81&lt;=85,1,0))</formula>
    </cfRule>
  </conditionalFormatting>
  <conditionalFormatting sqref="X81">
    <cfRule type="expression" priority="763" dxfId="3">
      <formula>AND(IF(OR($Q81=1,$Q81=2),1,0),IF($X81&lt;=20,1,0))</formula>
    </cfRule>
    <cfRule type="expression" priority="764" dxfId="2">
      <formula>AND(IF($Q81=2,1,0),IF($X81&lt;30,1,0))</formula>
    </cfRule>
    <cfRule type="expression" priority="765" dxfId="1">
      <formula>AND(IF($Q81=3,1,0),IF($X81&lt;30,1,0))</formula>
    </cfRule>
    <cfRule type="expression" priority="766" dxfId="0">
      <formula>AND(IF($Q81=3,1,IF($Q81=4,1,0)),IF($F81&lt;=85,1,0))</formula>
    </cfRule>
  </conditionalFormatting>
  <conditionalFormatting sqref="AI81">
    <cfRule type="expression" priority="759" dxfId="3">
      <formula>AND(IF(OR($Q81=1,$Q81=2),1,0),IF($X81&lt;=20,1,0))</formula>
    </cfRule>
    <cfRule type="expression" priority="760" dxfId="2">
      <formula>AND(IF($Q81=2,1,0),IF($X81&lt;30,1,0))</formula>
    </cfRule>
    <cfRule type="expression" priority="761" dxfId="1">
      <formula>AND(IF($Q81=3,1,0),IF($X81&lt;30,1,0))</formula>
    </cfRule>
    <cfRule type="expression" priority="762" dxfId="0">
      <formula>AND(IF($Q81=3,1,IF($Q81=4,1,0)),IF($F81&lt;=85,1,0))</formula>
    </cfRule>
  </conditionalFormatting>
  <conditionalFormatting sqref="AV82">
    <cfRule type="expression" priority="757" dxfId="19">
      <formula>AV82="X"</formula>
    </cfRule>
    <cfRule type="expression" priority="758" dxfId="18">
      <formula>AV82="후보"</formula>
    </cfRule>
  </conditionalFormatting>
  <conditionalFormatting sqref="AC82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82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82">
    <cfRule type="expression" priority="748" dxfId="3">
      <formula>AND(IF(OR($Q82=1,$Q82=2),1,0),IF($X82&lt;=20,1,0))</formula>
    </cfRule>
    <cfRule type="expression" priority="749" dxfId="2">
      <formula>AND(IF($Q82=2,1,0),IF($X82&lt;30,1,0))</formula>
    </cfRule>
    <cfRule type="expression" priority="750" dxfId="1">
      <formula>AND(IF($Q82=3,1,0),IF($X82&lt;30,1,0))</formula>
    </cfRule>
    <cfRule type="expression" priority="751" dxfId="0">
      <formula>AND(IF($Q82=3,1,IF($Q82=4,1,0)),IF($F82&lt;=85,1,0))</formula>
    </cfRule>
  </conditionalFormatting>
  <conditionalFormatting sqref="X82">
    <cfRule type="expression" priority="744" dxfId="3">
      <formula>AND(IF(OR($Q82=1,$Q82=2),1,0),IF($X82&lt;=20,1,0))</formula>
    </cfRule>
    <cfRule type="expression" priority="745" dxfId="2">
      <formula>AND(IF($Q82=2,1,0),IF($X82&lt;30,1,0))</formula>
    </cfRule>
    <cfRule type="expression" priority="746" dxfId="1">
      <formula>AND(IF($Q82=3,1,0),IF($X82&lt;30,1,0))</formula>
    </cfRule>
    <cfRule type="expression" priority="747" dxfId="0">
      <formula>AND(IF($Q82=3,1,IF($Q82=4,1,0)),IF($F82&lt;=85,1,0))</formula>
    </cfRule>
  </conditionalFormatting>
  <conditionalFormatting sqref="AI82">
    <cfRule type="expression" priority="740" dxfId="3">
      <formula>AND(IF(OR($Q82=1,$Q82=2),1,0),IF($X82&lt;=20,1,0))</formula>
    </cfRule>
    <cfRule type="expression" priority="741" dxfId="2">
      <formula>AND(IF($Q82=2,1,0),IF($X82&lt;30,1,0))</formula>
    </cfRule>
    <cfRule type="expression" priority="742" dxfId="1">
      <formula>AND(IF($Q82=3,1,0),IF($X82&lt;30,1,0))</formula>
    </cfRule>
    <cfRule type="expression" priority="743" dxfId="0">
      <formula>AND(IF($Q82=3,1,IF($Q82=4,1,0)),IF($F82&lt;=85,1,0))</formula>
    </cfRule>
  </conditionalFormatting>
  <conditionalFormatting sqref="AV83">
    <cfRule type="expression" priority="738" dxfId="19">
      <formula>AV83="X"</formula>
    </cfRule>
    <cfRule type="expression" priority="739" dxfId="18">
      <formula>AV83="후보"</formula>
    </cfRule>
  </conditionalFormatting>
  <conditionalFormatting sqref="AC83 N83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AV84">
    <cfRule type="expression" priority="733" dxfId="19">
      <formula>AV84="X"</formula>
    </cfRule>
    <cfRule type="expression" priority="734" dxfId="18">
      <formula>AV84="후보"</formula>
    </cfRule>
  </conditionalFormatting>
  <conditionalFormatting sqref="AC84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84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84">
    <cfRule type="expression" priority="724" dxfId="3">
      <formula>AND(IF(OR($Q84=1,$Q84=2),1,0),IF($X84&lt;=20,1,0))</formula>
    </cfRule>
    <cfRule type="expression" priority="725" dxfId="2">
      <formula>AND(IF($Q84=2,1,0),IF($X84&lt;30,1,0))</formula>
    </cfRule>
    <cfRule type="expression" priority="726" dxfId="1">
      <formula>AND(IF($Q84=3,1,0),IF($X84&lt;30,1,0))</formula>
    </cfRule>
    <cfRule type="expression" priority="727" dxfId="0">
      <formula>AND(IF($Q84=3,1,IF($Q84=4,1,0)),IF($F84&lt;=85,1,0))</formula>
    </cfRule>
  </conditionalFormatting>
  <conditionalFormatting sqref="X84">
    <cfRule type="expression" priority="720" dxfId="3">
      <formula>AND(IF(OR($Q84=1,$Q84=2),1,0),IF($X84&lt;=20,1,0))</formula>
    </cfRule>
    <cfRule type="expression" priority="721" dxfId="2">
      <formula>AND(IF($Q84=2,1,0),IF($X84&lt;30,1,0))</formula>
    </cfRule>
    <cfRule type="expression" priority="722" dxfId="1">
      <formula>AND(IF($Q84=3,1,0),IF($X84&lt;30,1,0))</formula>
    </cfRule>
    <cfRule type="expression" priority="723" dxfId="0">
      <formula>AND(IF($Q84=3,1,IF($Q84=4,1,0)),IF($F84&lt;=85,1,0))</formula>
    </cfRule>
  </conditionalFormatting>
  <conditionalFormatting sqref="AI84">
    <cfRule type="expression" priority="716" dxfId="3">
      <formula>AND(IF(OR($Q84=1,$Q84=2),1,0),IF($X84&lt;=20,1,0))</formula>
    </cfRule>
    <cfRule type="expression" priority="717" dxfId="2">
      <formula>AND(IF($Q84=2,1,0),IF($X84&lt;30,1,0))</formula>
    </cfRule>
    <cfRule type="expression" priority="718" dxfId="1">
      <formula>AND(IF($Q84=3,1,0),IF($X84&lt;30,1,0))</formula>
    </cfRule>
    <cfRule type="expression" priority="719" dxfId="0">
      <formula>AND(IF($Q84=3,1,IF($Q84=4,1,0)),IF($F84&lt;=85,1,0))</formula>
    </cfRule>
  </conditionalFormatting>
  <conditionalFormatting sqref="AV85">
    <cfRule type="expression" priority="714" dxfId="19">
      <formula>AV85="X"</formula>
    </cfRule>
    <cfRule type="expression" priority="715" dxfId="18">
      <formula>AV85="후보"</formula>
    </cfRule>
  </conditionalFormatting>
  <conditionalFormatting sqref="AC85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85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85">
    <cfRule type="expression" priority="705" dxfId="3">
      <formula>AND(IF(OR($Q85=1,$Q85=2),1,0),IF($X85&lt;=20,1,0))</formula>
    </cfRule>
    <cfRule type="expression" priority="706" dxfId="2">
      <formula>AND(IF($Q85=2,1,0),IF($X85&lt;30,1,0))</formula>
    </cfRule>
    <cfRule type="expression" priority="707" dxfId="1">
      <formula>AND(IF($Q85=3,1,0),IF($X85&lt;30,1,0))</formula>
    </cfRule>
    <cfRule type="expression" priority="708" dxfId="0">
      <formula>AND(IF($Q85=3,1,IF($Q85=4,1,0)),IF($F85&lt;=85,1,0))</formula>
    </cfRule>
  </conditionalFormatting>
  <conditionalFormatting sqref="X85">
    <cfRule type="expression" priority="701" dxfId="3">
      <formula>AND(IF(OR($Q85=1,$Q85=2),1,0),IF($X85&lt;=20,1,0))</formula>
    </cfRule>
    <cfRule type="expression" priority="702" dxfId="2">
      <formula>AND(IF($Q85=2,1,0),IF($X85&lt;30,1,0))</formula>
    </cfRule>
    <cfRule type="expression" priority="703" dxfId="1">
      <formula>AND(IF($Q85=3,1,0),IF($X85&lt;30,1,0))</formula>
    </cfRule>
    <cfRule type="expression" priority="704" dxfId="0">
      <formula>AND(IF($Q85=3,1,IF($Q85=4,1,0)),IF($F85&lt;=85,1,0))</formula>
    </cfRule>
  </conditionalFormatting>
  <conditionalFormatting sqref="AI85">
    <cfRule type="expression" priority="697" dxfId="3">
      <formula>AND(IF(OR($Q85=1,$Q85=2),1,0),IF($X85&lt;=20,1,0))</formula>
    </cfRule>
    <cfRule type="expression" priority="698" dxfId="2">
      <formula>AND(IF($Q85=2,1,0),IF($X85&lt;30,1,0))</formula>
    </cfRule>
    <cfRule type="expression" priority="699" dxfId="1">
      <formula>AND(IF($Q85=3,1,0),IF($X85&lt;30,1,0))</formula>
    </cfRule>
    <cfRule type="expression" priority="700" dxfId="0">
      <formula>AND(IF($Q85=3,1,IF($Q85=4,1,0)),IF($F85&lt;=85,1,0))</formula>
    </cfRule>
  </conditionalFormatting>
  <conditionalFormatting sqref="AV86">
    <cfRule type="expression" priority="695" dxfId="19">
      <formula>AV86="X"</formula>
    </cfRule>
    <cfRule type="expression" priority="696" dxfId="18">
      <formula>AV86="후보"</formula>
    </cfRule>
  </conditionalFormatting>
  <conditionalFormatting sqref="AC86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86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86">
    <cfRule type="expression" priority="686" dxfId="3">
      <formula>AND(IF(OR($Q86=1,$Q86=2),1,0),IF($X86&lt;=20,1,0))</formula>
    </cfRule>
    <cfRule type="expression" priority="687" dxfId="2">
      <formula>AND(IF($Q86=2,1,0),IF($X86&lt;30,1,0))</formula>
    </cfRule>
    <cfRule type="expression" priority="688" dxfId="1">
      <formula>AND(IF($Q86=3,1,0),IF($X86&lt;30,1,0))</formula>
    </cfRule>
    <cfRule type="expression" priority="689" dxfId="0">
      <formula>AND(IF($Q86=3,1,IF($Q86=4,1,0)),IF($F86&lt;=85,1,0))</formula>
    </cfRule>
  </conditionalFormatting>
  <conditionalFormatting sqref="X86">
    <cfRule type="expression" priority="682" dxfId="3">
      <formula>AND(IF(OR($Q86=1,$Q86=2),1,0),IF($X86&lt;=20,1,0))</formula>
    </cfRule>
    <cfRule type="expression" priority="683" dxfId="2">
      <formula>AND(IF($Q86=2,1,0),IF($X86&lt;30,1,0))</formula>
    </cfRule>
    <cfRule type="expression" priority="684" dxfId="1">
      <formula>AND(IF($Q86=3,1,0),IF($X86&lt;30,1,0))</formula>
    </cfRule>
    <cfRule type="expression" priority="685" dxfId="0">
      <formula>AND(IF($Q86=3,1,IF($Q86=4,1,0)),IF($F86&lt;=85,1,0))</formula>
    </cfRule>
  </conditionalFormatting>
  <conditionalFormatting sqref="AI86">
    <cfRule type="expression" priority="678" dxfId="3">
      <formula>AND(IF(OR($Q86=1,$Q86=2),1,0),IF($X86&lt;=20,1,0))</formula>
    </cfRule>
    <cfRule type="expression" priority="679" dxfId="2">
      <formula>AND(IF($Q86=2,1,0),IF($X86&lt;30,1,0))</formula>
    </cfRule>
    <cfRule type="expression" priority="680" dxfId="1">
      <formula>AND(IF($Q86=3,1,0),IF($X86&lt;30,1,0))</formula>
    </cfRule>
    <cfRule type="expression" priority="681" dxfId="0">
      <formula>AND(IF($Q86=3,1,IF($Q86=4,1,0)),IF($F86&lt;=85,1,0))</formula>
    </cfRule>
  </conditionalFormatting>
  <conditionalFormatting sqref="AV87">
    <cfRule type="expression" priority="676" dxfId="19">
      <formula>AV87="X"</formula>
    </cfRule>
    <cfRule type="expression" priority="677" dxfId="18">
      <formula>AV87="후보"</formula>
    </cfRule>
  </conditionalFormatting>
  <conditionalFormatting sqref="AC87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87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87">
    <cfRule type="expression" priority="667" dxfId="3">
      <formula>AND(IF(OR($Q87=1,$Q87=2),1,0),IF($X87&lt;=20,1,0))</formula>
    </cfRule>
    <cfRule type="expression" priority="668" dxfId="2">
      <formula>AND(IF($Q87=2,1,0),IF($X87&lt;30,1,0))</formula>
    </cfRule>
    <cfRule type="expression" priority="669" dxfId="1">
      <formula>AND(IF($Q87=3,1,0),IF($X87&lt;30,1,0))</formula>
    </cfRule>
    <cfRule type="expression" priority="670" dxfId="0">
      <formula>AND(IF($Q87=3,1,IF($Q87=4,1,0)),IF($F87&lt;=85,1,0))</formula>
    </cfRule>
  </conditionalFormatting>
  <conditionalFormatting sqref="X87">
    <cfRule type="expression" priority="663" dxfId="3">
      <formula>AND(IF(OR($Q87=1,$Q87=2),1,0),IF($X87&lt;=20,1,0))</formula>
    </cfRule>
    <cfRule type="expression" priority="664" dxfId="2">
      <formula>AND(IF($Q87=2,1,0),IF($X87&lt;30,1,0))</formula>
    </cfRule>
    <cfRule type="expression" priority="665" dxfId="1">
      <formula>AND(IF($Q87=3,1,0),IF($X87&lt;30,1,0))</formula>
    </cfRule>
    <cfRule type="expression" priority="666" dxfId="0">
      <formula>AND(IF($Q87=3,1,IF($Q87=4,1,0)),IF($F87&lt;=85,1,0))</formula>
    </cfRule>
  </conditionalFormatting>
  <conditionalFormatting sqref="AI87">
    <cfRule type="expression" priority="659" dxfId="3">
      <formula>AND(IF(OR($Q87=1,$Q87=2),1,0),IF($X87&lt;=20,1,0))</formula>
    </cfRule>
    <cfRule type="expression" priority="660" dxfId="2">
      <formula>AND(IF($Q87=2,1,0),IF($X87&lt;30,1,0))</formula>
    </cfRule>
    <cfRule type="expression" priority="661" dxfId="1">
      <formula>AND(IF($Q87=3,1,0),IF($X87&lt;30,1,0))</formula>
    </cfRule>
    <cfRule type="expression" priority="662" dxfId="0">
      <formula>AND(IF($Q87=3,1,IF($Q87=4,1,0)),IF($F87&lt;=85,1,0))</formula>
    </cfRule>
  </conditionalFormatting>
  <conditionalFormatting sqref="AV88">
    <cfRule type="expression" priority="657" dxfId="19">
      <formula>AV88="X"</formula>
    </cfRule>
    <cfRule type="expression" priority="658" dxfId="18">
      <formula>AV88="후보"</formula>
    </cfRule>
  </conditionalFormatting>
  <conditionalFormatting sqref="AC88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88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88">
    <cfRule type="expression" priority="648" dxfId="3">
      <formula>AND(IF(OR($Q88=1,$Q88=2),1,0),IF($X88&lt;=20,1,0))</formula>
    </cfRule>
    <cfRule type="expression" priority="649" dxfId="2">
      <formula>AND(IF($Q88=2,1,0),IF($X88&lt;30,1,0))</formula>
    </cfRule>
    <cfRule type="expression" priority="650" dxfId="1">
      <formula>AND(IF($Q88=3,1,0),IF($X88&lt;30,1,0))</formula>
    </cfRule>
    <cfRule type="expression" priority="651" dxfId="0">
      <formula>AND(IF($Q88=3,1,IF($Q88=4,1,0)),IF($F88&lt;=85,1,0))</formula>
    </cfRule>
  </conditionalFormatting>
  <conditionalFormatting sqref="X88">
    <cfRule type="expression" priority="644" dxfId="3">
      <formula>AND(IF(OR($Q88=1,$Q88=2),1,0),IF($X88&lt;=20,1,0))</formula>
    </cfRule>
    <cfRule type="expression" priority="645" dxfId="2">
      <formula>AND(IF($Q88=2,1,0),IF($X88&lt;30,1,0))</formula>
    </cfRule>
    <cfRule type="expression" priority="646" dxfId="1">
      <formula>AND(IF($Q88=3,1,0),IF($X88&lt;30,1,0))</formula>
    </cfRule>
    <cfRule type="expression" priority="647" dxfId="0">
      <formula>AND(IF($Q88=3,1,IF($Q88=4,1,0)),IF($F88&lt;=85,1,0))</formula>
    </cfRule>
  </conditionalFormatting>
  <conditionalFormatting sqref="AI88">
    <cfRule type="expression" priority="640" dxfId="3">
      <formula>AND(IF(OR($Q88=1,$Q88=2),1,0),IF($X88&lt;=20,1,0))</formula>
    </cfRule>
    <cfRule type="expression" priority="641" dxfId="2">
      <formula>AND(IF($Q88=2,1,0),IF($X88&lt;30,1,0))</formula>
    </cfRule>
    <cfRule type="expression" priority="642" dxfId="1">
      <formula>AND(IF($Q88=3,1,0),IF($X88&lt;30,1,0))</formula>
    </cfRule>
    <cfRule type="expression" priority="643" dxfId="0">
      <formula>AND(IF($Q88=3,1,IF($Q88=4,1,0)),IF($F88&lt;=85,1,0))</formula>
    </cfRule>
  </conditionalFormatting>
  <conditionalFormatting sqref="AV89">
    <cfRule type="expression" priority="638" dxfId="19">
      <formula>AV89="X"</formula>
    </cfRule>
    <cfRule type="expression" priority="639" dxfId="18">
      <formula>AV89="후보"</formula>
    </cfRule>
  </conditionalFormatting>
  <conditionalFormatting sqref="AC89 N89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AV90">
    <cfRule type="expression" priority="633" dxfId="19">
      <formula>AV90="X"</formula>
    </cfRule>
    <cfRule type="expression" priority="634" dxfId="18">
      <formula>AV90="후보"</formula>
    </cfRule>
  </conditionalFormatting>
  <conditionalFormatting sqref="AC90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90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90">
    <cfRule type="expression" priority="624" dxfId="3">
      <formula>AND(IF(OR($Q90=1,$Q90=2),1,0),IF($X90&lt;=20,1,0))</formula>
    </cfRule>
    <cfRule type="expression" priority="625" dxfId="2">
      <formula>AND(IF($Q90=2,1,0),IF($X90&lt;30,1,0))</formula>
    </cfRule>
    <cfRule type="expression" priority="626" dxfId="1">
      <formula>AND(IF($Q90=3,1,0),IF($X90&lt;30,1,0))</formula>
    </cfRule>
    <cfRule type="expression" priority="627" dxfId="0">
      <formula>AND(IF($Q90=3,1,IF($Q90=4,1,0)),IF($F90&lt;=85,1,0))</formula>
    </cfRule>
  </conditionalFormatting>
  <conditionalFormatting sqref="X90">
    <cfRule type="expression" priority="620" dxfId="3">
      <formula>AND(IF(OR($Q90=1,$Q90=2),1,0),IF($X90&lt;=20,1,0))</formula>
    </cfRule>
    <cfRule type="expression" priority="621" dxfId="2">
      <formula>AND(IF($Q90=2,1,0),IF($X90&lt;30,1,0))</formula>
    </cfRule>
    <cfRule type="expression" priority="622" dxfId="1">
      <formula>AND(IF($Q90=3,1,0),IF($X90&lt;30,1,0))</formula>
    </cfRule>
    <cfRule type="expression" priority="623" dxfId="0">
      <formula>AND(IF($Q90=3,1,IF($Q90=4,1,0)),IF($F90&lt;=85,1,0))</formula>
    </cfRule>
  </conditionalFormatting>
  <conditionalFormatting sqref="AI90">
    <cfRule type="expression" priority="616" dxfId="3">
      <formula>AND(IF(OR($Q90=1,$Q90=2),1,0),IF($X90&lt;=20,1,0))</formula>
    </cfRule>
    <cfRule type="expression" priority="617" dxfId="2">
      <formula>AND(IF($Q90=2,1,0),IF($X90&lt;30,1,0))</formula>
    </cfRule>
    <cfRule type="expression" priority="618" dxfId="1">
      <formula>AND(IF($Q90=3,1,0),IF($X90&lt;30,1,0))</formula>
    </cfRule>
    <cfRule type="expression" priority="619" dxfId="0">
      <formula>AND(IF($Q90=3,1,IF($Q90=4,1,0)),IF($F90&lt;=85,1,0))</formula>
    </cfRule>
  </conditionalFormatting>
  <conditionalFormatting sqref="AV91">
    <cfRule type="expression" priority="614" dxfId="19">
      <formula>AV91="X"</formula>
    </cfRule>
    <cfRule type="expression" priority="615" dxfId="18">
      <formula>AV91="후보"</formula>
    </cfRule>
  </conditionalFormatting>
  <conditionalFormatting sqref="AC91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91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91">
    <cfRule type="expression" priority="605" dxfId="3">
      <formula>AND(IF(OR($Q91=1,$Q91=2),1,0),IF($X91&lt;=20,1,0))</formula>
    </cfRule>
    <cfRule type="expression" priority="606" dxfId="2">
      <formula>AND(IF($Q91=2,1,0),IF($X91&lt;30,1,0))</formula>
    </cfRule>
    <cfRule type="expression" priority="607" dxfId="1">
      <formula>AND(IF($Q91=3,1,0),IF($X91&lt;30,1,0))</formula>
    </cfRule>
    <cfRule type="expression" priority="608" dxfId="0">
      <formula>AND(IF($Q91=3,1,IF($Q91=4,1,0)),IF($F91&lt;=85,1,0))</formula>
    </cfRule>
  </conditionalFormatting>
  <conditionalFormatting sqref="X91">
    <cfRule type="expression" priority="601" dxfId="3">
      <formula>AND(IF(OR($Q91=1,$Q91=2),1,0),IF($X91&lt;=20,1,0))</formula>
    </cfRule>
    <cfRule type="expression" priority="602" dxfId="2">
      <formula>AND(IF($Q91=2,1,0),IF($X91&lt;30,1,0))</formula>
    </cfRule>
    <cfRule type="expression" priority="603" dxfId="1">
      <formula>AND(IF($Q91=3,1,0),IF($X91&lt;30,1,0))</formula>
    </cfRule>
    <cfRule type="expression" priority="604" dxfId="0">
      <formula>AND(IF($Q91=3,1,IF($Q91=4,1,0)),IF($F91&lt;=85,1,0))</formula>
    </cfRule>
  </conditionalFormatting>
  <conditionalFormatting sqref="AI91">
    <cfRule type="expression" priority="597" dxfId="3">
      <formula>AND(IF(OR($Q91=1,$Q91=2),1,0),IF($X91&lt;=20,1,0))</formula>
    </cfRule>
    <cfRule type="expression" priority="598" dxfId="2">
      <formula>AND(IF($Q91=2,1,0),IF($X91&lt;30,1,0))</formula>
    </cfRule>
    <cfRule type="expression" priority="599" dxfId="1">
      <formula>AND(IF($Q91=3,1,0),IF($X91&lt;30,1,0))</formula>
    </cfRule>
    <cfRule type="expression" priority="600" dxfId="0">
      <formula>AND(IF($Q91=3,1,IF($Q91=4,1,0)),IF($F91&lt;=85,1,0))</formula>
    </cfRule>
  </conditionalFormatting>
  <conditionalFormatting sqref="AV92">
    <cfRule type="expression" priority="595" dxfId="19">
      <formula>AV92="X"</formula>
    </cfRule>
    <cfRule type="expression" priority="596" dxfId="18">
      <formula>AV92="후보"</formula>
    </cfRule>
  </conditionalFormatting>
  <conditionalFormatting sqref="AC92 N92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93">
    <cfRule type="expression" priority="590" dxfId="19">
      <formula>AV93="X"</formula>
    </cfRule>
    <cfRule type="expression" priority="591" dxfId="18">
      <formula>AV93="후보"</formula>
    </cfRule>
  </conditionalFormatting>
  <conditionalFormatting sqref="AC93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93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93">
    <cfRule type="expression" priority="581" dxfId="3">
      <formula>AND(IF(OR($Q93=1,$Q93=2),1,0),IF($X93&lt;=20,1,0))</formula>
    </cfRule>
    <cfRule type="expression" priority="582" dxfId="2">
      <formula>AND(IF($Q93=2,1,0),IF($X93&lt;30,1,0))</formula>
    </cfRule>
    <cfRule type="expression" priority="583" dxfId="1">
      <formula>AND(IF($Q93=3,1,0),IF($X93&lt;30,1,0))</formula>
    </cfRule>
    <cfRule type="expression" priority="584" dxfId="0">
      <formula>AND(IF($Q93=3,1,IF($Q93=4,1,0)),IF($F93&lt;=85,1,0))</formula>
    </cfRule>
  </conditionalFormatting>
  <conditionalFormatting sqref="X93">
    <cfRule type="expression" priority="577" dxfId="3">
      <formula>AND(IF(OR($Q93=1,$Q93=2),1,0),IF($X93&lt;=20,1,0))</formula>
    </cfRule>
    <cfRule type="expression" priority="578" dxfId="2">
      <formula>AND(IF($Q93=2,1,0),IF($X93&lt;30,1,0))</formula>
    </cfRule>
    <cfRule type="expression" priority="579" dxfId="1">
      <formula>AND(IF($Q93=3,1,0),IF($X93&lt;30,1,0))</formula>
    </cfRule>
    <cfRule type="expression" priority="580" dxfId="0">
      <formula>AND(IF($Q93=3,1,IF($Q93=4,1,0)),IF($F93&lt;=85,1,0))</formula>
    </cfRule>
  </conditionalFormatting>
  <conditionalFormatting sqref="AI93">
    <cfRule type="expression" priority="573" dxfId="3">
      <formula>AND(IF(OR($Q93=1,$Q93=2),1,0),IF($X93&lt;=20,1,0))</formula>
    </cfRule>
    <cfRule type="expression" priority="574" dxfId="2">
      <formula>AND(IF($Q93=2,1,0),IF($X93&lt;30,1,0))</formula>
    </cfRule>
    <cfRule type="expression" priority="575" dxfId="1">
      <formula>AND(IF($Q93=3,1,0),IF($X93&lt;30,1,0))</formula>
    </cfRule>
    <cfRule type="expression" priority="576" dxfId="0">
      <formula>AND(IF($Q93=3,1,IF($Q93=4,1,0)),IF($F93&lt;=85,1,0))</formula>
    </cfRule>
  </conditionalFormatting>
  <conditionalFormatting sqref="AV94">
    <cfRule type="expression" priority="571" dxfId="19">
      <formula>AV94="X"</formula>
    </cfRule>
    <cfRule type="expression" priority="572" dxfId="18">
      <formula>AV94="후보"</formula>
    </cfRule>
  </conditionalFormatting>
  <conditionalFormatting sqref="AC94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94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94">
    <cfRule type="expression" priority="562" dxfId="3">
      <formula>AND(IF(OR($Q94=1,$Q94=2),1,0),IF($X94&lt;=20,1,0))</formula>
    </cfRule>
    <cfRule type="expression" priority="563" dxfId="2">
      <formula>AND(IF($Q94=2,1,0),IF($X94&lt;30,1,0))</formula>
    </cfRule>
    <cfRule type="expression" priority="564" dxfId="1">
      <formula>AND(IF($Q94=3,1,0),IF($X94&lt;30,1,0))</formula>
    </cfRule>
    <cfRule type="expression" priority="565" dxfId="0">
      <formula>AND(IF($Q94=3,1,IF($Q94=4,1,0)),IF($F94&lt;=85,1,0))</formula>
    </cfRule>
  </conditionalFormatting>
  <conditionalFormatting sqref="X94">
    <cfRule type="expression" priority="558" dxfId="3">
      <formula>AND(IF(OR($Q94=1,$Q94=2),1,0),IF($X94&lt;=20,1,0))</formula>
    </cfRule>
    <cfRule type="expression" priority="559" dxfId="2">
      <formula>AND(IF($Q94=2,1,0),IF($X94&lt;30,1,0))</formula>
    </cfRule>
    <cfRule type="expression" priority="560" dxfId="1">
      <formula>AND(IF($Q94=3,1,0),IF($X94&lt;30,1,0))</formula>
    </cfRule>
    <cfRule type="expression" priority="561" dxfId="0">
      <formula>AND(IF($Q94=3,1,IF($Q94=4,1,0)),IF($F94&lt;=85,1,0))</formula>
    </cfRule>
  </conditionalFormatting>
  <conditionalFormatting sqref="AI94">
    <cfRule type="expression" priority="554" dxfId="3">
      <formula>AND(IF(OR($Q94=1,$Q94=2),1,0),IF($X94&lt;=20,1,0))</formula>
    </cfRule>
    <cfRule type="expression" priority="555" dxfId="2">
      <formula>AND(IF($Q94=2,1,0),IF($X94&lt;30,1,0))</formula>
    </cfRule>
    <cfRule type="expression" priority="556" dxfId="1">
      <formula>AND(IF($Q94=3,1,0),IF($X94&lt;30,1,0))</formula>
    </cfRule>
    <cfRule type="expression" priority="557" dxfId="0">
      <formula>AND(IF($Q94=3,1,IF($Q94=4,1,0)),IF($F94&lt;=85,1,0))</formula>
    </cfRule>
  </conditionalFormatting>
  <conditionalFormatting sqref="AV95">
    <cfRule type="expression" priority="552" dxfId="19">
      <formula>AV95="X"</formula>
    </cfRule>
    <cfRule type="expression" priority="553" dxfId="18">
      <formula>AV95="후보"</formula>
    </cfRule>
  </conditionalFormatting>
  <conditionalFormatting sqref="AC95 N95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AV96">
    <cfRule type="expression" priority="547" dxfId="19">
      <formula>AV96="X"</formula>
    </cfRule>
    <cfRule type="expression" priority="548" dxfId="18">
      <formula>AV96="후보"</formula>
    </cfRule>
  </conditionalFormatting>
  <conditionalFormatting sqref="AC96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96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96">
    <cfRule type="expression" priority="538" dxfId="3">
      <formula>AND(IF(OR($Q96=1,$Q96=2),1,0),IF($X96&lt;=20,1,0))</formula>
    </cfRule>
    <cfRule type="expression" priority="539" dxfId="2">
      <formula>AND(IF($Q96=2,1,0),IF($X96&lt;30,1,0))</formula>
    </cfRule>
    <cfRule type="expression" priority="540" dxfId="1">
      <formula>AND(IF($Q96=3,1,0),IF($X96&lt;30,1,0))</formula>
    </cfRule>
    <cfRule type="expression" priority="541" dxfId="0">
      <formula>AND(IF($Q96=3,1,IF($Q96=4,1,0)),IF($F96&lt;=85,1,0))</formula>
    </cfRule>
  </conditionalFormatting>
  <conditionalFormatting sqref="X96">
    <cfRule type="expression" priority="534" dxfId="3">
      <formula>AND(IF(OR($Q96=1,$Q96=2),1,0),IF($X96&lt;=20,1,0))</formula>
    </cfRule>
    <cfRule type="expression" priority="535" dxfId="2">
      <formula>AND(IF($Q96=2,1,0),IF($X96&lt;30,1,0))</formula>
    </cfRule>
    <cfRule type="expression" priority="536" dxfId="1">
      <formula>AND(IF($Q96=3,1,0),IF($X96&lt;30,1,0))</formula>
    </cfRule>
    <cfRule type="expression" priority="537" dxfId="0">
      <formula>AND(IF($Q96=3,1,IF($Q96=4,1,0)),IF($F96&lt;=85,1,0))</formula>
    </cfRule>
  </conditionalFormatting>
  <conditionalFormatting sqref="AI96">
    <cfRule type="expression" priority="530" dxfId="3">
      <formula>AND(IF(OR($Q96=1,$Q96=2),1,0),IF($X96&lt;=20,1,0))</formula>
    </cfRule>
    <cfRule type="expression" priority="531" dxfId="2">
      <formula>AND(IF($Q96=2,1,0),IF($X96&lt;30,1,0))</formula>
    </cfRule>
    <cfRule type="expression" priority="532" dxfId="1">
      <formula>AND(IF($Q96=3,1,0),IF($X96&lt;30,1,0))</formula>
    </cfRule>
    <cfRule type="expression" priority="533" dxfId="0">
      <formula>AND(IF($Q96=3,1,IF($Q96=4,1,0)),IF($F96&lt;=85,1,0))</formula>
    </cfRule>
  </conditionalFormatting>
  <conditionalFormatting sqref="AV97">
    <cfRule type="expression" priority="528" dxfId="19">
      <formula>AV97="X"</formula>
    </cfRule>
    <cfRule type="expression" priority="529" dxfId="18">
      <formula>AV97="후보"</formula>
    </cfRule>
  </conditionalFormatting>
  <conditionalFormatting sqref="AC97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97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97">
    <cfRule type="expression" priority="519" dxfId="3">
      <formula>AND(IF(OR($Q97=1,$Q97=2),1,0),IF($X97&lt;=20,1,0))</formula>
    </cfRule>
    <cfRule type="expression" priority="520" dxfId="2">
      <formula>AND(IF($Q97=2,1,0),IF($X97&lt;30,1,0))</formula>
    </cfRule>
    <cfRule type="expression" priority="521" dxfId="1">
      <formula>AND(IF($Q97=3,1,0),IF($X97&lt;30,1,0))</formula>
    </cfRule>
    <cfRule type="expression" priority="522" dxfId="0">
      <formula>AND(IF($Q97=3,1,IF($Q97=4,1,0)),IF($F97&lt;=85,1,0))</formula>
    </cfRule>
  </conditionalFormatting>
  <conditionalFormatting sqref="X97">
    <cfRule type="expression" priority="515" dxfId="3">
      <formula>AND(IF(OR($Q97=1,$Q97=2),1,0),IF($X97&lt;=20,1,0))</formula>
    </cfRule>
    <cfRule type="expression" priority="516" dxfId="2">
      <formula>AND(IF($Q97=2,1,0),IF($X97&lt;30,1,0))</formula>
    </cfRule>
    <cfRule type="expression" priority="517" dxfId="1">
      <formula>AND(IF($Q97=3,1,0),IF($X97&lt;30,1,0))</formula>
    </cfRule>
    <cfRule type="expression" priority="518" dxfId="0">
      <formula>AND(IF($Q97=3,1,IF($Q97=4,1,0)),IF($F97&lt;=85,1,0))</formula>
    </cfRule>
  </conditionalFormatting>
  <conditionalFormatting sqref="AI97">
    <cfRule type="expression" priority="511" dxfId="3">
      <formula>AND(IF(OR($Q97=1,$Q97=2),1,0),IF($X97&lt;=20,1,0))</formula>
    </cfRule>
    <cfRule type="expression" priority="512" dxfId="2">
      <formula>AND(IF($Q97=2,1,0),IF($X97&lt;30,1,0))</formula>
    </cfRule>
    <cfRule type="expression" priority="513" dxfId="1">
      <formula>AND(IF($Q97=3,1,0),IF($X97&lt;30,1,0))</formula>
    </cfRule>
    <cfRule type="expression" priority="514" dxfId="0">
      <formula>AND(IF($Q97=3,1,IF($Q97=4,1,0)),IF($F97&lt;=85,1,0))</formula>
    </cfRule>
  </conditionalFormatting>
  <conditionalFormatting sqref="AV98">
    <cfRule type="expression" priority="509" dxfId="19">
      <formula>AV98="X"</formula>
    </cfRule>
    <cfRule type="expression" priority="510" dxfId="18">
      <formula>AV98="후보"</formula>
    </cfRule>
  </conditionalFormatting>
  <conditionalFormatting sqref="AC98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98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98">
    <cfRule type="expression" priority="500" dxfId="3">
      <formula>AND(IF(OR($Q98=1,$Q98=2),1,0),IF($X98&lt;=20,1,0))</formula>
    </cfRule>
    <cfRule type="expression" priority="501" dxfId="2">
      <formula>AND(IF($Q98=2,1,0),IF($X98&lt;30,1,0))</formula>
    </cfRule>
    <cfRule type="expression" priority="502" dxfId="1">
      <formula>AND(IF($Q98=3,1,0),IF($X98&lt;30,1,0))</formula>
    </cfRule>
    <cfRule type="expression" priority="503" dxfId="0">
      <formula>AND(IF($Q98=3,1,IF($Q98=4,1,0)),IF($F98&lt;=85,1,0))</formula>
    </cfRule>
  </conditionalFormatting>
  <conditionalFormatting sqref="X98">
    <cfRule type="expression" priority="496" dxfId="3">
      <formula>AND(IF(OR($Q98=1,$Q98=2),1,0),IF($X98&lt;=20,1,0))</formula>
    </cfRule>
    <cfRule type="expression" priority="497" dxfId="2">
      <formula>AND(IF($Q98=2,1,0),IF($X98&lt;30,1,0))</formula>
    </cfRule>
    <cfRule type="expression" priority="498" dxfId="1">
      <formula>AND(IF($Q98=3,1,0),IF($X98&lt;30,1,0))</formula>
    </cfRule>
    <cfRule type="expression" priority="499" dxfId="0">
      <formula>AND(IF($Q98=3,1,IF($Q98=4,1,0)),IF($F98&lt;=85,1,0))</formula>
    </cfRule>
  </conditionalFormatting>
  <conditionalFormatting sqref="AI98">
    <cfRule type="expression" priority="492" dxfId="3">
      <formula>AND(IF(OR($Q98=1,$Q98=2),1,0),IF($X98&lt;=20,1,0))</formula>
    </cfRule>
    <cfRule type="expression" priority="493" dxfId="2">
      <formula>AND(IF($Q98=2,1,0),IF($X98&lt;30,1,0))</formula>
    </cfRule>
    <cfRule type="expression" priority="494" dxfId="1">
      <formula>AND(IF($Q98=3,1,0),IF($X98&lt;30,1,0))</formula>
    </cfRule>
    <cfRule type="expression" priority="495" dxfId="0">
      <formula>AND(IF($Q98=3,1,IF($Q98=4,1,0)),IF($F98&lt;=85,1,0))</formula>
    </cfRule>
  </conditionalFormatting>
  <conditionalFormatting sqref="AV99">
    <cfRule type="expression" priority="490" dxfId="19">
      <formula>AV99="X"</formula>
    </cfRule>
    <cfRule type="expression" priority="491" dxfId="18">
      <formula>AV99="후보"</formula>
    </cfRule>
  </conditionalFormatting>
  <conditionalFormatting sqref="AC99 N99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100">
    <cfRule type="expression" priority="485" dxfId="19">
      <formula>AV100="X"</formula>
    </cfRule>
    <cfRule type="expression" priority="486" dxfId="18">
      <formula>AV100="후보"</formula>
    </cfRule>
  </conditionalFormatting>
  <conditionalFormatting sqref="AC100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00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00">
    <cfRule type="expression" priority="476" dxfId="3">
      <formula>AND(IF(OR($Q100=1,$Q100=2),1,0),IF($X100&lt;=20,1,0))</formula>
    </cfRule>
    <cfRule type="expression" priority="477" dxfId="2">
      <formula>AND(IF($Q100=2,1,0),IF($X100&lt;30,1,0))</formula>
    </cfRule>
    <cfRule type="expression" priority="478" dxfId="1">
      <formula>AND(IF($Q100=3,1,0),IF($X100&lt;30,1,0))</formula>
    </cfRule>
    <cfRule type="expression" priority="479" dxfId="0">
      <formula>AND(IF($Q100=3,1,IF($Q100=4,1,0)),IF($F100&lt;=85,1,0))</formula>
    </cfRule>
  </conditionalFormatting>
  <conditionalFormatting sqref="X100">
    <cfRule type="expression" priority="472" dxfId="3">
      <formula>AND(IF(OR($Q100=1,$Q100=2),1,0),IF($X100&lt;=20,1,0))</formula>
    </cfRule>
    <cfRule type="expression" priority="473" dxfId="2">
      <formula>AND(IF($Q100=2,1,0),IF($X100&lt;30,1,0))</formula>
    </cfRule>
    <cfRule type="expression" priority="474" dxfId="1">
      <formula>AND(IF($Q100=3,1,0),IF($X100&lt;30,1,0))</formula>
    </cfRule>
    <cfRule type="expression" priority="475" dxfId="0">
      <formula>AND(IF($Q100=3,1,IF($Q100=4,1,0)),IF($F100&lt;=85,1,0))</formula>
    </cfRule>
  </conditionalFormatting>
  <conditionalFormatting sqref="AI100">
    <cfRule type="expression" priority="468" dxfId="3">
      <formula>AND(IF(OR($Q100=1,$Q100=2),1,0),IF($X100&lt;=20,1,0))</formula>
    </cfRule>
    <cfRule type="expression" priority="469" dxfId="2">
      <formula>AND(IF($Q100=2,1,0),IF($X100&lt;30,1,0))</formula>
    </cfRule>
    <cfRule type="expression" priority="470" dxfId="1">
      <formula>AND(IF($Q100=3,1,0),IF($X100&lt;30,1,0))</formula>
    </cfRule>
    <cfRule type="expression" priority="471" dxfId="0">
      <formula>AND(IF($Q100=3,1,IF($Q100=4,1,0)),IF($F100&lt;=85,1,0))</formula>
    </cfRule>
  </conditionalFormatting>
  <conditionalFormatting sqref="AV101">
    <cfRule type="expression" priority="466" dxfId="19">
      <formula>AV101="X"</formula>
    </cfRule>
    <cfRule type="expression" priority="467" dxfId="18">
      <formula>AV101="후보"</formula>
    </cfRule>
  </conditionalFormatting>
  <conditionalFormatting sqref="AC10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01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01">
    <cfRule type="expression" priority="457" dxfId="3">
      <formula>AND(IF(OR($Q101=1,$Q101=2),1,0),IF($X101&lt;=20,1,0))</formula>
    </cfRule>
    <cfRule type="expression" priority="458" dxfId="2">
      <formula>AND(IF($Q101=2,1,0),IF($X101&lt;30,1,0))</formula>
    </cfRule>
    <cfRule type="expression" priority="459" dxfId="1">
      <formula>AND(IF($Q101=3,1,0),IF($X101&lt;30,1,0))</formula>
    </cfRule>
    <cfRule type="expression" priority="460" dxfId="0">
      <formula>AND(IF($Q101=3,1,IF($Q101=4,1,0)),IF($F101&lt;=85,1,0))</formula>
    </cfRule>
  </conditionalFormatting>
  <conditionalFormatting sqref="X101">
    <cfRule type="expression" priority="453" dxfId="3">
      <formula>AND(IF(OR($Q101=1,$Q101=2),1,0),IF($X101&lt;=20,1,0))</formula>
    </cfRule>
    <cfRule type="expression" priority="454" dxfId="2">
      <formula>AND(IF($Q101=2,1,0),IF($X101&lt;30,1,0))</formula>
    </cfRule>
    <cfRule type="expression" priority="455" dxfId="1">
      <formula>AND(IF($Q101=3,1,0),IF($X101&lt;30,1,0))</formula>
    </cfRule>
    <cfRule type="expression" priority="456" dxfId="0">
      <formula>AND(IF($Q101=3,1,IF($Q101=4,1,0)),IF($F101&lt;=85,1,0))</formula>
    </cfRule>
  </conditionalFormatting>
  <conditionalFormatting sqref="AI101">
    <cfRule type="expression" priority="449" dxfId="3">
      <formula>AND(IF(OR($Q101=1,$Q101=2),1,0),IF($X101&lt;=20,1,0))</formula>
    </cfRule>
    <cfRule type="expression" priority="450" dxfId="2">
      <formula>AND(IF($Q101=2,1,0),IF($X101&lt;30,1,0))</formula>
    </cfRule>
    <cfRule type="expression" priority="451" dxfId="1">
      <formula>AND(IF($Q101=3,1,0),IF($X101&lt;30,1,0))</formula>
    </cfRule>
    <cfRule type="expression" priority="452" dxfId="0">
      <formula>AND(IF($Q101=3,1,IF($Q101=4,1,0)),IF($F101&lt;=85,1,0))</formula>
    </cfRule>
  </conditionalFormatting>
  <conditionalFormatting sqref="AV102">
    <cfRule type="expression" priority="447" dxfId="19">
      <formula>AV102="X"</formula>
    </cfRule>
    <cfRule type="expression" priority="448" dxfId="18">
      <formula>AV102="후보"</formula>
    </cfRule>
  </conditionalFormatting>
  <conditionalFormatting sqref="AC102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02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02">
    <cfRule type="expression" priority="438" dxfId="3">
      <formula>AND(IF(OR($Q102=1,$Q102=2),1,0),IF($X102&lt;=20,1,0))</formula>
    </cfRule>
    <cfRule type="expression" priority="439" dxfId="2">
      <formula>AND(IF($Q102=2,1,0),IF($X102&lt;30,1,0))</formula>
    </cfRule>
    <cfRule type="expression" priority="440" dxfId="1">
      <formula>AND(IF($Q102=3,1,0),IF($X102&lt;30,1,0))</formula>
    </cfRule>
    <cfRule type="expression" priority="441" dxfId="0">
      <formula>AND(IF($Q102=3,1,IF($Q102=4,1,0)),IF($F102&lt;=85,1,0))</formula>
    </cfRule>
  </conditionalFormatting>
  <conditionalFormatting sqref="X102">
    <cfRule type="expression" priority="434" dxfId="3">
      <formula>AND(IF(OR($Q102=1,$Q102=2),1,0),IF($X102&lt;=20,1,0))</formula>
    </cfRule>
    <cfRule type="expression" priority="435" dxfId="2">
      <formula>AND(IF($Q102=2,1,0),IF($X102&lt;30,1,0))</formula>
    </cfRule>
    <cfRule type="expression" priority="436" dxfId="1">
      <formula>AND(IF($Q102=3,1,0),IF($X102&lt;30,1,0))</formula>
    </cfRule>
    <cfRule type="expression" priority="437" dxfId="0">
      <formula>AND(IF($Q102=3,1,IF($Q102=4,1,0)),IF($F102&lt;=85,1,0))</formula>
    </cfRule>
  </conditionalFormatting>
  <conditionalFormatting sqref="AI102">
    <cfRule type="expression" priority="430" dxfId="3">
      <formula>AND(IF(OR($Q102=1,$Q102=2),1,0),IF($X102&lt;=20,1,0))</formula>
    </cfRule>
    <cfRule type="expression" priority="431" dxfId="2">
      <formula>AND(IF($Q102=2,1,0),IF($X102&lt;30,1,0))</formula>
    </cfRule>
    <cfRule type="expression" priority="432" dxfId="1">
      <formula>AND(IF($Q102=3,1,0),IF($X102&lt;30,1,0))</formula>
    </cfRule>
    <cfRule type="expression" priority="433" dxfId="0">
      <formula>AND(IF($Q102=3,1,IF($Q102=4,1,0)),IF($F102&lt;=85,1,0))</formula>
    </cfRule>
  </conditionalFormatting>
  <conditionalFormatting sqref="AV103">
    <cfRule type="expression" priority="428" dxfId="19">
      <formula>AV103="X"</formula>
    </cfRule>
    <cfRule type="expression" priority="429" dxfId="18">
      <formula>AV103="후보"</formula>
    </cfRule>
  </conditionalFormatting>
  <conditionalFormatting sqref="AC103 N103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104">
    <cfRule type="expression" priority="423" dxfId="19">
      <formula>AV104="X"</formula>
    </cfRule>
    <cfRule type="expression" priority="424" dxfId="18">
      <formula>AV104="후보"</formula>
    </cfRule>
  </conditionalFormatting>
  <conditionalFormatting sqref="AC10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04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04">
    <cfRule type="expression" priority="414" dxfId="3">
      <formula>AND(IF(OR($Q104=1,$Q104=2),1,0),IF($X104&lt;=20,1,0))</formula>
    </cfRule>
    <cfRule type="expression" priority="415" dxfId="2">
      <formula>AND(IF($Q104=2,1,0),IF($X104&lt;30,1,0))</formula>
    </cfRule>
    <cfRule type="expression" priority="416" dxfId="1">
      <formula>AND(IF($Q104=3,1,0),IF($X104&lt;30,1,0))</formula>
    </cfRule>
    <cfRule type="expression" priority="417" dxfId="0">
      <formula>AND(IF($Q104=3,1,IF($Q104=4,1,0)),IF($F104&lt;=85,1,0))</formula>
    </cfRule>
  </conditionalFormatting>
  <conditionalFormatting sqref="X104">
    <cfRule type="expression" priority="410" dxfId="3">
      <formula>AND(IF(OR($Q104=1,$Q104=2),1,0),IF($X104&lt;=20,1,0))</formula>
    </cfRule>
    <cfRule type="expression" priority="411" dxfId="2">
      <formula>AND(IF($Q104=2,1,0),IF($X104&lt;30,1,0))</formula>
    </cfRule>
    <cfRule type="expression" priority="412" dxfId="1">
      <formula>AND(IF($Q104=3,1,0),IF($X104&lt;30,1,0))</formula>
    </cfRule>
    <cfRule type="expression" priority="413" dxfId="0">
      <formula>AND(IF($Q104=3,1,IF($Q104=4,1,0)),IF($F104&lt;=85,1,0))</formula>
    </cfRule>
  </conditionalFormatting>
  <conditionalFormatting sqref="AI104">
    <cfRule type="expression" priority="406" dxfId="3">
      <formula>AND(IF(OR($Q104=1,$Q104=2),1,0),IF($X104&lt;=20,1,0))</formula>
    </cfRule>
    <cfRule type="expression" priority="407" dxfId="2">
      <formula>AND(IF($Q104=2,1,0),IF($X104&lt;30,1,0))</formula>
    </cfRule>
    <cfRule type="expression" priority="408" dxfId="1">
      <formula>AND(IF($Q104=3,1,0),IF($X104&lt;30,1,0))</formula>
    </cfRule>
    <cfRule type="expression" priority="409" dxfId="0">
      <formula>AND(IF($Q104=3,1,IF($Q104=4,1,0)),IF($F104&lt;=85,1,0))</formula>
    </cfRule>
  </conditionalFormatting>
  <conditionalFormatting sqref="AV105">
    <cfRule type="expression" priority="404" dxfId="19">
      <formula>AV105="X"</formula>
    </cfRule>
    <cfRule type="expression" priority="405" dxfId="18">
      <formula>AV105="후보"</formula>
    </cfRule>
  </conditionalFormatting>
  <conditionalFormatting sqref="AC105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05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05">
    <cfRule type="expression" priority="395" dxfId="3">
      <formula>AND(IF(OR($Q105=1,$Q105=2),1,0),IF($X105&lt;=20,1,0))</formula>
    </cfRule>
    <cfRule type="expression" priority="396" dxfId="2">
      <formula>AND(IF($Q105=2,1,0),IF($X105&lt;30,1,0))</formula>
    </cfRule>
    <cfRule type="expression" priority="397" dxfId="1">
      <formula>AND(IF($Q105=3,1,0),IF($X105&lt;30,1,0))</formula>
    </cfRule>
    <cfRule type="expression" priority="398" dxfId="0">
      <formula>AND(IF($Q105=3,1,IF($Q105=4,1,0)),IF($F105&lt;=85,1,0))</formula>
    </cfRule>
  </conditionalFormatting>
  <conditionalFormatting sqref="X105">
    <cfRule type="expression" priority="391" dxfId="3">
      <formula>AND(IF(OR($Q105=1,$Q105=2),1,0),IF($X105&lt;=20,1,0))</formula>
    </cfRule>
    <cfRule type="expression" priority="392" dxfId="2">
      <formula>AND(IF($Q105=2,1,0),IF($X105&lt;30,1,0))</formula>
    </cfRule>
    <cfRule type="expression" priority="393" dxfId="1">
      <formula>AND(IF($Q105=3,1,0),IF($X105&lt;30,1,0))</formula>
    </cfRule>
    <cfRule type="expression" priority="394" dxfId="0">
      <formula>AND(IF($Q105=3,1,IF($Q105=4,1,0)),IF($F105&lt;=85,1,0))</formula>
    </cfRule>
  </conditionalFormatting>
  <conditionalFormatting sqref="AI105">
    <cfRule type="expression" priority="387" dxfId="3">
      <formula>AND(IF(OR($Q105=1,$Q105=2),1,0),IF($X105&lt;=20,1,0))</formula>
    </cfRule>
    <cfRule type="expression" priority="388" dxfId="2">
      <formula>AND(IF($Q105=2,1,0),IF($X105&lt;30,1,0))</formula>
    </cfRule>
    <cfRule type="expression" priority="389" dxfId="1">
      <formula>AND(IF($Q105=3,1,0),IF($X105&lt;30,1,0))</formula>
    </cfRule>
    <cfRule type="expression" priority="390" dxfId="0">
      <formula>AND(IF($Q105=3,1,IF($Q105=4,1,0)),IF($F105&lt;=85,1,0))</formula>
    </cfRule>
  </conditionalFormatting>
  <conditionalFormatting sqref="AV106">
    <cfRule type="expression" priority="385" dxfId="19">
      <formula>AV106="X"</formula>
    </cfRule>
    <cfRule type="expression" priority="386" dxfId="18">
      <formula>AV106="후보"</formula>
    </cfRule>
  </conditionalFormatting>
  <conditionalFormatting sqref="AC106 N106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107">
    <cfRule type="expression" priority="380" dxfId="19">
      <formula>AV107="X"</formula>
    </cfRule>
    <cfRule type="expression" priority="381" dxfId="18">
      <formula>AV107="후보"</formula>
    </cfRule>
  </conditionalFormatting>
  <conditionalFormatting sqref="AC10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0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07">
    <cfRule type="expression" priority="371" dxfId="3">
      <formula>AND(IF(OR($Q107=1,$Q107=2),1,0),IF($X107&lt;=20,1,0))</formula>
    </cfRule>
    <cfRule type="expression" priority="372" dxfId="2">
      <formula>AND(IF($Q107=2,1,0),IF($X107&lt;30,1,0))</formula>
    </cfRule>
    <cfRule type="expression" priority="373" dxfId="1">
      <formula>AND(IF($Q107=3,1,0),IF($X107&lt;30,1,0))</formula>
    </cfRule>
    <cfRule type="expression" priority="374" dxfId="0">
      <formula>AND(IF($Q107=3,1,IF($Q107=4,1,0)),IF($F107&lt;=85,1,0))</formula>
    </cfRule>
  </conditionalFormatting>
  <conditionalFormatting sqref="X107">
    <cfRule type="expression" priority="367" dxfId="3">
      <formula>AND(IF(OR($Q107=1,$Q107=2),1,0),IF($X107&lt;=20,1,0))</formula>
    </cfRule>
    <cfRule type="expression" priority="368" dxfId="2">
      <formula>AND(IF($Q107=2,1,0),IF($X107&lt;30,1,0))</formula>
    </cfRule>
    <cfRule type="expression" priority="369" dxfId="1">
      <formula>AND(IF($Q107=3,1,0),IF($X107&lt;30,1,0))</formula>
    </cfRule>
    <cfRule type="expression" priority="370" dxfId="0">
      <formula>AND(IF($Q107=3,1,IF($Q107=4,1,0)),IF($F107&lt;=85,1,0))</formula>
    </cfRule>
  </conditionalFormatting>
  <conditionalFormatting sqref="AI107">
    <cfRule type="expression" priority="363" dxfId="3">
      <formula>AND(IF(OR($Q107=1,$Q107=2),1,0),IF($X107&lt;=20,1,0))</formula>
    </cfRule>
    <cfRule type="expression" priority="364" dxfId="2">
      <formula>AND(IF($Q107=2,1,0),IF($X107&lt;30,1,0))</formula>
    </cfRule>
    <cfRule type="expression" priority="365" dxfId="1">
      <formula>AND(IF($Q107=3,1,0),IF($X107&lt;30,1,0))</formula>
    </cfRule>
    <cfRule type="expression" priority="366" dxfId="0">
      <formula>AND(IF($Q107=3,1,IF($Q107=4,1,0)),IF($F107&lt;=85,1,0))</formula>
    </cfRule>
  </conditionalFormatting>
  <conditionalFormatting sqref="AV108">
    <cfRule type="expression" priority="361" dxfId="19">
      <formula>AV108="X"</formula>
    </cfRule>
    <cfRule type="expression" priority="362" dxfId="18">
      <formula>AV108="후보"</formula>
    </cfRule>
  </conditionalFormatting>
  <conditionalFormatting sqref="AC10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0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08">
    <cfRule type="expression" priority="352" dxfId="3">
      <formula>AND(IF(OR($Q108=1,$Q108=2),1,0),IF($X108&lt;=20,1,0))</formula>
    </cfRule>
    <cfRule type="expression" priority="353" dxfId="2">
      <formula>AND(IF($Q108=2,1,0),IF($X108&lt;30,1,0))</formula>
    </cfRule>
    <cfRule type="expression" priority="354" dxfId="1">
      <formula>AND(IF($Q108=3,1,0),IF($X108&lt;30,1,0))</formula>
    </cfRule>
    <cfRule type="expression" priority="355" dxfId="0">
      <formula>AND(IF($Q108=3,1,IF($Q108=4,1,0)),IF($F108&lt;=85,1,0))</formula>
    </cfRule>
  </conditionalFormatting>
  <conditionalFormatting sqref="X108">
    <cfRule type="expression" priority="348" dxfId="3">
      <formula>AND(IF(OR($Q108=1,$Q108=2),1,0),IF($X108&lt;=20,1,0))</formula>
    </cfRule>
    <cfRule type="expression" priority="349" dxfId="2">
      <formula>AND(IF($Q108=2,1,0),IF($X108&lt;30,1,0))</formula>
    </cfRule>
    <cfRule type="expression" priority="350" dxfId="1">
      <formula>AND(IF($Q108=3,1,0),IF($X108&lt;30,1,0))</formula>
    </cfRule>
    <cfRule type="expression" priority="351" dxfId="0">
      <formula>AND(IF($Q108=3,1,IF($Q108=4,1,0)),IF($F108&lt;=85,1,0))</formula>
    </cfRule>
  </conditionalFormatting>
  <conditionalFormatting sqref="AI108">
    <cfRule type="expression" priority="344" dxfId="3">
      <formula>AND(IF(OR($Q108=1,$Q108=2),1,0),IF($X108&lt;=20,1,0))</formula>
    </cfRule>
    <cfRule type="expression" priority="345" dxfId="2">
      <formula>AND(IF($Q108=2,1,0),IF($X108&lt;30,1,0))</formula>
    </cfRule>
    <cfRule type="expression" priority="346" dxfId="1">
      <formula>AND(IF($Q108=3,1,0),IF($X108&lt;30,1,0))</formula>
    </cfRule>
    <cfRule type="expression" priority="347" dxfId="0">
      <formula>AND(IF($Q108=3,1,IF($Q108=4,1,0)),IF($F108&lt;=85,1,0))</formula>
    </cfRule>
  </conditionalFormatting>
  <conditionalFormatting sqref="AV109">
    <cfRule type="expression" priority="342" dxfId="19">
      <formula>AV109="X"</formula>
    </cfRule>
    <cfRule type="expression" priority="343" dxfId="18">
      <formula>AV109="후보"</formula>
    </cfRule>
  </conditionalFormatting>
  <conditionalFormatting sqref="AC10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0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09">
    <cfRule type="expression" priority="333" dxfId="3">
      <formula>AND(IF(OR($Q109=1,$Q109=2),1,0),IF($X109&lt;=20,1,0))</formula>
    </cfRule>
    <cfRule type="expression" priority="334" dxfId="2">
      <formula>AND(IF($Q109=2,1,0),IF($X109&lt;30,1,0))</formula>
    </cfRule>
    <cfRule type="expression" priority="335" dxfId="1">
      <formula>AND(IF($Q109=3,1,0),IF($X109&lt;30,1,0))</formula>
    </cfRule>
    <cfRule type="expression" priority="336" dxfId="0">
      <formula>AND(IF($Q109=3,1,IF($Q109=4,1,0)),IF($F109&lt;=85,1,0))</formula>
    </cfRule>
  </conditionalFormatting>
  <conditionalFormatting sqref="X109">
    <cfRule type="expression" priority="329" dxfId="3">
      <formula>AND(IF(OR($Q109=1,$Q109=2),1,0),IF($X109&lt;=20,1,0))</formula>
    </cfRule>
    <cfRule type="expression" priority="330" dxfId="2">
      <formula>AND(IF($Q109=2,1,0),IF($X109&lt;30,1,0))</formula>
    </cfRule>
    <cfRule type="expression" priority="331" dxfId="1">
      <formula>AND(IF($Q109=3,1,0),IF($X109&lt;30,1,0))</formula>
    </cfRule>
    <cfRule type="expression" priority="332" dxfId="0">
      <formula>AND(IF($Q109=3,1,IF($Q109=4,1,0)),IF($F109&lt;=85,1,0))</formula>
    </cfRule>
  </conditionalFormatting>
  <conditionalFormatting sqref="AI109">
    <cfRule type="expression" priority="325" dxfId="3">
      <formula>AND(IF(OR($Q109=1,$Q109=2),1,0),IF($X109&lt;=20,1,0))</formula>
    </cfRule>
    <cfRule type="expression" priority="326" dxfId="2">
      <formula>AND(IF($Q109=2,1,0),IF($X109&lt;30,1,0))</formula>
    </cfRule>
    <cfRule type="expression" priority="327" dxfId="1">
      <formula>AND(IF($Q109=3,1,0),IF($X109&lt;30,1,0))</formula>
    </cfRule>
    <cfRule type="expression" priority="328" dxfId="0">
      <formula>AND(IF($Q109=3,1,IF($Q109=4,1,0)),IF($F109&lt;=85,1,0))</formula>
    </cfRule>
  </conditionalFormatting>
  <conditionalFormatting sqref="AV110">
    <cfRule type="expression" priority="323" dxfId="19">
      <formula>AV110="X"</formula>
    </cfRule>
    <cfRule type="expression" priority="324" dxfId="18">
      <formula>AV110="후보"</formula>
    </cfRule>
  </conditionalFormatting>
  <conditionalFormatting sqref="AC110 N110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111">
    <cfRule type="expression" priority="318" dxfId="19">
      <formula>AV111="X"</formula>
    </cfRule>
    <cfRule type="expression" priority="319" dxfId="18">
      <formula>AV111="후보"</formula>
    </cfRule>
  </conditionalFormatting>
  <conditionalFormatting sqref="AC11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1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11">
    <cfRule type="expression" priority="309" dxfId="3">
      <formula>AND(IF(OR($Q111=1,$Q111=2),1,0),IF($X111&lt;=20,1,0))</formula>
    </cfRule>
    <cfRule type="expression" priority="310" dxfId="2">
      <formula>AND(IF($Q111=2,1,0),IF($X111&lt;30,1,0))</formula>
    </cfRule>
    <cfRule type="expression" priority="311" dxfId="1">
      <formula>AND(IF($Q111=3,1,0),IF($X111&lt;30,1,0))</formula>
    </cfRule>
    <cfRule type="expression" priority="312" dxfId="0">
      <formula>AND(IF($Q111=3,1,IF($Q111=4,1,0)),IF($F111&lt;=85,1,0))</formula>
    </cfRule>
  </conditionalFormatting>
  <conditionalFormatting sqref="X111">
    <cfRule type="expression" priority="305" dxfId="3">
      <formula>AND(IF(OR($Q111=1,$Q111=2),1,0),IF($X111&lt;=20,1,0))</formula>
    </cfRule>
    <cfRule type="expression" priority="306" dxfId="2">
      <formula>AND(IF($Q111=2,1,0),IF($X111&lt;30,1,0))</formula>
    </cfRule>
    <cfRule type="expression" priority="307" dxfId="1">
      <formula>AND(IF($Q111=3,1,0),IF($X111&lt;30,1,0))</formula>
    </cfRule>
    <cfRule type="expression" priority="308" dxfId="0">
      <formula>AND(IF($Q111=3,1,IF($Q111=4,1,0)),IF($F111&lt;=85,1,0))</formula>
    </cfRule>
  </conditionalFormatting>
  <conditionalFormatting sqref="AI111">
    <cfRule type="expression" priority="301" dxfId="3">
      <formula>AND(IF(OR($Q111=1,$Q111=2),1,0),IF($X111&lt;=20,1,0))</formula>
    </cfRule>
    <cfRule type="expression" priority="302" dxfId="2">
      <formula>AND(IF($Q111=2,1,0),IF($X111&lt;30,1,0))</formula>
    </cfRule>
    <cfRule type="expression" priority="303" dxfId="1">
      <formula>AND(IF($Q111=3,1,0),IF($X111&lt;30,1,0))</formula>
    </cfRule>
    <cfRule type="expression" priority="304" dxfId="0">
      <formula>AND(IF($Q111=3,1,IF($Q111=4,1,0)),IF($F111&lt;=85,1,0))</formula>
    </cfRule>
  </conditionalFormatting>
  <conditionalFormatting sqref="AV112">
    <cfRule type="expression" priority="299" dxfId="19">
      <formula>AV112="X"</formula>
    </cfRule>
    <cfRule type="expression" priority="300" dxfId="18">
      <formula>AV112="후보"</formula>
    </cfRule>
  </conditionalFormatting>
  <conditionalFormatting sqref="AC11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1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12">
    <cfRule type="expression" priority="290" dxfId="3">
      <formula>AND(IF(OR($Q112=1,$Q112=2),1,0),IF($X112&lt;=20,1,0))</formula>
    </cfRule>
    <cfRule type="expression" priority="291" dxfId="2">
      <formula>AND(IF($Q112=2,1,0),IF($X112&lt;30,1,0))</formula>
    </cfRule>
    <cfRule type="expression" priority="292" dxfId="1">
      <formula>AND(IF($Q112=3,1,0),IF($X112&lt;30,1,0))</formula>
    </cfRule>
    <cfRule type="expression" priority="293" dxfId="0">
      <formula>AND(IF($Q112=3,1,IF($Q112=4,1,0)),IF($F112&lt;=85,1,0))</formula>
    </cfRule>
  </conditionalFormatting>
  <conditionalFormatting sqref="X112">
    <cfRule type="expression" priority="286" dxfId="3">
      <formula>AND(IF(OR($Q112=1,$Q112=2),1,0),IF($X112&lt;=20,1,0))</formula>
    </cfRule>
    <cfRule type="expression" priority="287" dxfId="2">
      <formula>AND(IF($Q112=2,1,0),IF($X112&lt;30,1,0))</formula>
    </cfRule>
    <cfRule type="expression" priority="288" dxfId="1">
      <formula>AND(IF($Q112=3,1,0),IF($X112&lt;30,1,0))</formula>
    </cfRule>
    <cfRule type="expression" priority="289" dxfId="0">
      <formula>AND(IF($Q112=3,1,IF($Q112=4,1,0)),IF($F112&lt;=85,1,0))</formula>
    </cfRule>
  </conditionalFormatting>
  <conditionalFormatting sqref="AI112">
    <cfRule type="expression" priority="282" dxfId="3">
      <formula>AND(IF(OR($Q112=1,$Q112=2),1,0),IF($X112&lt;=20,1,0))</formula>
    </cfRule>
    <cfRule type="expression" priority="283" dxfId="2">
      <formula>AND(IF($Q112=2,1,0),IF($X112&lt;30,1,0))</formula>
    </cfRule>
    <cfRule type="expression" priority="284" dxfId="1">
      <formula>AND(IF($Q112=3,1,0),IF($X112&lt;30,1,0))</formula>
    </cfRule>
    <cfRule type="expression" priority="285" dxfId="0">
      <formula>AND(IF($Q112=3,1,IF($Q112=4,1,0)),IF($F112&lt;=85,1,0))</formula>
    </cfRule>
  </conditionalFormatting>
  <conditionalFormatting sqref="AV113">
    <cfRule type="expression" priority="280" dxfId="19">
      <formula>AV113="X"</formula>
    </cfRule>
    <cfRule type="expression" priority="281" dxfId="18">
      <formula>AV113="후보"</formula>
    </cfRule>
  </conditionalFormatting>
  <conditionalFormatting sqref="AC11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1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13">
    <cfRule type="expression" priority="271" dxfId="3">
      <formula>AND(IF(OR($Q113=1,$Q113=2),1,0),IF($X113&lt;=20,1,0))</formula>
    </cfRule>
    <cfRule type="expression" priority="272" dxfId="2">
      <formula>AND(IF($Q113=2,1,0),IF($X113&lt;30,1,0))</formula>
    </cfRule>
    <cfRule type="expression" priority="273" dxfId="1">
      <formula>AND(IF($Q113=3,1,0),IF($X113&lt;30,1,0))</formula>
    </cfRule>
    <cfRule type="expression" priority="274" dxfId="0">
      <formula>AND(IF($Q113=3,1,IF($Q113=4,1,0)),IF($F113&lt;=85,1,0))</formula>
    </cfRule>
  </conditionalFormatting>
  <conditionalFormatting sqref="X113">
    <cfRule type="expression" priority="267" dxfId="3">
      <formula>AND(IF(OR($Q113=1,$Q113=2),1,0),IF($X113&lt;=20,1,0))</formula>
    </cfRule>
    <cfRule type="expression" priority="268" dxfId="2">
      <formula>AND(IF($Q113=2,1,0),IF($X113&lt;30,1,0))</formula>
    </cfRule>
    <cfRule type="expression" priority="269" dxfId="1">
      <formula>AND(IF($Q113=3,1,0),IF($X113&lt;30,1,0))</formula>
    </cfRule>
    <cfRule type="expression" priority="270" dxfId="0">
      <formula>AND(IF($Q113=3,1,IF($Q113=4,1,0)),IF($F113&lt;=85,1,0))</formula>
    </cfRule>
  </conditionalFormatting>
  <conditionalFormatting sqref="AI113">
    <cfRule type="expression" priority="263" dxfId="3">
      <formula>AND(IF(OR($Q113=1,$Q113=2),1,0),IF($X113&lt;=20,1,0))</formula>
    </cfRule>
    <cfRule type="expression" priority="264" dxfId="2">
      <formula>AND(IF($Q113=2,1,0),IF($X113&lt;30,1,0))</formula>
    </cfRule>
    <cfRule type="expression" priority="265" dxfId="1">
      <formula>AND(IF($Q113=3,1,0),IF($X113&lt;30,1,0))</formula>
    </cfRule>
    <cfRule type="expression" priority="266" dxfId="0">
      <formula>AND(IF($Q113=3,1,IF($Q113=4,1,0)),IF($F113&lt;=85,1,0))</formula>
    </cfRule>
  </conditionalFormatting>
  <conditionalFormatting sqref="AV114">
    <cfRule type="expression" priority="261" dxfId="19">
      <formula>AV114="X"</formula>
    </cfRule>
    <cfRule type="expression" priority="262" dxfId="18">
      <formula>AV114="후보"</formula>
    </cfRule>
  </conditionalFormatting>
  <conditionalFormatting sqref="AC11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1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14">
    <cfRule type="expression" priority="252" dxfId="3">
      <formula>AND(IF(OR($Q114=1,$Q114=2),1,0),IF($X114&lt;=20,1,0))</formula>
    </cfRule>
    <cfRule type="expression" priority="253" dxfId="2">
      <formula>AND(IF($Q114=2,1,0),IF($X114&lt;30,1,0))</formula>
    </cfRule>
    <cfRule type="expression" priority="254" dxfId="1">
      <formula>AND(IF($Q114=3,1,0),IF($X114&lt;30,1,0))</formula>
    </cfRule>
    <cfRule type="expression" priority="255" dxfId="0">
      <formula>AND(IF($Q114=3,1,IF($Q114=4,1,0)),IF($F114&lt;=85,1,0))</formula>
    </cfRule>
  </conditionalFormatting>
  <conditionalFormatting sqref="X114">
    <cfRule type="expression" priority="248" dxfId="3">
      <formula>AND(IF(OR($Q114=1,$Q114=2),1,0),IF($X114&lt;=20,1,0))</formula>
    </cfRule>
    <cfRule type="expression" priority="249" dxfId="2">
      <formula>AND(IF($Q114=2,1,0),IF($X114&lt;30,1,0))</formula>
    </cfRule>
    <cfRule type="expression" priority="250" dxfId="1">
      <formula>AND(IF($Q114=3,1,0),IF($X114&lt;30,1,0))</formula>
    </cfRule>
    <cfRule type="expression" priority="251" dxfId="0">
      <formula>AND(IF($Q114=3,1,IF($Q114=4,1,0)),IF($F114&lt;=85,1,0))</formula>
    </cfRule>
  </conditionalFormatting>
  <conditionalFormatting sqref="AI114">
    <cfRule type="expression" priority="244" dxfId="3">
      <formula>AND(IF(OR($Q114=1,$Q114=2),1,0),IF($X114&lt;=20,1,0))</formula>
    </cfRule>
    <cfRule type="expression" priority="245" dxfId="2">
      <formula>AND(IF($Q114=2,1,0),IF($X114&lt;30,1,0))</formula>
    </cfRule>
    <cfRule type="expression" priority="246" dxfId="1">
      <formula>AND(IF($Q114=3,1,0),IF($X114&lt;30,1,0))</formula>
    </cfRule>
    <cfRule type="expression" priority="247" dxfId="0">
      <formula>AND(IF($Q114=3,1,IF($Q114=4,1,0)),IF($F114&lt;=85,1,0))</formula>
    </cfRule>
  </conditionalFormatting>
  <conditionalFormatting sqref="AV115">
    <cfRule type="expression" priority="242" dxfId="19">
      <formula>AV115="X"</formula>
    </cfRule>
    <cfRule type="expression" priority="243" dxfId="18">
      <formula>AV115="후보"</formula>
    </cfRule>
  </conditionalFormatting>
  <conditionalFormatting sqref="AC11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1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15">
    <cfRule type="expression" priority="233" dxfId="3">
      <formula>AND(IF(OR($Q115=1,$Q115=2),1,0),IF($X115&lt;=20,1,0))</formula>
    </cfRule>
    <cfRule type="expression" priority="234" dxfId="2">
      <formula>AND(IF($Q115=2,1,0),IF($X115&lt;30,1,0))</formula>
    </cfRule>
    <cfRule type="expression" priority="235" dxfId="1">
      <formula>AND(IF($Q115=3,1,0),IF($X115&lt;30,1,0))</formula>
    </cfRule>
    <cfRule type="expression" priority="236" dxfId="0">
      <formula>AND(IF($Q115=3,1,IF($Q115=4,1,0)),IF($F115&lt;=85,1,0))</formula>
    </cfRule>
  </conditionalFormatting>
  <conditionalFormatting sqref="X115">
    <cfRule type="expression" priority="229" dxfId="3">
      <formula>AND(IF(OR($Q115=1,$Q115=2),1,0),IF($X115&lt;=20,1,0))</formula>
    </cfRule>
    <cfRule type="expression" priority="230" dxfId="2">
      <formula>AND(IF($Q115=2,1,0),IF($X115&lt;30,1,0))</formula>
    </cfRule>
    <cfRule type="expression" priority="231" dxfId="1">
      <formula>AND(IF($Q115=3,1,0),IF($X115&lt;30,1,0))</formula>
    </cfRule>
    <cfRule type="expression" priority="232" dxfId="0">
      <formula>AND(IF($Q115=3,1,IF($Q115=4,1,0)),IF($F115&lt;=85,1,0))</formula>
    </cfRule>
  </conditionalFormatting>
  <conditionalFormatting sqref="AI115">
    <cfRule type="expression" priority="225" dxfId="3">
      <formula>AND(IF(OR($Q115=1,$Q115=2),1,0),IF($X115&lt;=20,1,0))</formula>
    </cfRule>
    <cfRule type="expression" priority="226" dxfId="2">
      <formula>AND(IF($Q115=2,1,0),IF($X115&lt;30,1,0))</formula>
    </cfRule>
    <cfRule type="expression" priority="227" dxfId="1">
      <formula>AND(IF($Q115=3,1,0),IF($X115&lt;30,1,0))</formula>
    </cfRule>
    <cfRule type="expression" priority="228" dxfId="0">
      <formula>AND(IF($Q115=3,1,IF($Q115=4,1,0)),IF($F115&lt;=85,1,0))</formula>
    </cfRule>
  </conditionalFormatting>
  <conditionalFormatting sqref="AV116">
    <cfRule type="expression" priority="223" dxfId="19">
      <formula>AV116="X"</formula>
    </cfRule>
    <cfRule type="expression" priority="224" dxfId="18">
      <formula>AV116="후보"</formula>
    </cfRule>
  </conditionalFormatting>
  <conditionalFormatting sqref="AC116 N11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117">
    <cfRule type="expression" priority="218" dxfId="19">
      <formula>AV117="X"</formula>
    </cfRule>
    <cfRule type="expression" priority="219" dxfId="18">
      <formula>AV117="후보"</formula>
    </cfRule>
  </conditionalFormatting>
  <conditionalFormatting sqref="AC1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1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17">
    <cfRule type="expression" priority="209" dxfId="3">
      <formula>AND(IF(OR($Q117=1,$Q117=2),1,0),IF($X117&lt;=20,1,0))</formula>
    </cfRule>
    <cfRule type="expression" priority="210" dxfId="2">
      <formula>AND(IF($Q117=2,1,0),IF($X117&lt;30,1,0))</formula>
    </cfRule>
    <cfRule type="expression" priority="211" dxfId="1">
      <formula>AND(IF($Q117=3,1,0),IF($X117&lt;30,1,0))</formula>
    </cfRule>
    <cfRule type="expression" priority="212" dxfId="0">
      <formula>AND(IF($Q117=3,1,IF($Q117=4,1,0)),IF($F117&lt;=85,1,0))</formula>
    </cfRule>
  </conditionalFormatting>
  <conditionalFormatting sqref="X117">
    <cfRule type="expression" priority="205" dxfId="3">
      <formula>AND(IF(OR($Q117=1,$Q117=2),1,0),IF($X117&lt;=20,1,0))</formula>
    </cfRule>
    <cfRule type="expression" priority="206" dxfId="2">
      <formula>AND(IF($Q117=2,1,0),IF($X117&lt;30,1,0))</formula>
    </cfRule>
    <cfRule type="expression" priority="207" dxfId="1">
      <formula>AND(IF($Q117=3,1,0),IF($X117&lt;30,1,0))</formula>
    </cfRule>
    <cfRule type="expression" priority="208" dxfId="0">
      <formula>AND(IF($Q117=3,1,IF($Q117=4,1,0)),IF($F117&lt;=85,1,0))</formula>
    </cfRule>
  </conditionalFormatting>
  <conditionalFormatting sqref="AI117">
    <cfRule type="expression" priority="201" dxfId="3">
      <formula>AND(IF(OR($Q117=1,$Q117=2),1,0),IF($X117&lt;=20,1,0))</formula>
    </cfRule>
    <cfRule type="expression" priority="202" dxfId="2">
      <formula>AND(IF($Q117=2,1,0),IF($X117&lt;30,1,0))</formula>
    </cfRule>
    <cfRule type="expression" priority="203" dxfId="1">
      <formula>AND(IF($Q117=3,1,0),IF($X117&lt;30,1,0))</formula>
    </cfRule>
    <cfRule type="expression" priority="204" dxfId="0">
      <formula>AND(IF($Q117=3,1,IF($Q117=4,1,0)),IF($F117&lt;=85,1,0))</formula>
    </cfRule>
  </conditionalFormatting>
  <conditionalFormatting sqref="AV118">
    <cfRule type="expression" priority="199" dxfId="19">
      <formula>AV118="X"</formula>
    </cfRule>
    <cfRule type="expression" priority="200" dxfId="18">
      <formula>AV118="후보"</formula>
    </cfRule>
  </conditionalFormatting>
  <conditionalFormatting sqref="AC11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1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18">
    <cfRule type="expression" priority="190" dxfId="3">
      <formula>AND(IF(OR($Q118=1,$Q118=2),1,0),IF($X118&lt;=20,1,0))</formula>
    </cfRule>
    <cfRule type="expression" priority="191" dxfId="2">
      <formula>AND(IF($Q118=2,1,0),IF($X118&lt;30,1,0))</formula>
    </cfRule>
    <cfRule type="expression" priority="192" dxfId="1">
      <formula>AND(IF($Q118=3,1,0),IF($X118&lt;30,1,0))</formula>
    </cfRule>
    <cfRule type="expression" priority="193" dxfId="0">
      <formula>AND(IF($Q118=3,1,IF($Q118=4,1,0)),IF($F118&lt;=85,1,0))</formula>
    </cfRule>
  </conditionalFormatting>
  <conditionalFormatting sqref="X118">
    <cfRule type="expression" priority="186" dxfId="3">
      <formula>AND(IF(OR($Q118=1,$Q118=2),1,0),IF($X118&lt;=20,1,0))</formula>
    </cfRule>
    <cfRule type="expression" priority="187" dxfId="2">
      <formula>AND(IF($Q118=2,1,0),IF($X118&lt;30,1,0))</formula>
    </cfRule>
    <cfRule type="expression" priority="188" dxfId="1">
      <formula>AND(IF($Q118=3,1,0),IF($X118&lt;30,1,0))</formula>
    </cfRule>
    <cfRule type="expression" priority="189" dxfId="0">
      <formula>AND(IF($Q118=3,1,IF($Q118=4,1,0)),IF($F118&lt;=85,1,0))</formula>
    </cfRule>
  </conditionalFormatting>
  <conditionalFormatting sqref="AI118">
    <cfRule type="expression" priority="182" dxfId="3">
      <formula>AND(IF(OR($Q118=1,$Q118=2),1,0),IF($X118&lt;=20,1,0))</formula>
    </cfRule>
    <cfRule type="expression" priority="183" dxfId="2">
      <formula>AND(IF($Q118=2,1,0),IF($X118&lt;30,1,0))</formula>
    </cfRule>
    <cfRule type="expression" priority="184" dxfId="1">
      <formula>AND(IF($Q118=3,1,0),IF($X118&lt;30,1,0))</formula>
    </cfRule>
    <cfRule type="expression" priority="185" dxfId="0">
      <formula>AND(IF($Q118=3,1,IF($Q118=4,1,0)),IF($F118&lt;=85,1,0))</formula>
    </cfRule>
  </conditionalFormatting>
  <conditionalFormatting sqref="AV119">
    <cfRule type="expression" priority="180" dxfId="19">
      <formula>AV119="X"</formula>
    </cfRule>
    <cfRule type="expression" priority="181" dxfId="18">
      <formula>AV119="후보"</formula>
    </cfRule>
  </conditionalFormatting>
  <conditionalFormatting sqref="AC119 N11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20">
    <cfRule type="expression" priority="175" dxfId="19">
      <formula>AV120="X"</formula>
    </cfRule>
    <cfRule type="expression" priority="176" dxfId="18">
      <formula>AV120="후보"</formula>
    </cfRule>
  </conditionalFormatting>
  <conditionalFormatting sqref="AC12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2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20">
    <cfRule type="expression" priority="166" dxfId="3">
      <formula>AND(IF(OR($Q120=1,$Q120=2),1,0),IF($X120&lt;=20,1,0))</formula>
    </cfRule>
    <cfRule type="expression" priority="167" dxfId="2">
      <formula>AND(IF($Q120=2,1,0),IF($X120&lt;30,1,0))</formula>
    </cfRule>
    <cfRule type="expression" priority="168" dxfId="1">
      <formula>AND(IF($Q120=3,1,0),IF($X120&lt;30,1,0))</formula>
    </cfRule>
    <cfRule type="expression" priority="169" dxfId="0">
      <formula>AND(IF($Q120=3,1,IF($Q120=4,1,0)),IF($F120&lt;=85,1,0))</formula>
    </cfRule>
  </conditionalFormatting>
  <conditionalFormatting sqref="X120">
    <cfRule type="expression" priority="162" dxfId="3">
      <formula>AND(IF(OR($Q120=1,$Q120=2),1,0),IF($X120&lt;=20,1,0))</formula>
    </cfRule>
    <cfRule type="expression" priority="163" dxfId="2">
      <formula>AND(IF($Q120=2,1,0),IF($X120&lt;30,1,0))</formula>
    </cfRule>
    <cfRule type="expression" priority="164" dxfId="1">
      <formula>AND(IF($Q120=3,1,0),IF($X120&lt;30,1,0))</formula>
    </cfRule>
    <cfRule type="expression" priority="165" dxfId="0">
      <formula>AND(IF($Q120=3,1,IF($Q120=4,1,0)),IF($F120&lt;=85,1,0))</formula>
    </cfRule>
  </conditionalFormatting>
  <conditionalFormatting sqref="AI120">
    <cfRule type="expression" priority="158" dxfId="3">
      <formula>AND(IF(OR($Q120=1,$Q120=2),1,0),IF($X120&lt;=20,1,0))</formula>
    </cfRule>
    <cfRule type="expression" priority="159" dxfId="2">
      <formula>AND(IF($Q120=2,1,0),IF($X120&lt;30,1,0))</formula>
    </cfRule>
    <cfRule type="expression" priority="160" dxfId="1">
      <formula>AND(IF($Q120=3,1,0),IF($X120&lt;30,1,0))</formula>
    </cfRule>
    <cfRule type="expression" priority="161" dxfId="0">
      <formula>AND(IF($Q120=3,1,IF($Q120=4,1,0)),IF($F120&lt;=85,1,0))</formula>
    </cfRule>
  </conditionalFormatting>
  <conditionalFormatting sqref="AV121">
    <cfRule type="expression" priority="156" dxfId="19">
      <formula>AV121="X"</formula>
    </cfRule>
    <cfRule type="expression" priority="157" dxfId="18">
      <formula>AV121="후보"</formula>
    </cfRule>
  </conditionalFormatting>
  <conditionalFormatting sqref="AC12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1">
    <cfRule type="expression" priority="147" dxfId="3">
      <formula>AND(IF(OR($Q121=1,$Q121=2),1,0),IF($X121&lt;=20,1,0))</formula>
    </cfRule>
    <cfRule type="expression" priority="148" dxfId="2">
      <formula>AND(IF($Q121=2,1,0),IF($X121&lt;30,1,0))</formula>
    </cfRule>
    <cfRule type="expression" priority="149" dxfId="1">
      <formula>AND(IF($Q121=3,1,0),IF($X121&lt;30,1,0))</formula>
    </cfRule>
    <cfRule type="expression" priority="150" dxfId="0">
      <formula>AND(IF($Q121=3,1,IF($Q121=4,1,0)),IF($F121&lt;=85,1,0))</formula>
    </cfRule>
  </conditionalFormatting>
  <conditionalFormatting sqref="X121">
    <cfRule type="expression" priority="143" dxfId="3">
      <formula>AND(IF(OR($Q121=1,$Q121=2),1,0),IF($X121&lt;=20,1,0))</formula>
    </cfRule>
    <cfRule type="expression" priority="144" dxfId="2">
      <formula>AND(IF($Q121=2,1,0),IF($X121&lt;30,1,0))</formula>
    </cfRule>
    <cfRule type="expression" priority="145" dxfId="1">
      <formula>AND(IF($Q121=3,1,0),IF($X121&lt;30,1,0))</formula>
    </cfRule>
    <cfRule type="expression" priority="146" dxfId="0">
      <formula>AND(IF($Q121=3,1,IF($Q121=4,1,0)),IF($F121&lt;=85,1,0))</formula>
    </cfRule>
  </conditionalFormatting>
  <conditionalFormatting sqref="AI121">
    <cfRule type="expression" priority="139" dxfId="3">
      <formula>AND(IF(OR($Q121=1,$Q121=2),1,0),IF($X121&lt;=20,1,0))</formula>
    </cfRule>
    <cfRule type="expression" priority="140" dxfId="2">
      <formula>AND(IF($Q121=2,1,0),IF($X121&lt;30,1,0))</formula>
    </cfRule>
    <cfRule type="expression" priority="141" dxfId="1">
      <formula>AND(IF($Q121=3,1,0),IF($X121&lt;30,1,0))</formula>
    </cfRule>
    <cfRule type="expression" priority="142" dxfId="0">
      <formula>AND(IF($Q121=3,1,IF($Q121=4,1,0)),IF($F121&lt;=85,1,0))</formula>
    </cfRule>
  </conditionalFormatting>
  <conditionalFormatting sqref="AV122">
    <cfRule type="expression" priority="137" dxfId="19">
      <formula>AV122="X"</formula>
    </cfRule>
    <cfRule type="expression" priority="138" dxfId="18">
      <formula>AV122="후보"</formula>
    </cfRule>
  </conditionalFormatting>
  <conditionalFormatting sqref="AC122 N12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23">
    <cfRule type="expression" priority="132" dxfId="19">
      <formula>AV123="X"</formula>
    </cfRule>
    <cfRule type="expression" priority="133" dxfId="18">
      <formula>AV123="후보"</formula>
    </cfRule>
  </conditionalFormatting>
  <conditionalFormatting sqref="AC12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3">
    <cfRule type="expression" priority="123" dxfId="3">
      <formula>AND(IF(OR($Q123=1,$Q123=2),1,0),IF($X123&lt;=20,1,0))</formula>
    </cfRule>
    <cfRule type="expression" priority="124" dxfId="2">
      <formula>AND(IF($Q123=2,1,0),IF($X123&lt;30,1,0))</formula>
    </cfRule>
    <cfRule type="expression" priority="125" dxfId="1">
      <formula>AND(IF($Q123=3,1,0),IF($X123&lt;30,1,0))</formula>
    </cfRule>
    <cfRule type="expression" priority="126" dxfId="0">
      <formula>AND(IF($Q123=3,1,IF($Q123=4,1,0)),IF($F123&lt;=85,1,0))</formula>
    </cfRule>
  </conditionalFormatting>
  <conditionalFormatting sqref="X123">
    <cfRule type="expression" priority="119" dxfId="3">
      <formula>AND(IF(OR($Q123=1,$Q123=2),1,0),IF($X123&lt;=20,1,0))</formula>
    </cfRule>
    <cfRule type="expression" priority="120" dxfId="2">
      <formula>AND(IF($Q123=2,1,0),IF($X123&lt;30,1,0))</formula>
    </cfRule>
    <cfRule type="expression" priority="121" dxfId="1">
      <formula>AND(IF($Q123=3,1,0),IF($X123&lt;30,1,0))</formula>
    </cfRule>
    <cfRule type="expression" priority="122" dxfId="0">
      <formula>AND(IF($Q123=3,1,IF($Q123=4,1,0)),IF($F123&lt;=85,1,0))</formula>
    </cfRule>
  </conditionalFormatting>
  <conditionalFormatting sqref="AI123">
    <cfRule type="expression" priority="115" dxfId="3">
      <formula>AND(IF(OR($Q123=1,$Q123=2),1,0),IF($X123&lt;=20,1,0))</formula>
    </cfRule>
    <cfRule type="expression" priority="116" dxfId="2">
      <formula>AND(IF($Q123=2,1,0),IF($X123&lt;30,1,0))</formula>
    </cfRule>
    <cfRule type="expression" priority="117" dxfId="1">
      <formula>AND(IF($Q123=3,1,0),IF($X123&lt;30,1,0))</formula>
    </cfRule>
    <cfRule type="expression" priority="118" dxfId="0">
      <formula>AND(IF($Q123=3,1,IF($Q123=4,1,0)),IF($F123&lt;=85,1,0))</formula>
    </cfRule>
  </conditionalFormatting>
  <conditionalFormatting sqref="AV124">
    <cfRule type="expression" priority="113" dxfId="19">
      <formula>AV124="X"</formula>
    </cfRule>
    <cfRule type="expression" priority="114" dxfId="18">
      <formula>AV124="후보"</formula>
    </cfRule>
  </conditionalFormatting>
  <conditionalFormatting sqref="AC12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4">
    <cfRule type="expression" priority="104" dxfId="3">
      <formula>AND(IF(OR($Q124=1,$Q124=2),1,0),IF($X124&lt;=20,1,0))</formula>
    </cfRule>
    <cfRule type="expression" priority="105" dxfId="2">
      <formula>AND(IF($Q124=2,1,0),IF($X124&lt;30,1,0))</formula>
    </cfRule>
    <cfRule type="expression" priority="106" dxfId="1">
      <formula>AND(IF($Q124=3,1,0),IF($X124&lt;30,1,0))</formula>
    </cfRule>
    <cfRule type="expression" priority="107" dxfId="0">
      <formula>AND(IF($Q124=3,1,IF($Q124=4,1,0)),IF($F124&lt;=85,1,0))</formula>
    </cfRule>
  </conditionalFormatting>
  <conditionalFormatting sqref="X124">
    <cfRule type="expression" priority="100" dxfId="3">
      <formula>AND(IF(OR($Q124=1,$Q124=2),1,0),IF($X124&lt;=20,1,0))</formula>
    </cfRule>
    <cfRule type="expression" priority="101" dxfId="2">
      <formula>AND(IF($Q124=2,1,0),IF($X124&lt;30,1,0))</formula>
    </cfRule>
    <cfRule type="expression" priority="102" dxfId="1">
      <formula>AND(IF($Q124=3,1,0),IF($X124&lt;30,1,0))</formula>
    </cfRule>
    <cfRule type="expression" priority="103" dxfId="0">
      <formula>AND(IF($Q124=3,1,IF($Q124=4,1,0)),IF($F124&lt;=85,1,0))</formula>
    </cfRule>
  </conditionalFormatting>
  <conditionalFormatting sqref="AI124">
    <cfRule type="expression" priority="96" dxfId="3">
      <formula>AND(IF(OR($Q124=1,$Q124=2),1,0),IF($X124&lt;=20,1,0))</formula>
    </cfRule>
    <cfRule type="expression" priority="97" dxfId="2">
      <formula>AND(IF($Q124=2,1,0),IF($X124&lt;30,1,0))</formula>
    </cfRule>
    <cfRule type="expression" priority="98" dxfId="1">
      <formula>AND(IF($Q124=3,1,0),IF($X124&lt;30,1,0))</formula>
    </cfRule>
    <cfRule type="expression" priority="99" dxfId="0">
      <formula>AND(IF($Q124=3,1,IF($Q124=4,1,0)),IF($F124&lt;=85,1,0))</formula>
    </cfRule>
  </conditionalFormatting>
  <conditionalFormatting sqref="AV125">
    <cfRule type="expression" priority="94" dxfId="19">
      <formula>AV125="X"</formula>
    </cfRule>
    <cfRule type="expression" priority="95" dxfId="18">
      <formula>AV125="후보"</formula>
    </cfRule>
  </conditionalFormatting>
  <conditionalFormatting sqref="AC12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5">
    <cfRule type="expression" priority="85" dxfId="3">
      <formula>AND(IF(OR($Q125=1,$Q125=2),1,0),IF($X125&lt;=20,1,0))</formula>
    </cfRule>
    <cfRule type="expression" priority="86" dxfId="2">
      <formula>AND(IF($Q125=2,1,0),IF($X125&lt;30,1,0))</formula>
    </cfRule>
    <cfRule type="expression" priority="87" dxfId="1">
      <formula>AND(IF($Q125=3,1,0),IF($X125&lt;30,1,0))</formula>
    </cfRule>
    <cfRule type="expression" priority="88" dxfId="0">
      <formula>AND(IF($Q125=3,1,IF($Q125=4,1,0)),IF($F125&lt;=85,1,0))</formula>
    </cfRule>
  </conditionalFormatting>
  <conditionalFormatting sqref="X125">
    <cfRule type="expression" priority="81" dxfId="3">
      <formula>AND(IF(OR($Q125=1,$Q125=2),1,0),IF($X125&lt;=20,1,0))</formula>
    </cfRule>
    <cfRule type="expression" priority="82" dxfId="2">
      <formula>AND(IF($Q125=2,1,0),IF($X125&lt;30,1,0))</formula>
    </cfRule>
    <cfRule type="expression" priority="83" dxfId="1">
      <formula>AND(IF($Q125=3,1,0),IF($X125&lt;30,1,0))</formula>
    </cfRule>
    <cfRule type="expression" priority="84" dxfId="0">
      <formula>AND(IF($Q125=3,1,IF($Q125=4,1,0)),IF($F125&lt;=85,1,0))</formula>
    </cfRule>
  </conditionalFormatting>
  <conditionalFormatting sqref="AI125">
    <cfRule type="expression" priority="77" dxfId="3">
      <formula>AND(IF(OR($Q125=1,$Q125=2),1,0),IF($X125&lt;=20,1,0))</formula>
    </cfRule>
    <cfRule type="expression" priority="78" dxfId="2">
      <formula>AND(IF($Q125=2,1,0),IF($X125&lt;30,1,0))</formula>
    </cfRule>
    <cfRule type="expression" priority="79" dxfId="1">
      <formula>AND(IF($Q125=3,1,0),IF($X125&lt;30,1,0))</formula>
    </cfRule>
    <cfRule type="expression" priority="80" dxfId="0">
      <formula>AND(IF($Q125=3,1,IF($Q125=4,1,0)),IF($F125&lt;=85,1,0))</formula>
    </cfRule>
  </conditionalFormatting>
  <conditionalFormatting sqref="AV126">
    <cfRule type="expression" priority="75" dxfId="19">
      <formula>AV126="X"</formula>
    </cfRule>
    <cfRule type="expression" priority="76" dxfId="18">
      <formula>AV126="후보"</formula>
    </cfRule>
  </conditionalFormatting>
  <conditionalFormatting sqref="AC12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6">
    <cfRule type="expression" priority="66" dxfId="3">
      <formula>AND(IF(OR($Q126=1,$Q126=2),1,0),IF($X126&lt;=20,1,0))</formula>
    </cfRule>
    <cfRule type="expression" priority="67" dxfId="2">
      <formula>AND(IF($Q126=2,1,0),IF($X126&lt;30,1,0))</formula>
    </cfRule>
    <cfRule type="expression" priority="68" dxfId="1">
      <formula>AND(IF($Q126=3,1,0),IF($X126&lt;30,1,0))</formula>
    </cfRule>
    <cfRule type="expression" priority="69" dxfId="0">
      <formula>AND(IF($Q126=3,1,IF($Q126=4,1,0)),IF($F126&lt;=85,1,0))</formula>
    </cfRule>
  </conditionalFormatting>
  <conditionalFormatting sqref="X126">
    <cfRule type="expression" priority="62" dxfId="3">
      <formula>AND(IF(OR($Q126=1,$Q126=2),1,0),IF($X126&lt;=20,1,0))</formula>
    </cfRule>
    <cfRule type="expression" priority="63" dxfId="2">
      <formula>AND(IF($Q126=2,1,0),IF($X126&lt;30,1,0))</formula>
    </cfRule>
    <cfRule type="expression" priority="64" dxfId="1">
      <formula>AND(IF($Q126=3,1,0),IF($X126&lt;30,1,0))</formula>
    </cfRule>
    <cfRule type="expression" priority="65" dxfId="0">
      <formula>AND(IF($Q126=3,1,IF($Q126=4,1,0)),IF($F126&lt;=85,1,0))</formula>
    </cfRule>
  </conditionalFormatting>
  <conditionalFormatting sqref="AI126">
    <cfRule type="expression" priority="58" dxfId="3">
      <formula>AND(IF(OR($Q126=1,$Q126=2),1,0),IF($X126&lt;=20,1,0))</formula>
    </cfRule>
    <cfRule type="expression" priority="59" dxfId="2">
      <formula>AND(IF($Q126=2,1,0),IF($X126&lt;30,1,0))</formula>
    </cfRule>
    <cfRule type="expression" priority="60" dxfId="1">
      <formula>AND(IF($Q126=3,1,0),IF($X126&lt;30,1,0))</formula>
    </cfRule>
    <cfRule type="expression" priority="61" dxfId="0">
      <formula>AND(IF($Q126=3,1,IF($Q126=4,1,0)),IF($F126&lt;=85,1,0))</formula>
    </cfRule>
  </conditionalFormatting>
  <conditionalFormatting sqref="AV127">
    <cfRule type="expression" priority="56" dxfId="19">
      <formula>AV127="X"</formula>
    </cfRule>
    <cfRule type="expression" priority="57" dxfId="18">
      <formula>AV127="후보"</formula>
    </cfRule>
  </conditionalFormatting>
  <conditionalFormatting sqref="AC12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7">
    <cfRule type="expression" priority="47" dxfId="3">
      <formula>AND(IF(OR($Q127=1,$Q127=2),1,0),IF($X127&lt;=20,1,0))</formula>
    </cfRule>
    <cfRule type="expression" priority="48" dxfId="2">
      <formula>AND(IF($Q127=2,1,0),IF($X127&lt;30,1,0))</formula>
    </cfRule>
    <cfRule type="expression" priority="49" dxfId="1">
      <formula>AND(IF($Q127=3,1,0),IF($X127&lt;30,1,0))</formula>
    </cfRule>
    <cfRule type="expression" priority="50" dxfId="0">
      <formula>AND(IF($Q127=3,1,IF($Q127=4,1,0)),IF($F127&lt;=85,1,0))</formula>
    </cfRule>
  </conditionalFormatting>
  <conditionalFormatting sqref="X127">
    <cfRule type="expression" priority="43" dxfId="3">
      <formula>AND(IF(OR($Q127=1,$Q127=2),1,0),IF($X127&lt;=20,1,0))</formula>
    </cfRule>
    <cfRule type="expression" priority="44" dxfId="2">
      <formula>AND(IF($Q127=2,1,0),IF($X127&lt;30,1,0))</formula>
    </cfRule>
    <cfRule type="expression" priority="45" dxfId="1">
      <formula>AND(IF($Q127=3,1,0),IF($X127&lt;30,1,0))</formula>
    </cfRule>
    <cfRule type="expression" priority="46" dxfId="0">
      <formula>AND(IF($Q127=3,1,IF($Q127=4,1,0)),IF($F127&lt;=85,1,0))</formula>
    </cfRule>
  </conditionalFormatting>
  <conditionalFormatting sqref="AI127">
    <cfRule type="expression" priority="39" dxfId="3">
      <formula>AND(IF(OR($Q127=1,$Q127=2),1,0),IF($X127&lt;=20,1,0))</formula>
    </cfRule>
    <cfRule type="expression" priority="40" dxfId="2">
      <formula>AND(IF($Q127=2,1,0),IF($X127&lt;30,1,0))</formula>
    </cfRule>
    <cfRule type="expression" priority="41" dxfId="1">
      <formula>AND(IF($Q127=3,1,0),IF($X127&lt;30,1,0))</formula>
    </cfRule>
    <cfRule type="expression" priority="42" dxfId="0">
      <formula>AND(IF($Q127=3,1,IF($Q127=4,1,0)),IF($F127&lt;=85,1,0))</formula>
    </cfRule>
  </conditionalFormatting>
  <conditionalFormatting sqref="AV128">
    <cfRule type="expression" priority="37" dxfId="19">
      <formula>AV128="X"</formula>
    </cfRule>
    <cfRule type="expression" priority="38" dxfId="18">
      <formula>AV128="후보"</formula>
    </cfRule>
  </conditionalFormatting>
  <conditionalFormatting sqref="AC12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8">
    <cfRule type="expression" priority="28" dxfId="3">
      <formula>AND(IF(OR($Q128=1,$Q128=2),1,0),IF($X128&lt;=20,1,0))</formula>
    </cfRule>
    <cfRule type="expression" priority="29" dxfId="2">
      <formula>AND(IF($Q128=2,1,0),IF($X128&lt;30,1,0))</formula>
    </cfRule>
    <cfRule type="expression" priority="30" dxfId="1">
      <formula>AND(IF($Q128=3,1,0),IF($X128&lt;30,1,0))</formula>
    </cfRule>
    <cfRule type="expression" priority="31" dxfId="0">
      <formula>AND(IF($Q128=3,1,IF($Q128=4,1,0)),IF($F128&lt;=85,1,0))</formula>
    </cfRule>
  </conditionalFormatting>
  <conditionalFormatting sqref="X128">
    <cfRule type="expression" priority="24" dxfId="3">
      <formula>AND(IF(OR($Q128=1,$Q128=2),1,0),IF($X128&lt;=20,1,0))</formula>
    </cfRule>
    <cfRule type="expression" priority="25" dxfId="2">
      <formula>AND(IF($Q128=2,1,0),IF($X128&lt;30,1,0))</formula>
    </cfRule>
    <cfRule type="expression" priority="26" dxfId="1">
      <formula>AND(IF($Q128=3,1,0),IF($X128&lt;30,1,0))</formula>
    </cfRule>
    <cfRule type="expression" priority="27" dxfId="0">
      <formula>AND(IF($Q128=3,1,IF($Q128=4,1,0)),IF($F128&lt;=85,1,0))</formula>
    </cfRule>
  </conditionalFormatting>
  <conditionalFormatting sqref="AI128">
    <cfRule type="expression" priority="20" dxfId="3">
      <formula>AND(IF(OR($Q128=1,$Q128=2),1,0),IF($X128&lt;=20,1,0))</formula>
    </cfRule>
    <cfRule type="expression" priority="21" dxfId="2">
      <formula>AND(IF($Q128=2,1,0),IF($X128&lt;30,1,0))</formula>
    </cfRule>
    <cfRule type="expression" priority="22" dxfId="1">
      <formula>AND(IF($Q128=3,1,0),IF($X128&lt;30,1,0))</formula>
    </cfRule>
    <cfRule type="expression" priority="23" dxfId="0">
      <formula>AND(IF($Q128=3,1,IF($Q128=4,1,0)),IF($F128&lt;=85,1,0))</formula>
    </cfRule>
  </conditionalFormatting>
  <conditionalFormatting sqref="AV129">
    <cfRule type="expression" priority="18" dxfId="19">
      <formula>AV129="X"</formula>
    </cfRule>
    <cfRule type="expression" priority="19" dxfId="18">
      <formula>AV129="후보"</formula>
    </cfRule>
  </conditionalFormatting>
  <conditionalFormatting sqref="AC12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9">
    <cfRule type="expression" priority="9" dxfId="3">
      <formula>AND(IF(OR($Q129=1,$Q129=2),1,0),IF($X129&lt;=20,1,0))</formula>
    </cfRule>
    <cfRule type="expression" priority="10" dxfId="2">
      <formula>AND(IF($Q129=2,1,0),IF($X129&lt;30,1,0))</formula>
    </cfRule>
    <cfRule type="expression" priority="11" dxfId="1">
      <formula>AND(IF($Q129=3,1,0),IF($X129&lt;30,1,0))</formula>
    </cfRule>
    <cfRule type="expression" priority="12" dxfId="0">
      <formula>AND(IF($Q129=3,1,IF($Q129=4,1,0)),IF($F129&lt;=85,1,0))</formula>
    </cfRule>
  </conditionalFormatting>
  <conditionalFormatting sqref="X129">
    <cfRule type="expression" priority="5" dxfId="3">
      <formula>AND(IF(OR($Q129=1,$Q129=2),1,0),IF($X129&lt;=20,1,0))</formula>
    </cfRule>
    <cfRule type="expression" priority="6" dxfId="2">
      <formula>AND(IF($Q129=2,1,0),IF($X129&lt;30,1,0))</formula>
    </cfRule>
    <cfRule type="expression" priority="7" dxfId="1">
      <formula>AND(IF($Q129=3,1,0),IF($X129&lt;30,1,0))</formula>
    </cfRule>
    <cfRule type="expression" priority="8" dxfId="0">
      <formula>AND(IF($Q129=3,1,IF($Q129=4,1,0)),IF($F129&lt;=85,1,0))</formula>
    </cfRule>
  </conditionalFormatting>
  <conditionalFormatting sqref="AI129">
    <cfRule type="expression" priority="1" dxfId="3">
      <formula>AND(IF(OR($Q129=1,$Q129=2),1,0),IF($X129&lt;=20,1,0))</formula>
    </cfRule>
    <cfRule type="expression" priority="2" dxfId="2">
      <formula>AND(IF($Q129=2,1,0),IF($X129&lt;30,1,0))</formula>
    </cfRule>
    <cfRule type="expression" priority="3" dxfId="1">
      <formula>AND(IF($Q129=3,1,0),IF($X129&lt;30,1,0))</formula>
    </cfRule>
    <cfRule type="expression" priority="4" dxfId="0">
      <formula>AND(IF($Q129=3,1,IF($Q129=4,1,0)),IF($F129&lt;=85,1,0))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봉명동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초원</t>
        </is>
      </c>
      <c r="B6" s="16" t="inlineStr">
        <is>
          <t>'92.12.</t>
        </is>
      </c>
      <c r="C6" s="164" t="n">
        <v>232</v>
      </c>
      <c r="D6" s="161" t="n">
        <v>71.5</v>
      </c>
      <c r="E6" s="163" t="n">
        <v>22</v>
      </c>
      <c r="F6" s="161" t="n">
        <v>49.9</v>
      </c>
      <c r="G6" s="27" t="n">
        <v>15</v>
      </c>
      <c r="H6" s="164" t="n">
        <v>232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n">
        <v>71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두진하트리움</t>
        </is>
      </c>
      <c r="B8" s="16" t="inlineStr">
        <is>
          <t>'03.05.</t>
        </is>
      </c>
      <c r="C8" s="164" t="n">
        <v>204</v>
      </c>
      <c r="D8" s="161" t="n">
        <v>104.6</v>
      </c>
      <c r="E8" s="163" t="n">
        <v>32</v>
      </c>
      <c r="F8" s="161" t="n">
        <v>84.8</v>
      </c>
      <c r="G8" s="27" t="n">
        <v>26</v>
      </c>
      <c r="H8" s="164" t="n">
        <v>200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104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두진하트리움</t>
        </is>
      </c>
      <c r="B9" s="16" t="inlineStr">
        <is>
          <t>'03.05.</t>
        </is>
      </c>
      <c r="C9" s="164" t="n">
        <v>204</v>
      </c>
      <c r="D9" s="161" t="n">
        <v>168.9</v>
      </c>
      <c r="E9" s="163" t="n">
        <v>51</v>
      </c>
      <c r="F9" s="161" t="n">
        <v>136.5</v>
      </c>
      <c r="G9" s="27" t="n">
        <v>41</v>
      </c>
      <c r="H9" s="164" t="n">
        <v>4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168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봉명세원</t>
        </is>
      </c>
      <c r="B11" s="16" t="inlineStr">
        <is>
          <t>'93.07.</t>
        </is>
      </c>
      <c r="C11" s="164" t="n">
        <v>276</v>
      </c>
      <c r="D11" s="161" t="n">
        <v>82.59999999999999</v>
      </c>
      <c r="E11" s="163" t="n">
        <v>25</v>
      </c>
      <c r="F11" s="161" t="n">
        <v>66.7</v>
      </c>
      <c r="G11" s="27" t="n">
        <v>20</v>
      </c>
      <c r="H11" s="164" t="n">
        <v>90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82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봉명세원</t>
        </is>
      </c>
      <c r="B12" s="16" t="inlineStr">
        <is>
          <t>'93.07.</t>
        </is>
      </c>
      <c r="C12" s="164" t="n">
        <v>276</v>
      </c>
      <c r="D12" s="161" t="n">
        <v>104.9</v>
      </c>
      <c r="E12" s="163" t="n">
        <v>32</v>
      </c>
      <c r="F12" s="161" t="n">
        <v>85</v>
      </c>
      <c r="G12" s="27" t="n">
        <v>26</v>
      </c>
      <c r="H12" s="164" t="n">
        <v>138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104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봉명세원</t>
        </is>
      </c>
      <c r="B13" s="16" t="inlineStr">
        <is>
          <t>'93.07.</t>
        </is>
      </c>
      <c r="C13" s="164" t="n">
        <v>276</v>
      </c>
      <c r="D13" s="161" t="n">
        <v>144.7</v>
      </c>
      <c r="E13" s="163" t="n">
        <v>44</v>
      </c>
      <c r="F13" s="161" t="n">
        <v>124</v>
      </c>
      <c r="G13" s="27" t="n">
        <v>38</v>
      </c>
      <c r="H13" s="164" t="n">
        <v>48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144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봉명아이파크</t>
        </is>
      </c>
      <c r="B15" s="16" t="inlineStr">
        <is>
          <t>'05.03.</t>
        </is>
      </c>
      <c r="C15" s="164" t="n">
        <v>1222</v>
      </c>
      <c r="D15" s="161" t="n">
        <v>97.5</v>
      </c>
      <c r="E15" s="163" t="n">
        <v>30</v>
      </c>
      <c r="F15" s="161" t="n">
        <v>74.3</v>
      </c>
      <c r="G15" s="27" t="n">
        <v>22</v>
      </c>
      <c r="H15" s="164" t="n">
        <v>30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봉명아이파크</t>
        </is>
      </c>
      <c r="B16" s="16" t="inlineStr">
        <is>
          <t>'05.03.</t>
        </is>
      </c>
      <c r="C16" s="164" t="n">
        <v>1222</v>
      </c>
      <c r="D16" s="161" t="n">
        <v>113.7</v>
      </c>
      <c r="E16" s="163" t="n">
        <v>34</v>
      </c>
      <c r="F16" s="161" t="n">
        <v>84.90000000000001</v>
      </c>
      <c r="G16" s="27" t="n">
        <v>26</v>
      </c>
      <c r="H16" s="164" t="n">
        <v>110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113B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봉명아이파크</t>
        </is>
      </c>
      <c r="B17" s="16" t="inlineStr">
        <is>
          <t>'05.03.</t>
        </is>
      </c>
      <c r="C17" s="164" t="n">
        <v>1222</v>
      </c>
      <c r="D17" s="161" t="n">
        <v>114.8</v>
      </c>
      <c r="E17" s="163" t="n">
        <v>35</v>
      </c>
      <c r="F17" s="161" t="n">
        <v>84.90000000000001</v>
      </c>
      <c r="G17" s="27" t="n">
        <v>26</v>
      </c>
      <c r="H17" s="164" t="n">
        <v>420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봉명아이파크</t>
        </is>
      </c>
      <c r="B18" s="16" t="inlineStr">
        <is>
          <t>'05.03.</t>
        </is>
      </c>
      <c r="C18" s="164" t="n">
        <v>1222</v>
      </c>
      <c r="D18" s="161" t="n">
        <v>114.6</v>
      </c>
      <c r="E18" s="163" t="n">
        <v>35</v>
      </c>
      <c r="F18" s="161" t="n">
        <v>84.90000000000001</v>
      </c>
      <c r="G18" s="27" t="n">
        <v>26</v>
      </c>
      <c r="H18" s="164" t="n">
        <v>50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114C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봉명아이파크</t>
        </is>
      </c>
      <c r="B19" s="16" t="inlineStr">
        <is>
          <t>'05.03.</t>
        </is>
      </c>
      <c r="C19" s="164" t="n">
        <v>1222</v>
      </c>
      <c r="D19" s="161" t="n">
        <v>129.3</v>
      </c>
      <c r="E19" s="163" t="n">
        <v>39</v>
      </c>
      <c r="F19" s="161" t="n">
        <v>106.1</v>
      </c>
      <c r="G19" s="27" t="n">
        <v>32</v>
      </c>
      <c r="H19" s="164" t="n">
        <v>330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129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봉명아이파크</t>
        </is>
      </c>
      <c r="B20" s="16" t="inlineStr">
        <is>
          <t>'05.03.</t>
        </is>
      </c>
      <c r="C20" s="164" t="n">
        <v>1222</v>
      </c>
      <c r="D20" s="161" t="n">
        <v>134.3</v>
      </c>
      <c r="E20" s="163" t="n">
        <v>41</v>
      </c>
      <c r="F20" s="161" t="n">
        <v>112.6</v>
      </c>
      <c r="G20" s="27" t="n">
        <v>34</v>
      </c>
      <c r="H20" s="164" t="n">
        <v>90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134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봉명아이파크</t>
        </is>
      </c>
      <c r="B21" s="16" t="inlineStr">
        <is>
          <t>'05.03.</t>
        </is>
      </c>
      <c r="C21" s="164" t="n">
        <v>1222</v>
      </c>
      <c r="D21" s="161" t="n">
        <v>151</v>
      </c>
      <c r="E21" s="163" t="n">
        <v>46</v>
      </c>
      <c r="F21" s="161" t="n">
        <v>127.6</v>
      </c>
      <c r="G21" s="27" t="n">
        <v>39</v>
      </c>
      <c r="H21" s="164" t="n">
        <v>104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150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봉명아이파크</t>
        </is>
      </c>
      <c r="B22" s="16" t="inlineStr">
        <is>
          <t>'05.03.</t>
        </is>
      </c>
      <c r="C22" s="164" t="n">
        <v>1222</v>
      </c>
      <c r="D22" s="161" t="n">
        <v>180.1</v>
      </c>
      <c r="E22" s="163" t="n">
        <v>54</v>
      </c>
      <c r="F22" s="161" t="n">
        <v>150.8</v>
      </c>
      <c r="G22" s="27" t="n">
        <v>46</v>
      </c>
      <c r="H22" s="164" t="n">
        <v>74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180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봉명아이파크</t>
        </is>
      </c>
      <c r="B23" s="16" t="inlineStr">
        <is>
          <t>'05.03.</t>
        </is>
      </c>
      <c r="C23" s="164" t="n">
        <v>1222</v>
      </c>
      <c r="D23" s="161" t="n">
        <v>259.8</v>
      </c>
      <c r="E23" s="163" t="n">
        <v>79</v>
      </c>
      <c r="F23" s="161" t="n">
        <v>219</v>
      </c>
      <c r="G23" s="27" t="n">
        <v>66</v>
      </c>
      <c r="H23" s="164" t="n">
        <v>8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5</v>
      </c>
      <c r="R23" s="113" t="n">
        <v>4</v>
      </c>
      <c r="S23" s="113" t="inlineStr">
        <is>
          <t>계</t>
        </is>
      </c>
      <c r="T23" s="8" t="n">
        <v>259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봉명아이파크</t>
        </is>
      </c>
      <c r="B24" s="16" t="inlineStr">
        <is>
          <t>'05.03.</t>
        </is>
      </c>
      <c r="C24" s="164" t="n">
        <v>1222</v>
      </c>
      <c r="D24" s="161" t="n">
        <v>285.5</v>
      </c>
      <c r="E24" s="163" t="n">
        <v>86</v>
      </c>
      <c r="F24" s="161" t="n">
        <v>239.4</v>
      </c>
      <c r="G24" s="27" t="n">
        <v>72</v>
      </c>
      <c r="H24" s="164" t="n">
        <v>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5</v>
      </c>
      <c r="R24" s="113" t="n">
        <v>3</v>
      </c>
      <c r="S24" s="113" t="inlineStr">
        <is>
          <t>계</t>
        </is>
      </c>
      <c r="T24" s="8" t="n">
        <v>285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푸른</t>
        </is>
      </c>
      <c r="B26" s="16" t="inlineStr">
        <is>
          <t>'94.12.</t>
        </is>
      </c>
      <c r="C26" s="164" t="n">
        <v>603</v>
      </c>
      <c r="D26" s="161" t="n">
        <v>63.7</v>
      </c>
      <c r="E26" s="163" t="n">
        <v>19</v>
      </c>
      <c r="F26" s="161" t="n">
        <v>44.1</v>
      </c>
      <c r="G26" s="27" t="n">
        <v>13</v>
      </c>
      <c r="H26" s="164" t="n">
        <v>603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2</v>
      </c>
      <c r="R26" s="113" t="n">
        <v>1</v>
      </c>
      <c r="S26" s="113" t="inlineStr">
        <is>
          <t>복</t>
        </is>
      </c>
      <c r="T26" s="8" t="n">
        <v>63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주공1단지</t>
        </is>
      </c>
      <c r="B28" s="16" t="inlineStr">
        <is>
          <t>'83.12.</t>
        </is>
      </c>
      <c r="C28" s="164" t="n">
        <v>574</v>
      </c>
      <c r="D28" s="161" t="n">
        <v>40.3</v>
      </c>
      <c r="E28" s="163" t="n">
        <v>12</v>
      </c>
      <c r="F28" s="161" t="n">
        <v>40.3</v>
      </c>
      <c r="G28" s="27" t="n">
        <v>12</v>
      </c>
      <c r="H28" s="164" t="n">
        <v>86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40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주공1단지</t>
        </is>
      </c>
      <c r="B29" s="16" t="inlineStr">
        <is>
          <t>'83.12.</t>
        </is>
      </c>
      <c r="C29" s="164" t="n">
        <v>574</v>
      </c>
      <c r="D29" s="161" t="n">
        <v>49.9</v>
      </c>
      <c r="E29" s="163" t="n">
        <v>15</v>
      </c>
      <c r="F29" s="161" t="n">
        <v>46.8</v>
      </c>
      <c r="G29" s="27" t="n">
        <v>14</v>
      </c>
      <c r="H29" s="164" t="n">
        <v>44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inlineStr">
        <is>
          <t>49A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주공1단지</t>
        </is>
      </c>
      <c r="B30" s="16" t="inlineStr">
        <is>
          <t>'83.12.</t>
        </is>
      </c>
      <c r="C30" s="164" t="n">
        <v>574</v>
      </c>
      <c r="D30" s="161" t="n">
        <v>50.6</v>
      </c>
      <c r="E30" s="163" t="n">
        <v>15</v>
      </c>
      <c r="F30" s="161" t="n">
        <v>50.6</v>
      </c>
      <c r="G30" s="27" t="n">
        <v>15</v>
      </c>
      <c r="H30" s="164" t="n">
        <v>44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inlineStr">
        <is>
          <t>50D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주공1단지</t>
        </is>
      </c>
      <c r="B31" s="16" t="inlineStr">
        <is>
          <t>'83.12.</t>
        </is>
      </c>
      <c r="C31" s="164" t="n">
        <v>574</v>
      </c>
      <c r="D31" s="161" t="n">
        <v>50.7</v>
      </c>
      <c r="E31" s="163" t="n">
        <v>15</v>
      </c>
      <c r="F31" s="161" t="n">
        <v>50.7</v>
      </c>
      <c r="G31" s="27" t="n">
        <v>15</v>
      </c>
      <c r="H31" s="164" t="n">
        <v>40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2</v>
      </c>
      <c r="R31" s="113" t="n">
        <v>1</v>
      </c>
      <c r="S31" s="113" t="inlineStr">
        <is>
          <t>계</t>
        </is>
      </c>
      <c r="T31" s="8" t="inlineStr">
        <is>
          <t>50E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주공1단지</t>
        </is>
      </c>
      <c r="B32" s="16" t="inlineStr">
        <is>
          <t>'83.12.</t>
        </is>
      </c>
      <c r="C32" s="164" t="n">
        <v>574</v>
      </c>
      <c r="D32" s="161" t="n">
        <v>52.4</v>
      </c>
      <c r="E32" s="163" t="n">
        <v>16</v>
      </c>
      <c r="F32" s="161" t="n">
        <v>47</v>
      </c>
      <c r="G32" s="27" t="n">
        <v>14</v>
      </c>
      <c r="H32" s="164" t="n">
        <v>90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계</t>
        </is>
      </c>
      <c r="T32" s="8" t="inlineStr">
        <is>
          <t>52A1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주공1단지</t>
        </is>
      </c>
      <c r="B33" s="16" t="inlineStr">
        <is>
          <t>'83.12.</t>
        </is>
      </c>
      <c r="C33" s="164" t="n">
        <v>574</v>
      </c>
      <c r="D33" s="161" t="n">
        <v>52.7</v>
      </c>
      <c r="E33" s="163" t="n">
        <v>16</v>
      </c>
      <c r="F33" s="161" t="n">
        <v>47.3</v>
      </c>
      <c r="G33" s="27" t="n">
        <v>14</v>
      </c>
      <c r="H33" s="164" t="n">
        <v>90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inlineStr">
        <is>
          <t>52B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주공1단지</t>
        </is>
      </c>
      <c r="B34" s="16" t="inlineStr">
        <is>
          <t>'83.12.</t>
        </is>
      </c>
      <c r="C34" s="164" t="n">
        <v>574</v>
      </c>
      <c r="D34" s="161" t="n">
        <v>52.7</v>
      </c>
      <c r="E34" s="163" t="n">
        <v>16</v>
      </c>
      <c r="F34" s="161" t="n">
        <v>48.7</v>
      </c>
      <c r="G34" s="27" t="n">
        <v>15</v>
      </c>
      <c r="H34" s="164" t="n">
        <v>40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inlineStr">
        <is>
          <t>52C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주공1단지</t>
        </is>
      </c>
      <c r="B35" s="16" t="inlineStr">
        <is>
          <t>'83.12.</t>
        </is>
      </c>
      <c r="C35" s="164" t="n">
        <v>574</v>
      </c>
      <c r="D35" s="161" t="n">
        <v>59.5</v>
      </c>
      <c r="E35" s="163" t="n">
        <v>18</v>
      </c>
      <c r="F35" s="161" t="n">
        <v>54.1</v>
      </c>
      <c r="G35" s="27" t="n">
        <v>16</v>
      </c>
      <c r="H35" s="164" t="n">
        <v>80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inlineStr">
        <is>
          <t>59B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주공1단지</t>
        </is>
      </c>
      <c r="B36" s="16" t="inlineStr">
        <is>
          <t>'83.12.</t>
        </is>
      </c>
      <c r="C36" s="164" t="n">
        <v>574</v>
      </c>
      <c r="D36" s="161" t="n">
        <v>59.1</v>
      </c>
      <c r="E36" s="163" t="n">
        <v>18</v>
      </c>
      <c r="F36" s="161" t="n">
        <v>53.7</v>
      </c>
      <c r="G36" s="27" t="n">
        <v>16</v>
      </c>
      <c r="H36" s="164" t="n">
        <v>40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inlineStr">
        <is>
          <t>59A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주공1단지</t>
        </is>
      </c>
      <c r="B37" s="16" t="inlineStr">
        <is>
          <t>'83.12.</t>
        </is>
      </c>
      <c r="C37" s="164" t="n">
        <v>574</v>
      </c>
      <c r="D37" s="161" t="n">
        <v>59.4</v>
      </c>
      <c r="E37" s="163" t="n">
        <v>18</v>
      </c>
      <c r="F37" s="161" t="n">
        <v>54</v>
      </c>
      <c r="G37" s="27" t="n">
        <v>16</v>
      </c>
      <c r="H37" s="164" t="n">
        <v>20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inlineStr">
        <is>
          <t>59C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백봉</t>
        </is>
      </c>
      <c r="B39" s="16" t="inlineStr">
        <is>
          <t>'92.03.</t>
        </is>
      </c>
      <c r="C39" s="164" t="n">
        <v>240</v>
      </c>
      <c r="D39" s="161" t="n">
        <v>54.7</v>
      </c>
      <c r="E39" s="163" t="n">
        <v>17</v>
      </c>
      <c r="F39" s="161" t="n">
        <v>48.5</v>
      </c>
      <c r="G39" s="27" t="n">
        <v>15</v>
      </c>
      <c r="H39" s="164" t="n">
        <v>240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n">
        <v>54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신라</t>
        </is>
      </c>
      <c r="B41" s="16" t="inlineStr">
        <is>
          <t>'85.11.</t>
        </is>
      </c>
      <c r="C41" s="164" t="n">
        <v>277</v>
      </c>
      <c r="D41" s="161" t="n">
        <v>45.4</v>
      </c>
      <c r="E41" s="163" t="n">
        <v>14</v>
      </c>
      <c r="F41" s="161" t="n">
        <v>29.3</v>
      </c>
      <c r="G41" s="27" t="n">
        <v>9</v>
      </c>
      <c r="H41" s="164" t="n">
        <v>67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n">
        <v>45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신라</t>
        </is>
      </c>
      <c r="B42" s="16" t="inlineStr">
        <is>
          <t>'85.11.</t>
        </is>
      </c>
      <c r="C42" s="164" t="n">
        <v>277</v>
      </c>
      <c r="D42" s="161" t="n">
        <v>53.1</v>
      </c>
      <c r="E42" s="163" t="n">
        <v>16</v>
      </c>
      <c r="F42" s="161" t="n">
        <v>34.2</v>
      </c>
      <c r="G42" s="27" t="n">
        <v>10</v>
      </c>
      <c r="H42" s="164" t="n">
        <v>30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53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신라</t>
        </is>
      </c>
      <c r="B43" s="16" t="inlineStr">
        <is>
          <t>'85.11.</t>
        </is>
      </c>
      <c r="C43" s="164" t="n">
        <v>277</v>
      </c>
      <c r="D43" s="161" t="n">
        <v>81.5</v>
      </c>
      <c r="E43" s="163" t="n">
        <v>25</v>
      </c>
      <c r="F43" s="161" t="n">
        <v>65.8</v>
      </c>
      <c r="G43" s="27" t="n">
        <v>20</v>
      </c>
      <c r="H43" s="164" t="n">
        <v>150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inlineStr">
        <is>
          <t>81A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신라</t>
        </is>
      </c>
      <c r="B44" s="16" t="inlineStr">
        <is>
          <t>'85.11.</t>
        </is>
      </c>
      <c r="C44" s="164" t="n">
        <v>277</v>
      </c>
      <c r="D44" s="161" t="n">
        <v>84.2</v>
      </c>
      <c r="E44" s="163" t="n">
        <v>25</v>
      </c>
      <c r="F44" s="161" t="n">
        <v>66.90000000000001</v>
      </c>
      <c r="G44" s="27" t="n">
        <v>20</v>
      </c>
      <c r="H44" s="164" t="n">
        <v>30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1</v>
      </c>
      <c r="S44" s="113" t="inlineStr">
        <is>
          <t>계</t>
        </is>
      </c>
      <c r="T44" s="8" t="inlineStr">
        <is>
          <t>84B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주공2단지</t>
        </is>
      </c>
      <c r="B46" s="16" t="inlineStr">
        <is>
          <t>'85.12.</t>
        </is>
      </c>
      <c r="C46" s="164" t="n">
        <v>556</v>
      </c>
      <c r="D46" s="161" t="n">
        <v>45.1</v>
      </c>
      <c r="E46" s="163" t="n">
        <v>14</v>
      </c>
      <c r="F46" s="161" t="n">
        <v>39.7</v>
      </c>
      <c r="G46" s="27" t="n">
        <v>12</v>
      </c>
      <c r="H46" s="164" t="n">
        <v>90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45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주공2단지</t>
        </is>
      </c>
      <c r="B47" s="16" t="inlineStr">
        <is>
          <t>'85.12.</t>
        </is>
      </c>
      <c r="C47" s="164" t="n">
        <v>556</v>
      </c>
      <c r="D47" s="161" t="n">
        <v>45.6</v>
      </c>
      <c r="E47" s="163" t="n">
        <v>14</v>
      </c>
      <c r="F47" s="161" t="n">
        <v>39.8</v>
      </c>
      <c r="G47" s="27" t="n">
        <v>12</v>
      </c>
      <c r="H47" s="164" t="n">
        <v>1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계</t>
        </is>
      </c>
      <c r="T47" s="8" t="inlineStr">
        <is>
          <t>45N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주공2단지</t>
        </is>
      </c>
      <c r="B48" s="16" t="inlineStr">
        <is>
          <t>'85.12.</t>
        </is>
      </c>
      <c r="C48" s="164" t="n">
        <v>556</v>
      </c>
      <c r="D48" s="161" t="n">
        <v>52.3</v>
      </c>
      <c r="E48" s="163" t="n">
        <v>16</v>
      </c>
      <c r="F48" s="161" t="n">
        <v>46.8</v>
      </c>
      <c r="G48" s="27" t="n">
        <v>14</v>
      </c>
      <c r="H48" s="164" t="n">
        <v>48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2</v>
      </c>
      <c r="R48" s="113" t="n">
        <v>1</v>
      </c>
      <c r="S48" s="113" t="inlineStr">
        <is>
          <t>계</t>
        </is>
      </c>
      <c r="T48" s="8" t="inlineStr">
        <is>
          <t>52B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주공2단지</t>
        </is>
      </c>
      <c r="B49" s="16" t="inlineStr">
        <is>
          <t>'85.12.</t>
        </is>
      </c>
      <c r="C49" s="164" t="n">
        <v>556</v>
      </c>
      <c r="D49" s="161" t="n">
        <v>52.3</v>
      </c>
      <c r="E49" s="163" t="n">
        <v>16</v>
      </c>
      <c r="F49" s="161" t="n">
        <v>46.9</v>
      </c>
      <c r="G49" s="27" t="n">
        <v>14</v>
      </c>
      <c r="H49" s="164" t="n">
        <v>36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1</v>
      </c>
      <c r="S49" s="113" t="inlineStr">
        <is>
          <t>계</t>
        </is>
      </c>
      <c r="T49" s="8" t="inlineStr">
        <is>
          <t>52C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주공2단지</t>
        </is>
      </c>
      <c r="B50" s="16" t="inlineStr">
        <is>
          <t>'85.12.</t>
        </is>
      </c>
      <c r="C50" s="164" t="n">
        <v>556</v>
      </c>
      <c r="D50" s="161" t="n">
        <v>52.5</v>
      </c>
      <c r="E50" s="163" t="n">
        <v>16</v>
      </c>
      <c r="F50" s="161" t="n">
        <v>52.5</v>
      </c>
      <c r="G50" s="27" t="n">
        <v>16</v>
      </c>
      <c r="H50" s="164" t="n">
        <v>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inlineStr">
        <is>
          <t>52S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주공2단지</t>
        </is>
      </c>
      <c r="B51" s="16" t="inlineStr">
        <is>
          <t>'85.12.</t>
        </is>
      </c>
      <c r="C51" s="164" t="n">
        <v>556</v>
      </c>
      <c r="D51" s="161" t="n">
        <v>53.1</v>
      </c>
      <c r="E51" s="163" t="n">
        <v>16</v>
      </c>
      <c r="F51" s="161" t="n">
        <v>50</v>
      </c>
      <c r="G51" s="27" t="n">
        <v>15</v>
      </c>
      <c r="H51" s="164" t="n">
        <v>8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2</v>
      </c>
      <c r="R51" s="113" t="n">
        <v>1</v>
      </c>
      <c r="S51" s="113" t="inlineStr">
        <is>
          <t>계</t>
        </is>
      </c>
      <c r="T51" s="8" t="inlineStr">
        <is>
          <t>53N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주공2단지</t>
        </is>
      </c>
      <c r="B52" s="16" t="inlineStr">
        <is>
          <t>'85.12.</t>
        </is>
      </c>
      <c r="C52" s="164" t="n">
        <v>556</v>
      </c>
      <c r="D52" s="161" t="n">
        <v>53.6</v>
      </c>
      <c r="E52" s="163" t="n">
        <v>16</v>
      </c>
      <c r="F52" s="161" t="n">
        <v>46.8</v>
      </c>
      <c r="G52" s="27" t="n">
        <v>14</v>
      </c>
      <c r="H52" s="164" t="n">
        <v>3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2</v>
      </c>
      <c r="R52" s="113" t="n">
        <v>1</v>
      </c>
      <c r="S52" s="113" t="inlineStr">
        <is>
          <t>계</t>
        </is>
      </c>
      <c r="T52" s="8" t="inlineStr">
        <is>
          <t>53A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주공2단지</t>
        </is>
      </c>
      <c r="B53" s="16" t="inlineStr">
        <is>
          <t>'85.12.</t>
        </is>
      </c>
      <c r="C53" s="164" t="n">
        <v>556</v>
      </c>
      <c r="D53" s="161" t="n">
        <v>53.8</v>
      </c>
      <c r="E53" s="163" t="n">
        <v>16</v>
      </c>
      <c r="F53" s="161" t="n">
        <v>47</v>
      </c>
      <c r="G53" s="27" t="n">
        <v>14</v>
      </c>
      <c r="H53" s="164" t="n">
        <v>2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2</v>
      </c>
      <c r="R53" s="113" t="n">
        <v>1</v>
      </c>
      <c r="S53" s="113" t="inlineStr">
        <is>
          <t>계</t>
        </is>
      </c>
      <c r="T53" s="8" t="inlineStr">
        <is>
          <t>53D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주공2단지</t>
        </is>
      </c>
      <c r="B54" s="16" t="inlineStr">
        <is>
          <t>'85.12.</t>
        </is>
      </c>
      <c r="C54" s="164" t="n">
        <v>556</v>
      </c>
      <c r="D54" s="161" t="n">
        <v>58.9</v>
      </c>
      <c r="E54" s="163" t="n">
        <v>18</v>
      </c>
      <c r="F54" s="161" t="n">
        <v>53.9</v>
      </c>
      <c r="G54" s="27" t="n">
        <v>16</v>
      </c>
      <c r="H54" s="164" t="n">
        <v>198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2</v>
      </c>
      <c r="R54" s="113" t="n">
        <v>1</v>
      </c>
      <c r="S54" s="113" t="inlineStr">
        <is>
          <t>계</t>
        </is>
      </c>
      <c r="T54" s="8" t="n">
        <v>58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주공2단지</t>
        </is>
      </c>
      <c r="B55" s="16" t="inlineStr">
        <is>
          <t>'85.12.</t>
        </is>
      </c>
      <c r="C55" s="164" t="n">
        <v>556</v>
      </c>
      <c r="D55" s="161" t="n">
        <v>67.5</v>
      </c>
      <c r="E55" s="163" t="n">
        <v>20</v>
      </c>
      <c r="F55" s="161" t="n">
        <v>61.8</v>
      </c>
      <c r="G55" s="27" t="n">
        <v>19</v>
      </c>
      <c r="H55" s="164" t="n">
        <v>162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n">
        <v>67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39" dxfId="19">
      <formula>AV4="X"</formula>
    </cfRule>
    <cfRule type="expression" priority="840" dxfId="18">
      <formula>AV4="후보"</formula>
    </cfRule>
  </conditionalFormatting>
  <conditionalFormatting sqref="AC1:AC2 AC4:AC6 N4:N5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N1:N2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6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6">
    <cfRule type="expression" priority="828" dxfId="3">
      <formula>AND(IF(OR($Q6=1,$Q6=2),1,0),IF($X6&lt;=20,1,0))</formula>
    </cfRule>
    <cfRule type="expression" priority="829" dxfId="2">
      <formula>AND(IF($Q6=2,1,0),IF($X6&lt;30,1,0))</formula>
    </cfRule>
    <cfRule type="expression" priority="830" dxfId="1">
      <formula>AND(IF($Q6=3,1,0),IF($X6&lt;30,1,0))</formula>
    </cfRule>
    <cfRule type="expression" priority="831" dxfId="0">
      <formula>AND(IF($Q6=3,1,IF($Q6=4,1,0)),IF($F6&lt;=85,1,0))</formula>
    </cfRule>
  </conditionalFormatting>
  <conditionalFormatting sqref="X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AI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V7">
    <cfRule type="expression" priority="818" dxfId="19">
      <formula>AV7="X"</formula>
    </cfRule>
    <cfRule type="expression" priority="819" dxfId="18">
      <formula>AV7="후보"</formula>
    </cfRule>
  </conditionalFormatting>
  <conditionalFormatting sqref="AC7 N7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AV8">
    <cfRule type="expression" priority="813" dxfId="19">
      <formula>AV8="X"</formula>
    </cfRule>
    <cfRule type="expression" priority="814" dxfId="18">
      <formula>AV8="후보"</formula>
    </cfRule>
  </conditionalFormatting>
  <conditionalFormatting sqref="AC8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8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8">
    <cfRule type="expression" priority="804" dxfId="3">
      <formula>AND(IF(OR($Q8=1,$Q8=2),1,0),IF($X8&lt;=20,1,0))</formula>
    </cfRule>
    <cfRule type="expression" priority="805" dxfId="2">
      <formula>AND(IF($Q8=2,1,0),IF($X8&lt;30,1,0))</formula>
    </cfRule>
    <cfRule type="expression" priority="806" dxfId="1">
      <formula>AND(IF($Q8=3,1,0),IF($X8&lt;30,1,0))</formula>
    </cfRule>
    <cfRule type="expression" priority="807" dxfId="0">
      <formula>AND(IF($Q8=3,1,IF($Q8=4,1,0)),IF($F8&lt;=85,1,0))</formula>
    </cfRule>
  </conditionalFormatting>
  <conditionalFormatting sqref="X8">
    <cfRule type="expression" priority="800" dxfId="3">
      <formula>AND(IF(OR($Q8=1,$Q8=2),1,0),IF($X8&lt;=20,1,0))</formula>
    </cfRule>
    <cfRule type="expression" priority="801" dxfId="2">
      <formula>AND(IF($Q8=2,1,0),IF($X8&lt;30,1,0))</formula>
    </cfRule>
    <cfRule type="expression" priority="802" dxfId="1">
      <formula>AND(IF($Q8=3,1,0),IF($X8&lt;30,1,0))</formula>
    </cfRule>
    <cfRule type="expression" priority="803" dxfId="0">
      <formula>AND(IF($Q8=3,1,IF($Q8=4,1,0)),IF($F8&lt;=85,1,0))</formula>
    </cfRule>
  </conditionalFormatting>
  <conditionalFormatting sqref="AI8">
    <cfRule type="expression" priority="796" dxfId="3">
      <formula>AND(IF(OR($Q8=1,$Q8=2),1,0),IF($X8&lt;=20,1,0))</formula>
    </cfRule>
    <cfRule type="expression" priority="797" dxfId="2">
      <formula>AND(IF($Q8=2,1,0),IF($X8&lt;30,1,0))</formula>
    </cfRule>
    <cfRule type="expression" priority="798" dxfId="1">
      <formula>AND(IF($Q8=3,1,0),IF($X8&lt;30,1,0))</formula>
    </cfRule>
    <cfRule type="expression" priority="799" dxfId="0">
      <formula>AND(IF($Q8=3,1,IF($Q8=4,1,0)),IF($F8&lt;=85,1,0))</formula>
    </cfRule>
  </conditionalFormatting>
  <conditionalFormatting sqref="AV9">
    <cfRule type="expression" priority="794" dxfId="19">
      <formula>AV9="X"</formula>
    </cfRule>
    <cfRule type="expression" priority="795" dxfId="18">
      <formula>AV9="후보"</formula>
    </cfRule>
  </conditionalFormatting>
  <conditionalFormatting sqref="AC9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9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9">
    <cfRule type="expression" priority="785" dxfId="3">
      <formula>AND(IF(OR($Q9=1,$Q9=2),1,0),IF($X9&lt;=20,1,0))</formula>
    </cfRule>
    <cfRule type="expression" priority="786" dxfId="2">
      <formula>AND(IF($Q9=2,1,0),IF($X9&lt;30,1,0))</formula>
    </cfRule>
    <cfRule type="expression" priority="787" dxfId="1">
      <formula>AND(IF($Q9=3,1,0),IF($X9&lt;30,1,0))</formula>
    </cfRule>
    <cfRule type="expression" priority="788" dxfId="0">
      <formula>AND(IF($Q9=3,1,IF($Q9=4,1,0)),IF($F9&lt;=85,1,0))</formula>
    </cfRule>
  </conditionalFormatting>
  <conditionalFormatting sqref="X9">
    <cfRule type="expression" priority="781" dxfId="3">
      <formula>AND(IF(OR($Q9=1,$Q9=2),1,0),IF($X9&lt;=20,1,0))</formula>
    </cfRule>
    <cfRule type="expression" priority="782" dxfId="2">
      <formula>AND(IF($Q9=2,1,0),IF($X9&lt;30,1,0))</formula>
    </cfRule>
    <cfRule type="expression" priority="783" dxfId="1">
      <formula>AND(IF($Q9=3,1,0),IF($X9&lt;30,1,0))</formula>
    </cfRule>
    <cfRule type="expression" priority="784" dxfId="0">
      <formula>AND(IF($Q9=3,1,IF($Q9=4,1,0)),IF($F9&lt;=85,1,0))</formula>
    </cfRule>
  </conditionalFormatting>
  <conditionalFormatting sqref="AI9">
    <cfRule type="expression" priority="777" dxfId="3">
      <formula>AND(IF(OR($Q9=1,$Q9=2),1,0),IF($X9&lt;=20,1,0))</formula>
    </cfRule>
    <cfRule type="expression" priority="778" dxfId="2">
      <formula>AND(IF($Q9=2,1,0),IF($X9&lt;30,1,0))</formula>
    </cfRule>
    <cfRule type="expression" priority="779" dxfId="1">
      <formula>AND(IF($Q9=3,1,0),IF($X9&lt;30,1,0))</formula>
    </cfRule>
    <cfRule type="expression" priority="780" dxfId="0">
      <formula>AND(IF($Q9=3,1,IF($Q9=4,1,0)),IF($F9&lt;=85,1,0))</formula>
    </cfRule>
  </conditionalFormatting>
  <conditionalFormatting sqref="AV10">
    <cfRule type="expression" priority="775" dxfId="19">
      <formula>AV10="X"</formula>
    </cfRule>
    <cfRule type="expression" priority="776" dxfId="18">
      <formula>AV10="후보"</formula>
    </cfRule>
  </conditionalFormatting>
  <conditionalFormatting sqref="AC10 N10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AV11">
    <cfRule type="expression" priority="770" dxfId="19">
      <formula>AV11="X"</formula>
    </cfRule>
    <cfRule type="expression" priority="771" dxfId="18">
      <formula>AV11="후보"</formula>
    </cfRule>
  </conditionalFormatting>
  <conditionalFormatting sqref="AC11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1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1">
    <cfRule type="expression" priority="761" dxfId="3">
      <formula>AND(IF(OR($Q11=1,$Q11=2),1,0),IF($X11&lt;=20,1,0))</formula>
    </cfRule>
    <cfRule type="expression" priority="762" dxfId="2">
      <formula>AND(IF($Q11=2,1,0),IF($X11&lt;30,1,0))</formula>
    </cfRule>
    <cfRule type="expression" priority="763" dxfId="1">
      <formula>AND(IF($Q11=3,1,0),IF($X11&lt;30,1,0))</formula>
    </cfRule>
    <cfRule type="expression" priority="764" dxfId="0">
      <formula>AND(IF($Q11=3,1,IF($Q11=4,1,0)),IF($F11&lt;=85,1,0))</formula>
    </cfRule>
  </conditionalFormatting>
  <conditionalFormatting sqref="X11">
    <cfRule type="expression" priority="757" dxfId="3">
      <formula>AND(IF(OR($Q11=1,$Q11=2),1,0),IF($X11&lt;=20,1,0))</formula>
    </cfRule>
    <cfRule type="expression" priority="758" dxfId="2">
      <formula>AND(IF($Q11=2,1,0),IF($X11&lt;30,1,0))</formula>
    </cfRule>
    <cfRule type="expression" priority="759" dxfId="1">
      <formula>AND(IF($Q11=3,1,0),IF($X11&lt;30,1,0))</formula>
    </cfRule>
    <cfRule type="expression" priority="760" dxfId="0">
      <formula>AND(IF($Q11=3,1,IF($Q11=4,1,0)),IF($F11&lt;=85,1,0))</formula>
    </cfRule>
  </conditionalFormatting>
  <conditionalFormatting sqref="AI11">
    <cfRule type="expression" priority="753" dxfId="3">
      <formula>AND(IF(OR($Q11=1,$Q11=2),1,0),IF($X11&lt;=20,1,0))</formula>
    </cfRule>
    <cfRule type="expression" priority="754" dxfId="2">
      <formula>AND(IF($Q11=2,1,0),IF($X11&lt;30,1,0))</formula>
    </cfRule>
    <cfRule type="expression" priority="755" dxfId="1">
      <formula>AND(IF($Q11=3,1,0),IF($X11&lt;30,1,0))</formula>
    </cfRule>
    <cfRule type="expression" priority="756" dxfId="0">
      <formula>AND(IF($Q11=3,1,IF($Q11=4,1,0)),IF($F11&lt;=85,1,0))</formula>
    </cfRule>
  </conditionalFormatting>
  <conditionalFormatting sqref="AV12">
    <cfRule type="expression" priority="751" dxfId="19">
      <formula>AV12="X"</formula>
    </cfRule>
    <cfRule type="expression" priority="752" dxfId="18">
      <formula>AV12="후보"</formula>
    </cfRule>
  </conditionalFormatting>
  <conditionalFormatting sqref="AC12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2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19">
      <formula>AV13="X"</formula>
    </cfRule>
    <cfRule type="expression" priority="733" dxfId="18">
      <formula>AV13="후보"</formula>
    </cfRule>
  </conditionalFormatting>
  <conditionalFormatting sqref="AC13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3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19">
      <formula>AV14="X"</formula>
    </cfRule>
    <cfRule type="expression" priority="714" dxfId="18">
      <formula>AV14="후보"</formula>
    </cfRule>
  </conditionalFormatting>
  <conditionalFormatting sqref="AC14 N14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AV15">
    <cfRule type="expression" priority="708" dxfId="19">
      <formula>AV15="X"</formula>
    </cfRule>
    <cfRule type="expression" priority="709" dxfId="18">
      <formula>AV15="후보"</formula>
    </cfRule>
  </conditionalFormatting>
  <conditionalFormatting sqref="AC15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15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15">
    <cfRule type="expression" priority="699" dxfId="3">
      <formula>AND(IF(OR($Q15=1,$Q15=2),1,0),IF($X15&lt;=20,1,0))</formula>
    </cfRule>
    <cfRule type="expression" priority="700" dxfId="2">
      <formula>AND(IF($Q15=2,1,0),IF($X15&lt;30,1,0))</formula>
    </cfRule>
    <cfRule type="expression" priority="701" dxfId="1">
      <formula>AND(IF($Q15=3,1,0),IF($X15&lt;30,1,0))</formula>
    </cfRule>
    <cfRule type="expression" priority="702" dxfId="0">
      <formula>AND(IF($Q15=3,1,IF($Q15=4,1,0)),IF($F15&lt;=85,1,0))</formula>
    </cfRule>
  </conditionalFormatting>
  <conditionalFormatting sqref="X15">
    <cfRule type="expression" priority="695" dxfId="3">
      <formula>AND(IF(OR($Q15=1,$Q15=2),1,0),IF($X15&lt;=20,1,0))</formula>
    </cfRule>
    <cfRule type="expression" priority="696" dxfId="2">
      <formula>AND(IF($Q15=2,1,0),IF($X15&lt;30,1,0))</formula>
    </cfRule>
    <cfRule type="expression" priority="697" dxfId="1">
      <formula>AND(IF($Q15=3,1,0),IF($X15&lt;30,1,0))</formula>
    </cfRule>
    <cfRule type="expression" priority="698" dxfId="0">
      <formula>AND(IF($Q15=3,1,IF($Q15=4,1,0)),IF($F15&lt;=85,1,0))</formula>
    </cfRule>
  </conditionalFormatting>
  <conditionalFormatting sqref="AI15">
    <cfRule type="expression" priority="691" dxfId="3">
      <formula>AND(IF(OR($Q15=1,$Q15=2),1,0),IF($X15&lt;=20,1,0))</formula>
    </cfRule>
    <cfRule type="expression" priority="692" dxfId="2">
      <formula>AND(IF($Q15=2,1,0),IF($X15&lt;30,1,0))</formula>
    </cfRule>
    <cfRule type="expression" priority="693" dxfId="1">
      <formula>AND(IF($Q15=3,1,0),IF($X15&lt;30,1,0))</formula>
    </cfRule>
    <cfRule type="expression" priority="694" dxfId="0">
      <formula>AND(IF($Q15=3,1,IF($Q15=4,1,0)),IF($F15&lt;=85,1,0))</formula>
    </cfRule>
  </conditionalFormatting>
  <conditionalFormatting sqref="AV16">
    <cfRule type="expression" priority="689" dxfId="19">
      <formula>AV16="X"</formula>
    </cfRule>
    <cfRule type="expression" priority="690" dxfId="18">
      <formula>AV16="후보"</formula>
    </cfRule>
  </conditionalFormatting>
  <conditionalFormatting sqref="AC16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16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16">
    <cfRule type="expression" priority="680" dxfId="3">
      <formula>AND(IF(OR($Q16=1,$Q16=2),1,0),IF($X16&lt;=20,1,0))</formula>
    </cfRule>
    <cfRule type="expression" priority="681" dxfId="2">
      <formula>AND(IF($Q16=2,1,0),IF($X16&lt;30,1,0))</formula>
    </cfRule>
    <cfRule type="expression" priority="682" dxfId="1">
      <formula>AND(IF($Q16=3,1,0),IF($X16&lt;30,1,0))</formula>
    </cfRule>
    <cfRule type="expression" priority="683" dxfId="0">
      <formula>AND(IF($Q16=3,1,IF($Q16=4,1,0)),IF($F16&lt;=85,1,0))</formula>
    </cfRule>
  </conditionalFormatting>
  <conditionalFormatting sqref="X16">
    <cfRule type="expression" priority="676" dxfId="3">
      <formula>AND(IF(OR($Q16=1,$Q16=2),1,0),IF($X16&lt;=20,1,0))</formula>
    </cfRule>
    <cfRule type="expression" priority="677" dxfId="2">
      <formula>AND(IF($Q16=2,1,0),IF($X16&lt;30,1,0))</formula>
    </cfRule>
    <cfRule type="expression" priority="678" dxfId="1">
      <formula>AND(IF($Q16=3,1,0),IF($X16&lt;30,1,0))</formula>
    </cfRule>
    <cfRule type="expression" priority="679" dxfId="0">
      <formula>AND(IF($Q16=3,1,IF($Q16=4,1,0)),IF($F16&lt;=85,1,0))</formula>
    </cfRule>
  </conditionalFormatting>
  <conditionalFormatting sqref="AI16">
    <cfRule type="expression" priority="672" dxfId="3">
      <formula>AND(IF(OR($Q16=1,$Q16=2),1,0),IF($X16&lt;=20,1,0))</formula>
    </cfRule>
    <cfRule type="expression" priority="673" dxfId="2">
      <formula>AND(IF($Q16=2,1,0),IF($X16&lt;30,1,0))</formula>
    </cfRule>
    <cfRule type="expression" priority="674" dxfId="1">
      <formula>AND(IF($Q16=3,1,0),IF($X16&lt;30,1,0))</formula>
    </cfRule>
    <cfRule type="expression" priority="675" dxfId="0">
      <formula>AND(IF($Q16=3,1,IF($Q16=4,1,0)),IF($F16&lt;=85,1,0))</formula>
    </cfRule>
  </conditionalFormatting>
  <conditionalFormatting sqref="AV17">
    <cfRule type="expression" priority="670" dxfId="19">
      <formula>AV17="X"</formula>
    </cfRule>
    <cfRule type="expression" priority="671" dxfId="18">
      <formula>AV17="후보"</formula>
    </cfRule>
  </conditionalFormatting>
  <conditionalFormatting sqref="AC1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7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7">
    <cfRule type="expression" priority="661" dxfId="3">
      <formula>AND(IF(OR($Q17=1,$Q17=2),1,0),IF($X17&lt;=20,1,0))</formula>
    </cfRule>
    <cfRule type="expression" priority="662" dxfId="2">
      <formula>AND(IF($Q17=2,1,0),IF($X17&lt;30,1,0))</formula>
    </cfRule>
    <cfRule type="expression" priority="663" dxfId="1">
      <formula>AND(IF($Q17=3,1,0),IF($X17&lt;30,1,0))</formula>
    </cfRule>
    <cfRule type="expression" priority="664" dxfId="0">
      <formula>AND(IF($Q17=3,1,IF($Q17=4,1,0)),IF($F17&lt;=85,1,0))</formula>
    </cfRule>
  </conditionalFormatting>
  <conditionalFormatting sqref="X17">
    <cfRule type="expression" priority="657" dxfId="3">
      <formula>AND(IF(OR($Q17=1,$Q17=2),1,0),IF($X17&lt;=20,1,0))</formula>
    </cfRule>
    <cfRule type="expression" priority="658" dxfId="2">
      <formula>AND(IF($Q17=2,1,0),IF($X17&lt;30,1,0))</formula>
    </cfRule>
    <cfRule type="expression" priority="659" dxfId="1">
      <formula>AND(IF($Q17=3,1,0),IF($X17&lt;30,1,0))</formula>
    </cfRule>
    <cfRule type="expression" priority="660" dxfId="0">
      <formula>AND(IF($Q17=3,1,IF($Q17=4,1,0)),IF($F17&lt;=85,1,0))</formula>
    </cfRule>
  </conditionalFormatting>
  <conditionalFormatting sqref="AI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AV18">
    <cfRule type="expression" priority="651" dxfId="19">
      <formula>AV18="X"</formula>
    </cfRule>
    <cfRule type="expression" priority="652" dxfId="18">
      <formula>AV18="후보"</formula>
    </cfRule>
  </conditionalFormatting>
  <conditionalFormatting sqref="AC18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8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8">
    <cfRule type="expression" priority="642" dxfId="3">
      <formula>AND(IF(OR($Q18=1,$Q18=2),1,0),IF($X18&lt;=20,1,0))</formula>
    </cfRule>
    <cfRule type="expression" priority="643" dxfId="2">
      <formula>AND(IF($Q18=2,1,0),IF($X18&lt;30,1,0))</formula>
    </cfRule>
    <cfRule type="expression" priority="644" dxfId="1">
      <formula>AND(IF($Q18=3,1,0),IF($X18&lt;30,1,0))</formula>
    </cfRule>
    <cfRule type="expression" priority="645" dxfId="0">
      <formula>AND(IF($Q18=3,1,IF($Q18=4,1,0)),IF($F18&lt;=85,1,0))</formula>
    </cfRule>
  </conditionalFormatting>
  <conditionalFormatting sqref="X18">
    <cfRule type="expression" priority="638" dxfId="3">
      <formula>AND(IF(OR($Q18=1,$Q18=2),1,0),IF($X18&lt;=20,1,0))</formula>
    </cfRule>
    <cfRule type="expression" priority="639" dxfId="2">
      <formula>AND(IF($Q18=2,1,0),IF($X18&lt;30,1,0))</formula>
    </cfRule>
    <cfRule type="expression" priority="640" dxfId="1">
      <formula>AND(IF($Q18=3,1,0),IF($X18&lt;30,1,0))</formula>
    </cfRule>
    <cfRule type="expression" priority="641" dxfId="0">
      <formula>AND(IF($Q18=3,1,IF($Q18=4,1,0)),IF($F18&lt;=85,1,0))</formula>
    </cfRule>
  </conditionalFormatting>
  <conditionalFormatting sqref="AI18">
    <cfRule type="expression" priority="634" dxfId="3">
      <formula>AND(IF(OR($Q18=1,$Q18=2),1,0),IF($X18&lt;=20,1,0))</formula>
    </cfRule>
    <cfRule type="expression" priority="635" dxfId="2">
      <formula>AND(IF($Q18=2,1,0),IF($X18&lt;30,1,0))</formula>
    </cfRule>
    <cfRule type="expression" priority="636" dxfId="1">
      <formula>AND(IF($Q18=3,1,0),IF($X18&lt;30,1,0))</formula>
    </cfRule>
    <cfRule type="expression" priority="637" dxfId="0">
      <formula>AND(IF($Q18=3,1,IF($Q18=4,1,0)),IF($F18&lt;=85,1,0))</formula>
    </cfRule>
  </conditionalFormatting>
  <conditionalFormatting sqref="AV19">
    <cfRule type="expression" priority="632" dxfId="19">
      <formula>AV19="X"</formula>
    </cfRule>
    <cfRule type="expression" priority="633" dxfId="18">
      <formula>AV19="후보"</formula>
    </cfRule>
  </conditionalFormatting>
  <conditionalFormatting sqref="AC19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9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9">
    <cfRule type="expression" priority="623" dxfId="3">
      <formula>AND(IF(OR($Q19=1,$Q19=2),1,0),IF($X19&lt;=20,1,0))</formula>
    </cfRule>
    <cfRule type="expression" priority="624" dxfId="2">
      <formula>AND(IF($Q19=2,1,0),IF($X19&lt;30,1,0))</formula>
    </cfRule>
    <cfRule type="expression" priority="625" dxfId="1">
      <formula>AND(IF($Q19=3,1,0),IF($X19&lt;30,1,0))</formula>
    </cfRule>
    <cfRule type="expression" priority="626" dxfId="0">
      <formula>AND(IF($Q19=3,1,IF($Q19=4,1,0)),IF($F19&lt;=85,1,0))</formula>
    </cfRule>
  </conditionalFormatting>
  <conditionalFormatting sqref="X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AI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V20">
    <cfRule type="expression" priority="613" dxfId="19">
      <formula>AV20="X"</formula>
    </cfRule>
    <cfRule type="expression" priority="614" dxfId="18">
      <formula>AV20="후보"</formula>
    </cfRule>
  </conditionalFormatting>
  <conditionalFormatting sqref="AC20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20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20">
    <cfRule type="expression" priority="604" dxfId="3">
      <formula>AND(IF(OR($Q20=1,$Q20=2),1,0),IF($X20&lt;=20,1,0))</formula>
    </cfRule>
    <cfRule type="expression" priority="605" dxfId="2">
      <formula>AND(IF($Q20=2,1,0),IF($X20&lt;30,1,0))</formula>
    </cfRule>
    <cfRule type="expression" priority="606" dxfId="1">
      <formula>AND(IF($Q20=3,1,0),IF($X20&lt;30,1,0))</formula>
    </cfRule>
    <cfRule type="expression" priority="607" dxfId="0">
      <formula>AND(IF($Q20=3,1,IF($Q20=4,1,0)),IF($F20&lt;=85,1,0))</formula>
    </cfRule>
  </conditionalFormatting>
  <conditionalFormatting sqref="X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AI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V21">
    <cfRule type="expression" priority="594" dxfId="19">
      <formula>AV21="X"</formula>
    </cfRule>
    <cfRule type="expression" priority="595" dxfId="18">
      <formula>AV21="후보"</formula>
    </cfRule>
  </conditionalFormatting>
  <conditionalFormatting sqref="AC2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21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19">
      <formula>AV22="X"</formula>
    </cfRule>
    <cfRule type="expression" priority="576" dxfId="18">
      <formula>AV22="후보"</formula>
    </cfRule>
  </conditionalFormatting>
  <conditionalFormatting sqref="AC22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22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19">
      <formula>AV23="X"</formula>
    </cfRule>
    <cfRule type="expression" priority="557" dxfId="18">
      <formula>AV23="후보"</formula>
    </cfRule>
  </conditionalFormatting>
  <conditionalFormatting sqref="AC23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3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19">
      <formula>AV24="X"</formula>
    </cfRule>
    <cfRule type="expression" priority="538" dxfId="18">
      <formula>AV24="후보"</formula>
    </cfRule>
  </conditionalFormatting>
  <conditionalFormatting sqref="AC24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24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19">
      <formula>AV25="X"</formula>
    </cfRule>
    <cfRule type="expression" priority="519" dxfId="18">
      <formula>AV25="후보"</formula>
    </cfRule>
  </conditionalFormatting>
  <conditionalFormatting sqref="AC25 N25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26">
    <cfRule type="expression" priority="513" dxfId="19">
      <formula>AV26="X"</formula>
    </cfRule>
    <cfRule type="expression" priority="514" dxfId="18">
      <formula>AV26="후보"</formula>
    </cfRule>
  </conditionalFormatting>
  <conditionalFormatting sqref="AC26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26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26">
    <cfRule type="expression" priority="504" dxfId="3">
      <formula>AND(IF(OR($Q26=1,$Q26=2),1,0),IF($X26&lt;=20,1,0))</formula>
    </cfRule>
    <cfRule type="expression" priority="505" dxfId="2">
      <formula>AND(IF($Q26=2,1,0),IF($X26&lt;30,1,0))</formula>
    </cfRule>
    <cfRule type="expression" priority="506" dxfId="1">
      <formula>AND(IF($Q26=3,1,0),IF($X26&lt;30,1,0))</formula>
    </cfRule>
    <cfRule type="expression" priority="507" dxfId="0">
      <formula>AND(IF($Q26=3,1,IF($Q26=4,1,0)),IF($F26&lt;=85,1,0))</formula>
    </cfRule>
  </conditionalFormatting>
  <conditionalFormatting sqref="X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AI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V27">
    <cfRule type="expression" priority="494" dxfId="19">
      <formula>AV27="X"</formula>
    </cfRule>
    <cfRule type="expression" priority="495" dxfId="18">
      <formula>AV27="후보"</formula>
    </cfRule>
  </conditionalFormatting>
  <conditionalFormatting sqref="AC27 N27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28">
    <cfRule type="expression" priority="489" dxfId="19">
      <formula>AV28="X"</formula>
    </cfRule>
    <cfRule type="expression" priority="490" dxfId="18">
      <formula>AV28="후보"</formula>
    </cfRule>
  </conditionalFormatting>
  <conditionalFormatting sqref="AC28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28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28">
    <cfRule type="expression" priority="480" dxfId="3">
      <formula>AND(IF(OR($Q28=1,$Q28=2),1,0),IF($X28&lt;=20,1,0))</formula>
    </cfRule>
    <cfRule type="expression" priority="481" dxfId="2">
      <formula>AND(IF($Q28=2,1,0),IF($X28&lt;30,1,0))</formula>
    </cfRule>
    <cfRule type="expression" priority="482" dxfId="1">
      <formula>AND(IF($Q28=3,1,0),IF($X28&lt;30,1,0))</formula>
    </cfRule>
    <cfRule type="expression" priority="483" dxfId="0">
      <formula>AND(IF($Q28=3,1,IF($Q28=4,1,0)),IF($F28&lt;=85,1,0))</formula>
    </cfRule>
  </conditionalFormatting>
  <conditionalFormatting sqref="X28">
    <cfRule type="expression" priority="476" dxfId="3">
      <formula>AND(IF(OR($Q28=1,$Q28=2),1,0),IF($X28&lt;=20,1,0))</formula>
    </cfRule>
    <cfRule type="expression" priority="477" dxfId="2">
      <formula>AND(IF($Q28=2,1,0),IF($X28&lt;30,1,0))</formula>
    </cfRule>
    <cfRule type="expression" priority="478" dxfId="1">
      <formula>AND(IF($Q28=3,1,0),IF($X28&lt;30,1,0))</formula>
    </cfRule>
    <cfRule type="expression" priority="479" dxfId="0">
      <formula>AND(IF($Q28=3,1,IF($Q28=4,1,0)),IF($F28&lt;=85,1,0))</formula>
    </cfRule>
  </conditionalFormatting>
  <conditionalFormatting sqref="AI28">
    <cfRule type="expression" priority="472" dxfId="3">
      <formula>AND(IF(OR($Q28=1,$Q28=2),1,0),IF($X28&lt;=20,1,0))</formula>
    </cfRule>
    <cfRule type="expression" priority="473" dxfId="2">
      <formula>AND(IF($Q28=2,1,0),IF($X28&lt;30,1,0))</formula>
    </cfRule>
    <cfRule type="expression" priority="474" dxfId="1">
      <formula>AND(IF($Q28=3,1,0),IF($X28&lt;30,1,0))</formula>
    </cfRule>
    <cfRule type="expression" priority="475" dxfId="0">
      <formula>AND(IF($Q28=3,1,IF($Q28=4,1,0)),IF($F28&lt;=85,1,0))</formula>
    </cfRule>
  </conditionalFormatting>
  <conditionalFormatting sqref="AV29">
    <cfRule type="expression" priority="470" dxfId="19">
      <formula>AV29="X"</formula>
    </cfRule>
    <cfRule type="expression" priority="471" dxfId="18">
      <formula>AV29="후보"</formula>
    </cfRule>
  </conditionalFormatting>
  <conditionalFormatting sqref="AC29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9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9">
    <cfRule type="expression" priority="461" dxfId="3">
      <formula>AND(IF(OR($Q29=1,$Q29=2),1,0),IF($X29&lt;=20,1,0))</formula>
    </cfRule>
    <cfRule type="expression" priority="462" dxfId="2">
      <formula>AND(IF($Q29=2,1,0),IF($X29&lt;30,1,0))</formula>
    </cfRule>
    <cfRule type="expression" priority="463" dxfId="1">
      <formula>AND(IF($Q29=3,1,0),IF($X29&lt;30,1,0))</formula>
    </cfRule>
    <cfRule type="expression" priority="464" dxfId="0">
      <formula>AND(IF($Q29=3,1,IF($Q29=4,1,0)),IF($F29&lt;=85,1,0))</formula>
    </cfRule>
  </conditionalFormatting>
  <conditionalFormatting sqref="X29">
    <cfRule type="expression" priority="457" dxfId="3">
      <formula>AND(IF(OR($Q29=1,$Q29=2),1,0),IF($X29&lt;=20,1,0))</formula>
    </cfRule>
    <cfRule type="expression" priority="458" dxfId="2">
      <formula>AND(IF($Q29=2,1,0),IF($X29&lt;30,1,0))</formula>
    </cfRule>
    <cfRule type="expression" priority="459" dxfId="1">
      <formula>AND(IF($Q29=3,1,0),IF($X29&lt;30,1,0))</formula>
    </cfRule>
    <cfRule type="expression" priority="460" dxfId="0">
      <formula>AND(IF($Q29=3,1,IF($Q29=4,1,0)),IF($F29&lt;=85,1,0))</formula>
    </cfRule>
  </conditionalFormatting>
  <conditionalFormatting sqref="AI29">
    <cfRule type="expression" priority="453" dxfId="3">
      <formula>AND(IF(OR($Q29=1,$Q29=2),1,0),IF($X29&lt;=20,1,0))</formula>
    </cfRule>
    <cfRule type="expression" priority="454" dxfId="2">
      <formula>AND(IF($Q29=2,1,0),IF($X29&lt;30,1,0))</formula>
    </cfRule>
    <cfRule type="expression" priority="455" dxfId="1">
      <formula>AND(IF($Q29=3,1,0),IF($X29&lt;30,1,0))</formula>
    </cfRule>
    <cfRule type="expression" priority="456" dxfId="0">
      <formula>AND(IF($Q29=3,1,IF($Q29=4,1,0)),IF($F29&lt;=85,1,0))</formula>
    </cfRule>
  </conditionalFormatting>
  <conditionalFormatting sqref="AV30">
    <cfRule type="expression" priority="451" dxfId="19">
      <formula>AV30="X"</formula>
    </cfRule>
    <cfRule type="expression" priority="452" dxfId="18">
      <formula>AV30="후보"</formula>
    </cfRule>
  </conditionalFormatting>
  <conditionalFormatting sqref="AC30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30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30">
    <cfRule type="expression" priority="442" dxfId="3">
      <formula>AND(IF(OR($Q30=1,$Q30=2),1,0),IF($X30&lt;=20,1,0))</formula>
    </cfRule>
    <cfRule type="expression" priority="443" dxfId="2">
      <formula>AND(IF($Q30=2,1,0),IF($X30&lt;30,1,0))</formula>
    </cfRule>
    <cfRule type="expression" priority="444" dxfId="1">
      <formula>AND(IF($Q30=3,1,0),IF($X30&lt;30,1,0))</formula>
    </cfRule>
    <cfRule type="expression" priority="445" dxfId="0">
      <formula>AND(IF($Q30=3,1,IF($Q30=4,1,0)),IF($F30&lt;=85,1,0))</formula>
    </cfRule>
  </conditionalFormatting>
  <conditionalFormatting sqref="X30">
    <cfRule type="expression" priority="438" dxfId="3">
      <formula>AND(IF(OR($Q30=1,$Q30=2),1,0),IF($X30&lt;=20,1,0))</formula>
    </cfRule>
    <cfRule type="expression" priority="439" dxfId="2">
      <formula>AND(IF($Q30=2,1,0),IF($X30&lt;30,1,0))</formula>
    </cfRule>
    <cfRule type="expression" priority="440" dxfId="1">
      <formula>AND(IF($Q30=3,1,0),IF($X30&lt;30,1,0))</formula>
    </cfRule>
    <cfRule type="expression" priority="441" dxfId="0">
      <formula>AND(IF($Q30=3,1,IF($Q30=4,1,0)),IF($F30&lt;=85,1,0))</formula>
    </cfRule>
  </conditionalFormatting>
  <conditionalFormatting sqref="AI30">
    <cfRule type="expression" priority="434" dxfId="3">
      <formula>AND(IF(OR($Q30=1,$Q30=2),1,0),IF($X30&lt;=20,1,0))</formula>
    </cfRule>
    <cfRule type="expression" priority="435" dxfId="2">
      <formula>AND(IF($Q30=2,1,0),IF($X30&lt;30,1,0))</formula>
    </cfRule>
    <cfRule type="expression" priority="436" dxfId="1">
      <formula>AND(IF($Q30=3,1,0),IF($X30&lt;30,1,0))</formula>
    </cfRule>
    <cfRule type="expression" priority="437" dxfId="0">
      <formula>AND(IF($Q30=3,1,IF($Q30=4,1,0)),IF($F30&lt;=85,1,0))</formula>
    </cfRule>
  </conditionalFormatting>
  <conditionalFormatting sqref="AV31">
    <cfRule type="expression" priority="432" dxfId="19">
      <formula>AV31="X"</formula>
    </cfRule>
    <cfRule type="expression" priority="433" dxfId="18">
      <formula>AV31="후보"</formula>
    </cfRule>
  </conditionalFormatting>
  <conditionalFormatting sqref="AC31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1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1">
    <cfRule type="expression" priority="423" dxfId="3">
      <formula>AND(IF(OR($Q31=1,$Q31=2),1,0),IF($X31&lt;=20,1,0))</formula>
    </cfRule>
    <cfRule type="expression" priority="424" dxfId="2">
      <formula>AND(IF($Q31=2,1,0),IF($X31&lt;30,1,0))</formula>
    </cfRule>
    <cfRule type="expression" priority="425" dxfId="1">
      <formula>AND(IF($Q31=3,1,0),IF($X31&lt;30,1,0))</formula>
    </cfRule>
    <cfRule type="expression" priority="426" dxfId="0">
      <formula>AND(IF($Q31=3,1,IF($Q31=4,1,0)),IF($F31&lt;=85,1,0))</formula>
    </cfRule>
  </conditionalFormatting>
  <conditionalFormatting sqref="X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AI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V32">
    <cfRule type="expression" priority="413" dxfId="19">
      <formula>AV32="X"</formula>
    </cfRule>
    <cfRule type="expression" priority="414" dxfId="18">
      <formula>AV32="후보"</formula>
    </cfRule>
  </conditionalFormatting>
  <conditionalFormatting sqref="AC32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32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32">
    <cfRule type="expression" priority="404" dxfId="3">
      <formula>AND(IF(OR($Q32=1,$Q32=2),1,0),IF($X32&lt;=20,1,0))</formula>
    </cfRule>
    <cfRule type="expression" priority="405" dxfId="2">
      <formula>AND(IF($Q32=2,1,0),IF($X32&lt;30,1,0))</formula>
    </cfRule>
    <cfRule type="expression" priority="406" dxfId="1">
      <formula>AND(IF($Q32=3,1,0),IF($X32&lt;30,1,0))</formula>
    </cfRule>
    <cfRule type="expression" priority="407" dxfId="0">
      <formula>AND(IF($Q32=3,1,IF($Q32=4,1,0)),IF($F32&lt;=85,1,0))</formula>
    </cfRule>
  </conditionalFormatting>
  <conditionalFormatting sqref="X32">
    <cfRule type="expression" priority="400" dxfId="3">
      <formula>AND(IF(OR($Q32=1,$Q32=2),1,0),IF($X32&lt;=20,1,0))</formula>
    </cfRule>
    <cfRule type="expression" priority="401" dxfId="2">
      <formula>AND(IF($Q32=2,1,0),IF($X32&lt;30,1,0))</formula>
    </cfRule>
    <cfRule type="expression" priority="402" dxfId="1">
      <formula>AND(IF($Q32=3,1,0),IF($X32&lt;30,1,0))</formula>
    </cfRule>
    <cfRule type="expression" priority="403" dxfId="0">
      <formula>AND(IF($Q32=3,1,IF($Q32=4,1,0)),IF($F32&lt;=85,1,0))</formula>
    </cfRule>
  </conditionalFormatting>
  <conditionalFormatting sqref="AI32">
    <cfRule type="expression" priority="396" dxfId="3">
      <formula>AND(IF(OR($Q32=1,$Q32=2),1,0),IF($X32&lt;=20,1,0))</formula>
    </cfRule>
    <cfRule type="expression" priority="397" dxfId="2">
      <formula>AND(IF($Q32=2,1,0),IF($X32&lt;30,1,0))</formula>
    </cfRule>
    <cfRule type="expression" priority="398" dxfId="1">
      <formula>AND(IF($Q32=3,1,0),IF($X32&lt;30,1,0))</formula>
    </cfRule>
    <cfRule type="expression" priority="399" dxfId="0">
      <formula>AND(IF($Q32=3,1,IF($Q32=4,1,0)),IF($F32&lt;=85,1,0))</formula>
    </cfRule>
  </conditionalFormatting>
  <conditionalFormatting sqref="AV33">
    <cfRule type="expression" priority="394" dxfId="19">
      <formula>AV33="X"</formula>
    </cfRule>
    <cfRule type="expression" priority="395" dxfId="18">
      <formula>AV33="후보"</formula>
    </cfRule>
  </conditionalFormatting>
  <conditionalFormatting sqref="AC33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3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19">
      <formula>AV34="X"</formula>
    </cfRule>
    <cfRule type="expression" priority="376" dxfId="18">
      <formula>AV34="후보"</formula>
    </cfRule>
  </conditionalFormatting>
  <conditionalFormatting sqref="AC34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4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19">
      <formula>AV35="X"</formula>
    </cfRule>
    <cfRule type="expression" priority="357" dxfId="18">
      <formula>AV35="후보"</formula>
    </cfRule>
  </conditionalFormatting>
  <conditionalFormatting sqref="AC35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5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19">
      <formula>AV36="X"</formula>
    </cfRule>
    <cfRule type="expression" priority="338" dxfId="18">
      <formula>AV36="후보"</formula>
    </cfRule>
  </conditionalFormatting>
  <conditionalFormatting sqref="AC36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6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19">
      <formula>AV37="X"</formula>
    </cfRule>
    <cfRule type="expression" priority="319" dxfId="18">
      <formula>AV37="후보"</formula>
    </cfRule>
  </conditionalFormatting>
  <conditionalFormatting sqref="AC37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7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19">
      <formula>AV38="X"</formula>
    </cfRule>
    <cfRule type="expression" priority="300" dxfId="18">
      <formula>AV38="후보"</formula>
    </cfRule>
  </conditionalFormatting>
  <conditionalFormatting sqref="AC38 N3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39">
    <cfRule type="expression" priority="294" dxfId="19">
      <formula>AV39="X"</formula>
    </cfRule>
    <cfRule type="expression" priority="295" dxfId="18">
      <formula>AV39="후보"</formula>
    </cfRule>
  </conditionalFormatting>
  <conditionalFormatting sqref="AC39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9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19">
      <formula>AV40="X"</formula>
    </cfRule>
    <cfRule type="expression" priority="276" dxfId="18">
      <formula>AV40="후보"</formula>
    </cfRule>
  </conditionalFormatting>
  <conditionalFormatting sqref="AC40 N40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41">
    <cfRule type="expression" priority="270" dxfId="19">
      <formula>AV41="X"</formula>
    </cfRule>
    <cfRule type="expression" priority="271" dxfId="18">
      <formula>AV41="후보"</formula>
    </cfRule>
  </conditionalFormatting>
  <conditionalFormatting sqref="AC41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4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41">
    <cfRule type="expression" priority="261" dxfId="3">
      <formula>AND(IF(OR($Q41=1,$Q41=2),1,0),IF($X41&lt;=20,1,0))</formula>
    </cfRule>
    <cfRule type="expression" priority="262" dxfId="2">
      <formula>AND(IF($Q41=2,1,0),IF($X41&lt;30,1,0))</formula>
    </cfRule>
    <cfRule type="expression" priority="263" dxfId="1">
      <formula>AND(IF($Q41=3,1,0),IF($X41&lt;30,1,0))</formula>
    </cfRule>
    <cfRule type="expression" priority="264" dxfId="0">
      <formula>AND(IF($Q41=3,1,IF($Q41=4,1,0)),IF($F41&lt;=85,1,0))</formula>
    </cfRule>
  </conditionalFormatting>
  <conditionalFormatting sqref="X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AI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V42">
    <cfRule type="expression" priority="251" dxfId="19">
      <formula>AV42="X"</formula>
    </cfRule>
    <cfRule type="expression" priority="252" dxfId="18">
      <formula>AV42="후보"</formula>
    </cfRule>
  </conditionalFormatting>
  <conditionalFormatting sqref="AC4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42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42">
    <cfRule type="expression" priority="242" dxfId="3">
      <formula>AND(IF(OR($Q42=1,$Q42=2),1,0),IF($X42&lt;=20,1,0))</formula>
    </cfRule>
    <cfRule type="expression" priority="243" dxfId="2">
      <formula>AND(IF($Q42=2,1,0),IF($X42&lt;30,1,0))</formula>
    </cfRule>
    <cfRule type="expression" priority="244" dxfId="1">
      <formula>AND(IF($Q42=3,1,0),IF($X42&lt;30,1,0))</formula>
    </cfRule>
    <cfRule type="expression" priority="245" dxfId="0">
      <formula>AND(IF($Q42=3,1,IF($Q42=4,1,0)),IF($F42&lt;=85,1,0))</formula>
    </cfRule>
  </conditionalFormatting>
  <conditionalFormatting sqref="X42">
    <cfRule type="expression" priority="238" dxfId="3">
      <formula>AND(IF(OR($Q42=1,$Q42=2),1,0),IF($X42&lt;=20,1,0))</formula>
    </cfRule>
    <cfRule type="expression" priority="239" dxfId="2">
      <formula>AND(IF($Q42=2,1,0),IF($X42&lt;30,1,0))</formula>
    </cfRule>
    <cfRule type="expression" priority="240" dxfId="1">
      <formula>AND(IF($Q42=3,1,0),IF($X42&lt;30,1,0))</formula>
    </cfRule>
    <cfRule type="expression" priority="241" dxfId="0">
      <formula>AND(IF($Q42=3,1,IF($Q42=4,1,0)),IF($F42&lt;=85,1,0))</formula>
    </cfRule>
  </conditionalFormatting>
  <conditionalFormatting sqref="AI42">
    <cfRule type="expression" priority="234" dxfId="3">
      <formula>AND(IF(OR($Q42=1,$Q42=2),1,0),IF($X42&lt;=20,1,0))</formula>
    </cfRule>
    <cfRule type="expression" priority="235" dxfId="2">
      <formula>AND(IF($Q42=2,1,0),IF($X42&lt;30,1,0))</formula>
    </cfRule>
    <cfRule type="expression" priority="236" dxfId="1">
      <formula>AND(IF($Q42=3,1,0),IF($X42&lt;30,1,0))</formula>
    </cfRule>
    <cfRule type="expression" priority="237" dxfId="0">
      <formula>AND(IF($Q42=3,1,IF($Q42=4,1,0)),IF($F42&lt;=85,1,0))</formula>
    </cfRule>
  </conditionalFormatting>
  <conditionalFormatting sqref="AV43">
    <cfRule type="expression" priority="232" dxfId="19">
      <formula>AV43="X"</formula>
    </cfRule>
    <cfRule type="expression" priority="233" dxfId="18">
      <formula>AV43="후보"</formula>
    </cfRule>
  </conditionalFormatting>
  <conditionalFormatting sqref="AC4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3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43">
    <cfRule type="expression" priority="223" dxfId="3">
      <formula>AND(IF(OR($Q43=1,$Q43=2),1,0),IF($X43&lt;=20,1,0))</formula>
    </cfRule>
    <cfRule type="expression" priority="224" dxfId="2">
      <formula>AND(IF($Q43=2,1,0),IF($X43&lt;30,1,0))</formula>
    </cfRule>
    <cfRule type="expression" priority="225" dxfId="1">
      <formula>AND(IF($Q43=3,1,0),IF($X43&lt;30,1,0))</formula>
    </cfRule>
    <cfRule type="expression" priority="226" dxfId="0">
      <formula>AND(IF($Q43=3,1,IF($Q43=4,1,0)),IF($F43&lt;=85,1,0))</formula>
    </cfRule>
  </conditionalFormatting>
  <conditionalFormatting sqref="X43">
    <cfRule type="expression" priority="219" dxfId="3">
      <formula>AND(IF(OR($Q43=1,$Q43=2),1,0),IF($X43&lt;=20,1,0))</formula>
    </cfRule>
    <cfRule type="expression" priority="220" dxfId="2">
      <formula>AND(IF($Q43=2,1,0),IF($X43&lt;30,1,0))</formula>
    </cfRule>
    <cfRule type="expression" priority="221" dxfId="1">
      <formula>AND(IF($Q43=3,1,0),IF($X43&lt;30,1,0))</formula>
    </cfRule>
    <cfRule type="expression" priority="222" dxfId="0">
      <formula>AND(IF($Q43=3,1,IF($Q43=4,1,0)),IF($F43&lt;=85,1,0))</formula>
    </cfRule>
  </conditionalFormatting>
  <conditionalFormatting sqref="AI43">
    <cfRule type="expression" priority="215" dxfId="3">
      <formula>AND(IF(OR($Q43=1,$Q43=2),1,0),IF($X43&lt;=20,1,0))</formula>
    </cfRule>
    <cfRule type="expression" priority="216" dxfId="2">
      <formula>AND(IF($Q43=2,1,0),IF($X43&lt;30,1,0))</formula>
    </cfRule>
    <cfRule type="expression" priority="217" dxfId="1">
      <formula>AND(IF($Q43=3,1,0),IF($X43&lt;30,1,0))</formula>
    </cfRule>
    <cfRule type="expression" priority="218" dxfId="0">
      <formula>AND(IF($Q43=3,1,IF($Q43=4,1,0)),IF($F43&lt;=85,1,0))</formula>
    </cfRule>
  </conditionalFormatting>
  <conditionalFormatting sqref="AV44">
    <cfRule type="expression" priority="213" dxfId="19">
      <formula>AV44="X"</formula>
    </cfRule>
    <cfRule type="expression" priority="214" dxfId="18">
      <formula>AV44="후보"</formula>
    </cfRule>
  </conditionalFormatting>
  <conditionalFormatting sqref="AC4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4">
    <cfRule type="expression" priority="204" dxfId="3">
      <formula>AND(IF(OR($Q44=1,$Q44=2),1,0),IF($X44&lt;=20,1,0))</formula>
    </cfRule>
    <cfRule type="expression" priority="205" dxfId="2">
      <formula>AND(IF($Q44=2,1,0),IF($X44&lt;30,1,0))</formula>
    </cfRule>
    <cfRule type="expression" priority="206" dxfId="1">
      <formula>AND(IF($Q44=3,1,0),IF($X44&lt;30,1,0))</formula>
    </cfRule>
    <cfRule type="expression" priority="207" dxfId="0">
      <formula>AND(IF($Q44=3,1,IF($Q44=4,1,0)),IF($F44&lt;=85,1,0))</formula>
    </cfRule>
  </conditionalFormatting>
  <conditionalFormatting sqref="X44">
    <cfRule type="expression" priority="200" dxfId="3">
      <formula>AND(IF(OR($Q44=1,$Q44=2),1,0),IF($X44&lt;=20,1,0))</formula>
    </cfRule>
    <cfRule type="expression" priority="201" dxfId="2">
      <formula>AND(IF($Q44=2,1,0),IF($X44&lt;30,1,0))</formula>
    </cfRule>
    <cfRule type="expression" priority="202" dxfId="1">
      <formula>AND(IF($Q44=3,1,0),IF($X44&lt;30,1,0))</formula>
    </cfRule>
    <cfRule type="expression" priority="203" dxfId="0">
      <formula>AND(IF($Q44=3,1,IF($Q44=4,1,0)),IF($F44&lt;=85,1,0))</formula>
    </cfRule>
  </conditionalFormatting>
  <conditionalFormatting sqref="AI44">
    <cfRule type="expression" priority="196" dxfId="3">
      <formula>AND(IF(OR($Q44=1,$Q44=2),1,0),IF($X44&lt;=20,1,0))</formula>
    </cfRule>
    <cfRule type="expression" priority="197" dxfId="2">
      <formula>AND(IF($Q44=2,1,0),IF($X44&lt;30,1,0))</formula>
    </cfRule>
    <cfRule type="expression" priority="198" dxfId="1">
      <formula>AND(IF($Q44=3,1,0),IF($X44&lt;30,1,0))</formula>
    </cfRule>
    <cfRule type="expression" priority="199" dxfId="0">
      <formula>AND(IF($Q44=3,1,IF($Q44=4,1,0)),IF($F44&lt;=85,1,0))</formula>
    </cfRule>
  </conditionalFormatting>
  <conditionalFormatting sqref="AV45">
    <cfRule type="expression" priority="194" dxfId="19">
      <formula>AV45="X"</formula>
    </cfRule>
    <cfRule type="expression" priority="195" dxfId="18">
      <formula>AV45="후보"</formula>
    </cfRule>
  </conditionalFormatting>
  <conditionalFormatting sqref="AC45 N4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AV46">
    <cfRule type="expression" priority="189" dxfId="19">
      <formula>AV46="X"</formula>
    </cfRule>
    <cfRule type="expression" priority="190" dxfId="18">
      <formula>AV46="후보"</formula>
    </cfRule>
  </conditionalFormatting>
  <conditionalFormatting sqref="AC46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46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46">
    <cfRule type="expression" priority="180" dxfId="3">
      <formula>AND(IF(OR($Q46=1,$Q46=2),1,0),IF($X46&lt;=20,1,0))</formula>
    </cfRule>
    <cfRule type="expression" priority="181" dxfId="2">
      <formula>AND(IF($Q46=2,1,0),IF($X46&lt;30,1,0))</formula>
    </cfRule>
    <cfRule type="expression" priority="182" dxfId="1">
      <formula>AND(IF($Q46=3,1,0),IF($X46&lt;30,1,0))</formula>
    </cfRule>
    <cfRule type="expression" priority="183" dxfId="0">
      <formula>AND(IF($Q46=3,1,IF($Q46=4,1,0)),IF($F46&lt;=85,1,0))</formula>
    </cfRule>
  </conditionalFormatting>
  <conditionalFormatting sqref="X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AI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V47">
    <cfRule type="expression" priority="170" dxfId="19">
      <formula>AV47="X"</formula>
    </cfRule>
    <cfRule type="expression" priority="171" dxfId="18">
      <formula>AV47="후보"</formula>
    </cfRule>
  </conditionalFormatting>
  <conditionalFormatting sqref="AC4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4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47">
    <cfRule type="expression" priority="161" dxfId="3">
      <formula>AND(IF(OR($Q47=1,$Q47=2),1,0),IF($X47&lt;=20,1,0))</formula>
    </cfRule>
    <cfRule type="expression" priority="162" dxfId="2">
      <formula>AND(IF($Q47=2,1,0),IF($X47&lt;30,1,0))</formula>
    </cfRule>
    <cfRule type="expression" priority="163" dxfId="1">
      <formula>AND(IF($Q47=3,1,0),IF($X47&lt;30,1,0))</formula>
    </cfRule>
    <cfRule type="expression" priority="164" dxfId="0">
      <formula>AND(IF($Q47=3,1,IF($Q47=4,1,0)),IF($F47&lt;=85,1,0))</formula>
    </cfRule>
  </conditionalFormatting>
  <conditionalFormatting sqref="X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AI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V48">
    <cfRule type="expression" priority="151" dxfId="19">
      <formula>AV48="X"</formula>
    </cfRule>
    <cfRule type="expression" priority="152" dxfId="18">
      <formula>AV48="후보"</formula>
    </cfRule>
  </conditionalFormatting>
  <conditionalFormatting sqref="AC4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4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48">
    <cfRule type="expression" priority="142" dxfId="3">
      <formula>AND(IF(OR($Q48=1,$Q48=2),1,0),IF($X48&lt;=20,1,0))</formula>
    </cfRule>
    <cfRule type="expression" priority="143" dxfId="2">
      <formula>AND(IF($Q48=2,1,0),IF($X48&lt;30,1,0))</formula>
    </cfRule>
    <cfRule type="expression" priority="144" dxfId="1">
      <formula>AND(IF($Q48=3,1,0),IF($X48&lt;30,1,0))</formula>
    </cfRule>
    <cfRule type="expression" priority="145" dxfId="0">
      <formula>AND(IF($Q48=3,1,IF($Q48=4,1,0)),IF($F48&lt;=85,1,0))</formula>
    </cfRule>
  </conditionalFormatting>
  <conditionalFormatting sqref="X48">
    <cfRule type="expression" priority="138" dxfId="3">
      <formula>AND(IF(OR($Q48=1,$Q48=2),1,0),IF($X48&lt;=20,1,0))</formula>
    </cfRule>
    <cfRule type="expression" priority="139" dxfId="2">
      <formula>AND(IF($Q48=2,1,0),IF($X48&lt;30,1,0))</formula>
    </cfRule>
    <cfRule type="expression" priority="140" dxfId="1">
      <formula>AND(IF($Q48=3,1,0),IF($X48&lt;30,1,0))</formula>
    </cfRule>
    <cfRule type="expression" priority="141" dxfId="0">
      <formula>AND(IF($Q48=3,1,IF($Q48=4,1,0)),IF($F48&lt;=85,1,0))</formula>
    </cfRule>
  </conditionalFormatting>
  <conditionalFormatting sqref="AI48">
    <cfRule type="expression" priority="134" dxfId="3">
      <formula>AND(IF(OR($Q48=1,$Q48=2),1,0),IF($X48&lt;=20,1,0))</formula>
    </cfRule>
    <cfRule type="expression" priority="135" dxfId="2">
      <formula>AND(IF($Q48=2,1,0),IF($X48&lt;30,1,0))</formula>
    </cfRule>
    <cfRule type="expression" priority="136" dxfId="1">
      <formula>AND(IF($Q48=3,1,0),IF($X48&lt;30,1,0))</formula>
    </cfRule>
    <cfRule type="expression" priority="137" dxfId="0">
      <formula>AND(IF($Q48=3,1,IF($Q48=4,1,0)),IF($F48&lt;=85,1,0))</formula>
    </cfRule>
  </conditionalFormatting>
  <conditionalFormatting sqref="AV49">
    <cfRule type="expression" priority="132" dxfId="19">
      <formula>AV49="X"</formula>
    </cfRule>
    <cfRule type="expression" priority="133" dxfId="18">
      <formula>AV49="후보"</formula>
    </cfRule>
  </conditionalFormatting>
  <conditionalFormatting sqref="AC4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9">
    <cfRule type="expression" priority="123" dxfId="3">
      <formula>AND(IF(OR($Q49=1,$Q49=2),1,0),IF($X49&lt;=20,1,0))</formula>
    </cfRule>
    <cfRule type="expression" priority="124" dxfId="2">
      <formula>AND(IF($Q49=2,1,0),IF($X49&lt;30,1,0))</formula>
    </cfRule>
    <cfRule type="expression" priority="125" dxfId="1">
      <formula>AND(IF($Q49=3,1,0),IF($X49&lt;30,1,0))</formula>
    </cfRule>
    <cfRule type="expression" priority="126" dxfId="0">
      <formula>AND(IF($Q49=3,1,IF($Q49=4,1,0)),IF($F49&lt;=85,1,0))</formula>
    </cfRule>
  </conditionalFormatting>
  <conditionalFormatting sqref="X49">
    <cfRule type="expression" priority="119" dxfId="3">
      <formula>AND(IF(OR($Q49=1,$Q49=2),1,0),IF($X49&lt;=20,1,0))</formula>
    </cfRule>
    <cfRule type="expression" priority="120" dxfId="2">
      <formula>AND(IF($Q49=2,1,0),IF($X49&lt;30,1,0))</formula>
    </cfRule>
    <cfRule type="expression" priority="121" dxfId="1">
      <formula>AND(IF($Q49=3,1,0),IF($X49&lt;30,1,0))</formula>
    </cfRule>
    <cfRule type="expression" priority="122" dxfId="0">
      <formula>AND(IF($Q49=3,1,IF($Q49=4,1,0)),IF($F49&lt;=85,1,0))</formula>
    </cfRule>
  </conditionalFormatting>
  <conditionalFormatting sqref="AI49">
    <cfRule type="expression" priority="115" dxfId="3">
      <formula>AND(IF(OR($Q49=1,$Q49=2),1,0),IF($X49&lt;=20,1,0))</formula>
    </cfRule>
    <cfRule type="expression" priority="116" dxfId="2">
      <formula>AND(IF($Q49=2,1,0),IF($X49&lt;30,1,0))</formula>
    </cfRule>
    <cfRule type="expression" priority="117" dxfId="1">
      <formula>AND(IF($Q49=3,1,0),IF($X49&lt;30,1,0))</formula>
    </cfRule>
    <cfRule type="expression" priority="118" dxfId="0">
      <formula>AND(IF($Q49=3,1,IF($Q49=4,1,0)),IF($F49&lt;=85,1,0))</formula>
    </cfRule>
  </conditionalFormatting>
  <conditionalFormatting sqref="AV50">
    <cfRule type="expression" priority="113" dxfId="19">
      <formula>AV50="X"</formula>
    </cfRule>
    <cfRule type="expression" priority="114" dxfId="18">
      <formula>AV50="후보"</formula>
    </cfRule>
  </conditionalFormatting>
  <conditionalFormatting sqref="AC5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5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50">
    <cfRule type="expression" priority="104" dxfId="3">
      <formula>AND(IF(OR($Q50=1,$Q50=2),1,0),IF($X50&lt;=20,1,0))</formula>
    </cfRule>
    <cfRule type="expression" priority="105" dxfId="2">
      <formula>AND(IF($Q50=2,1,0),IF($X50&lt;30,1,0))</formula>
    </cfRule>
    <cfRule type="expression" priority="106" dxfId="1">
      <formula>AND(IF($Q50=3,1,0),IF($X50&lt;30,1,0))</formula>
    </cfRule>
    <cfRule type="expression" priority="107" dxfId="0">
      <formula>AND(IF($Q50=3,1,IF($Q50=4,1,0)),IF($F50&lt;=85,1,0))</formula>
    </cfRule>
  </conditionalFormatting>
  <conditionalFormatting sqref="X50">
    <cfRule type="expression" priority="100" dxfId="3">
      <formula>AND(IF(OR($Q50=1,$Q50=2),1,0),IF($X50&lt;=20,1,0))</formula>
    </cfRule>
    <cfRule type="expression" priority="101" dxfId="2">
      <formula>AND(IF($Q50=2,1,0),IF($X50&lt;30,1,0))</formula>
    </cfRule>
    <cfRule type="expression" priority="102" dxfId="1">
      <formula>AND(IF($Q50=3,1,0),IF($X50&lt;30,1,0))</formula>
    </cfRule>
    <cfRule type="expression" priority="103" dxfId="0">
      <formula>AND(IF($Q50=3,1,IF($Q50=4,1,0)),IF($F50&lt;=85,1,0))</formula>
    </cfRule>
  </conditionalFormatting>
  <conditionalFormatting sqref="AI50">
    <cfRule type="expression" priority="96" dxfId="3">
      <formula>AND(IF(OR($Q50=1,$Q50=2),1,0),IF($X50&lt;=20,1,0))</formula>
    </cfRule>
    <cfRule type="expression" priority="97" dxfId="2">
      <formula>AND(IF($Q50=2,1,0),IF($X50&lt;30,1,0))</formula>
    </cfRule>
    <cfRule type="expression" priority="98" dxfId="1">
      <formula>AND(IF($Q50=3,1,0),IF($X50&lt;30,1,0))</formula>
    </cfRule>
    <cfRule type="expression" priority="99" dxfId="0">
      <formula>AND(IF($Q50=3,1,IF($Q50=4,1,0)),IF($F50&lt;=85,1,0))</formula>
    </cfRule>
  </conditionalFormatting>
  <conditionalFormatting sqref="AV51">
    <cfRule type="expression" priority="94" dxfId="19">
      <formula>AV51="X"</formula>
    </cfRule>
    <cfRule type="expression" priority="95" dxfId="18">
      <formula>AV51="후보"</formula>
    </cfRule>
  </conditionalFormatting>
  <conditionalFormatting sqref="AC5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1">
    <cfRule type="expression" priority="85" dxfId="3">
      <formula>AND(IF(OR($Q51=1,$Q51=2),1,0),IF($X51&lt;=20,1,0))</formula>
    </cfRule>
    <cfRule type="expression" priority="86" dxfId="2">
      <formula>AND(IF($Q51=2,1,0),IF($X51&lt;30,1,0))</formula>
    </cfRule>
    <cfRule type="expression" priority="87" dxfId="1">
      <formula>AND(IF($Q51=3,1,0),IF($X51&lt;30,1,0))</formula>
    </cfRule>
    <cfRule type="expression" priority="88" dxfId="0">
      <formula>AND(IF($Q51=3,1,IF($Q51=4,1,0)),IF($F51&lt;=85,1,0))</formula>
    </cfRule>
  </conditionalFormatting>
  <conditionalFormatting sqref="X51">
    <cfRule type="expression" priority="81" dxfId="3">
      <formula>AND(IF(OR($Q51=1,$Q51=2),1,0),IF($X51&lt;=20,1,0))</formula>
    </cfRule>
    <cfRule type="expression" priority="82" dxfId="2">
      <formula>AND(IF($Q51=2,1,0),IF($X51&lt;30,1,0))</formula>
    </cfRule>
    <cfRule type="expression" priority="83" dxfId="1">
      <formula>AND(IF($Q51=3,1,0),IF($X51&lt;30,1,0))</formula>
    </cfRule>
    <cfRule type="expression" priority="84" dxfId="0">
      <formula>AND(IF($Q51=3,1,IF($Q51=4,1,0)),IF($F51&lt;=85,1,0))</formula>
    </cfRule>
  </conditionalFormatting>
  <conditionalFormatting sqref="AI51">
    <cfRule type="expression" priority="77" dxfId="3">
      <formula>AND(IF(OR($Q51=1,$Q51=2),1,0),IF($X51&lt;=20,1,0))</formula>
    </cfRule>
    <cfRule type="expression" priority="78" dxfId="2">
      <formula>AND(IF($Q51=2,1,0),IF($X51&lt;30,1,0))</formula>
    </cfRule>
    <cfRule type="expression" priority="79" dxfId="1">
      <formula>AND(IF($Q51=3,1,0),IF($X51&lt;30,1,0))</formula>
    </cfRule>
    <cfRule type="expression" priority="80" dxfId="0">
      <formula>AND(IF($Q51=3,1,IF($Q51=4,1,0)),IF($F51&lt;=85,1,0))</formula>
    </cfRule>
  </conditionalFormatting>
  <conditionalFormatting sqref="AV52">
    <cfRule type="expression" priority="75" dxfId="19">
      <formula>AV52="X"</formula>
    </cfRule>
    <cfRule type="expression" priority="76" dxfId="18">
      <formula>AV52="후보"</formula>
    </cfRule>
  </conditionalFormatting>
  <conditionalFormatting sqref="AC5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2">
    <cfRule type="expression" priority="66" dxfId="3">
      <formula>AND(IF(OR($Q52=1,$Q52=2),1,0),IF($X52&lt;=20,1,0))</formula>
    </cfRule>
    <cfRule type="expression" priority="67" dxfId="2">
      <formula>AND(IF($Q52=2,1,0),IF($X52&lt;30,1,0))</formula>
    </cfRule>
    <cfRule type="expression" priority="68" dxfId="1">
      <formula>AND(IF($Q52=3,1,0),IF($X52&lt;30,1,0))</formula>
    </cfRule>
    <cfRule type="expression" priority="69" dxfId="0">
      <formula>AND(IF($Q52=3,1,IF($Q52=4,1,0)),IF($F52&lt;=85,1,0))</formula>
    </cfRule>
  </conditionalFormatting>
  <conditionalFormatting sqref="X52">
    <cfRule type="expression" priority="62" dxfId="3">
      <formula>AND(IF(OR($Q52=1,$Q52=2),1,0),IF($X52&lt;=20,1,0))</formula>
    </cfRule>
    <cfRule type="expression" priority="63" dxfId="2">
      <formula>AND(IF($Q52=2,1,0),IF($X52&lt;30,1,0))</formula>
    </cfRule>
    <cfRule type="expression" priority="64" dxfId="1">
      <formula>AND(IF($Q52=3,1,0),IF($X52&lt;30,1,0))</formula>
    </cfRule>
    <cfRule type="expression" priority="65" dxfId="0">
      <formula>AND(IF($Q52=3,1,IF($Q52=4,1,0)),IF($F52&lt;=85,1,0))</formula>
    </cfRule>
  </conditionalFormatting>
  <conditionalFormatting sqref="AI52">
    <cfRule type="expression" priority="58" dxfId="3">
      <formula>AND(IF(OR($Q52=1,$Q52=2),1,0),IF($X52&lt;=20,1,0))</formula>
    </cfRule>
    <cfRule type="expression" priority="59" dxfId="2">
      <formula>AND(IF($Q52=2,1,0),IF($X52&lt;30,1,0))</formula>
    </cfRule>
    <cfRule type="expression" priority="60" dxfId="1">
      <formula>AND(IF($Q52=3,1,0),IF($X52&lt;30,1,0))</formula>
    </cfRule>
    <cfRule type="expression" priority="61" dxfId="0">
      <formula>AND(IF($Q52=3,1,IF($Q52=4,1,0)),IF($F52&lt;=85,1,0))</formula>
    </cfRule>
  </conditionalFormatting>
  <conditionalFormatting sqref="AV53">
    <cfRule type="expression" priority="56" dxfId="19">
      <formula>AV53="X"</formula>
    </cfRule>
    <cfRule type="expression" priority="57" dxfId="18">
      <formula>AV53="후보"</formula>
    </cfRule>
  </conditionalFormatting>
  <conditionalFormatting sqref="AC5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19">
      <formula>AV54="X"</formula>
    </cfRule>
    <cfRule type="expression" priority="38" dxfId="18">
      <formula>AV54="후보"</formula>
    </cfRule>
  </conditionalFormatting>
  <conditionalFormatting sqref="AC5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19">
      <formula>AV55="X"</formula>
    </cfRule>
    <cfRule type="expression" priority="19" dxfId="18">
      <formula>AV55="후보"</formula>
    </cfRule>
  </conditionalFormatting>
  <conditionalFormatting sqref="AC5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비하동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청주비하계룡리슈빌2차</t>
        </is>
      </c>
      <c r="B6" s="16" t="inlineStr">
        <is>
          <t>'09.11.</t>
        </is>
      </c>
      <c r="C6" s="164" t="n">
        <v>540</v>
      </c>
      <c r="D6" s="161" t="n">
        <v>114.9</v>
      </c>
      <c r="E6" s="163" t="n">
        <v>35</v>
      </c>
      <c r="F6" s="161" t="n">
        <v>85</v>
      </c>
      <c r="G6" s="27" t="n">
        <v>26</v>
      </c>
      <c r="H6" s="164" t="n">
        <v>176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114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청주비하계룡리슈빌2차</t>
        </is>
      </c>
      <c r="B7" s="16" t="inlineStr">
        <is>
          <t>'09.11.</t>
        </is>
      </c>
      <c r="C7" s="164" t="n">
        <v>540</v>
      </c>
      <c r="D7" s="161" t="n">
        <v>131.7</v>
      </c>
      <c r="E7" s="163" t="n">
        <v>40</v>
      </c>
      <c r="F7" s="161" t="n">
        <v>106.7</v>
      </c>
      <c r="G7" s="27" t="n">
        <v>32</v>
      </c>
      <c r="H7" s="164" t="n">
        <v>85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131A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청주비하계룡리슈빌2차</t>
        </is>
      </c>
      <c r="B8" s="16" t="inlineStr">
        <is>
          <t>'09.11.</t>
        </is>
      </c>
      <c r="C8" s="164" t="n">
        <v>540</v>
      </c>
      <c r="D8" s="161" t="n">
        <v>131.7</v>
      </c>
      <c r="E8" s="163" t="n">
        <v>40</v>
      </c>
      <c r="F8" s="161" t="n">
        <v>106.7</v>
      </c>
      <c r="G8" s="27" t="n">
        <v>32</v>
      </c>
      <c r="H8" s="164" t="n">
        <v>83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131B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청주비하계룡리슈빌2차</t>
        </is>
      </c>
      <c r="B9" s="16" t="inlineStr">
        <is>
          <t>'09.11.</t>
        </is>
      </c>
      <c r="C9" s="164" t="n">
        <v>540</v>
      </c>
      <c r="D9" s="161" t="n">
        <v>151.8</v>
      </c>
      <c r="E9" s="163" t="n">
        <v>46</v>
      </c>
      <c r="F9" s="161" t="n">
        <v>123.8</v>
      </c>
      <c r="G9" s="27" t="n">
        <v>37</v>
      </c>
      <c r="H9" s="164" t="n">
        <v>85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151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청주비하계룡리슈빌2차</t>
        </is>
      </c>
      <c r="B10" s="16" t="inlineStr">
        <is>
          <t>'09.11.</t>
        </is>
      </c>
      <c r="C10" s="164" t="n">
        <v>540</v>
      </c>
      <c r="D10" s="161" t="n">
        <v>184.6</v>
      </c>
      <c r="E10" s="163" t="n">
        <v>56</v>
      </c>
      <c r="F10" s="161" t="n">
        <v>155.4</v>
      </c>
      <c r="G10" s="27" t="n">
        <v>47</v>
      </c>
      <c r="H10" s="164" t="n">
        <v>111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184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청주비하대광로제비앙1차</t>
        </is>
      </c>
      <c r="B12" s="16" t="inlineStr">
        <is>
          <t>'18.02.</t>
        </is>
      </c>
      <c r="C12" s="164" t="n">
        <v>418</v>
      </c>
      <c r="D12" s="161" t="n">
        <v>112.7</v>
      </c>
      <c r="E12" s="163" t="n">
        <v>34</v>
      </c>
      <c r="F12" s="161" t="n">
        <v>85</v>
      </c>
      <c r="G12" s="27" t="n">
        <v>26</v>
      </c>
      <c r="H12" s="164" t="n">
        <v>289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inlineStr">
        <is>
          <t>112A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청주비하대광로제비앙1차</t>
        </is>
      </c>
      <c r="B13" s="16" t="inlineStr">
        <is>
          <t>'18.02.</t>
        </is>
      </c>
      <c r="C13" s="164" t="n">
        <v>418</v>
      </c>
      <c r="D13" s="161" t="n">
        <v>113</v>
      </c>
      <c r="E13" s="163" t="n">
        <v>34</v>
      </c>
      <c r="F13" s="161" t="n">
        <v>84.90000000000001</v>
      </c>
      <c r="G13" s="27" t="n">
        <v>26</v>
      </c>
      <c r="H13" s="164" t="n">
        <v>129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112B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서청주파크자이</t>
        </is>
      </c>
      <c r="B15" s="16" t="inlineStr">
        <is>
          <t>'19.09.</t>
        </is>
      </c>
      <c r="C15" s="164" t="n">
        <v>1495</v>
      </c>
      <c r="D15" s="161" t="n">
        <v>82.2</v>
      </c>
      <c r="E15" s="163" t="n">
        <v>25</v>
      </c>
      <c r="F15" s="161" t="n">
        <v>59.9</v>
      </c>
      <c r="G15" s="27" t="n">
        <v>18</v>
      </c>
      <c r="H15" s="164" t="n">
        <v>159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82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서청주파크자이</t>
        </is>
      </c>
      <c r="B16" s="16" t="inlineStr">
        <is>
          <t>'19.09.</t>
        </is>
      </c>
      <c r="C16" s="164" t="n">
        <v>1495</v>
      </c>
      <c r="D16" s="161" t="n">
        <v>98.7</v>
      </c>
      <c r="E16" s="163" t="n">
        <v>30</v>
      </c>
      <c r="F16" s="161" t="n">
        <v>74.40000000000001</v>
      </c>
      <c r="G16" s="27" t="n">
        <v>22</v>
      </c>
      <c r="H16" s="164" t="n">
        <v>334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98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서청주파크자이</t>
        </is>
      </c>
      <c r="B17" s="16" t="inlineStr">
        <is>
          <t>'19.09.</t>
        </is>
      </c>
      <c r="C17" s="164" t="n">
        <v>1495</v>
      </c>
      <c r="D17" s="161" t="n">
        <v>112.2</v>
      </c>
      <c r="E17" s="163" t="n">
        <v>34</v>
      </c>
      <c r="F17" s="161" t="n">
        <v>85</v>
      </c>
      <c r="G17" s="27" t="n">
        <v>26</v>
      </c>
      <c r="H17" s="164" t="n">
        <v>636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112A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서청주파크자이</t>
        </is>
      </c>
      <c r="B18" s="16" t="inlineStr">
        <is>
          <t>'19.09.</t>
        </is>
      </c>
      <c r="C18" s="164" t="n">
        <v>1495</v>
      </c>
      <c r="D18" s="161" t="n">
        <v>112.4</v>
      </c>
      <c r="E18" s="163" t="n">
        <v>34</v>
      </c>
      <c r="F18" s="161" t="n">
        <v>85</v>
      </c>
      <c r="G18" s="27" t="n">
        <v>26</v>
      </c>
      <c r="H18" s="164" t="n">
        <v>219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112B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서청주파크자이</t>
        </is>
      </c>
      <c r="B19" s="16" t="inlineStr">
        <is>
          <t>'19.09.</t>
        </is>
      </c>
      <c r="C19" s="164" t="n">
        <v>1495</v>
      </c>
      <c r="D19" s="161" t="n">
        <v>138.2</v>
      </c>
      <c r="E19" s="163" t="n">
        <v>42</v>
      </c>
      <c r="F19" s="161" t="n">
        <v>111</v>
      </c>
      <c r="G19" s="27" t="n">
        <v>34</v>
      </c>
      <c r="H19" s="164" t="n">
        <v>147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138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삼일</t>
        </is>
      </c>
      <c r="B21" s="16" t="inlineStr">
        <is>
          <t>'90.06.</t>
        </is>
      </c>
      <c r="C21" s="164" t="n">
        <v>365</v>
      </c>
      <c r="D21" s="161" t="n">
        <v>82.5</v>
      </c>
      <c r="E21" s="163" t="n">
        <v>25</v>
      </c>
      <c r="F21" s="161" t="n">
        <v>59.9</v>
      </c>
      <c r="G21" s="27" t="n">
        <v>18</v>
      </c>
      <c r="H21" s="164" t="n">
        <v>128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복</t>
        </is>
      </c>
      <c r="T21" s="8" t="n">
        <v>82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삼일</t>
        </is>
      </c>
      <c r="B22" s="16" t="inlineStr">
        <is>
          <t>'90.06.</t>
        </is>
      </c>
      <c r="C22" s="164" t="n">
        <v>365</v>
      </c>
      <c r="D22" s="161" t="n">
        <v>93.3</v>
      </c>
      <c r="E22" s="163" t="n">
        <v>28</v>
      </c>
      <c r="F22" s="161" t="n">
        <v>74.7</v>
      </c>
      <c r="G22" s="27" t="n">
        <v>23</v>
      </c>
      <c r="H22" s="164" t="n">
        <v>7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93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삼일</t>
        </is>
      </c>
      <c r="B23" s="16" t="inlineStr">
        <is>
          <t>'90.06.</t>
        </is>
      </c>
      <c r="C23" s="164" t="n">
        <v>365</v>
      </c>
      <c r="D23" s="161" t="n">
        <v>96</v>
      </c>
      <c r="E23" s="163" t="n">
        <v>29</v>
      </c>
      <c r="F23" s="161" t="n">
        <v>69.59999999999999</v>
      </c>
      <c r="G23" s="27" t="n">
        <v>21</v>
      </c>
      <c r="H23" s="164" t="n">
        <v>102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복</t>
        </is>
      </c>
      <c r="T23" s="8" t="n">
        <v>96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삼일</t>
        </is>
      </c>
      <c r="B24" s="16" t="inlineStr">
        <is>
          <t>'90.06.</t>
        </is>
      </c>
      <c r="C24" s="164" t="n">
        <v>365</v>
      </c>
      <c r="D24" s="161" t="n">
        <v>105.6</v>
      </c>
      <c r="E24" s="163" t="n">
        <v>32</v>
      </c>
      <c r="F24" s="161" t="n">
        <v>84.90000000000001</v>
      </c>
      <c r="G24" s="27" t="n">
        <v>26</v>
      </c>
      <c r="H24" s="164" t="n">
        <v>128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105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비하효성2차</t>
        </is>
      </c>
      <c r="B26" s="16" t="inlineStr">
        <is>
          <t>'97.07.</t>
        </is>
      </c>
      <c r="C26" s="164" t="n">
        <v>478</v>
      </c>
      <c r="D26" s="161" t="n">
        <v>61.5</v>
      </c>
      <c r="E26" s="163" t="n">
        <v>19</v>
      </c>
      <c r="F26" s="161" t="n">
        <v>45.3</v>
      </c>
      <c r="G26" s="27" t="n">
        <v>14</v>
      </c>
      <c r="H26" s="164" t="n">
        <v>165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2</v>
      </c>
      <c r="R26" s="113" t="n">
        <v>1</v>
      </c>
      <c r="S26" s="113" t="inlineStr">
        <is>
          <t>복</t>
        </is>
      </c>
      <c r="T26" s="8" t="n">
        <v>61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비하효성2차</t>
        </is>
      </c>
      <c r="B27" s="16" t="inlineStr">
        <is>
          <t>'97.07.</t>
        </is>
      </c>
      <c r="C27" s="164" t="n">
        <v>478</v>
      </c>
      <c r="D27" s="161" t="n">
        <v>80.3</v>
      </c>
      <c r="E27" s="163" t="n">
        <v>24</v>
      </c>
      <c r="F27" s="161" t="n">
        <v>59.9</v>
      </c>
      <c r="G27" s="27" t="n">
        <v>18</v>
      </c>
      <c r="H27" s="164" t="n">
        <v>313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1</v>
      </c>
      <c r="S27" s="113" t="inlineStr">
        <is>
          <t>복</t>
        </is>
      </c>
      <c r="T27" s="8" t="n">
        <v>80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비하계룡리슈빌</t>
        </is>
      </c>
      <c r="B29" s="16" t="inlineStr">
        <is>
          <t>'06.09.</t>
        </is>
      </c>
      <c r="C29" s="164" t="n">
        <v>480</v>
      </c>
      <c r="D29" s="161" t="n">
        <v>116.8</v>
      </c>
      <c r="E29" s="163" t="n">
        <v>35</v>
      </c>
      <c r="F29" s="161" t="n">
        <v>85</v>
      </c>
      <c r="G29" s="27" t="n">
        <v>26</v>
      </c>
      <c r="H29" s="164" t="n">
        <v>150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116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비하계룡리슈빌</t>
        </is>
      </c>
      <c r="B30" s="16" t="inlineStr">
        <is>
          <t>'06.09.</t>
        </is>
      </c>
      <c r="C30" s="164" t="n">
        <v>480</v>
      </c>
      <c r="D30" s="161" t="n">
        <v>132.1</v>
      </c>
      <c r="E30" s="163" t="n">
        <v>40</v>
      </c>
      <c r="F30" s="161" t="n">
        <v>99.8</v>
      </c>
      <c r="G30" s="27" t="n">
        <v>30</v>
      </c>
      <c r="H30" s="164" t="n">
        <v>150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132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비하계룡리슈빌</t>
        </is>
      </c>
      <c r="B31" s="16" t="inlineStr">
        <is>
          <t>'06.09.</t>
        </is>
      </c>
      <c r="C31" s="164" t="n">
        <v>480</v>
      </c>
      <c r="D31" s="161" t="n">
        <v>165.1</v>
      </c>
      <c r="E31" s="163" t="n">
        <v>50</v>
      </c>
      <c r="F31" s="161" t="n">
        <v>133.9</v>
      </c>
      <c r="G31" s="27" t="n">
        <v>40</v>
      </c>
      <c r="H31" s="164" t="n">
        <v>120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165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비하계룡리슈빌</t>
        </is>
      </c>
      <c r="B32" s="16" t="inlineStr">
        <is>
          <t>'06.09.</t>
        </is>
      </c>
      <c r="C32" s="164" t="n">
        <v>480</v>
      </c>
      <c r="D32" s="161" t="n">
        <v>197</v>
      </c>
      <c r="E32" s="163" t="n">
        <v>60</v>
      </c>
      <c r="F32" s="161" t="n">
        <v>161.9</v>
      </c>
      <c r="G32" s="27" t="n">
        <v>49</v>
      </c>
      <c r="H32" s="164" t="n">
        <v>60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n">
        <v>197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효성1차</t>
        </is>
      </c>
      <c r="B34" s="16" t="inlineStr">
        <is>
          <t>'95.09.</t>
        </is>
      </c>
      <c r="C34" s="164" t="n">
        <v>894</v>
      </c>
      <c r="D34" s="161" t="n">
        <v>61.4</v>
      </c>
      <c r="E34" s="163" t="n">
        <v>19</v>
      </c>
      <c r="F34" s="161" t="n">
        <v>45.3</v>
      </c>
      <c r="G34" s="27" t="n">
        <v>14</v>
      </c>
      <c r="H34" s="164" t="n">
        <v>460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1</v>
      </c>
      <c r="S34" s="113" t="inlineStr">
        <is>
          <t>복</t>
        </is>
      </c>
      <c r="T34" s="8" t="n">
        <v>61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효성1차</t>
        </is>
      </c>
      <c r="B35" s="16" t="inlineStr">
        <is>
          <t>'95.09.</t>
        </is>
      </c>
      <c r="C35" s="164" t="n">
        <v>894</v>
      </c>
      <c r="D35" s="161" t="n">
        <v>81.2</v>
      </c>
      <c r="E35" s="163" t="n">
        <v>25</v>
      </c>
      <c r="F35" s="161" t="n">
        <v>59.9</v>
      </c>
      <c r="G35" s="27" t="n">
        <v>18</v>
      </c>
      <c r="H35" s="164" t="n">
        <v>434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복</t>
        </is>
      </c>
      <c r="T35" s="8" t="n">
        <v>81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87" dxfId="19">
      <formula>AV4="X"</formula>
    </cfRule>
    <cfRule type="expression" priority="488" dxfId="18">
      <formula>AV4="후보"</formula>
    </cfRule>
  </conditionalFormatting>
  <conditionalFormatting sqref="AC1:AC2 AC4:AC6 N4:N5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N1:N2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6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X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I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V7">
    <cfRule type="expression" priority="466" dxfId="19">
      <formula>AV7="X"</formula>
    </cfRule>
    <cfRule type="expression" priority="467" dxfId="18">
      <formula>AV7="후보"</formula>
    </cfRule>
  </conditionalFormatting>
  <conditionalFormatting sqref="AC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7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X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I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V8">
    <cfRule type="expression" priority="447" dxfId="19">
      <formula>AV8="X"</formula>
    </cfRule>
    <cfRule type="expression" priority="448" dxfId="18">
      <formula>AV8="후보"</formula>
    </cfRule>
  </conditionalFormatting>
  <conditionalFormatting sqref="AC8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8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X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I8">
    <cfRule type="expression" priority="430" dxfId="3">
      <formula>AND(IF(OR($Q8=1,$Q8=2),1,0),IF($X8&lt;=20,1,0))</formula>
    </cfRule>
    <cfRule type="expression" priority="431" dxfId="2">
      <formula>AND(IF($Q8=2,1,0),IF($X8&lt;30,1,0))</formula>
    </cfRule>
    <cfRule type="expression" priority="432" dxfId="1">
      <formula>AND(IF($Q8=3,1,0),IF($X8&lt;30,1,0))</formula>
    </cfRule>
    <cfRule type="expression" priority="433" dxfId="0">
      <formula>AND(IF($Q8=3,1,IF($Q8=4,1,0)),IF($F8&lt;=85,1,0))</formula>
    </cfRule>
  </conditionalFormatting>
  <conditionalFormatting sqref="AV9">
    <cfRule type="expression" priority="428" dxfId="19">
      <formula>AV9="X"</formula>
    </cfRule>
    <cfRule type="expression" priority="429" dxfId="18">
      <formula>AV9="후보"</formula>
    </cfRule>
  </conditionalFormatting>
  <conditionalFormatting sqref="AC9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9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9">
    <cfRule type="expression" priority="419" dxfId="3">
      <formula>AND(IF(OR($Q9=1,$Q9=2),1,0),IF($X9&lt;=20,1,0))</formula>
    </cfRule>
    <cfRule type="expression" priority="420" dxfId="2">
      <formula>AND(IF($Q9=2,1,0),IF($X9&lt;30,1,0))</formula>
    </cfRule>
    <cfRule type="expression" priority="421" dxfId="1">
      <formula>AND(IF($Q9=3,1,0),IF($X9&lt;30,1,0))</formula>
    </cfRule>
    <cfRule type="expression" priority="422" dxfId="0">
      <formula>AND(IF($Q9=3,1,IF($Q9=4,1,0)),IF($F9&lt;=85,1,0))</formula>
    </cfRule>
  </conditionalFormatting>
  <conditionalFormatting sqref="X9">
    <cfRule type="expression" priority="415" dxfId="3">
      <formula>AND(IF(OR($Q9=1,$Q9=2),1,0),IF($X9&lt;=20,1,0))</formula>
    </cfRule>
    <cfRule type="expression" priority="416" dxfId="2">
      <formula>AND(IF($Q9=2,1,0),IF($X9&lt;30,1,0))</formula>
    </cfRule>
    <cfRule type="expression" priority="417" dxfId="1">
      <formula>AND(IF($Q9=3,1,0),IF($X9&lt;30,1,0))</formula>
    </cfRule>
    <cfRule type="expression" priority="418" dxfId="0">
      <formula>AND(IF($Q9=3,1,IF($Q9=4,1,0)),IF($F9&lt;=85,1,0))</formula>
    </cfRule>
  </conditionalFormatting>
  <conditionalFormatting sqref="AI9">
    <cfRule type="expression" priority="411" dxfId="3">
      <formula>AND(IF(OR($Q9=1,$Q9=2),1,0),IF($X9&lt;=20,1,0))</formula>
    </cfRule>
    <cfRule type="expression" priority="412" dxfId="2">
      <formula>AND(IF($Q9=2,1,0),IF($X9&lt;30,1,0))</formula>
    </cfRule>
    <cfRule type="expression" priority="413" dxfId="1">
      <formula>AND(IF($Q9=3,1,0),IF($X9&lt;30,1,0))</formula>
    </cfRule>
    <cfRule type="expression" priority="414" dxfId="0">
      <formula>AND(IF($Q9=3,1,IF($Q9=4,1,0)),IF($F9&lt;=85,1,0))</formula>
    </cfRule>
  </conditionalFormatting>
  <conditionalFormatting sqref="AV10">
    <cfRule type="expression" priority="409" dxfId="19">
      <formula>AV10="X"</formula>
    </cfRule>
    <cfRule type="expression" priority="410" dxfId="18">
      <formula>AV10="후보"</formula>
    </cfRule>
  </conditionalFormatting>
  <conditionalFormatting sqref="AC10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0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0">
    <cfRule type="expression" priority="400" dxfId="3">
      <formula>AND(IF(OR($Q10=1,$Q10=2),1,0),IF($X10&lt;=20,1,0))</formula>
    </cfRule>
    <cfRule type="expression" priority="401" dxfId="2">
      <formula>AND(IF($Q10=2,1,0),IF($X10&lt;30,1,0))</formula>
    </cfRule>
    <cfRule type="expression" priority="402" dxfId="1">
      <formula>AND(IF($Q10=3,1,0),IF($X10&lt;30,1,0))</formula>
    </cfRule>
    <cfRule type="expression" priority="403" dxfId="0">
      <formula>AND(IF($Q10=3,1,IF($Q10=4,1,0)),IF($F10&lt;=85,1,0))</formula>
    </cfRule>
  </conditionalFormatting>
  <conditionalFormatting sqref="X10">
    <cfRule type="expression" priority="396" dxfId="3">
      <formula>AND(IF(OR($Q10=1,$Q10=2),1,0),IF($X10&lt;=20,1,0))</formula>
    </cfRule>
    <cfRule type="expression" priority="397" dxfId="2">
      <formula>AND(IF($Q10=2,1,0),IF($X10&lt;30,1,0))</formula>
    </cfRule>
    <cfRule type="expression" priority="398" dxfId="1">
      <formula>AND(IF($Q10=3,1,0),IF($X10&lt;30,1,0))</formula>
    </cfRule>
    <cfRule type="expression" priority="399" dxfId="0">
      <formula>AND(IF($Q10=3,1,IF($Q10=4,1,0)),IF($F10&lt;=85,1,0))</formula>
    </cfRule>
  </conditionalFormatting>
  <conditionalFormatting sqref="AI10">
    <cfRule type="expression" priority="392" dxfId="3">
      <formula>AND(IF(OR($Q10=1,$Q10=2),1,0),IF($X10&lt;=20,1,0))</formula>
    </cfRule>
    <cfRule type="expression" priority="393" dxfId="2">
      <formula>AND(IF($Q10=2,1,0),IF($X10&lt;30,1,0))</formula>
    </cfRule>
    <cfRule type="expression" priority="394" dxfId="1">
      <formula>AND(IF($Q10=3,1,0),IF($X10&lt;30,1,0))</formula>
    </cfRule>
    <cfRule type="expression" priority="395" dxfId="0">
      <formula>AND(IF($Q10=3,1,IF($Q10=4,1,0)),IF($F10&lt;=85,1,0))</formula>
    </cfRule>
  </conditionalFormatting>
  <conditionalFormatting sqref="AV11">
    <cfRule type="expression" priority="390" dxfId="19">
      <formula>AV11="X"</formula>
    </cfRule>
    <cfRule type="expression" priority="391" dxfId="18">
      <formula>AV11="후보"</formula>
    </cfRule>
  </conditionalFormatting>
  <conditionalFormatting sqref="AC11 N11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12">
    <cfRule type="expression" priority="385" dxfId="19">
      <formula>AV12="X"</formula>
    </cfRule>
    <cfRule type="expression" priority="386" dxfId="18">
      <formula>AV12="후보"</formula>
    </cfRule>
  </conditionalFormatting>
  <conditionalFormatting sqref="AC1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2">
    <cfRule type="expression" priority="376" dxfId="3">
      <formula>AND(IF(OR($Q12=1,$Q12=2),1,0),IF($X12&lt;=20,1,0))</formula>
    </cfRule>
    <cfRule type="expression" priority="377" dxfId="2">
      <formula>AND(IF($Q12=2,1,0),IF($X12&lt;30,1,0))</formula>
    </cfRule>
    <cfRule type="expression" priority="378" dxfId="1">
      <formula>AND(IF($Q12=3,1,0),IF($X12&lt;30,1,0))</formula>
    </cfRule>
    <cfRule type="expression" priority="379" dxfId="0">
      <formula>AND(IF($Q12=3,1,IF($Q12=4,1,0)),IF($F12&lt;=85,1,0))</formula>
    </cfRule>
  </conditionalFormatting>
  <conditionalFormatting sqref="X12">
    <cfRule type="expression" priority="372" dxfId="3">
      <formula>AND(IF(OR($Q12=1,$Q12=2),1,0),IF($X12&lt;=20,1,0))</formula>
    </cfRule>
    <cfRule type="expression" priority="373" dxfId="2">
      <formula>AND(IF($Q12=2,1,0),IF($X12&lt;30,1,0))</formula>
    </cfRule>
    <cfRule type="expression" priority="374" dxfId="1">
      <formula>AND(IF($Q12=3,1,0),IF($X12&lt;30,1,0))</formula>
    </cfRule>
    <cfRule type="expression" priority="375" dxfId="0">
      <formula>AND(IF($Q12=3,1,IF($Q12=4,1,0)),IF($F12&lt;=85,1,0))</formula>
    </cfRule>
  </conditionalFormatting>
  <conditionalFormatting sqref="AI12">
    <cfRule type="expression" priority="368" dxfId="3">
      <formula>AND(IF(OR($Q12=1,$Q12=2),1,0),IF($X12&lt;=20,1,0))</formula>
    </cfRule>
    <cfRule type="expression" priority="369" dxfId="2">
      <formula>AND(IF($Q12=2,1,0),IF($X12&lt;30,1,0))</formula>
    </cfRule>
    <cfRule type="expression" priority="370" dxfId="1">
      <formula>AND(IF($Q12=3,1,0),IF($X12&lt;30,1,0))</formula>
    </cfRule>
    <cfRule type="expression" priority="371" dxfId="0">
      <formula>AND(IF($Q12=3,1,IF($Q12=4,1,0)),IF($F12&lt;=85,1,0))</formula>
    </cfRule>
  </conditionalFormatting>
  <conditionalFormatting sqref="AV13">
    <cfRule type="expression" priority="366" dxfId="19">
      <formula>AV13="X"</formula>
    </cfRule>
    <cfRule type="expression" priority="367" dxfId="18">
      <formula>AV13="후보"</formula>
    </cfRule>
  </conditionalFormatting>
  <conditionalFormatting sqref="AC1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X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I13">
    <cfRule type="expression" priority="349" dxfId="3">
      <formula>AND(IF(OR($Q13=1,$Q13=2),1,0),IF($X13&lt;=20,1,0))</formula>
    </cfRule>
    <cfRule type="expression" priority="350" dxfId="2">
      <formula>AND(IF($Q13=2,1,0),IF($X13&lt;30,1,0))</formula>
    </cfRule>
    <cfRule type="expression" priority="351" dxfId="1">
      <formula>AND(IF($Q13=3,1,0),IF($X13&lt;30,1,0))</formula>
    </cfRule>
    <cfRule type="expression" priority="352" dxfId="0">
      <formula>AND(IF($Q13=3,1,IF($Q13=4,1,0)),IF($F13&lt;=85,1,0))</formula>
    </cfRule>
  </conditionalFormatting>
  <conditionalFormatting sqref="AV14">
    <cfRule type="expression" priority="347" dxfId="19">
      <formula>AV14="X"</formula>
    </cfRule>
    <cfRule type="expression" priority="348" dxfId="18">
      <formula>AV14="후보"</formula>
    </cfRule>
  </conditionalFormatting>
  <conditionalFormatting sqref="AC14 N1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5">
    <cfRule type="expression" priority="342" dxfId="19">
      <formula>AV15="X"</formula>
    </cfRule>
    <cfRule type="expression" priority="343" dxfId="18">
      <formula>AV15="후보"</formula>
    </cfRule>
  </conditionalFormatting>
  <conditionalFormatting sqref="AC1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5">
    <cfRule type="expression" priority="333" dxfId="3">
      <formula>AND(IF(OR($Q15=1,$Q15=2),1,0),IF($X15&lt;=20,1,0))</formula>
    </cfRule>
    <cfRule type="expression" priority="334" dxfId="2">
      <formula>AND(IF($Q15=2,1,0),IF($X15&lt;30,1,0))</formula>
    </cfRule>
    <cfRule type="expression" priority="335" dxfId="1">
      <formula>AND(IF($Q15=3,1,0),IF($X15&lt;30,1,0))</formula>
    </cfRule>
    <cfRule type="expression" priority="336" dxfId="0">
      <formula>AND(IF($Q15=3,1,IF($Q15=4,1,0)),IF($F15&lt;=85,1,0))</formula>
    </cfRule>
  </conditionalFormatting>
  <conditionalFormatting sqref="X15">
    <cfRule type="expression" priority="329" dxfId="3">
      <formula>AND(IF(OR($Q15=1,$Q15=2),1,0),IF($X15&lt;=20,1,0))</formula>
    </cfRule>
    <cfRule type="expression" priority="330" dxfId="2">
      <formula>AND(IF($Q15=2,1,0),IF($X15&lt;30,1,0))</formula>
    </cfRule>
    <cfRule type="expression" priority="331" dxfId="1">
      <formula>AND(IF($Q15=3,1,0),IF($X15&lt;30,1,0))</formula>
    </cfRule>
    <cfRule type="expression" priority="332" dxfId="0">
      <formula>AND(IF($Q15=3,1,IF($Q15=4,1,0)),IF($F15&lt;=85,1,0))</formula>
    </cfRule>
  </conditionalFormatting>
  <conditionalFormatting sqref="AI15">
    <cfRule type="expression" priority="325" dxfId="3">
      <formula>AND(IF(OR($Q15=1,$Q15=2),1,0),IF($X15&lt;=20,1,0))</formula>
    </cfRule>
    <cfRule type="expression" priority="326" dxfId="2">
      <formula>AND(IF($Q15=2,1,0),IF($X15&lt;30,1,0))</formula>
    </cfRule>
    <cfRule type="expression" priority="327" dxfId="1">
      <formula>AND(IF($Q15=3,1,0),IF($X15&lt;30,1,0))</formula>
    </cfRule>
    <cfRule type="expression" priority="328" dxfId="0">
      <formula>AND(IF($Q15=3,1,IF($Q15=4,1,0)),IF($F15&lt;=85,1,0))</formula>
    </cfRule>
  </conditionalFormatting>
  <conditionalFormatting sqref="AV16">
    <cfRule type="expression" priority="323" dxfId="19">
      <formula>AV16="X"</formula>
    </cfRule>
    <cfRule type="expression" priority="324" dxfId="18">
      <formula>AV16="후보"</formula>
    </cfRule>
  </conditionalFormatting>
  <conditionalFormatting sqref="AC1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6">
    <cfRule type="expression" priority="314" dxfId="3">
      <formula>AND(IF(OR($Q16=1,$Q16=2),1,0),IF($X16&lt;=20,1,0))</formula>
    </cfRule>
    <cfRule type="expression" priority="315" dxfId="2">
      <formula>AND(IF($Q16=2,1,0),IF($X16&lt;30,1,0))</formula>
    </cfRule>
    <cfRule type="expression" priority="316" dxfId="1">
      <formula>AND(IF($Q16=3,1,0),IF($X16&lt;30,1,0))</formula>
    </cfRule>
    <cfRule type="expression" priority="317" dxfId="0">
      <formula>AND(IF($Q16=3,1,IF($Q16=4,1,0)),IF($F16&lt;=85,1,0))</formula>
    </cfRule>
  </conditionalFormatting>
  <conditionalFormatting sqref="X16">
    <cfRule type="expression" priority="310" dxfId="3">
      <formula>AND(IF(OR($Q16=1,$Q16=2),1,0),IF($X16&lt;=20,1,0))</formula>
    </cfRule>
    <cfRule type="expression" priority="311" dxfId="2">
      <formula>AND(IF($Q16=2,1,0),IF($X16&lt;30,1,0))</formula>
    </cfRule>
    <cfRule type="expression" priority="312" dxfId="1">
      <formula>AND(IF($Q16=3,1,0),IF($X16&lt;30,1,0))</formula>
    </cfRule>
    <cfRule type="expression" priority="313" dxfId="0">
      <formula>AND(IF($Q16=3,1,IF($Q16=4,1,0)),IF($F16&lt;=85,1,0))</formula>
    </cfRule>
  </conditionalFormatting>
  <conditionalFormatting sqref="AI16">
    <cfRule type="expression" priority="306" dxfId="3">
      <formula>AND(IF(OR($Q16=1,$Q16=2),1,0),IF($X16&lt;=20,1,0))</formula>
    </cfRule>
    <cfRule type="expression" priority="307" dxfId="2">
      <formula>AND(IF($Q16=2,1,0),IF($X16&lt;30,1,0))</formula>
    </cfRule>
    <cfRule type="expression" priority="308" dxfId="1">
      <formula>AND(IF($Q16=3,1,0),IF($X16&lt;30,1,0))</formula>
    </cfRule>
    <cfRule type="expression" priority="309" dxfId="0">
      <formula>AND(IF($Q16=3,1,IF($Q16=4,1,0)),IF($F16&lt;=85,1,0))</formula>
    </cfRule>
  </conditionalFormatting>
  <conditionalFormatting sqref="AV17">
    <cfRule type="expression" priority="304" dxfId="19">
      <formula>AV17="X"</formula>
    </cfRule>
    <cfRule type="expression" priority="305" dxfId="18">
      <formula>AV17="후보"</formula>
    </cfRule>
  </conditionalFormatting>
  <conditionalFormatting sqref="AC1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19">
      <formula>AV18="X"</formula>
    </cfRule>
    <cfRule type="expression" priority="286" dxfId="18">
      <formula>AV18="후보"</formula>
    </cfRule>
  </conditionalFormatting>
  <conditionalFormatting sqref="AC18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8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19">
      <formula>AV19="X"</formula>
    </cfRule>
    <cfRule type="expression" priority="267" dxfId="18">
      <formula>AV19="후보"</formula>
    </cfRule>
  </conditionalFormatting>
  <conditionalFormatting sqref="AC1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9">
    <cfRule type="expression" priority="257" dxfId="3">
      <formula>AND(IF(OR($Q19=1,$Q19=2),1,0),IF($X19&lt;=20,1,0))</formula>
    </cfRule>
    <cfRule type="expression" priority="258" dxfId="2">
      <formula>AND(IF($Q19=2,1,0),IF($X19&lt;30,1,0))</formula>
    </cfRule>
    <cfRule type="expression" priority="259" dxfId="1">
      <formula>AND(IF($Q19=3,1,0),IF($X19&lt;30,1,0))</formula>
    </cfRule>
    <cfRule type="expression" priority="260" dxfId="0">
      <formula>AND(IF($Q19=3,1,IF($Q19=4,1,0)),IF($F19&lt;=85,1,0))</formula>
    </cfRule>
  </conditionalFormatting>
  <conditionalFormatting sqref="X19">
    <cfRule type="expression" priority="253" dxfId="3">
      <formula>AND(IF(OR($Q19=1,$Q19=2),1,0),IF($X19&lt;=20,1,0))</formula>
    </cfRule>
    <cfRule type="expression" priority="254" dxfId="2">
      <formula>AND(IF($Q19=2,1,0),IF($X19&lt;30,1,0))</formula>
    </cfRule>
    <cfRule type="expression" priority="255" dxfId="1">
      <formula>AND(IF($Q19=3,1,0),IF($X19&lt;30,1,0))</formula>
    </cfRule>
    <cfRule type="expression" priority="256" dxfId="0">
      <formula>AND(IF($Q19=3,1,IF($Q19=4,1,0)),IF($F19&lt;=85,1,0))</formula>
    </cfRule>
  </conditionalFormatting>
  <conditionalFormatting sqref="AI19">
    <cfRule type="expression" priority="249" dxfId="3">
      <formula>AND(IF(OR($Q19=1,$Q19=2),1,0),IF($X19&lt;=20,1,0))</formula>
    </cfRule>
    <cfRule type="expression" priority="250" dxfId="2">
      <formula>AND(IF($Q19=2,1,0),IF($X19&lt;30,1,0))</formula>
    </cfRule>
    <cfRule type="expression" priority="251" dxfId="1">
      <formula>AND(IF($Q19=3,1,0),IF($X19&lt;30,1,0))</formula>
    </cfRule>
    <cfRule type="expression" priority="252" dxfId="0">
      <formula>AND(IF($Q19=3,1,IF($Q19=4,1,0)),IF($F19&lt;=85,1,0))</formula>
    </cfRule>
  </conditionalFormatting>
  <conditionalFormatting sqref="AV20">
    <cfRule type="expression" priority="247" dxfId="19">
      <formula>AV20="X"</formula>
    </cfRule>
    <cfRule type="expression" priority="248" dxfId="18">
      <formula>AV20="후보"</formula>
    </cfRule>
  </conditionalFormatting>
  <conditionalFormatting sqref="AC20 N2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21">
    <cfRule type="expression" priority="242" dxfId="19">
      <formula>AV21="X"</formula>
    </cfRule>
    <cfRule type="expression" priority="243" dxfId="18">
      <formula>AV21="후보"</formula>
    </cfRule>
  </conditionalFormatting>
  <conditionalFormatting sqref="AC2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1">
    <cfRule type="expression" priority="233" dxfId="3">
      <formula>AND(IF(OR($Q21=1,$Q21=2),1,0),IF($X21&lt;=20,1,0))</formula>
    </cfRule>
    <cfRule type="expression" priority="234" dxfId="2">
      <formula>AND(IF($Q21=2,1,0),IF($X21&lt;30,1,0))</formula>
    </cfRule>
    <cfRule type="expression" priority="235" dxfId="1">
      <formula>AND(IF($Q21=3,1,0),IF($X21&lt;30,1,0))</formula>
    </cfRule>
    <cfRule type="expression" priority="236" dxfId="0">
      <formula>AND(IF($Q21=3,1,IF($Q21=4,1,0)),IF($F21&lt;=85,1,0))</formula>
    </cfRule>
  </conditionalFormatting>
  <conditionalFormatting sqref="X21">
    <cfRule type="expression" priority="229" dxfId="3">
      <formula>AND(IF(OR($Q21=1,$Q21=2),1,0),IF($X21&lt;=20,1,0))</formula>
    </cfRule>
    <cfRule type="expression" priority="230" dxfId="2">
      <formula>AND(IF($Q21=2,1,0),IF($X21&lt;30,1,0))</formula>
    </cfRule>
    <cfRule type="expression" priority="231" dxfId="1">
      <formula>AND(IF($Q21=3,1,0),IF($X21&lt;30,1,0))</formula>
    </cfRule>
    <cfRule type="expression" priority="232" dxfId="0">
      <formula>AND(IF($Q21=3,1,IF($Q21=4,1,0)),IF($F21&lt;=85,1,0))</formula>
    </cfRule>
  </conditionalFormatting>
  <conditionalFormatting sqref="AI21">
    <cfRule type="expression" priority="225" dxfId="3">
      <formula>AND(IF(OR($Q21=1,$Q21=2),1,0),IF($X21&lt;=20,1,0))</formula>
    </cfRule>
    <cfRule type="expression" priority="226" dxfId="2">
      <formula>AND(IF($Q21=2,1,0),IF($X21&lt;30,1,0))</formula>
    </cfRule>
    <cfRule type="expression" priority="227" dxfId="1">
      <formula>AND(IF($Q21=3,1,0),IF($X21&lt;30,1,0))</formula>
    </cfRule>
    <cfRule type="expression" priority="228" dxfId="0">
      <formula>AND(IF($Q21=3,1,IF($Q21=4,1,0)),IF($F21&lt;=85,1,0))</formula>
    </cfRule>
  </conditionalFormatting>
  <conditionalFormatting sqref="AV22">
    <cfRule type="expression" priority="223" dxfId="19">
      <formula>AV22="X"</formula>
    </cfRule>
    <cfRule type="expression" priority="224" dxfId="18">
      <formula>AV22="후보"</formula>
    </cfRule>
  </conditionalFormatting>
  <conditionalFormatting sqref="AC2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2">
    <cfRule type="expression" priority="214" dxfId="3">
      <formula>AND(IF(OR($Q22=1,$Q22=2),1,0),IF($X22&lt;=20,1,0))</formula>
    </cfRule>
    <cfRule type="expression" priority="215" dxfId="2">
      <formula>AND(IF($Q22=2,1,0),IF($X22&lt;30,1,0))</formula>
    </cfRule>
    <cfRule type="expression" priority="216" dxfId="1">
      <formula>AND(IF($Q22=3,1,0),IF($X22&lt;30,1,0))</formula>
    </cfRule>
    <cfRule type="expression" priority="217" dxfId="0">
      <formula>AND(IF($Q22=3,1,IF($Q22=4,1,0)),IF($F22&lt;=85,1,0))</formula>
    </cfRule>
  </conditionalFormatting>
  <conditionalFormatting sqref="X22">
    <cfRule type="expression" priority="210" dxfId="3">
      <formula>AND(IF(OR($Q22=1,$Q22=2),1,0),IF($X22&lt;=20,1,0))</formula>
    </cfRule>
    <cfRule type="expression" priority="211" dxfId="2">
      <formula>AND(IF($Q22=2,1,0),IF($X22&lt;30,1,0))</formula>
    </cfRule>
    <cfRule type="expression" priority="212" dxfId="1">
      <formula>AND(IF($Q22=3,1,0),IF($X22&lt;30,1,0))</formula>
    </cfRule>
    <cfRule type="expression" priority="213" dxfId="0">
      <formula>AND(IF($Q22=3,1,IF($Q22=4,1,0)),IF($F22&lt;=85,1,0))</formula>
    </cfRule>
  </conditionalFormatting>
  <conditionalFormatting sqref="AI22">
    <cfRule type="expression" priority="206" dxfId="3">
      <formula>AND(IF(OR($Q22=1,$Q22=2),1,0),IF($X22&lt;=20,1,0))</formula>
    </cfRule>
    <cfRule type="expression" priority="207" dxfId="2">
      <formula>AND(IF($Q22=2,1,0),IF($X22&lt;30,1,0))</formula>
    </cfRule>
    <cfRule type="expression" priority="208" dxfId="1">
      <formula>AND(IF($Q22=3,1,0),IF($X22&lt;30,1,0))</formula>
    </cfRule>
    <cfRule type="expression" priority="209" dxfId="0">
      <formula>AND(IF($Q22=3,1,IF($Q22=4,1,0)),IF($F22&lt;=85,1,0))</formula>
    </cfRule>
  </conditionalFormatting>
  <conditionalFormatting sqref="AV23">
    <cfRule type="expression" priority="204" dxfId="19">
      <formula>AV23="X"</formula>
    </cfRule>
    <cfRule type="expression" priority="205" dxfId="18">
      <formula>AV23="후보"</formula>
    </cfRule>
  </conditionalFormatting>
  <conditionalFormatting sqref="AC2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19">
      <formula>AV24="X"</formula>
    </cfRule>
    <cfRule type="expression" priority="186" dxfId="18">
      <formula>AV24="후보"</formula>
    </cfRule>
  </conditionalFormatting>
  <conditionalFormatting sqref="AC2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19">
      <formula>AV25="X"</formula>
    </cfRule>
    <cfRule type="expression" priority="167" dxfId="18">
      <formula>AV25="후보"</formula>
    </cfRule>
  </conditionalFormatting>
  <conditionalFormatting sqref="AC25 N2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26">
    <cfRule type="expression" priority="161" dxfId="19">
      <formula>AV26="X"</formula>
    </cfRule>
    <cfRule type="expression" priority="162" dxfId="18">
      <formula>AV26="후보"</formula>
    </cfRule>
  </conditionalFormatting>
  <conditionalFormatting sqref="AC2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19">
      <formula>AV27="X"</formula>
    </cfRule>
    <cfRule type="expression" priority="143" dxfId="18">
      <formula>AV27="후보"</formula>
    </cfRule>
  </conditionalFormatting>
  <conditionalFormatting sqref="AC2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19">
      <formula>AV28="X"</formula>
    </cfRule>
    <cfRule type="expression" priority="124" dxfId="18">
      <formula>AV28="후보"</formula>
    </cfRule>
  </conditionalFormatting>
  <conditionalFormatting sqref="AC28 N2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9">
    <cfRule type="expression" priority="118" dxfId="19">
      <formula>AV29="X"</formula>
    </cfRule>
    <cfRule type="expression" priority="119" dxfId="18">
      <formula>AV29="후보"</formula>
    </cfRule>
  </conditionalFormatting>
  <conditionalFormatting sqref="AC2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9">
    <cfRule type="expression" priority="109" dxfId="3">
      <formula>AND(IF(OR($Q29=1,$Q29=2),1,0),IF($X29&lt;=20,1,0))</formula>
    </cfRule>
    <cfRule type="expression" priority="110" dxfId="2">
      <formula>AND(IF($Q29=2,1,0),IF($X29&lt;30,1,0))</formula>
    </cfRule>
    <cfRule type="expression" priority="111" dxfId="1">
      <formula>AND(IF($Q29=3,1,0),IF($X29&lt;30,1,0))</formula>
    </cfRule>
    <cfRule type="expression" priority="112" dxfId="0">
      <formula>AND(IF($Q29=3,1,IF($Q29=4,1,0)),IF($F29&lt;=85,1,0))</formula>
    </cfRule>
  </conditionalFormatting>
  <conditionalFormatting sqref="X29">
    <cfRule type="expression" priority="105" dxfId="3">
      <formula>AND(IF(OR($Q29=1,$Q29=2),1,0),IF($X29&lt;=20,1,0))</formula>
    </cfRule>
    <cfRule type="expression" priority="106" dxfId="2">
      <formula>AND(IF($Q29=2,1,0),IF($X29&lt;30,1,0))</formula>
    </cfRule>
    <cfRule type="expression" priority="107" dxfId="1">
      <formula>AND(IF($Q29=3,1,0),IF($X29&lt;30,1,0))</formula>
    </cfRule>
    <cfRule type="expression" priority="108" dxfId="0">
      <formula>AND(IF($Q29=3,1,IF($Q29=4,1,0)),IF($F29&lt;=85,1,0))</formula>
    </cfRule>
  </conditionalFormatting>
  <conditionalFormatting sqref="AI29">
    <cfRule type="expression" priority="101" dxfId="3">
      <formula>AND(IF(OR($Q29=1,$Q29=2),1,0),IF($X29&lt;=20,1,0))</formula>
    </cfRule>
    <cfRule type="expression" priority="102" dxfId="2">
      <formula>AND(IF($Q29=2,1,0),IF($X29&lt;30,1,0))</formula>
    </cfRule>
    <cfRule type="expression" priority="103" dxfId="1">
      <formula>AND(IF($Q29=3,1,0),IF($X29&lt;30,1,0))</formula>
    </cfRule>
    <cfRule type="expression" priority="104" dxfId="0">
      <formula>AND(IF($Q29=3,1,IF($Q29=4,1,0)),IF($F29&lt;=85,1,0))</formula>
    </cfRule>
  </conditionalFormatting>
  <conditionalFormatting sqref="AV30">
    <cfRule type="expression" priority="99" dxfId="19">
      <formula>AV30="X"</formula>
    </cfRule>
    <cfRule type="expression" priority="100" dxfId="18">
      <formula>AV30="후보"</formula>
    </cfRule>
  </conditionalFormatting>
  <conditionalFormatting sqref="AC3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19">
      <formula>AV31="X"</formula>
    </cfRule>
    <cfRule type="expression" priority="81" dxfId="18">
      <formula>AV31="후보"</formula>
    </cfRule>
  </conditionalFormatting>
  <conditionalFormatting sqref="AC3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19">
      <formula>AV32="X"</formula>
    </cfRule>
    <cfRule type="expression" priority="62" dxfId="18">
      <formula>AV32="후보"</formula>
    </cfRule>
  </conditionalFormatting>
  <conditionalFormatting sqref="AC3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19">
      <formula>AV33="X"</formula>
    </cfRule>
    <cfRule type="expression" priority="43" dxfId="18">
      <formula>AV33="후보"</formula>
    </cfRule>
  </conditionalFormatting>
  <conditionalFormatting sqref="AC33 N3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34">
    <cfRule type="expression" priority="37" dxfId="19">
      <formula>AV34="X"</formula>
    </cfRule>
    <cfRule type="expression" priority="38" dxfId="18">
      <formula>AV34="후보"</formula>
    </cfRule>
  </conditionalFormatting>
  <conditionalFormatting sqref="AC3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19">
      <formula>AV35="X"</formula>
    </cfRule>
    <cfRule type="expression" priority="19" dxfId="18">
      <formula>AV35="후보"</formula>
    </cfRule>
  </conditionalFormatting>
  <conditionalFormatting sqref="AC3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송절동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청주테크노폴리스푸르지오</t>
        </is>
      </c>
      <c r="B6" s="16" t="inlineStr">
        <is>
          <t>'18.11.</t>
        </is>
      </c>
      <c r="C6" s="164" t="n">
        <v>1034</v>
      </c>
      <c r="D6" s="161" t="n">
        <v>98.5</v>
      </c>
      <c r="E6" s="163" t="n">
        <v>30</v>
      </c>
      <c r="F6" s="161" t="n">
        <v>73.90000000000001</v>
      </c>
      <c r="G6" s="27" t="n">
        <v>22</v>
      </c>
      <c r="H6" s="164" t="n">
        <v>129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98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청주테크노폴리스푸르지오</t>
        </is>
      </c>
      <c r="B7" s="16" t="inlineStr">
        <is>
          <t>'18.11.</t>
        </is>
      </c>
      <c r="C7" s="164" t="n">
        <v>1034</v>
      </c>
      <c r="D7" s="161" t="n">
        <v>112.5</v>
      </c>
      <c r="E7" s="163" t="n">
        <v>34</v>
      </c>
      <c r="F7" s="161" t="n">
        <v>85</v>
      </c>
      <c r="G7" s="27" t="n">
        <v>26</v>
      </c>
      <c r="H7" s="164" t="n">
        <v>616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inlineStr">
        <is>
          <t>112A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청주테크노폴리스푸르지오</t>
        </is>
      </c>
      <c r="B8" s="16" t="inlineStr">
        <is>
          <t>'18.11.</t>
        </is>
      </c>
      <c r="C8" s="164" t="n">
        <v>1034</v>
      </c>
      <c r="D8" s="161" t="n">
        <v>112.7</v>
      </c>
      <c r="E8" s="163" t="n">
        <v>34</v>
      </c>
      <c r="F8" s="161" t="n">
        <v>85</v>
      </c>
      <c r="G8" s="27" t="n">
        <v>26</v>
      </c>
      <c r="H8" s="164" t="n">
        <v>145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112B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청주테크노폴리스푸르지오</t>
        </is>
      </c>
      <c r="B9" s="16" t="inlineStr">
        <is>
          <t>'18.11.</t>
        </is>
      </c>
      <c r="C9" s="164" t="n">
        <v>1034</v>
      </c>
      <c r="D9" s="161" t="n">
        <v>112.6</v>
      </c>
      <c r="E9" s="163" t="n">
        <v>34</v>
      </c>
      <c r="F9" s="161" t="n">
        <v>85</v>
      </c>
      <c r="G9" s="27" t="n">
        <v>26</v>
      </c>
      <c r="H9" s="164" t="n">
        <v>144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112C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청주테크노폴리스지웰</t>
        </is>
      </c>
      <c r="B11" s="16" t="inlineStr">
        <is>
          <t>'20.02.</t>
        </is>
      </c>
      <c r="C11" s="164" t="n">
        <v>336</v>
      </c>
      <c r="D11" s="161" t="n">
        <v>110.8</v>
      </c>
      <c r="E11" s="163" t="n">
        <v>34</v>
      </c>
      <c r="F11" s="161" t="n">
        <v>85</v>
      </c>
      <c r="G11" s="27" t="n">
        <v>26</v>
      </c>
      <c r="H11" s="164" t="n">
        <v>192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110A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청주테크노폴리스지웰</t>
        </is>
      </c>
      <c r="B12" s="16" t="inlineStr">
        <is>
          <t>'20.02.</t>
        </is>
      </c>
      <c r="C12" s="164" t="n">
        <v>336</v>
      </c>
      <c r="D12" s="161" t="n">
        <v>111</v>
      </c>
      <c r="E12" s="163" t="n">
        <v>34</v>
      </c>
      <c r="F12" s="161" t="n">
        <v>85</v>
      </c>
      <c r="G12" s="27" t="n">
        <v>26</v>
      </c>
      <c r="H12" s="164" t="n">
        <v>44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110C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청주테크노폴리스지웰</t>
        </is>
      </c>
      <c r="B13" s="16" t="inlineStr">
        <is>
          <t>'20.02.</t>
        </is>
      </c>
      <c r="C13" s="164" t="n">
        <v>336</v>
      </c>
      <c r="D13" s="161" t="n">
        <v>111.2</v>
      </c>
      <c r="E13" s="163" t="n">
        <v>34</v>
      </c>
      <c r="F13" s="161" t="n">
        <v>85</v>
      </c>
      <c r="G13" s="27" t="n">
        <v>26</v>
      </c>
      <c r="H13" s="164" t="n">
        <v>100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111B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 ht="24" customHeight="1" s="131">
      <c r="A15" s="13" t="inlineStr">
        <is>
          <t>청주테크노폴리스우방아이유쉘1단지</t>
        </is>
      </c>
      <c r="B15" s="16" t="inlineStr">
        <is>
          <t>'18.11.</t>
        </is>
      </c>
      <c r="C15" s="164" t="n">
        <v>427</v>
      </c>
      <c r="D15" s="161" t="n">
        <v>96.3</v>
      </c>
      <c r="E15" s="163" t="n">
        <v>29</v>
      </c>
      <c r="F15" s="161" t="n">
        <v>73.09999999999999</v>
      </c>
      <c r="G15" s="27" t="n">
        <v>22</v>
      </c>
      <c r="H15" s="164" t="n">
        <v>44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96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 ht="24" customHeight="1" s="131">
      <c r="A16" s="13" t="inlineStr">
        <is>
          <t>청주테크노폴리스우방아이유쉘1단지</t>
        </is>
      </c>
      <c r="B16" s="16" t="inlineStr">
        <is>
          <t>'18.11.</t>
        </is>
      </c>
      <c r="C16" s="164" t="n">
        <v>427</v>
      </c>
      <c r="D16" s="161" t="n">
        <v>111.9</v>
      </c>
      <c r="E16" s="163" t="n">
        <v>34</v>
      </c>
      <c r="F16" s="161" t="n">
        <v>85</v>
      </c>
      <c r="G16" s="27" t="n">
        <v>26</v>
      </c>
      <c r="H16" s="164" t="n">
        <v>285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111A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 ht="24" customHeight="1" s="131">
      <c r="A17" s="13" t="inlineStr">
        <is>
          <t>청주테크노폴리스우방아이유쉘1단지</t>
        </is>
      </c>
      <c r="B17" s="16" t="inlineStr">
        <is>
          <t>'18.11.</t>
        </is>
      </c>
      <c r="C17" s="164" t="n">
        <v>427</v>
      </c>
      <c r="D17" s="161" t="n">
        <v>112.8</v>
      </c>
      <c r="E17" s="163" t="n">
        <v>34</v>
      </c>
      <c r="F17" s="161" t="n">
        <v>84.40000000000001</v>
      </c>
      <c r="G17" s="27" t="n">
        <v>26</v>
      </c>
      <c r="H17" s="164" t="n">
        <v>98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112B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 ht="24" customHeight="1" s="131">
      <c r="A19" s="13" t="inlineStr">
        <is>
          <t>청주테크노폴리스우방아이유쉘2단지</t>
        </is>
      </c>
      <c r="B19" s="16" t="inlineStr">
        <is>
          <t>'18.11.</t>
        </is>
      </c>
      <c r="C19" s="164" t="n">
        <v>424</v>
      </c>
      <c r="D19" s="161" t="n">
        <v>96.5</v>
      </c>
      <c r="E19" s="163" t="n">
        <v>29</v>
      </c>
      <c r="F19" s="161" t="n">
        <v>73.09999999999999</v>
      </c>
      <c r="G19" s="27" t="n">
        <v>22</v>
      </c>
      <c r="H19" s="164" t="n">
        <v>48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96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 ht="24" customHeight="1" s="131">
      <c r="A20" s="13" t="inlineStr">
        <is>
          <t>청주테크노폴리스우방아이유쉘2단지</t>
        </is>
      </c>
      <c r="B20" s="16" t="inlineStr">
        <is>
          <t>'18.11.</t>
        </is>
      </c>
      <c r="C20" s="164" t="n">
        <v>424</v>
      </c>
      <c r="D20" s="161" t="n">
        <v>112.2</v>
      </c>
      <c r="E20" s="163" t="n">
        <v>34</v>
      </c>
      <c r="F20" s="161" t="n">
        <v>85</v>
      </c>
      <c r="G20" s="27" t="n">
        <v>26</v>
      </c>
      <c r="H20" s="164" t="n">
        <v>282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112A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 ht="24" customHeight="1" s="131">
      <c r="A21" s="13" t="inlineStr">
        <is>
          <t>청주테크노폴리스우방아이유쉘2단지</t>
        </is>
      </c>
      <c r="B21" s="16" t="inlineStr">
        <is>
          <t>'18.11.</t>
        </is>
      </c>
      <c r="C21" s="164" t="n">
        <v>424</v>
      </c>
      <c r="D21" s="161" t="n">
        <v>113.1</v>
      </c>
      <c r="E21" s="163" t="n">
        <v>34</v>
      </c>
      <c r="F21" s="161" t="n">
        <v>84.40000000000001</v>
      </c>
      <c r="G21" s="27" t="n">
        <v>26</v>
      </c>
      <c r="H21" s="164" t="n">
        <v>94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테크노폴리스우미린</t>
        </is>
      </c>
      <c r="B23" s="16" t="inlineStr">
        <is>
          <t>'18.07.</t>
        </is>
      </c>
      <c r="C23" s="164" t="n">
        <v>1020</v>
      </c>
      <c r="D23" s="161" t="n">
        <v>112</v>
      </c>
      <c r="E23" s="163" t="n">
        <v>34</v>
      </c>
      <c r="F23" s="161" t="n">
        <v>84.90000000000001</v>
      </c>
      <c r="G23" s="27" t="n">
        <v>26</v>
      </c>
      <c r="H23" s="164" t="n">
        <v>106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111D1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테크노폴리스우미린</t>
        </is>
      </c>
      <c r="B24" s="16" t="inlineStr">
        <is>
          <t>'18.07.</t>
        </is>
      </c>
      <c r="C24" s="164" t="n">
        <v>1020</v>
      </c>
      <c r="D24" s="161" t="n">
        <v>112.3</v>
      </c>
      <c r="E24" s="163" t="n">
        <v>34</v>
      </c>
      <c r="F24" s="161" t="n">
        <v>85</v>
      </c>
      <c r="G24" s="27" t="n">
        <v>26</v>
      </c>
      <c r="H24" s="164" t="n">
        <v>288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112B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테크노폴리스우미린</t>
        </is>
      </c>
      <c r="B25" s="16" t="inlineStr">
        <is>
          <t>'18.07.</t>
        </is>
      </c>
      <c r="C25" s="164" t="n">
        <v>1020</v>
      </c>
      <c r="D25" s="161" t="n">
        <v>112.2</v>
      </c>
      <c r="E25" s="163" t="n">
        <v>34</v>
      </c>
      <c r="F25" s="161" t="n">
        <v>85</v>
      </c>
      <c r="G25" s="27" t="n">
        <v>26</v>
      </c>
      <c r="H25" s="164" t="n">
        <v>250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112A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테크노폴리스우미린</t>
        </is>
      </c>
      <c r="B26" s="16" t="inlineStr">
        <is>
          <t>'18.07.</t>
        </is>
      </c>
      <c r="C26" s="164" t="n">
        <v>1020</v>
      </c>
      <c r="D26" s="161" t="n">
        <v>112.4</v>
      </c>
      <c r="E26" s="163" t="n">
        <v>34</v>
      </c>
      <c r="F26" s="161" t="n">
        <v>84.90000000000001</v>
      </c>
      <c r="G26" s="27" t="n">
        <v>26</v>
      </c>
      <c r="H26" s="164" t="n">
        <v>211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112E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테크노폴리스우미린</t>
        </is>
      </c>
      <c r="B27" s="16" t="inlineStr">
        <is>
          <t>'18.07.</t>
        </is>
      </c>
      <c r="C27" s="164" t="n">
        <v>1020</v>
      </c>
      <c r="D27" s="161" t="n">
        <v>112.1</v>
      </c>
      <c r="E27" s="163" t="n">
        <v>34</v>
      </c>
      <c r="F27" s="161" t="n">
        <v>84.90000000000001</v>
      </c>
      <c r="G27" s="27" t="n">
        <v>26</v>
      </c>
      <c r="H27" s="164" t="n">
        <v>107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112D2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테크노폴리스우미린</t>
        </is>
      </c>
      <c r="B28" s="16" t="inlineStr">
        <is>
          <t>'18.07.</t>
        </is>
      </c>
      <c r="C28" s="164" t="n">
        <v>1020</v>
      </c>
      <c r="D28" s="161" t="n">
        <v>112.4</v>
      </c>
      <c r="E28" s="163" t="n">
        <v>34</v>
      </c>
      <c r="F28" s="161" t="n">
        <v>85</v>
      </c>
      <c r="G28" s="27" t="n">
        <v>26</v>
      </c>
      <c r="H28" s="164" t="n">
        <v>58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112C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19">
      <formula>AV4="X"</formula>
    </cfRule>
    <cfRule type="expression" priority="383" dxfId="18">
      <formula>AV4="후보"</formula>
    </cfRule>
  </conditionalFormatting>
  <conditionalFormatting sqref="AC1:AC2 AC4:AC6 N4:N5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N1:N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19">
      <formula>AV7="X"</formula>
    </cfRule>
    <cfRule type="expression" priority="362" dxfId="18">
      <formula>AV7="후보"</formula>
    </cfRule>
  </conditionalFormatting>
  <conditionalFormatting sqref="AC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19">
      <formula>AV8="X"</formula>
    </cfRule>
    <cfRule type="expression" priority="343" dxfId="18">
      <formula>AV8="후보"</formula>
    </cfRule>
  </conditionalFormatting>
  <conditionalFormatting sqref="AC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19">
      <formula>AV9="X"</formula>
    </cfRule>
    <cfRule type="expression" priority="324" dxfId="18">
      <formula>AV9="후보"</formula>
    </cfRule>
  </conditionalFormatting>
  <conditionalFormatting sqref="AC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X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I9">
    <cfRule type="expression" priority="306" dxfId="3">
      <formula>AND(IF(OR($Q9=1,$Q9=2),1,0),IF($X9&lt;=20,1,0))</formula>
    </cfRule>
    <cfRule type="expression" priority="307" dxfId="2">
      <formula>AND(IF($Q9=2,1,0),IF($X9&lt;30,1,0))</formula>
    </cfRule>
    <cfRule type="expression" priority="308" dxfId="1">
      <formula>AND(IF($Q9=3,1,0),IF($X9&lt;30,1,0))</formula>
    </cfRule>
    <cfRule type="expression" priority="309" dxfId="0">
      <formula>AND(IF($Q9=3,1,IF($Q9=4,1,0)),IF($F9&lt;=85,1,0))</formula>
    </cfRule>
  </conditionalFormatting>
  <conditionalFormatting sqref="AV10">
    <cfRule type="expression" priority="304" dxfId="19">
      <formula>AV10="X"</formula>
    </cfRule>
    <cfRule type="expression" priority="305" dxfId="18">
      <formula>AV10="후보"</formula>
    </cfRule>
  </conditionalFormatting>
  <conditionalFormatting sqref="AC10 N1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1">
    <cfRule type="expression" priority="299" dxfId="19">
      <formula>AV11="X"</formula>
    </cfRule>
    <cfRule type="expression" priority="300" dxfId="18">
      <formula>AV11="후보"</formula>
    </cfRule>
  </conditionalFormatting>
  <conditionalFormatting sqref="AC1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19">
      <formula>AV12="X"</formula>
    </cfRule>
    <cfRule type="expression" priority="281" dxfId="18">
      <formula>AV12="후보"</formula>
    </cfRule>
  </conditionalFormatting>
  <conditionalFormatting sqref="AC1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19">
      <formula>AV13="X"</formula>
    </cfRule>
    <cfRule type="expression" priority="262" dxfId="18">
      <formula>AV13="후보"</formula>
    </cfRule>
  </conditionalFormatting>
  <conditionalFormatting sqref="AC1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3">
    <cfRule type="expression" priority="252" dxfId="3">
      <formula>AND(IF(OR($Q13=1,$Q13=2),1,0),IF($X13&lt;=20,1,0))</formula>
    </cfRule>
    <cfRule type="expression" priority="253" dxfId="2">
      <formula>AND(IF($Q13=2,1,0),IF($X13&lt;30,1,0))</formula>
    </cfRule>
    <cfRule type="expression" priority="254" dxfId="1">
      <formula>AND(IF($Q13=3,1,0),IF($X13&lt;30,1,0))</formula>
    </cfRule>
    <cfRule type="expression" priority="255" dxfId="0">
      <formula>AND(IF($Q13=3,1,IF($Q13=4,1,0)),IF($F13&lt;=85,1,0))</formula>
    </cfRule>
  </conditionalFormatting>
  <conditionalFormatting sqref="X13">
    <cfRule type="expression" priority="248" dxfId="3">
      <formula>AND(IF(OR($Q13=1,$Q13=2),1,0),IF($X13&lt;=20,1,0))</formula>
    </cfRule>
    <cfRule type="expression" priority="249" dxfId="2">
      <formula>AND(IF($Q13=2,1,0),IF($X13&lt;30,1,0))</formula>
    </cfRule>
    <cfRule type="expression" priority="250" dxfId="1">
      <formula>AND(IF($Q13=3,1,0),IF($X13&lt;30,1,0))</formula>
    </cfRule>
    <cfRule type="expression" priority="251" dxfId="0">
      <formula>AND(IF($Q13=3,1,IF($Q13=4,1,0)),IF($F13&lt;=85,1,0))</formula>
    </cfRule>
  </conditionalFormatting>
  <conditionalFormatting sqref="AI13">
    <cfRule type="expression" priority="244" dxfId="3">
      <formula>AND(IF(OR($Q13=1,$Q13=2),1,0),IF($X13&lt;=20,1,0))</formula>
    </cfRule>
    <cfRule type="expression" priority="245" dxfId="2">
      <formula>AND(IF($Q13=2,1,0),IF($X13&lt;30,1,0))</formula>
    </cfRule>
    <cfRule type="expression" priority="246" dxfId="1">
      <formula>AND(IF($Q13=3,1,0),IF($X13&lt;30,1,0))</formula>
    </cfRule>
    <cfRule type="expression" priority="247" dxfId="0">
      <formula>AND(IF($Q13=3,1,IF($Q13=4,1,0)),IF($F13&lt;=85,1,0))</formula>
    </cfRule>
  </conditionalFormatting>
  <conditionalFormatting sqref="AV14">
    <cfRule type="expression" priority="242" dxfId="19">
      <formula>AV14="X"</formula>
    </cfRule>
    <cfRule type="expression" priority="243" dxfId="18">
      <formula>AV14="후보"</formula>
    </cfRule>
  </conditionalFormatting>
  <conditionalFormatting sqref="AC14 N1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15">
    <cfRule type="expression" priority="237" dxfId="19">
      <formula>AV15="X"</formula>
    </cfRule>
    <cfRule type="expression" priority="238" dxfId="18">
      <formula>AV15="후보"</formula>
    </cfRule>
  </conditionalFormatting>
  <conditionalFormatting sqref="AC1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19">
      <formula>AV16="X"</formula>
    </cfRule>
    <cfRule type="expression" priority="219" dxfId="18">
      <formula>AV16="후보"</formula>
    </cfRule>
  </conditionalFormatting>
  <conditionalFormatting sqref="AC1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19">
      <formula>AV17="X"</formula>
    </cfRule>
    <cfRule type="expression" priority="200" dxfId="18">
      <formula>AV17="후보"</formula>
    </cfRule>
  </conditionalFormatting>
  <conditionalFormatting sqref="AC1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19">
      <formula>AV18="X"</formula>
    </cfRule>
    <cfRule type="expression" priority="181" dxfId="18">
      <formula>AV18="후보"</formula>
    </cfRule>
  </conditionalFormatting>
  <conditionalFormatting sqref="AC18 N1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9">
    <cfRule type="expression" priority="175" dxfId="19">
      <formula>AV19="X"</formula>
    </cfRule>
    <cfRule type="expression" priority="176" dxfId="18">
      <formula>AV19="후보"</formula>
    </cfRule>
  </conditionalFormatting>
  <conditionalFormatting sqref="AC1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19">
      <formula>AV20="X"</formula>
    </cfRule>
    <cfRule type="expression" priority="157" dxfId="18">
      <formula>AV20="후보"</formula>
    </cfRule>
  </conditionalFormatting>
  <conditionalFormatting sqref="AC2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19">
      <formula>AV21="X"</formula>
    </cfRule>
    <cfRule type="expression" priority="138" dxfId="18">
      <formula>AV21="후보"</formula>
    </cfRule>
  </conditionalFormatting>
  <conditionalFormatting sqref="AC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19">
      <formula>AV22="X"</formula>
    </cfRule>
    <cfRule type="expression" priority="119" dxfId="18">
      <formula>AV22="후보"</formula>
    </cfRule>
  </conditionalFormatting>
  <conditionalFormatting sqref="AC22 N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23">
    <cfRule type="expression" priority="113" dxfId="19">
      <formula>AV23="X"</formula>
    </cfRule>
    <cfRule type="expression" priority="114" dxfId="18">
      <formula>AV23="후보"</formula>
    </cfRule>
  </conditionalFormatting>
  <conditionalFormatting sqref="AC2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19">
      <formula>AV24="X"</formula>
    </cfRule>
    <cfRule type="expression" priority="95" dxfId="18">
      <formula>AV24="후보"</formula>
    </cfRule>
  </conditionalFormatting>
  <conditionalFormatting sqref="AC2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19">
      <formula>AV25="X"</formula>
    </cfRule>
    <cfRule type="expression" priority="76" dxfId="18">
      <formula>AV25="후보"</formula>
    </cfRule>
  </conditionalFormatting>
  <conditionalFormatting sqref="AC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19">
      <formula>AV26="X"</formula>
    </cfRule>
    <cfRule type="expression" priority="57" dxfId="18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9">
      <formula>AV27="X"</formula>
    </cfRule>
    <cfRule type="expression" priority="38" dxfId="18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9">
      <formula>AV28="X"</formula>
    </cfRule>
    <cfRule type="expression" priority="19" dxfId="18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신봉동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삼성(159)</t>
        </is>
      </c>
      <c r="B6" s="16" t="inlineStr">
        <is>
          <t>'92.11.</t>
        </is>
      </c>
      <c r="C6" s="164" t="n">
        <v>570</v>
      </c>
      <c r="D6" s="161" t="n">
        <v>92</v>
      </c>
      <c r="E6" s="163" t="n">
        <v>28</v>
      </c>
      <c r="F6" s="161" t="n">
        <v>74.09999999999999</v>
      </c>
      <c r="G6" s="27" t="n">
        <v>22</v>
      </c>
      <c r="H6" s="164" t="n">
        <v>72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92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삼성(159)</t>
        </is>
      </c>
      <c r="B7" s="16" t="inlineStr">
        <is>
          <t>'92.11.</t>
        </is>
      </c>
      <c r="C7" s="164" t="n">
        <v>570</v>
      </c>
      <c r="D7" s="161" t="n">
        <v>102.3</v>
      </c>
      <c r="E7" s="163" t="n">
        <v>31</v>
      </c>
      <c r="F7" s="161" t="n">
        <v>85</v>
      </c>
      <c r="G7" s="27" t="n">
        <v>26</v>
      </c>
      <c r="H7" s="164" t="n">
        <v>210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102B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삼성(159)</t>
        </is>
      </c>
      <c r="B8" s="16" t="inlineStr">
        <is>
          <t>'92.11.</t>
        </is>
      </c>
      <c r="C8" s="164" t="n">
        <v>570</v>
      </c>
      <c r="D8" s="161" t="n">
        <v>102.4</v>
      </c>
      <c r="E8" s="163" t="n">
        <v>31</v>
      </c>
      <c r="F8" s="161" t="n">
        <v>84.90000000000001</v>
      </c>
      <c r="G8" s="27" t="n">
        <v>26</v>
      </c>
      <c r="H8" s="164" t="n">
        <v>198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102A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삼성(159)</t>
        </is>
      </c>
      <c r="B9" s="16" t="inlineStr">
        <is>
          <t>'92.11.</t>
        </is>
      </c>
      <c r="C9" s="164" t="n">
        <v>570</v>
      </c>
      <c r="D9" s="161" t="n">
        <v>150.7</v>
      </c>
      <c r="E9" s="163" t="n">
        <v>46</v>
      </c>
      <c r="F9" s="161" t="n">
        <v>129</v>
      </c>
      <c r="G9" s="27" t="n">
        <v>39</v>
      </c>
      <c r="H9" s="164" t="n">
        <v>90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150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두진백로</t>
        </is>
      </c>
      <c r="B11" s="16" t="inlineStr">
        <is>
          <t>'93.11.</t>
        </is>
      </c>
      <c r="C11" s="164" t="n">
        <v>244</v>
      </c>
      <c r="D11" s="161" t="n">
        <v>88.7</v>
      </c>
      <c r="E11" s="163" t="n">
        <v>27</v>
      </c>
      <c r="F11" s="161" t="n">
        <v>59.9</v>
      </c>
      <c r="G11" s="27" t="n">
        <v>18</v>
      </c>
      <c r="H11" s="164" t="n">
        <v>162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복</t>
        </is>
      </c>
      <c r="T11" s="8" t="n">
        <v>88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두진백로</t>
        </is>
      </c>
      <c r="B12" s="16" t="inlineStr">
        <is>
          <t>'93.11.</t>
        </is>
      </c>
      <c r="C12" s="164" t="n">
        <v>244</v>
      </c>
      <c r="D12" s="161" t="n">
        <v>103.5</v>
      </c>
      <c r="E12" s="163" t="n">
        <v>31</v>
      </c>
      <c r="F12" s="161" t="n">
        <v>70</v>
      </c>
      <c r="G12" s="27" t="n">
        <v>21</v>
      </c>
      <c r="H12" s="164" t="n">
        <v>30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n">
        <v>103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두진백로</t>
        </is>
      </c>
      <c r="B13" s="16" t="inlineStr">
        <is>
          <t>'93.11.</t>
        </is>
      </c>
      <c r="C13" s="164" t="n">
        <v>244</v>
      </c>
      <c r="D13" s="161" t="n">
        <v>115.5</v>
      </c>
      <c r="E13" s="163" t="n">
        <v>35</v>
      </c>
      <c r="F13" s="161" t="n">
        <v>84.90000000000001</v>
      </c>
      <c r="G13" s="27" t="n">
        <v>26</v>
      </c>
      <c r="H13" s="164" t="n">
        <v>52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복</t>
        </is>
      </c>
      <c r="T13" s="8" t="n">
        <v>115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청주신봉우림필유</t>
        </is>
      </c>
      <c r="B15" s="16" t="inlineStr">
        <is>
          <t>'07.10.</t>
        </is>
      </c>
      <c r="C15" s="164" t="n">
        <v>427</v>
      </c>
      <c r="D15" s="161" t="n">
        <v>109.2</v>
      </c>
      <c r="E15" s="163" t="n">
        <v>33</v>
      </c>
      <c r="F15" s="161" t="n">
        <v>84.90000000000001</v>
      </c>
      <c r="G15" s="27" t="n">
        <v>26</v>
      </c>
      <c r="H15" s="164" t="n">
        <v>173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청주신봉우림필유</t>
        </is>
      </c>
      <c r="B16" s="16" t="inlineStr">
        <is>
          <t>'07.10.</t>
        </is>
      </c>
      <c r="C16" s="164" t="n">
        <v>427</v>
      </c>
      <c r="D16" s="161" t="n">
        <v>131.8</v>
      </c>
      <c r="E16" s="163" t="n">
        <v>40</v>
      </c>
      <c r="F16" s="161" t="n">
        <v>106.7</v>
      </c>
      <c r="G16" s="27" t="n">
        <v>32</v>
      </c>
      <c r="H16" s="164" t="n">
        <v>84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131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청주신봉우림필유</t>
        </is>
      </c>
      <c r="B17" s="16" t="inlineStr">
        <is>
          <t>'07.10.</t>
        </is>
      </c>
      <c r="C17" s="164" t="n">
        <v>427</v>
      </c>
      <c r="D17" s="161" t="n">
        <v>162.2</v>
      </c>
      <c r="E17" s="163" t="n">
        <v>49</v>
      </c>
      <c r="F17" s="161" t="n">
        <v>132.3</v>
      </c>
      <c r="G17" s="27" t="n">
        <v>40</v>
      </c>
      <c r="H17" s="164" t="n">
        <v>170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162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한성</t>
        </is>
      </c>
      <c r="B19" s="16" t="inlineStr">
        <is>
          <t>'87.07.</t>
        </is>
      </c>
      <c r="C19" s="164" t="n">
        <v>290</v>
      </c>
      <c r="D19" s="161" t="n">
        <v>56.3</v>
      </c>
      <c r="E19" s="163" t="n">
        <v>17</v>
      </c>
      <c r="F19" s="161" t="n">
        <v>50.9</v>
      </c>
      <c r="G19" s="27" t="n">
        <v>15</v>
      </c>
      <c r="H19" s="164" t="n">
        <v>100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n">
        <v>56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한성</t>
        </is>
      </c>
      <c r="B20" s="16" t="inlineStr">
        <is>
          <t>'87.07.</t>
        </is>
      </c>
      <c r="C20" s="164" t="n">
        <v>290</v>
      </c>
      <c r="D20" s="161" t="n">
        <v>60</v>
      </c>
      <c r="E20" s="163" t="n">
        <v>18</v>
      </c>
      <c r="F20" s="161" t="n">
        <v>54.6</v>
      </c>
      <c r="G20" s="27" t="n">
        <v>17</v>
      </c>
      <c r="H20" s="164" t="n">
        <v>190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2</v>
      </c>
      <c r="R20" s="113" t="n">
        <v>1</v>
      </c>
      <c r="S20" s="113" t="inlineStr">
        <is>
          <t>계</t>
        </is>
      </c>
      <c r="T20" s="8" t="n">
        <v>60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주공</t>
        </is>
      </c>
      <c r="B22" s="16" t="inlineStr">
        <is>
          <t>'86.11.</t>
        </is>
      </c>
      <c r="C22" s="164" t="n">
        <v>1200</v>
      </c>
      <c r="D22" s="161" t="n">
        <v>44.5</v>
      </c>
      <c r="E22" s="163" t="n">
        <v>13</v>
      </c>
      <c r="F22" s="161" t="n">
        <v>39.5</v>
      </c>
      <c r="G22" s="27" t="n">
        <v>12</v>
      </c>
      <c r="H22" s="164" t="n">
        <v>5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2</v>
      </c>
      <c r="R22" s="113" t="n">
        <v>1</v>
      </c>
      <c r="S22" s="113" t="inlineStr">
        <is>
          <t>계</t>
        </is>
      </c>
      <c r="T22" s="8" t="n">
        <v>44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주공</t>
        </is>
      </c>
      <c r="B23" s="16" t="inlineStr">
        <is>
          <t>'86.11.</t>
        </is>
      </c>
      <c r="C23" s="164" t="n">
        <v>1200</v>
      </c>
      <c r="D23" s="161" t="n">
        <v>44.7</v>
      </c>
      <c r="E23" s="163" t="n">
        <v>14</v>
      </c>
      <c r="F23" s="161" t="n">
        <v>39.6</v>
      </c>
      <c r="G23" s="27" t="n">
        <v>12</v>
      </c>
      <c r="H23" s="164" t="n">
        <v>1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inlineStr">
        <is>
          <t>44A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주공</t>
        </is>
      </c>
      <c r="B24" s="16" t="inlineStr">
        <is>
          <t>'86.11.</t>
        </is>
      </c>
      <c r="C24" s="164" t="n">
        <v>1200</v>
      </c>
      <c r="D24" s="161" t="n">
        <v>45.1</v>
      </c>
      <c r="E24" s="163" t="n">
        <v>14</v>
      </c>
      <c r="F24" s="161" t="n">
        <v>39.7</v>
      </c>
      <c r="G24" s="27" t="n">
        <v>12</v>
      </c>
      <c r="H24" s="164" t="n">
        <v>390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2</v>
      </c>
      <c r="R24" s="113" t="n">
        <v>1</v>
      </c>
      <c r="S24" s="113" t="inlineStr">
        <is>
          <t>계</t>
        </is>
      </c>
      <c r="T24" s="8" t="inlineStr">
        <is>
          <t>45B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주공</t>
        </is>
      </c>
      <c r="B25" s="16" t="inlineStr">
        <is>
          <t>'86.11.</t>
        </is>
      </c>
      <c r="C25" s="164" t="n">
        <v>1200</v>
      </c>
      <c r="D25" s="161" t="n">
        <v>52.5</v>
      </c>
      <c r="E25" s="163" t="n">
        <v>16</v>
      </c>
      <c r="F25" s="161" t="n">
        <v>47.1</v>
      </c>
      <c r="G25" s="27" t="n">
        <v>14</v>
      </c>
      <c r="H25" s="164" t="n">
        <v>151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2</v>
      </c>
      <c r="R25" s="113" t="n">
        <v>1</v>
      </c>
      <c r="S25" s="113" t="inlineStr">
        <is>
          <t>계</t>
        </is>
      </c>
      <c r="T25" s="8" t="inlineStr">
        <is>
          <t>52B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주공</t>
        </is>
      </c>
      <c r="B26" s="16" t="inlineStr">
        <is>
          <t>'86.11.</t>
        </is>
      </c>
      <c r="C26" s="164" t="n">
        <v>1200</v>
      </c>
      <c r="D26" s="161" t="n">
        <v>52.1</v>
      </c>
      <c r="E26" s="163" t="n">
        <v>16</v>
      </c>
      <c r="F26" s="161" t="n">
        <v>46.7</v>
      </c>
      <c r="G26" s="27" t="n">
        <v>14</v>
      </c>
      <c r="H26" s="164" t="n">
        <v>80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inlineStr">
        <is>
          <t>52A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주공</t>
        </is>
      </c>
      <c r="B27" s="16" t="inlineStr">
        <is>
          <t>'86.11.</t>
        </is>
      </c>
      <c r="C27" s="164" t="n">
        <v>1200</v>
      </c>
      <c r="D27" s="161" t="n">
        <v>52.8</v>
      </c>
      <c r="E27" s="163" t="n">
        <v>16</v>
      </c>
      <c r="F27" s="161" t="n">
        <v>46.8</v>
      </c>
      <c r="G27" s="27" t="n">
        <v>14</v>
      </c>
      <c r="H27" s="164" t="n">
        <v>4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inlineStr">
        <is>
          <t>52C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주공</t>
        </is>
      </c>
      <c r="B28" s="16" t="inlineStr">
        <is>
          <t>'86.11.</t>
        </is>
      </c>
      <c r="C28" s="164" t="n">
        <v>1200</v>
      </c>
      <c r="D28" s="161" t="n">
        <v>58.9</v>
      </c>
      <c r="E28" s="163" t="n">
        <v>18</v>
      </c>
      <c r="F28" s="161" t="n">
        <v>53.9</v>
      </c>
      <c r="G28" s="27" t="n">
        <v>16</v>
      </c>
      <c r="H28" s="164" t="n">
        <v>306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inlineStr">
        <is>
          <t>58A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주공</t>
        </is>
      </c>
      <c r="B29" s="16" t="inlineStr">
        <is>
          <t>'86.11.</t>
        </is>
      </c>
      <c r="C29" s="164" t="n">
        <v>1200</v>
      </c>
      <c r="D29" s="161" t="n">
        <v>59.4</v>
      </c>
      <c r="E29" s="163" t="n">
        <v>18</v>
      </c>
      <c r="F29" s="161" t="n">
        <v>54</v>
      </c>
      <c r="G29" s="27" t="n">
        <v>16</v>
      </c>
      <c r="H29" s="164" t="n">
        <v>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inlineStr">
        <is>
          <t>59B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주공</t>
        </is>
      </c>
      <c r="B30" s="16" t="inlineStr">
        <is>
          <t>'86.11.</t>
        </is>
      </c>
      <c r="C30" s="164" t="n">
        <v>1200</v>
      </c>
      <c r="D30" s="161" t="n">
        <v>59.4</v>
      </c>
      <c r="E30" s="163" t="n">
        <v>18</v>
      </c>
      <c r="F30" s="161" t="n">
        <v>54</v>
      </c>
      <c r="G30" s="27" t="n">
        <v>16</v>
      </c>
      <c r="H30" s="164" t="n">
        <v>2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inlineStr">
        <is>
          <t>59C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주공</t>
        </is>
      </c>
      <c r="B31" s="16" t="inlineStr">
        <is>
          <t>'86.11.</t>
        </is>
      </c>
      <c r="C31" s="164" t="n">
        <v>1200</v>
      </c>
      <c r="D31" s="161" t="n">
        <v>67.5</v>
      </c>
      <c r="E31" s="163" t="n">
        <v>20</v>
      </c>
      <c r="F31" s="161" t="n">
        <v>61.8</v>
      </c>
      <c r="G31" s="27" t="n">
        <v>19</v>
      </c>
      <c r="H31" s="164" t="n">
        <v>246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inlineStr">
        <is>
          <t>67B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주공</t>
        </is>
      </c>
      <c r="B32" s="16" t="inlineStr">
        <is>
          <t>'86.11.</t>
        </is>
      </c>
      <c r="C32" s="164" t="n">
        <v>1200</v>
      </c>
      <c r="D32" s="161" t="n">
        <v>67.90000000000001</v>
      </c>
      <c r="E32" s="163" t="n">
        <v>21</v>
      </c>
      <c r="F32" s="161" t="n">
        <v>61.7</v>
      </c>
      <c r="G32" s="27" t="n">
        <v>19</v>
      </c>
      <c r="H32" s="164" t="n">
        <v>13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inlineStr">
        <is>
          <t>67A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삼정백조</t>
        </is>
      </c>
      <c r="B34" s="16" t="inlineStr">
        <is>
          <t>'95.07.</t>
        </is>
      </c>
      <c r="C34" s="164" t="n">
        <v>564</v>
      </c>
      <c r="D34" s="161" t="n">
        <v>77.3</v>
      </c>
      <c r="E34" s="163" t="n">
        <v>23</v>
      </c>
      <c r="F34" s="161" t="n">
        <v>59.9</v>
      </c>
      <c r="G34" s="27" t="n">
        <v>18</v>
      </c>
      <c r="H34" s="164" t="n">
        <v>264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77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삼정백조</t>
        </is>
      </c>
      <c r="B35" s="16" t="inlineStr">
        <is>
          <t>'95.07.</t>
        </is>
      </c>
      <c r="C35" s="164" t="n">
        <v>564</v>
      </c>
      <c r="D35" s="161" t="n">
        <v>107.9</v>
      </c>
      <c r="E35" s="163" t="n">
        <v>33</v>
      </c>
      <c r="F35" s="161" t="n">
        <v>84.8</v>
      </c>
      <c r="G35" s="27" t="n">
        <v>26</v>
      </c>
      <c r="H35" s="164" t="n">
        <v>220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107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삼정백조</t>
        </is>
      </c>
      <c r="B36" s="16" t="inlineStr">
        <is>
          <t>'95.07.</t>
        </is>
      </c>
      <c r="C36" s="164" t="n">
        <v>564</v>
      </c>
      <c r="D36" s="161" t="n">
        <v>159.5</v>
      </c>
      <c r="E36" s="163" t="n">
        <v>48</v>
      </c>
      <c r="F36" s="161" t="n">
        <v>128.8</v>
      </c>
      <c r="G36" s="27" t="n">
        <v>39</v>
      </c>
      <c r="H36" s="164" t="n">
        <v>40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159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삼정백조</t>
        </is>
      </c>
      <c r="B37" s="16" t="inlineStr">
        <is>
          <t>'95.07.</t>
        </is>
      </c>
      <c r="C37" s="164" t="n">
        <v>564</v>
      </c>
      <c r="D37" s="161" t="n">
        <v>199.2</v>
      </c>
      <c r="E37" s="163" t="n">
        <v>60</v>
      </c>
      <c r="F37" s="161" t="n">
        <v>164.6</v>
      </c>
      <c r="G37" s="27" t="n">
        <v>50</v>
      </c>
      <c r="H37" s="164" t="n">
        <v>20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n">
        <v>199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삼정백조</t>
        </is>
      </c>
      <c r="B38" s="16" t="inlineStr">
        <is>
          <t>'95.07.</t>
        </is>
      </c>
      <c r="C38" s="164" t="n">
        <v>564</v>
      </c>
      <c r="D38" s="161" t="n">
        <v>243.7</v>
      </c>
      <c r="E38" s="163" t="n">
        <v>74</v>
      </c>
      <c r="F38" s="161" t="n">
        <v>203.2</v>
      </c>
      <c r="G38" s="27" t="n">
        <v>61</v>
      </c>
      <c r="H38" s="164" t="n">
        <v>20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5</v>
      </c>
      <c r="R38" s="113" t="n">
        <v>3</v>
      </c>
      <c r="S38" s="113" t="inlineStr">
        <is>
          <t>계</t>
        </is>
      </c>
      <c r="T38" s="8" t="n">
        <v>243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58" dxfId="19">
      <formula>AV4="X"</formula>
    </cfRule>
    <cfRule type="expression" priority="559" dxfId="18">
      <formula>AV4="후보"</formula>
    </cfRule>
  </conditionalFormatting>
  <conditionalFormatting sqref="AC1:AC2 AC4:AC6 N4:N5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1:N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6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6">
    <cfRule type="expression" priority="547" dxfId="3">
      <formula>AND(IF(OR($Q6=1,$Q6=2),1,0),IF($X6&lt;=20,1,0))</formula>
    </cfRule>
    <cfRule type="expression" priority="548" dxfId="2">
      <formula>AND(IF($Q6=2,1,0),IF($X6&lt;30,1,0))</formula>
    </cfRule>
    <cfRule type="expression" priority="549" dxfId="1">
      <formula>AND(IF($Q6=3,1,0),IF($X6&lt;30,1,0))</formula>
    </cfRule>
    <cfRule type="expression" priority="550" dxfId="0">
      <formula>AND(IF($Q6=3,1,IF($Q6=4,1,0)),IF($F6&lt;=85,1,0))</formula>
    </cfRule>
  </conditionalFormatting>
  <conditionalFormatting sqref="X6">
    <cfRule type="expression" priority="543" dxfId="3">
      <formula>AND(IF(OR($Q6=1,$Q6=2),1,0),IF($X6&lt;=20,1,0))</formula>
    </cfRule>
    <cfRule type="expression" priority="544" dxfId="2">
      <formula>AND(IF($Q6=2,1,0),IF($X6&lt;30,1,0))</formula>
    </cfRule>
    <cfRule type="expression" priority="545" dxfId="1">
      <formula>AND(IF($Q6=3,1,0),IF($X6&lt;30,1,0))</formula>
    </cfRule>
    <cfRule type="expression" priority="546" dxfId="0">
      <formula>AND(IF($Q6=3,1,IF($Q6=4,1,0)),IF($F6&lt;=85,1,0))</formula>
    </cfRule>
  </conditionalFormatting>
  <conditionalFormatting sqref="AI6">
    <cfRule type="expression" priority="539" dxfId="3">
      <formula>AND(IF(OR($Q6=1,$Q6=2),1,0),IF($X6&lt;=20,1,0))</formula>
    </cfRule>
    <cfRule type="expression" priority="540" dxfId="2">
      <formula>AND(IF($Q6=2,1,0),IF($X6&lt;30,1,0))</formula>
    </cfRule>
    <cfRule type="expression" priority="541" dxfId="1">
      <formula>AND(IF($Q6=3,1,0),IF($X6&lt;30,1,0))</formula>
    </cfRule>
    <cfRule type="expression" priority="542" dxfId="0">
      <formula>AND(IF($Q6=3,1,IF($Q6=4,1,0)),IF($F6&lt;=85,1,0))</formula>
    </cfRule>
  </conditionalFormatting>
  <conditionalFormatting sqref="AV7">
    <cfRule type="expression" priority="537" dxfId="19">
      <formula>AV7="X"</formula>
    </cfRule>
    <cfRule type="expression" priority="538" dxfId="18">
      <formula>AV7="후보"</formula>
    </cfRule>
  </conditionalFormatting>
  <conditionalFormatting sqref="AC7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7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7">
    <cfRule type="expression" priority="528" dxfId="3">
      <formula>AND(IF(OR($Q7=1,$Q7=2),1,0),IF($X7&lt;=20,1,0))</formula>
    </cfRule>
    <cfRule type="expression" priority="529" dxfId="2">
      <formula>AND(IF($Q7=2,1,0),IF($X7&lt;30,1,0))</formula>
    </cfRule>
    <cfRule type="expression" priority="530" dxfId="1">
      <formula>AND(IF($Q7=3,1,0),IF($X7&lt;30,1,0))</formula>
    </cfRule>
    <cfRule type="expression" priority="531" dxfId="0">
      <formula>AND(IF($Q7=3,1,IF($Q7=4,1,0)),IF($F7&lt;=85,1,0))</formula>
    </cfRule>
  </conditionalFormatting>
  <conditionalFormatting sqref="X7">
    <cfRule type="expression" priority="524" dxfId="3">
      <formula>AND(IF(OR($Q7=1,$Q7=2),1,0),IF($X7&lt;=20,1,0))</formula>
    </cfRule>
    <cfRule type="expression" priority="525" dxfId="2">
      <formula>AND(IF($Q7=2,1,0),IF($X7&lt;30,1,0))</formula>
    </cfRule>
    <cfRule type="expression" priority="526" dxfId="1">
      <formula>AND(IF($Q7=3,1,0),IF($X7&lt;30,1,0))</formula>
    </cfRule>
    <cfRule type="expression" priority="527" dxfId="0">
      <formula>AND(IF($Q7=3,1,IF($Q7=4,1,0)),IF($F7&lt;=85,1,0))</formula>
    </cfRule>
  </conditionalFormatting>
  <conditionalFormatting sqref="AI7">
    <cfRule type="expression" priority="520" dxfId="3">
      <formula>AND(IF(OR($Q7=1,$Q7=2),1,0),IF($X7&lt;=20,1,0))</formula>
    </cfRule>
    <cfRule type="expression" priority="521" dxfId="2">
      <formula>AND(IF($Q7=2,1,0),IF($X7&lt;30,1,0))</formula>
    </cfRule>
    <cfRule type="expression" priority="522" dxfId="1">
      <formula>AND(IF($Q7=3,1,0),IF($X7&lt;30,1,0))</formula>
    </cfRule>
    <cfRule type="expression" priority="523" dxfId="0">
      <formula>AND(IF($Q7=3,1,IF($Q7=4,1,0)),IF($F7&lt;=85,1,0))</formula>
    </cfRule>
  </conditionalFormatting>
  <conditionalFormatting sqref="AV8">
    <cfRule type="expression" priority="518" dxfId="19">
      <formula>AV8="X"</formula>
    </cfRule>
    <cfRule type="expression" priority="519" dxfId="18">
      <formula>AV8="후보"</formula>
    </cfRule>
  </conditionalFormatting>
  <conditionalFormatting sqref="AC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8">
    <cfRule type="expression" priority="509" dxfId="3">
      <formula>AND(IF(OR($Q8=1,$Q8=2),1,0),IF($X8&lt;=20,1,0))</formula>
    </cfRule>
    <cfRule type="expression" priority="510" dxfId="2">
      <formula>AND(IF($Q8=2,1,0),IF($X8&lt;30,1,0))</formula>
    </cfRule>
    <cfRule type="expression" priority="511" dxfId="1">
      <formula>AND(IF($Q8=3,1,0),IF($X8&lt;30,1,0))</formula>
    </cfRule>
    <cfRule type="expression" priority="512" dxfId="0">
      <formula>AND(IF($Q8=3,1,IF($Q8=4,1,0)),IF($F8&lt;=85,1,0))</formula>
    </cfRule>
  </conditionalFormatting>
  <conditionalFormatting sqref="X8">
    <cfRule type="expression" priority="505" dxfId="3">
      <formula>AND(IF(OR($Q8=1,$Q8=2),1,0),IF($X8&lt;=20,1,0))</formula>
    </cfRule>
    <cfRule type="expression" priority="506" dxfId="2">
      <formula>AND(IF($Q8=2,1,0),IF($X8&lt;30,1,0))</formula>
    </cfRule>
    <cfRule type="expression" priority="507" dxfId="1">
      <formula>AND(IF($Q8=3,1,0),IF($X8&lt;30,1,0))</formula>
    </cfRule>
    <cfRule type="expression" priority="508" dxfId="0">
      <formula>AND(IF($Q8=3,1,IF($Q8=4,1,0)),IF($F8&lt;=85,1,0))</formula>
    </cfRule>
  </conditionalFormatting>
  <conditionalFormatting sqref="AI8">
    <cfRule type="expression" priority="501" dxfId="3">
      <formula>AND(IF(OR($Q8=1,$Q8=2),1,0),IF($X8&lt;=20,1,0))</formula>
    </cfRule>
    <cfRule type="expression" priority="502" dxfId="2">
      <formula>AND(IF($Q8=2,1,0),IF($X8&lt;30,1,0))</formula>
    </cfRule>
    <cfRule type="expression" priority="503" dxfId="1">
      <formula>AND(IF($Q8=3,1,0),IF($X8&lt;30,1,0))</formula>
    </cfRule>
    <cfRule type="expression" priority="504" dxfId="0">
      <formula>AND(IF($Q8=3,1,IF($Q8=4,1,0)),IF($F8&lt;=85,1,0))</formula>
    </cfRule>
  </conditionalFormatting>
  <conditionalFormatting sqref="AV9">
    <cfRule type="expression" priority="499" dxfId="19">
      <formula>AV9="X"</formula>
    </cfRule>
    <cfRule type="expression" priority="500" dxfId="18">
      <formula>AV9="후보"</formula>
    </cfRule>
  </conditionalFormatting>
  <conditionalFormatting sqref="AC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9">
    <cfRule type="expression" priority="490" dxfId="3">
      <formula>AND(IF(OR($Q9=1,$Q9=2),1,0),IF($X9&lt;=20,1,0))</formula>
    </cfRule>
    <cfRule type="expression" priority="491" dxfId="2">
      <formula>AND(IF($Q9=2,1,0),IF($X9&lt;30,1,0))</formula>
    </cfRule>
    <cfRule type="expression" priority="492" dxfId="1">
      <formula>AND(IF($Q9=3,1,0),IF($X9&lt;30,1,0))</formula>
    </cfRule>
    <cfRule type="expression" priority="493" dxfId="0">
      <formula>AND(IF($Q9=3,1,IF($Q9=4,1,0)),IF($F9&lt;=85,1,0))</formula>
    </cfRule>
  </conditionalFormatting>
  <conditionalFormatting sqref="X9">
    <cfRule type="expression" priority="486" dxfId="3">
      <formula>AND(IF(OR($Q9=1,$Q9=2),1,0),IF($X9&lt;=20,1,0))</formula>
    </cfRule>
    <cfRule type="expression" priority="487" dxfId="2">
      <formula>AND(IF($Q9=2,1,0),IF($X9&lt;30,1,0))</formula>
    </cfRule>
    <cfRule type="expression" priority="488" dxfId="1">
      <formula>AND(IF($Q9=3,1,0),IF($X9&lt;30,1,0))</formula>
    </cfRule>
    <cfRule type="expression" priority="489" dxfId="0">
      <formula>AND(IF($Q9=3,1,IF($Q9=4,1,0)),IF($F9&lt;=85,1,0))</formula>
    </cfRule>
  </conditionalFormatting>
  <conditionalFormatting sqref="AI9">
    <cfRule type="expression" priority="482" dxfId="3">
      <formula>AND(IF(OR($Q9=1,$Q9=2),1,0),IF($X9&lt;=20,1,0))</formula>
    </cfRule>
    <cfRule type="expression" priority="483" dxfId="2">
      <formula>AND(IF($Q9=2,1,0),IF($X9&lt;30,1,0))</formula>
    </cfRule>
    <cfRule type="expression" priority="484" dxfId="1">
      <formula>AND(IF($Q9=3,1,0),IF($X9&lt;30,1,0))</formula>
    </cfRule>
    <cfRule type="expression" priority="485" dxfId="0">
      <formula>AND(IF($Q9=3,1,IF($Q9=4,1,0)),IF($F9&lt;=85,1,0))</formula>
    </cfRule>
  </conditionalFormatting>
  <conditionalFormatting sqref="AV10">
    <cfRule type="expression" priority="480" dxfId="19">
      <formula>AV10="X"</formula>
    </cfRule>
    <cfRule type="expression" priority="481" dxfId="18">
      <formula>AV10="후보"</formula>
    </cfRule>
  </conditionalFormatting>
  <conditionalFormatting sqref="AC10 N1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11">
    <cfRule type="expression" priority="475" dxfId="19">
      <formula>AV11="X"</formula>
    </cfRule>
    <cfRule type="expression" priority="476" dxfId="18">
      <formula>AV11="후보"</formula>
    </cfRule>
  </conditionalFormatting>
  <conditionalFormatting sqref="AC1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1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1">
    <cfRule type="expression" priority="466" dxfId="3">
      <formula>AND(IF(OR($Q11=1,$Q11=2),1,0),IF($X11&lt;=20,1,0))</formula>
    </cfRule>
    <cfRule type="expression" priority="467" dxfId="2">
      <formula>AND(IF($Q11=2,1,0),IF($X11&lt;30,1,0))</formula>
    </cfRule>
    <cfRule type="expression" priority="468" dxfId="1">
      <formula>AND(IF($Q11=3,1,0),IF($X11&lt;30,1,0))</formula>
    </cfRule>
    <cfRule type="expression" priority="469" dxfId="0">
      <formula>AND(IF($Q11=3,1,IF($Q11=4,1,0)),IF($F11&lt;=85,1,0))</formula>
    </cfRule>
  </conditionalFormatting>
  <conditionalFormatting sqref="X11">
    <cfRule type="expression" priority="462" dxfId="3">
      <formula>AND(IF(OR($Q11=1,$Q11=2),1,0),IF($X11&lt;=20,1,0))</formula>
    </cfRule>
    <cfRule type="expression" priority="463" dxfId="2">
      <formula>AND(IF($Q11=2,1,0),IF($X11&lt;30,1,0))</formula>
    </cfRule>
    <cfRule type="expression" priority="464" dxfId="1">
      <formula>AND(IF($Q11=3,1,0),IF($X11&lt;30,1,0))</formula>
    </cfRule>
    <cfRule type="expression" priority="465" dxfId="0">
      <formula>AND(IF($Q11=3,1,IF($Q11=4,1,0)),IF($F11&lt;=85,1,0))</formula>
    </cfRule>
  </conditionalFormatting>
  <conditionalFormatting sqref="AI11">
    <cfRule type="expression" priority="458" dxfId="3">
      <formula>AND(IF(OR($Q11=1,$Q11=2),1,0),IF($X11&lt;=20,1,0))</formula>
    </cfRule>
    <cfRule type="expression" priority="459" dxfId="2">
      <formula>AND(IF($Q11=2,1,0),IF($X11&lt;30,1,0))</formula>
    </cfRule>
    <cfRule type="expression" priority="460" dxfId="1">
      <formula>AND(IF($Q11=3,1,0),IF($X11&lt;30,1,0))</formula>
    </cfRule>
    <cfRule type="expression" priority="461" dxfId="0">
      <formula>AND(IF($Q11=3,1,IF($Q11=4,1,0)),IF($F11&lt;=85,1,0))</formula>
    </cfRule>
  </conditionalFormatting>
  <conditionalFormatting sqref="AV12">
    <cfRule type="expression" priority="456" dxfId="19">
      <formula>AV12="X"</formula>
    </cfRule>
    <cfRule type="expression" priority="457" dxfId="18">
      <formula>AV12="후보"</formula>
    </cfRule>
  </conditionalFormatting>
  <conditionalFormatting sqref="AC1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2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2">
    <cfRule type="expression" priority="447" dxfId="3">
      <formula>AND(IF(OR($Q12=1,$Q12=2),1,0),IF($X12&lt;=20,1,0))</formula>
    </cfRule>
    <cfRule type="expression" priority="448" dxfId="2">
      <formula>AND(IF($Q12=2,1,0),IF($X12&lt;30,1,0))</formula>
    </cfRule>
    <cfRule type="expression" priority="449" dxfId="1">
      <formula>AND(IF($Q12=3,1,0),IF($X12&lt;30,1,0))</formula>
    </cfRule>
    <cfRule type="expression" priority="450" dxfId="0">
      <formula>AND(IF($Q12=3,1,IF($Q12=4,1,0)),IF($F12&lt;=85,1,0))</formula>
    </cfRule>
  </conditionalFormatting>
  <conditionalFormatting sqref="X12">
    <cfRule type="expression" priority="443" dxfId="3">
      <formula>AND(IF(OR($Q12=1,$Q12=2),1,0),IF($X12&lt;=20,1,0))</formula>
    </cfRule>
    <cfRule type="expression" priority="444" dxfId="2">
      <formula>AND(IF($Q12=2,1,0),IF($X12&lt;30,1,0))</formula>
    </cfRule>
    <cfRule type="expression" priority="445" dxfId="1">
      <formula>AND(IF($Q12=3,1,0),IF($X12&lt;30,1,0))</formula>
    </cfRule>
    <cfRule type="expression" priority="446" dxfId="0">
      <formula>AND(IF($Q12=3,1,IF($Q12=4,1,0)),IF($F12&lt;=85,1,0))</formula>
    </cfRule>
  </conditionalFormatting>
  <conditionalFormatting sqref="AI12">
    <cfRule type="expression" priority="439" dxfId="3">
      <formula>AND(IF(OR($Q12=1,$Q12=2),1,0),IF($X12&lt;=20,1,0))</formula>
    </cfRule>
    <cfRule type="expression" priority="440" dxfId="2">
      <formula>AND(IF($Q12=2,1,0),IF($X12&lt;30,1,0))</formula>
    </cfRule>
    <cfRule type="expression" priority="441" dxfId="1">
      <formula>AND(IF($Q12=3,1,0),IF($X12&lt;30,1,0))</formula>
    </cfRule>
    <cfRule type="expression" priority="442" dxfId="0">
      <formula>AND(IF($Q12=3,1,IF($Q12=4,1,0)),IF($F12&lt;=85,1,0))</formula>
    </cfRule>
  </conditionalFormatting>
  <conditionalFormatting sqref="AV13">
    <cfRule type="expression" priority="437" dxfId="19">
      <formula>AV13="X"</formula>
    </cfRule>
    <cfRule type="expression" priority="438" dxfId="18">
      <formula>AV13="후보"</formula>
    </cfRule>
  </conditionalFormatting>
  <conditionalFormatting sqref="AC1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3">
    <cfRule type="expression" priority="428" dxfId="3">
      <formula>AND(IF(OR($Q13=1,$Q13=2),1,0),IF($X13&lt;=20,1,0))</formula>
    </cfRule>
    <cfRule type="expression" priority="429" dxfId="2">
      <formula>AND(IF($Q13=2,1,0),IF($X13&lt;30,1,0))</formula>
    </cfRule>
    <cfRule type="expression" priority="430" dxfId="1">
      <formula>AND(IF($Q13=3,1,0),IF($X13&lt;30,1,0))</formula>
    </cfRule>
    <cfRule type="expression" priority="431" dxfId="0">
      <formula>AND(IF($Q13=3,1,IF($Q13=4,1,0)),IF($F13&lt;=85,1,0))</formula>
    </cfRule>
  </conditionalFormatting>
  <conditionalFormatting sqref="X13">
    <cfRule type="expression" priority="424" dxfId="3">
      <formula>AND(IF(OR($Q13=1,$Q13=2),1,0),IF($X13&lt;=20,1,0))</formula>
    </cfRule>
    <cfRule type="expression" priority="425" dxfId="2">
      <formula>AND(IF($Q13=2,1,0),IF($X13&lt;30,1,0))</formula>
    </cfRule>
    <cfRule type="expression" priority="426" dxfId="1">
      <formula>AND(IF($Q13=3,1,0),IF($X13&lt;30,1,0))</formula>
    </cfRule>
    <cfRule type="expression" priority="427" dxfId="0">
      <formula>AND(IF($Q13=3,1,IF($Q13=4,1,0)),IF($F13&lt;=85,1,0))</formula>
    </cfRule>
  </conditionalFormatting>
  <conditionalFormatting sqref="AI13">
    <cfRule type="expression" priority="420" dxfId="3">
      <formula>AND(IF(OR($Q13=1,$Q13=2),1,0),IF($X13&lt;=20,1,0))</formula>
    </cfRule>
    <cfRule type="expression" priority="421" dxfId="2">
      <formula>AND(IF($Q13=2,1,0),IF($X13&lt;30,1,0))</formula>
    </cfRule>
    <cfRule type="expression" priority="422" dxfId="1">
      <formula>AND(IF($Q13=3,1,0),IF($X13&lt;30,1,0))</formula>
    </cfRule>
    <cfRule type="expression" priority="423" dxfId="0">
      <formula>AND(IF($Q13=3,1,IF($Q13=4,1,0)),IF($F13&lt;=85,1,0))</formula>
    </cfRule>
  </conditionalFormatting>
  <conditionalFormatting sqref="AV14">
    <cfRule type="expression" priority="418" dxfId="19">
      <formula>AV14="X"</formula>
    </cfRule>
    <cfRule type="expression" priority="419" dxfId="18">
      <formula>AV14="후보"</formula>
    </cfRule>
  </conditionalFormatting>
  <conditionalFormatting sqref="AC14 N1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AV15">
    <cfRule type="expression" priority="413" dxfId="19">
      <formula>AV15="X"</formula>
    </cfRule>
    <cfRule type="expression" priority="414" dxfId="18">
      <formula>AV15="후보"</formula>
    </cfRule>
  </conditionalFormatting>
  <conditionalFormatting sqref="AC15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5">
    <cfRule type="expression" priority="404" dxfId="3">
      <formula>AND(IF(OR($Q15=1,$Q15=2),1,0),IF($X15&lt;=20,1,0))</formula>
    </cfRule>
    <cfRule type="expression" priority="405" dxfId="2">
      <formula>AND(IF($Q15=2,1,0),IF($X15&lt;30,1,0))</formula>
    </cfRule>
    <cfRule type="expression" priority="406" dxfId="1">
      <formula>AND(IF($Q15=3,1,0),IF($X15&lt;30,1,0))</formula>
    </cfRule>
    <cfRule type="expression" priority="407" dxfId="0">
      <formula>AND(IF($Q15=3,1,IF($Q15=4,1,0)),IF($F15&lt;=85,1,0))</formula>
    </cfRule>
  </conditionalFormatting>
  <conditionalFormatting sqref="X15">
    <cfRule type="expression" priority="400" dxfId="3">
      <formula>AND(IF(OR($Q15=1,$Q15=2),1,0),IF($X15&lt;=20,1,0))</formula>
    </cfRule>
    <cfRule type="expression" priority="401" dxfId="2">
      <formula>AND(IF($Q15=2,1,0),IF($X15&lt;30,1,0))</formula>
    </cfRule>
    <cfRule type="expression" priority="402" dxfId="1">
      <formula>AND(IF($Q15=3,1,0),IF($X15&lt;30,1,0))</formula>
    </cfRule>
    <cfRule type="expression" priority="403" dxfId="0">
      <formula>AND(IF($Q15=3,1,IF($Q15=4,1,0)),IF($F15&lt;=85,1,0))</formula>
    </cfRule>
  </conditionalFormatting>
  <conditionalFormatting sqref="AI15">
    <cfRule type="expression" priority="396" dxfId="3">
      <formula>AND(IF(OR($Q15=1,$Q15=2),1,0),IF($X15&lt;=20,1,0))</formula>
    </cfRule>
    <cfRule type="expression" priority="397" dxfId="2">
      <formula>AND(IF($Q15=2,1,0),IF($X15&lt;30,1,0))</formula>
    </cfRule>
    <cfRule type="expression" priority="398" dxfId="1">
      <formula>AND(IF($Q15=3,1,0),IF($X15&lt;30,1,0))</formula>
    </cfRule>
    <cfRule type="expression" priority="399" dxfId="0">
      <formula>AND(IF($Q15=3,1,IF($Q15=4,1,0)),IF($F15&lt;=85,1,0))</formula>
    </cfRule>
  </conditionalFormatting>
  <conditionalFormatting sqref="AV16">
    <cfRule type="expression" priority="394" dxfId="19">
      <formula>AV16="X"</formula>
    </cfRule>
    <cfRule type="expression" priority="395" dxfId="18">
      <formula>AV16="후보"</formula>
    </cfRule>
  </conditionalFormatting>
  <conditionalFormatting sqref="AC1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6">
    <cfRule type="expression" priority="385" dxfId="3">
      <formula>AND(IF(OR($Q16=1,$Q16=2),1,0),IF($X16&lt;=20,1,0))</formula>
    </cfRule>
    <cfRule type="expression" priority="386" dxfId="2">
      <formula>AND(IF($Q16=2,1,0),IF($X16&lt;30,1,0))</formula>
    </cfRule>
    <cfRule type="expression" priority="387" dxfId="1">
      <formula>AND(IF($Q16=3,1,0),IF($X16&lt;30,1,0))</formula>
    </cfRule>
    <cfRule type="expression" priority="388" dxfId="0">
      <formula>AND(IF($Q16=3,1,IF($Q16=4,1,0)),IF($F16&lt;=85,1,0))</formula>
    </cfRule>
  </conditionalFormatting>
  <conditionalFormatting sqref="X16">
    <cfRule type="expression" priority="381" dxfId="3">
      <formula>AND(IF(OR($Q16=1,$Q16=2),1,0),IF($X16&lt;=20,1,0))</formula>
    </cfRule>
    <cfRule type="expression" priority="382" dxfId="2">
      <formula>AND(IF($Q16=2,1,0),IF($X16&lt;30,1,0))</formula>
    </cfRule>
    <cfRule type="expression" priority="383" dxfId="1">
      <formula>AND(IF($Q16=3,1,0),IF($X16&lt;30,1,0))</formula>
    </cfRule>
    <cfRule type="expression" priority="384" dxfId="0">
      <formula>AND(IF($Q16=3,1,IF($Q16=4,1,0)),IF($F16&lt;=85,1,0))</formula>
    </cfRule>
  </conditionalFormatting>
  <conditionalFormatting sqref="AI16">
    <cfRule type="expression" priority="377" dxfId="3">
      <formula>AND(IF(OR($Q16=1,$Q16=2),1,0),IF($X16&lt;=20,1,0))</formula>
    </cfRule>
    <cfRule type="expression" priority="378" dxfId="2">
      <formula>AND(IF($Q16=2,1,0),IF($X16&lt;30,1,0))</formula>
    </cfRule>
    <cfRule type="expression" priority="379" dxfId="1">
      <formula>AND(IF($Q16=3,1,0),IF($X16&lt;30,1,0))</formula>
    </cfRule>
    <cfRule type="expression" priority="380" dxfId="0">
      <formula>AND(IF($Q16=3,1,IF($Q16=4,1,0)),IF($F16&lt;=85,1,0))</formula>
    </cfRule>
  </conditionalFormatting>
  <conditionalFormatting sqref="AV17">
    <cfRule type="expression" priority="375" dxfId="19">
      <formula>AV17="X"</formula>
    </cfRule>
    <cfRule type="expression" priority="376" dxfId="18">
      <formula>AV17="후보"</formula>
    </cfRule>
  </conditionalFormatting>
  <conditionalFormatting sqref="AC1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7">
    <cfRule type="expression" priority="366" dxfId="3">
      <formula>AND(IF(OR($Q17=1,$Q17=2),1,0),IF($X17&lt;=20,1,0))</formula>
    </cfRule>
    <cfRule type="expression" priority="367" dxfId="2">
      <formula>AND(IF($Q17=2,1,0),IF($X17&lt;30,1,0))</formula>
    </cfRule>
    <cfRule type="expression" priority="368" dxfId="1">
      <formula>AND(IF($Q17=3,1,0),IF($X17&lt;30,1,0))</formula>
    </cfRule>
    <cfRule type="expression" priority="369" dxfId="0">
      <formula>AND(IF($Q17=3,1,IF($Q17=4,1,0)),IF($F17&lt;=85,1,0))</formula>
    </cfRule>
  </conditionalFormatting>
  <conditionalFormatting sqref="X17">
    <cfRule type="expression" priority="362" dxfId="3">
      <formula>AND(IF(OR($Q17=1,$Q17=2),1,0),IF($X17&lt;=20,1,0))</formula>
    </cfRule>
    <cfRule type="expression" priority="363" dxfId="2">
      <formula>AND(IF($Q17=2,1,0),IF($X17&lt;30,1,0))</formula>
    </cfRule>
    <cfRule type="expression" priority="364" dxfId="1">
      <formula>AND(IF($Q17=3,1,0),IF($X17&lt;30,1,0))</formula>
    </cfRule>
    <cfRule type="expression" priority="365" dxfId="0">
      <formula>AND(IF($Q17=3,1,IF($Q17=4,1,0)),IF($F17&lt;=85,1,0))</formula>
    </cfRule>
  </conditionalFormatting>
  <conditionalFormatting sqref="AI17">
    <cfRule type="expression" priority="358" dxfId="3">
      <formula>AND(IF(OR($Q17=1,$Q17=2),1,0),IF($X17&lt;=20,1,0))</formula>
    </cfRule>
    <cfRule type="expression" priority="359" dxfId="2">
      <formula>AND(IF($Q17=2,1,0),IF($X17&lt;30,1,0))</formula>
    </cfRule>
    <cfRule type="expression" priority="360" dxfId="1">
      <formula>AND(IF($Q17=3,1,0),IF($X17&lt;30,1,0))</formula>
    </cfRule>
    <cfRule type="expression" priority="361" dxfId="0">
      <formula>AND(IF($Q17=3,1,IF($Q17=4,1,0)),IF($F17&lt;=85,1,0))</formula>
    </cfRule>
  </conditionalFormatting>
  <conditionalFormatting sqref="AV18">
    <cfRule type="expression" priority="356" dxfId="19">
      <formula>AV18="X"</formula>
    </cfRule>
    <cfRule type="expression" priority="357" dxfId="18">
      <formula>AV18="후보"</formula>
    </cfRule>
  </conditionalFormatting>
  <conditionalFormatting sqref="AC18 N1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9">
    <cfRule type="expression" priority="351" dxfId="19">
      <formula>AV19="X"</formula>
    </cfRule>
    <cfRule type="expression" priority="352" dxfId="18">
      <formula>AV19="후보"</formula>
    </cfRule>
  </conditionalFormatting>
  <conditionalFormatting sqref="AC1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9">
    <cfRule type="expression" priority="342" dxfId="3">
      <formula>AND(IF(OR($Q19=1,$Q19=2),1,0),IF($X19&lt;=20,1,0))</formula>
    </cfRule>
    <cfRule type="expression" priority="343" dxfId="2">
      <formula>AND(IF($Q19=2,1,0),IF($X19&lt;30,1,0))</formula>
    </cfRule>
    <cfRule type="expression" priority="344" dxfId="1">
      <formula>AND(IF($Q19=3,1,0),IF($X19&lt;30,1,0))</formula>
    </cfRule>
    <cfRule type="expression" priority="345" dxfId="0">
      <formula>AND(IF($Q19=3,1,IF($Q19=4,1,0)),IF($F19&lt;=85,1,0))</formula>
    </cfRule>
  </conditionalFormatting>
  <conditionalFormatting sqref="X19">
    <cfRule type="expression" priority="338" dxfId="3">
      <formula>AND(IF(OR($Q19=1,$Q19=2),1,0),IF($X19&lt;=20,1,0))</formula>
    </cfRule>
    <cfRule type="expression" priority="339" dxfId="2">
      <formula>AND(IF($Q19=2,1,0),IF($X19&lt;30,1,0))</formula>
    </cfRule>
    <cfRule type="expression" priority="340" dxfId="1">
      <formula>AND(IF($Q19=3,1,0),IF($X19&lt;30,1,0))</formula>
    </cfRule>
    <cfRule type="expression" priority="341" dxfId="0">
      <formula>AND(IF($Q19=3,1,IF($Q19=4,1,0)),IF($F19&lt;=85,1,0))</formula>
    </cfRule>
  </conditionalFormatting>
  <conditionalFormatting sqref="AI19">
    <cfRule type="expression" priority="334" dxfId="3">
      <formula>AND(IF(OR($Q19=1,$Q19=2),1,0),IF($X19&lt;=20,1,0))</formula>
    </cfRule>
    <cfRule type="expression" priority="335" dxfId="2">
      <formula>AND(IF($Q19=2,1,0),IF($X19&lt;30,1,0))</formula>
    </cfRule>
    <cfRule type="expression" priority="336" dxfId="1">
      <formula>AND(IF($Q19=3,1,0),IF($X19&lt;30,1,0))</formula>
    </cfRule>
    <cfRule type="expression" priority="337" dxfId="0">
      <formula>AND(IF($Q19=3,1,IF($Q19=4,1,0)),IF($F19&lt;=85,1,0))</formula>
    </cfRule>
  </conditionalFormatting>
  <conditionalFormatting sqref="AV20">
    <cfRule type="expression" priority="332" dxfId="19">
      <formula>AV20="X"</formula>
    </cfRule>
    <cfRule type="expression" priority="333" dxfId="18">
      <formula>AV20="후보"</formula>
    </cfRule>
  </conditionalFormatting>
  <conditionalFormatting sqref="AC2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0">
    <cfRule type="expression" priority="323" dxfId="3">
      <formula>AND(IF(OR($Q20=1,$Q20=2),1,0),IF($X20&lt;=20,1,0))</formula>
    </cfRule>
    <cfRule type="expression" priority="324" dxfId="2">
      <formula>AND(IF($Q20=2,1,0),IF($X20&lt;30,1,0))</formula>
    </cfRule>
    <cfRule type="expression" priority="325" dxfId="1">
      <formula>AND(IF($Q20=3,1,0),IF($X20&lt;30,1,0))</formula>
    </cfRule>
    <cfRule type="expression" priority="326" dxfId="0">
      <formula>AND(IF($Q20=3,1,IF($Q20=4,1,0)),IF($F20&lt;=85,1,0))</formula>
    </cfRule>
  </conditionalFormatting>
  <conditionalFormatting sqref="X20">
    <cfRule type="expression" priority="319" dxfId="3">
      <formula>AND(IF(OR($Q20=1,$Q20=2),1,0),IF($X20&lt;=20,1,0))</formula>
    </cfRule>
    <cfRule type="expression" priority="320" dxfId="2">
      <formula>AND(IF($Q20=2,1,0),IF($X20&lt;30,1,0))</formula>
    </cfRule>
    <cfRule type="expression" priority="321" dxfId="1">
      <formula>AND(IF($Q20=3,1,0),IF($X20&lt;30,1,0))</formula>
    </cfRule>
    <cfRule type="expression" priority="322" dxfId="0">
      <formula>AND(IF($Q20=3,1,IF($Q20=4,1,0)),IF($F20&lt;=85,1,0))</formula>
    </cfRule>
  </conditionalFormatting>
  <conditionalFormatting sqref="AI20">
    <cfRule type="expression" priority="315" dxfId="3">
      <formula>AND(IF(OR($Q20=1,$Q20=2),1,0),IF($X20&lt;=20,1,0))</formula>
    </cfRule>
    <cfRule type="expression" priority="316" dxfId="2">
      <formula>AND(IF($Q20=2,1,0),IF($X20&lt;30,1,0))</formula>
    </cfRule>
    <cfRule type="expression" priority="317" dxfId="1">
      <formula>AND(IF($Q20=3,1,0),IF($X20&lt;30,1,0))</formula>
    </cfRule>
    <cfRule type="expression" priority="318" dxfId="0">
      <formula>AND(IF($Q20=3,1,IF($Q20=4,1,0)),IF($F20&lt;=85,1,0))</formula>
    </cfRule>
  </conditionalFormatting>
  <conditionalFormatting sqref="AV21">
    <cfRule type="expression" priority="313" dxfId="19">
      <formula>AV21="X"</formula>
    </cfRule>
    <cfRule type="expression" priority="314" dxfId="18">
      <formula>AV21="후보"</formula>
    </cfRule>
  </conditionalFormatting>
  <conditionalFormatting sqref="AC21 N2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AV22">
    <cfRule type="expression" priority="308" dxfId="19">
      <formula>AV22="X"</formula>
    </cfRule>
    <cfRule type="expression" priority="309" dxfId="18">
      <formula>AV22="후보"</formula>
    </cfRule>
  </conditionalFormatting>
  <conditionalFormatting sqref="AC22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22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22">
    <cfRule type="expression" priority="299" dxfId="3">
      <formula>AND(IF(OR($Q22=1,$Q22=2),1,0),IF($X22&lt;=20,1,0))</formula>
    </cfRule>
    <cfRule type="expression" priority="300" dxfId="2">
      <formula>AND(IF($Q22=2,1,0),IF($X22&lt;30,1,0))</formula>
    </cfRule>
    <cfRule type="expression" priority="301" dxfId="1">
      <formula>AND(IF($Q22=3,1,0),IF($X22&lt;30,1,0))</formula>
    </cfRule>
    <cfRule type="expression" priority="302" dxfId="0">
      <formula>AND(IF($Q22=3,1,IF($Q22=4,1,0)),IF($F22&lt;=85,1,0))</formula>
    </cfRule>
  </conditionalFormatting>
  <conditionalFormatting sqref="X22">
    <cfRule type="expression" priority="295" dxfId="3">
      <formula>AND(IF(OR($Q22=1,$Q22=2),1,0),IF($X22&lt;=20,1,0))</formula>
    </cfRule>
    <cfRule type="expression" priority="296" dxfId="2">
      <formula>AND(IF($Q22=2,1,0),IF($X22&lt;30,1,0))</formula>
    </cfRule>
    <cfRule type="expression" priority="297" dxfId="1">
      <formula>AND(IF($Q22=3,1,0),IF($X22&lt;30,1,0))</formula>
    </cfRule>
    <cfRule type="expression" priority="298" dxfId="0">
      <formula>AND(IF($Q22=3,1,IF($Q22=4,1,0)),IF($F22&lt;=85,1,0))</formula>
    </cfRule>
  </conditionalFormatting>
  <conditionalFormatting sqref="AI22">
    <cfRule type="expression" priority="291" dxfId="3">
      <formula>AND(IF(OR($Q22=1,$Q22=2),1,0),IF($X22&lt;=20,1,0))</formula>
    </cfRule>
    <cfRule type="expression" priority="292" dxfId="2">
      <formula>AND(IF($Q22=2,1,0),IF($X22&lt;30,1,0))</formula>
    </cfRule>
    <cfRule type="expression" priority="293" dxfId="1">
      <formula>AND(IF($Q22=3,1,0),IF($X22&lt;30,1,0))</formula>
    </cfRule>
    <cfRule type="expression" priority="294" dxfId="0">
      <formula>AND(IF($Q22=3,1,IF($Q22=4,1,0)),IF($F22&lt;=85,1,0))</formula>
    </cfRule>
  </conditionalFormatting>
  <conditionalFormatting sqref="AV23">
    <cfRule type="expression" priority="289" dxfId="19">
      <formula>AV23="X"</formula>
    </cfRule>
    <cfRule type="expression" priority="290" dxfId="18">
      <formula>AV23="후보"</formula>
    </cfRule>
  </conditionalFormatting>
  <conditionalFormatting sqref="AC23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23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23">
    <cfRule type="expression" priority="280" dxfId="3">
      <formula>AND(IF(OR($Q23=1,$Q23=2),1,0),IF($X23&lt;=20,1,0))</formula>
    </cfRule>
    <cfRule type="expression" priority="281" dxfId="2">
      <formula>AND(IF($Q23=2,1,0),IF($X23&lt;30,1,0))</formula>
    </cfRule>
    <cfRule type="expression" priority="282" dxfId="1">
      <formula>AND(IF($Q23=3,1,0),IF($X23&lt;30,1,0))</formula>
    </cfRule>
    <cfRule type="expression" priority="283" dxfId="0">
      <formula>AND(IF($Q23=3,1,IF($Q23=4,1,0)),IF($F23&lt;=85,1,0))</formula>
    </cfRule>
  </conditionalFormatting>
  <conditionalFormatting sqref="X23">
    <cfRule type="expression" priority="276" dxfId="3">
      <formula>AND(IF(OR($Q23=1,$Q23=2),1,0),IF($X23&lt;=20,1,0))</formula>
    </cfRule>
    <cfRule type="expression" priority="277" dxfId="2">
      <formula>AND(IF($Q23=2,1,0),IF($X23&lt;30,1,0))</formula>
    </cfRule>
    <cfRule type="expression" priority="278" dxfId="1">
      <formula>AND(IF($Q23=3,1,0),IF($X23&lt;30,1,0))</formula>
    </cfRule>
    <cfRule type="expression" priority="279" dxfId="0">
      <formula>AND(IF($Q23=3,1,IF($Q23=4,1,0)),IF($F23&lt;=85,1,0))</formula>
    </cfRule>
  </conditionalFormatting>
  <conditionalFormatting sqref="AI23">
    <cfRule type="expression" priority="272" dxfId="3">
      <formula>AND(IF(OR($Q23=1,$Q23=2),1,0),IF($X23&lt;=20,1,0))</formula>
    </cfRule>
    <cfRule type="expression" priority="273" dxfId="2">
      <formula>AND(IF($Q23=2,1,0),IF($X23&lt;30,1,0))</formula>
    </cfRule>
    <cfRule type="expression" priority="274" dxfId="1">
      <formula>AND(IF($Q23=3,1,0),IF($X23&lt;30,1,0))</formula>
    </cfRule>
    <cfRule type="expression" priority="275" dxfId="0">
      <formula>AND(IF($Q23=3,1,IF($Q23=4,1,0)),IF($F23&lt;=85,1,0))</formula>
    </cfRule>
  </conditionalFormatting>
  <conditionalFormatting sqref="AV24">
    <cfRule type="expression" priority="270" dxfId="19">
      <formula>AV24="X"</formula>
    </cfRule>
    <cfRule type="expression" priority="271" dxfId="18">
      <formula>AV24="후보"</formula>
    </cfRule>
  </conditionalFormatting>
  <conditionalFormatting sqref="AC2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2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24">
    <cfRule type="expression" priority="261" dxfId="3">
      <formula>AND(IF(OR($Q24=1,$Q24=2),1,0),IF($X24&lt;=20,1,0))</formula>
    </cfRule>
    <cfRule type="expression" priority="262" dxfId="2">
      <formula>AND(IF($Q24=2,1,0),IF($X24&lt;30,1,0))</formula>
    </cfRule>
    <cfRule type="expression" priority="263" dxfId="1">
      <formula>AND(IF($Q24=3,1,0),IF($X24&lt;30,1,0))</formula>
    </cfRule>
    <cfRule type="expression" priority="264" dxfId="0">
      <formula>AND(IF($Q24=3,1,IF($Q24=4,1,0)),IF($F24&lt;=85,1,0))</formula>
    </cfRule>
  </conditionalFormatting>
  <conditionalFormatting sqref="X24">
    <cfRule type="expression" priority="257" dxfId="3">
      <formula>AND(IF(OR($Q24=1,$Q24=2),1,0),IF($X24&lt;=20,1,0))</formula>
    </cfRule>
    <cfRule type="expression" priority="258" dxfId="2">
      <formula>AND(IF($Q24=2,1,0),IF($X24&lt;30,1,0))</formula>
    </cfRule>
    <cfRule type="expression" priority="259" dxfId="1">
      <formula>AND(IF($Q24=3,1,0),IF($X24&lt;30,1,0))</formula>
    </cfRule>
    <cfRule type="expression" priority="260" dxfId="0">
      <formula>AND(IF($Q24=3,1,IF($Q24=4,1,0)),IF($F24&lt;=85,1,0))</formula>
    </cfRule>
  </conditionalFormatting>
  <conditionalFormatting sqref="AI24">
    <cfRule type="expression" priority="253" dxfId="3">
      <formula>AND(IF(OR($Q24=1,$Q24=2),1,0),IF($X24&lt;=20,1,0))</formula>
    </cfRule>
    <cfRule type="expression" priority="254" dxfId="2">
      <formula>AND(IF($Q24=2,1,0),IF($X24&lt;30,1,0))</formula>
    </cfRule>
    <cfRule type="expression" priority="255" dxfId="1">
      <formula>AND(IF($Q24=3,1,0),IF($X24&lt;30,1,0))</formula>
    </cfRule>
    <cfRule type="expression" priority="256" dxfId="0">
      <formula>AND(IF($Q24=3,1,IF($Q24=4,1,0)),IF($F24&lt;=85,1,0))</formula>
    </cfRule>
  </conditionalFormatting>
  <conditionalFormatting sqref="AV25">
    <cfRule type="expression" priority="251" dxfId="19">
      <formula>AV25="X"</formula>
    </cfRule>
    <cfRule type="expression" priority="252" dxfId="18">
      <formula>AV25="후보"</formula>
    </cfRule>
  </conditionalFormatting>
  <conditionalFormatting sqref="AC2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5">
    <cfRule type="expression" priority="242" dxfId="3">
      <formula>AND(IF(OR($Q25=1,$Q25=2),1,0),IF($X25&lt;=20,1,0))</formula>
    </cfRule>
    <cfRule type="expression" priority="243" dxfId="2">
      <formula>AND(IF($Q25=2,1,0),IF($X25&lt;30,1,0))</formula>
    </cfRule>
    <cfRule type="expression" priority="244" dxfId="1">
      <formula>AND(IF($Q25=3,1,0),IF($X25&lt;30,1,0))</formula>
    </cfRule>
    <cfRule type="expression" priority="245" dxfId="0">
      <formula>AND(IF($Q25=3,1,IF($Q25=4,1,0)),IF($F25&lt;=85,1,0))</formula>
    </cfRule>
  </conditionalFormatting>
  <conditionalFormatting sqref="X25">
    <cfRule type="expression" priority="238" dxfId="3">
      <formula>AND(IF(OR($Q25=1,$Q25=2),1,0),IF($X25&lt;=20,1,0))</formula>
    </cfRule>
    <cfRule type="expression" priority="239" dxfId="2">
      <formula>AND(IF($Q25=2,1,0),IF($X25&lt;30,1,0))</formula>
    </cfRule>
    <cfRule type="expression" priority="240" dxfId="1">
      <formula>AND(IF($Q25=3,1,0),IF($X25&lt;30,1,0))</formula>
    </cfRule>
    <cfRule type="expression" priority="241" dxfId="0">
      <formula>AND(IF($Q25=3,1,IF($Q25=4,1,0)),IF($F25&lt;=85,1,0))</formula>
    </cfRule>
  </conditionalFormatting>
  <conditionalFormatting sqref="AI25">
    <cfRule type="expression" priority="234" dxfId="3">
      <formula>AND(IF(OR($Q25=1,$Q25=2),1,0),IF($X25&lt;=20,1,0))</formula>
    </cfRule>
    <cfRule type="expression" priority="235" dxfId="2">
      <formula>AND(IF($Q25=2,1,0),IF($X25&lt;30,1,0))</formula>
    </cfRule>
    <cfRule type="expression" priority="236" dxfId="1">
      <formula>AND(IF($Q25=3,1,0),IF($X25&lt;30,1,0))</formula>
    </cfRule>
    <cfRule type="expression" priority="237" dxfId="0">
      <formula>AND(IF($Q25=3,1,IF($Q25=4,1,0)),IF($F25&lt;=85,1,0))</formula>
    </cfRule>
  </conditionalFormatting>
  <conditionalFormatting sqref="AV26">
    <cfRule type="expression" priority="232" dxfId="19">
      <formula>AV26="X"</formula>
    </cfRule>
    <cfRule type="expression" priority="233" dxfId="18">
      <formula>AV26="후보"</formula>
    </cfRule>
  </conditionalFormatting>
  <conditionalFormatting sqref="AC2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6">
    <cfRule type="expression" priority="223" dxfId="3">
      <formula>AND(IF(OR($Q26=1,$Q26=2),1,0),IF($X26&lt;=20,1,0))</formula>
    </cfRule>
    <cfRule type="expression" priority="224" dxfId="2">
      <formula>AND(IF($Q26=2,1,0),IF($X26&lt;30,1,0))</formula>
    </cfRule>
    <cfRule type="expression" priority="225" dxfId="1">
      <formula>AND(IF($Q26=3,1,0),IF($X26&lt;30,1,0))</formula>
    </cfRule>
    <cfRule type="expression" priority="226" dxfId="0">
      <formula>AND(IF($Q26=3,1,IF($Q26=4,1,0)),IF($F26&lt;=85,1,0))</formula>
    </cfRule>
  </conditionalFormatting>
  <conditionalFormatting sqref="X26">
    <cfRule type="expression" priority="219" dxfId="3">
      <formula>AND(IF(OR($Q26=1,$Q26=2),1,0),IF($X26&lt;=20,1,0))</formula>
    </cfRule>
    <cfRule type="expression" priority="220" dxfId="2">
      <formula>AND(IF($Q26=2,1,0),IF($X26&lt;30,1,0))</formula>
    </cfRule>
    <cfRule type="expression" priority="221" dxfId="1">
      <formula>AND(IF($Q26=3,1,0),IF($X26&lt;30,1,0))</formula>
    </cfRule>
    <cfRule type="expression" priority="222" dxfId="0">
      <formula>AND(IF($Q26=3,1,IF($Q26=4,1,0)),IF($F26&lt;=85,1,0))</formula>
    </cfRule>
  </conditionalFormatting>
  <conditionalFormatting sqref="AI26">
    <cfRule type="expression" priority="215" dxfId="3">
      <formula>AND(IF(OR($Q26=1,$Q26=2),1,0),IF($X26&lt;=20,1,0))</formula>
    </cfRule>
    <cfRule type="expression" priority="216" dxfId="2">
      <formula>AND(IF($Q26=2,1,0),IF($X26&lt;30,1,0))</formula>
    </cfRule>
    <cfRule type="expression" priority="217" dxfId="1">
      <formula>AND(IF($Q26=3,1,0),IF($X26&lt;30,1,0))</formula>
    </cfRule>
    <cfRule type="expression" priority="218" dxfId="0">
      <formula>AND(IF($Q26=3,1,IF($Q26=4,1,0)),IF($F26&lt;=85,1,0))</formula>
    </cfRule>
  </conditionalFormatting>
  <conditionalFormatting sqref="AV27">
    <cfRule type="expression" priority="213" dxfId="19">
      <formula>AV27="X"</formula>
    </cfRule>
    <cfRule type="expression" priority="214" dxfId="18">
      <formula>AV27="후보"</formula>
    </cfRule>
  </conditionalFormatting>
  <conditionalFormatting sqref="AC2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7">
    <cfRule type="expression" priority="204" dxfId="3">
      <formula>AND(IF(OR($Q27=1,$Q27=2),1,0),IF($X27&lt;=20,1,0))</formula>
    </cfRule>
    <cfRule type="expression" priority="205" dxfId="2">
      <formula>AND(IF($Q27=2,1,0),IF($X27&lt;30,1,0))</formula>
    </cfRule>
    <cfRule type="expression" priority="206" dxfId="1">
      <formula>AND(IF($Q27=3,1,0),IF($X27&lt;30,1,0))</formula>
    </cfRule>
    <cfRule type="expression" priority="207" dxfId="0">
      <formula>AND(IF($Q27=3,1,IF($Q27=4,1,0)),IF($F27&lt;=85,1,0))</formula>
    </cfRule>
  </conditionalFormatting>
  <conditionalFormatting sqref="X27">
    <cfRule type="expression" priority="200" dxfId="3">
      <formula>AND(IF(OR($Q27=1,$Q27=2),1,0),IF($X27&lt;=20,1,0))</formula>
    </cfRule>
    <cfRule type="expression" priority="201" dxfId="2">
      <formula>AND(IF($Q27=2,1,0),IF($X27&lt;30,1,0))</formula>
    </cfRule>
    <cfRule type="expression" priority="202" dxfId="1">
      <formula>AND(IF($Q27=3,1,0),IF($X27&lt;30,1,0))</formula>
    </cfRule>
    <cfRule type="expression" priority="203" dxfId="0">
      <formula>AND(IF($Q27=3,1,IF($Q27=4,1,0)),IF($F27&lt;=85,1,0))</formula>
    </cfRule>
  </conditionalFormatting>
  <conditionalFormatting sqref="AI27">
    <cfRule type="expression" priority="196" dxfId="3">
      <formula>AND(IF(OR($Q27=1,$Q27=2),1,0),IF($X27&lt;=20,1,0))</formula>
    </cfRule>
    <cfRule type="expression" priority="197" dxfId="2">
      <formula>AND(IF($Q27=2,1,0),IF($X27&lt;30,1,0))</formula>
    </cfRule>
    <cfRule type="expression" priority="198" dxfId="1">
      <formula>AND(IF($Q27=3,1,0),IF($X27&lt;30,1,0))</formula>
    </cfRule>
    <cfRule type="expression" priority="199" dxfId="0">
      <formula>AND(IF($Q27=3,1,IF($Q27=4,1,0)),IF($F27&lt;=85,1,0))</formula>
    </cfRule>
  </conditionalFormatting>
  <conditionalFormatting sqref="AV28">
    <cfRule type="expression" priority="194" dxfId="19">
      <formula>AV28="X"</formula>
    </cfRule>
    <cfRule type="expression" priority="195" dxfId="18">
      <formula>AV28="후보"</formula>
    </cfRule>
  </conditionalFormatting>
  <conditionalFormatting sqref="AC2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8">
    <cfRule type="expression" priority="185" dxfId="3">
      <formula>AND(IF(OR($Q28=1,$Q28=2),1,0),IF($X28&lt;=20,1,0))</formula>
    </cfRule>
    <cfRule type="expression" priority="186" dxfId="2">
      <formula>AND(IF($Q28=2,1,0),IF($X28&lt;30,1,0))</formula>
    </cfRule>
    <cfRule type="expression" priority="187" dxfId="1">
      <formula>AND(IF($Q28=3,1,0),IF($X28&lt;30,1,0))</formula>
    </cfRule>
    <cfRule type="expression" priority="188" dxfId="0">
      <formula>AND(IF($Q28=3,1,IF($Q28=4,1,0)),IF($F28&lt;=85,1,0))</formula>
    </cfRule>
  </conditionalFormatting>
  <conditionalFormatting sqref="X28">
    <cfRule type="expression" priority="181" dxfId="3">
      <formula>AND(IF(OR($Q28=1,$Q28=2),1,0),IF($X28&lt;=20,1,0))</formula>
    </cfRule>
    <cfRule type="expression" priority="182" dxfId="2">
      <formula>AND(IF($Q28=2,1,0),IF($X28&lt;30,1,0))</formula>
    </cfRule>
    <cfRule type="expression" priority="183" dxfId="1">
      <formula>AND(IF($Q28=3,1,0),IF($X28&lt;30,1,0))</formula>
    </cfRule>
    <cfRule type="expression" priority="184" dxfId="0">
      <formula>AND(IF($Q28=3,1,IF($Q28=4,1,0)),IF($F28&lt;=85,1,0))</formula>
    </cfRule>
  </conditionalFormatting>
  <conditionalFormatting sqref="AI28">
    <cfRule type="expression" priority="177" dxfId="3">
      <formula>AND(IF(OR($Q28=1,$Q28=2),1,0),IF($X28&lt;=20,1,0))</formula>
    </cfRule>
    <cfRule type="expression" priority="178" dxfId="2">
      <formula>AND(IF($Q28=2,1,0),IF($X28&lt;30,1,0))</formula>
    </cfRule>
    <cfRule type="expression" priority="179" dxfId="1">
      <formula>AND(IF($Q28=3,1,0),IF($X28&lt;30,1,0))</formula>
    </cfRule>
    <cfRule type="expression" priority="180" dxfId="0">
      <formula>AND(IF($Q28=3,1,IF($Q28=4,1,0)),IF($F28&lt;=85,1,0))</formula>
    </cfRule>
  </conditionalFormatting>
  <conditionalFormatting sqref="AV29">
    <cfRule type="expression" priority="175" dxfId="19">
      <formula>AV29="X"</formula>
    </cfRule>
    <cfRule type="expression" priority="176" dxfId="18">
      <formula>AV29="후보"</formula>
    </cfRule>
  </conditionalFormatting>
  <conditionalFormatting sqref="AC2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9">
    <cfRule type="expression" priority="166" dxfId="3">
      <formula>AND(IF(OR($Q29=1,$Q29=2),1,0),IF($X29&lt;=20,1,0))</formula>
    </cfRule>
    <cfRule type="expression" priority="167" dxfId="2">
      <formula>AND(IF($Q29=2,1,0),IF($X29&lt;30,1,0))</formula>
    </cfRule>
    <cfRule type="expression" priority="168" dxfId="1">
      <formula>AND(IF($Q29=3,1,0),IF($X29&lt;30,1,0))</formula>
    </cfRule>
    <cfRule type="expression" priority="169" dxfId="0">
      <formula>AND(IF($Q29=3,1,IF($Q29=4,1,0)),IF($F29&lt;=85,1,0))</formula>
    </cfRule>
  </conditionalFormatting>
  <conditionalFormatting sqref="X29">
    <cfRule type="expression" priority="162" dxfId="3">
      <formula>AND(IF(OR($Q29=1,$Q29=2),1,0),IF($X29&lt;=20,1,0))</formula>
    </cfRule>
    <cfRule type="expression" priority="163" dxfId="2">
      <formula>AND(IF($Q29=2,1,0),IF($X29&lt;30,1,0))</formula>
    </cfRule>
    <cfRule type="expression" priority="164" dxfId="1">
      <formula>AND(IF($Q29=3,1,0),IF($X29&lt;30,1,0))</formula>
    </cfRule>
    <cfRule type="expression" priority="165" dxfId="0">
      <formula>AND(IF($Q29=3,1,IF($Q29=4,1,0)),IF($F29&lt;=85,1,0))</formula>
    </cfRule>
  </conditionalFormatting>
  <conditionalFormatting sqref="AI29">
    <cfRule type="expression" priority="158" dxfId="3">
      <formula>AND(IF(OR($Q29=1,$Q29=2),1,0),IF($X29&lt;=20,1,0))</formula>
    </cfRule>
    <cfRule type="expression" priority="159" dxfId="2">
      <formula>AND(IF($Q29=2,1,0),IF($X29&lt;30,1,0))</formula>
    </cfRule>
    <cfRule type="expression" priority="160" dxfId="1">
      <formula>AND(IF($Q29=3,1,0),IF($X29&lt;30,1,0))</formula>
    </cfRule>
    <cfRule type="expression" priority="161" dxfId="0">
      <formula>AND(IF($Q29=3,1,IF($Q29=4,1,0)),IF($F29&lt;=85,1,0))</formula>
    </cfRule>
  </conditionalFormatting>
  <conditionalFormatting sqref="AV30">
    <cfRule type="expression" priority="156" dxfId="19">
      <formula>AV30="X"</formula>
    </cfRule>
    <cfRule type="expression" priority="157" dxfId="18">
      <formula>AV30="후보"</formula>
    </cfRule>
  </conditionalFormatting>
  <conditionalFormatting sqref="AC3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0">
    <cfRule type="expression" priority="147" dxfId="3">
      <formula>AND(IF(OR($Q30=1,$Q30=2),1,0),IF($X30&lt;=20,1,0))</formula>
    </cfRule>
    <cfRule type="expression" priority="148" dxfId="2">
      <formula>AND(IF($Q30=2,1,0),IF($X30&lt;30,1,0))</formula>
    </cfRule>
    <cfRule type="expression" priority="149" dxfId="1">
      <formula>AND(IF($Q30=3,1,0),IF($X30&lt;30,1,0))</formula>
    </cfRule>
    <cfRule type="expression" priority="150" dxfId="0">
      <formula>AND(IF($Q30=3,1,IF($Q30=4,1,0)),IF($F30&lt;=85,1,0))</formula>
    </cfRule>
  </conditionalFormatting>
  <conditionalFormatting sqref="X30">
    <cfRule type="expression" priority="143" dxfId="3">
      <formula>AND(IF(OR($Q30=1,$Q30=2),1,0),IF($X30&lt;=20,1,0))</formula>
    </cfRule>
    <cfRule type="expression" priority="144" dxfId="2">
      <formula>AND(IF($Q30=2,1,0),IF($X30&lt;30,1,0))</formula>
    </cfRule>
    <cfRule type="expression" priority="145" dxfId="1">
      <formula>AND(IF($Q30=3,1,0),IF($X30&lt;30,1,0))</formula>
    </cfRule>
    <cfRule type="expression" priority="146" dxfId="0">
      <formula>AND(IF($Q30=3,1,IF($Q30=4,1,0)),IF($F30&lt;=85,1,0))</formula>
    </cfRule>
  </conditionalFormatting>
  <conditionalFormatting sqref="AI30">
    <cfRule type="expression" priority="139" dxfId="3">
      <formula>AND(IF(OR($Q30=1,$Q30=2),1,0),IF($X30&lt;=20,1,0))</formula>
    </cfRule>
    <cfRule type="expression" priority="140" dxfId="2">
      <formula>AND(IF($Q30=2,1,0),IF($X30&lt;30,1,0))</formula>
    </cfRule>
    <cfRule type="expression" priority="141" dxfId="1">
      <formula>AND(IF($Q30=3,1,0),IF($X30&lt;30,1,0))</formula>
    </cfRule>
    <cfRule type="expression" priority="142" dxfId="0">
      <formula>AND(IF($Q30=3,1,IF($Q30=4,1,0)),IF($F30&lt;=85,1,0))</formula>
    </cfRule>
  </conditionalFormatting>
  <conditionalFormatting sqref="AV31">
    <cfRule type="expression" priority="137" dxfId="19">
      <formula>AV31="X"</formula>
    </cfRule>
    <cfRule type="expression" priority="138" dxfId="18">
      <formula>AV31="후보"</formula>
    </cfRule>
  </conditionalFormatting>
  <conditionalFormatting sqref="AC3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1">
    <cfRule type="expression" priority="128" dxfId="3">
      <formula>AND(IF(OR($Q31=1,$Q31=2),1,0),IF($X31&lt;=20,1,0))</formula>
    </cfRule>
    <cfRule type="expression" priority="129" dxfId="2">
      <formula>AND(IF($Q31=2,1,0),IF($X31&lt;30,1,0))</formula>
    </cfRule>
    <cfRule type="expression" priority="130" dxfId="1">
      <formula>AND(IF($Q31=3,1,0),IF($X31&lt;30,1,0))</formula>
    </cfRule>
    <cfRule type="expression" priority="131" dxfId="0">
      <formula>AND(IF($Q31=3,1,IF($Q31=4,1,0)),IF($F31&lt;=85,1,0))</formula>
    </cfRule>
  </conditionalFormatting>
  <conditionalFormatting sqref="X31">
    <cfRule type="expression" priority="124" dxfId="3">
      <formula>AND(IF(OR($Q31=1,$Q31=2),1,0),IF($X31&lt;=20,1,0))</formula>
    </cfRule>
    <cfRule type="expression" priority="125" dxfId="2">
      <formula>AND(IF($Q31=2,1,0),IF($X31&lt;30,1,0))</formula>
    </cfRule>
    <cfRule type="expression" priority="126" dxfId="1">
      <formula>AND(IF($Q31=3,1,0),IF($X31&lt;30,1,0))</formula>
    </cfRule>
    <cfRule type="expression" priority="127" dxfId="0">
      <formula>AND(IF($Q31=3,1,IF($Q31=4,1,0)),IF($F31&lt;=85,1,0))</formula>
    </cfRule>
  </conditionalFormatting>
  <conditionalFormatting sqref="AI31">
    <cfRule type="expression" priority="120" dxfId="3">
      <formula>AND(IF(OR($Q31=1,$Q31=2),1,0),IF($X31&lt;=20,1,0))</formula>
    </cfRule>
    <cfRule type="expression" priority="121" dxfId="2">
      <formula>AND(IF($Q31=2,1,0),IF($X31&lt;30,1,0))</formula>
    </cfRule>
    <cfRule type="expression" priority="122" dxfId="1">
      <formula>AND(IF($Q31=3,1,0),IF($X31&lt;30,1,0))</formula>
    </cfRule>
    <cfRule type="expression" priority="123" dxfId="0">
      <formula>AND(IF($Q31=3,1,IF($Q31=4,1,0)),IF($F31&lt;=85,1,0))</formula>
    </cfRule>
  </conditionalFormatting>
  <conditionalFormatting sqref="AV32">
    <cfRule type="expression" priority="118" dxfId="19">
      <formula>AV32="X"</formula>
    </cfRule>
    <cfRule type="expression" priority="119" dxfId="18">
      <formula>AV32="후보"</formula>
    </cfRule>
  </conditionalFormatting>
  <conditionalFormatting sqref="AC3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2">
    <cfRule type="expression" priority="109" dxfId="3">
      <formula>AND(IF(OR($Q32=1,$Q32=2),1,0),IF($X32&lt;=20,1,0))</formula>
    </cfRule>
    <cfRule type="expression" priority="110" dxfId="2">
      <formula>AND(IF($Q32=2,1,0),IF($X32&lt;30,1,0))</formula>
    </cfRule>
    <cfRule type="expression" priority="111" dxfId="1">
      <formula>AND(IF($Q32=3,1,0),IF($X32&lt;30,1,0))</formula>
    </cfRule>
    <cfRule type="expression" priority="112" dxfId="0">
      <formula>AND(IF($Q32=3,1,IF($Q32=4,1,0)),IF($F32&lt;=85,1,0))</formula>
    </cfRule>
  </conditionalFormatting>
  <conditionalFormatting sqref="X32">
    <cfRule type="expression" priority="105" dxfId="3">
      <formula>AND(IF(OR($Q32=1,$Q32=2),1,0),IF($X32&lt;=20,1,0))</formula>
    </cfRule>
    <cfRule type="expression" priority="106" dxfId="2">
      <formula>AND(IF($Q32=2,1,0),IF($X32&lt;30,1,0))</formula>
    </cfRule>
    <cfRule type="expression" priority="107" dxfId="1">
      <formula>AND(IF($Q32=3,1,0),IF($X32&lt;30,1,0))</formula>
    </cfRule>
    <cfRule type="expression" priority="108" dxfId="0">
      <formula>AND(IF($Q32=3,1,IF($Q32=4,1,0)),IF($F32&lt;=85,1,0))</formula>
    </cfRule>
  </conditionalFormatting>
  <conditionalFormatting sqref="AI32">
    <cfRule type="expression" priority="101" dxfId="3">
      <formula>AND(IF(OR($Q32=1,$Q32=2),1,0),IF($X32&lt;=20,1,0))</formula>
    </cfRule>
    <cfRule type="expression" priority="102" dxfId="2">
      <formula>AND(IF($Q32=2,1,0),IF($X32&lt;30,1,0))</formula>
    </cfRule>
    <cfRule type="expression" priority="103" dxfId="1">
      <formula>AND(IF($Q32=3,1,0),IF($X32&lt;30,1,0))</formula>
    </cfRule>
    <cfRule type="expression" priority="104" dxfId="0">
      <formula>AND(IF($Q32=3,1,IF($Q32=4,1,0)),IF($F32&lt;=85,1,0))</formula>
    </cfRule>
  </conditionalFormatting>
  <conditionalFormatting sqref="AV33">
    <cfRule type="expression" priority="99" dxfId="19">
      <formula>AV33="X"</formula>
    </cfRule>
    <cfRule type="expression" priority="100" dxfId="18">
      <formula>AV33="후보"</formula>
    </cfRule>
  </conditionalFormatting>
  <conditionalFormatting sqref="AC33 N3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34">
    <cfRule type="expression" priority="94" dxfId="19">
      <formula>AV34="X"</formula>
    </cfRule>
    <cfRule type="expression" priority="95" dxfId="18">
      <formula>AV34="후보"</formula>
    </cfRule>
  </conditionalFormatting>
  <conditionalFormatting sqref="AC3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4">
    <cfRule type="expression" priority="85" dxfId="3">
      <formula>AND(IF(OR($Q34=1,$Q34=2),1,0),IF($X34&lt;=20,1,0))</formula>
    </cfRule>
    <cfRule type="expression" priority="86" dxfId="2">
      <formula>AND(IF($Q34=2,1,0),IF($X34&lt;30,1,0))</formula>
    </cfRule>
    <cfRule type="expression" priority="87" dxfId="1">
      <formula>AND(IF($Q34=3,1,0),IF($X34&lt;30,1,0))</formula>
    </cfRule>
    <cfRule type="expression" priority="88" dxfId="0">
      <formula>AND(IF($Q34=3,1,IF($Q34=4,1,0)),IF($F34&lt;=85,1,0))</formula>
    </cfRule>
  </conditionalFormatting>
  <conditionalFormatting sqref="X34">
    <cfRule type="expression" priority="81" dxfId="3">
      <formula>AND(IF(OR($Q34=1,$Q34=2),1,0),IF($X34&lt;=20,1,0))</formula>
    </cfRule>
    <cfRule type="expression" priority="82" dxfId="2">
      <formula>AND(IF($Q34=2,1,0),IF($X34&lt;30,1,0))</formula>
    </cfRule>
    <cfRule type="expression" priority="83" dxfId="1">
      <formula>AND(IF($Q34=3,1,0),IF($X34&lt;30,1,0))</formula>
    </cfRule>
    <cfRule type="expression" priority="84" dxfId="0">
      <formula>AND(IF($Q34=3,1,IF($Q34=4,1,0)),IF($F34&lt;=85,1,0))</formula>
    </cfRule>
  </conditionalFormatting>
  <conditionalFormatting sqref="AI34">
    <cfRule type="expression" priority="77" dxfId="3">
      <formula>AND(IF(OR($Q34=1,$Q34=2),1,0),IF($X34&lt;=20,1,0))</formula>
    </cfRule>
    <cfRule type="expression" priority="78" dxfId="2">
      <formula>AND(IF($Q34=2,1,0),IF($X34&lt;30,1,0))</formula>
    </cfRule>
    <cfRule type="expression" priority="79" dxfId="1">
      <formula>AND(IF($Q34=3,1,0),IF($X34&lt;30,1,0))</formula>
    </cfRule>
    <cfRule type="expression" priority="80" dxfId="0">
      <formula>AND(IF($Q34=3,1,IF($Q34=4,1,0)),IF($F34&lt;=85,1,0))</formula>
    </cfRule>
  </conditionalFormatting>
  <conditionalFormatting sqref="AV35">
    <cfRule type="expression" priority="75" dxfId="19">
      <formula>AV35="X"</formula>
    </cfRule>
    <cfRule type="expression" priority="76" dxfId="18">
      <formula>AV35="후보"</formula>
    </cfRule>
  </conditionalFormatting>
  <conditionalFormatting sqref="AC3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5">
    <cfRule type="expression" priority="66" dxfId="3">
      <formula>AND(IF(OR($Q35=1,$Q35=2),1,0),IF($X35&lt;=20,1,0))</formula>
    </cfRule>
    <cfRule type="expression" priority="67" dxfId="2">
      <formula>AND(IF($Q35=2,1,0),IF($X35&lt;30,1,0))</formula>
    </cfRule>
    <cfRule type="expression" priority="68" dxfId="1">
      <formula>AND(IF($Q35=3,1,0),IF($X35&lt;30,1,0))</formula>
    </cfRule>
    <cfRule type="expression" priority="69" dxfId="0">
      <formula>AND(IF($Q35=3,1,IF($Q35=4,1,0)),IF($F35&lt;=85,1,0))</formula>
    </cfRule>
  </conditionalFormatting>
  <conditionalFormatting sqref="X35">
    <cfRule type="expression" priority="62" dxfId="3">
      <formula>AND(IF(OR($Q35=1,$Q35=2),1,0),IF($X35&lt;=20,1,0))</formula>
    </cfRule>
    <cfRule type="expression" priority="63" dxfId="2">
      <formula>AND(IF($Q35=2,1,0),IF($X35&lt;30,1,0))</formula>
    </cfRule>
    <cfRule type="expression" priority="64" dxfId="1">
      <formula>AND(IF($Q35=3,1,0),IF($X35&lt;30,1,0))</formula>
    </cfRule>
    <cfRule type="expression" priority="65" dxfId="0">
      <formula>AND(IF($Q35=3,1,IF($Q35=4,1,0)),IF($F35&lt;=85,1,0))</formula>
    </cfRule>
  </conditionalFormatting>
  <conditionalFormatting sqref="AI35">
    <cfRule type="expression" priority="58" dxfId="3">
      <formula>AND(IF(OR($Q35=1,$Q35=2),1,0),IF($X35&lt;=20,1,0))</formula>
    </cfRule>
    <cfRule type="expression" priority="59" dxfId="2">
      <formula>AND(IF($Q35=2,1,0),IF($X35&lt;30,1,0))</formula>
    </cfRule>
    <cfRule type="expression" priority="60" dxfId="1">
      <formula>AND(IF($Q35=3,1,0),IF($X35&lt;30,1,0))</formula>
    </cfRule>
    <cfRule type="expression" priority="61" dxfId="0">
      <formula>AND(IF($Q35=3,1,IF($Q35=4,1,0)),IF($F35&lt;=85,1,0))</formula>
    </cfRule>
  </conditionalFormatting>
  <conditionalFormatting sqref="AV36">
    <cfRule type="expression" priority="56" dxfId="19">
      <formula>AV36="X"</formula>
    </cfRule>
    <cfRule type="expression" priority="57" dxfId="18">
      <formula>AV36="후보"</formula>
    </cfRule>
  </conditionalFormatting>
  <conditionalFormatting sqref="AC3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6">
    <cfRule type="expression" priority="47" dxfId="3">
      <formula>AND(IF(OR($Q36=1,$Q36=2),1,0),IF($X36&lt;=20,1,0))</formula>
    </cfRule>
    <cfRule type="expression" priority="48" dxfId="2">
      <formula>AND(IF($Q36=2,1,0),IF($X36&lt;30,1,0))</formula>
    </cfRule>
    <cfRule type="expression" priority="49" dxfId="1">
      <formula>AND(IF($Q36=3,1,0),IF($X36&lt;30,1,0))</formula>
    </cfRule>
    <cfRule type="expression" priority="50" dxfId="0">
      <formula>AND(IF($Q36=3,1,IF($Q36=4,1,0)),IF($F36&lt;=85,1,0))</formula>
    </cfRule>
  </conditionalFormatting>
  <conditionalFormatting sqref="X36">
    <cfRule type="expression" priority="43" dxfId="3">
      <formula>AND(IF(OR($Q36=1,$Q36=2),1,0),IF($X36&lt;=20,1,0))</formula>
    </cfRule>
    <cfRule type="expression" priority="44" dxfId="2">
      <formula>AND(IF($Q36=2,1,0),IF($X36&lt;30,1,0))</formula>
    </cfRule>
    <cfRule type="expression" priority="45" dxfId="1">
      <formula>AND(IF($Q36=3,1,0),IF($X36&lt;30,1,0))</formula>
    </cfRule>
    <cfRule type="expression" priority="46" dxfId="0">
      <formula>AND(IF($Q36=3,1,IF($Q36=4,1,0)),IF($F36&lt;=85,1,0))</formula>
    </cfRule>
  </conditionalFormatting>
  <conditionalFormatting sqref="AI36">
    <cfRule type="expression" priority="39" dxfId="3">
      <formula>AND(IF(OR($Q36=1,$Q36=2),1,0),IF($X36&lt;=20,1,0))</formula>
    </cfRule>
    <cfRule type="expression" priority="40" dxfId="2">
      <formula>AND(IF($Q36=2,1,0),IF($X36&lt;30,1,0))</formula>
    </cfRule>
    <cfRule type="expression" priority="41" dxfId="1">
      <formula>AND(IF($Q36=3,1,0),IF($X36&lt;30,1,0))</formula>
    </cfRule>
    <cfRule type="expression" priority="42" dxfId="0">
      <formula>AND(IF($Q36=3,1,IF($Q36=4,1,0)),IF($F36&lt;=85,1,0))</formula>
    </cfRule>
  </conditionalFormatting>
  <conditionalFormatting sqref="AV37">
    <cfRule type="expression" priority="37" dxfId="19">
      <formula>AV37="X"</formula>
    </cfRule>
    <cfRule type="expression" priority="38" dxfId="18">
      <formula>AV37="후보"</formula>
    </cfRule>
  </conditionalFormatting>
  <conditionalFormatting sqref="AC3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19">
      <formula>AV38="X"</formula>
    </cfRule>
    <cfRule type="expression" priority="19" dxfId="18">
      <formula>AV38="후보"</formula>
    </cfRule>
  </conditionalFormatting>
  <conditionalFormatting sqref="AC3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31" sqref="O3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오송읍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오송힐데스하임</t>
        </is>
      </c>
      <c r="B6" s="16" t="inlineStr">
        <is>
          <t>'10.10.</t>
        </is>
      </c>
      <c r="C6" s="164" t="n">
        <v>402</v>
      </c>
      <c r="D6" s="161" t="n">
        <v>145.1</v>
      </c>
      <c r="E6" s="163" t="n">
        <v>44</v>
      </c>
      <c r="F6" s="161" t="n">
        <v>109.5</v>
      </c>
      <c r="G6" s="27" t="n">
        <v>33</v>
      </c>
      <c r="H6" s="164" t="n">
        <v>132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145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오송힐데스하임</t>
        </is>
      </c>
      <c r="B7" s="16" t="inlineStr">
        <is>
          <t>'10.10.</t>
        </is>
      </c>
      <c r="C7" s="164" t="n">
        <v>402</v>
      </c>
      <c r="D7" s="161" t="n">
        <v>166.4</v>
      </c>
      <c r="E7" s="163" t="n">
        <v>50</v>
      </c>
      <c r="F7" s="161" t="n">
        <v>132.6</v>
      </c>
      <c r="G7" s="27" t="n">
        <v>40</v>
      </c>
      <c r="H7" s="164" t="n">
        <v>216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166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오송힐데스하임</t>
        </is>
      </c>
      <c r="B8" s="16" t="inlineStr">
        <is>
          <t>'10.10.</t>
        </is>
      </c>
      <c r="C8" s="164" t="n">
        <v>402</v>
      </c>
      <c r="D8" s="161" t="n">
        <v>212.6</v>
      </c>
      <c r="E8" s="163" t="n">
        <v>64</v>
      </c>
      <c r="F8" s="161" t="n">
        <v>174.8</v>
      </c>
      <c r="G8" s="27" t="n">
        <v>53</v>
      </c>
      <c r="H8" s="164" t="n">
        <v>54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3</v>
      </c>
      <c r="S8" s="113" t="inlineStr">
        <is>
          <t>계</t>
        </is>
      </c>
      <c r="T8" s="8" t="n">
        <v>212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오송상록롯데캐슬</t>
        </is>
      </c>
      <c r="B10" s="16" t="inlineStr">
        <is>
          <t>'10.09.</t>
        </is>
      </c>
      <c r="C10" s="164" t="n">
        <v>671</v>
      </c>
      <c r="D10" s="161" t="n">
        <v>116.4</v>
      </c>
      <c r="E10" s="163" t="n">
        <v>35</v>
      </c>
      <c r="F10" s="161" t="n">
        <v>84.90000000000001</v>
      </c>
      <c r="G10" s="27" t="n">
        <v>26</v>
      </c>
      <c r="H10" s="164" t="n">
        <v>342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116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오송상록롯데캐슬</t>
        </is>
      </c>
      <c r="B11" s="16" t="inlineStr">
        <is>
          <t>'10.09.</t>
        </is>
      </c>
      <c r="C11" s="164" t="n">
        <v>671</v>
      </c>
      <c r="D11" s="161" t="n">
        <v>117.4</v>
      </c>
      <c r="E11" s="163" t="n">
        <v>36</v>
      </c>
      <c r="F11" s="161" t="n">
        <v>84.90000000000001</v>
      </c>
      <c r="G11" s="27" t="n">
        <v>26</v>
      </c>
      <c r="H11" s="164" t="n">
        <v>329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117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KTX오송역대광로제비앙</t>
        </is>
      </c>
      <c r="B13" s="16" t="inlineStr">
        <is>
          <t>'10.10.</t>
        </is>
      </c>
      <c r="C13" s="164" t="n">
        <v>402</v>
      </c>
      <c r="D13" s="161" t="n">
        <v>145.1</v>
      </c>
      <c r="E13" s="163" t="n">
        <v>44</v>
      </c>
      <c r="F13" s="161" t="n">
        <v>109.5</v>
      </c>
      <c r="G13" s="27" t="n">
        <v>33</v>
      </c>
      <c r="H13" s="164" t="n">
        <v>132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145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19">
      <formula>AV4="X"</formula>
    </cfRule>
    <cfRule type="expression" priority="126" dxfId="18">
      <formula>AV4="후보"</formula>
    </cfRule>
  </conditionalFormatting>
  <conditionalFormatting sqref="AC1:AC2 AC4:AC6 N4:N5">
    <cfRule type="cellIs" priority="122" operator="greaterThan" dxfId="13">
      <formula>0.9</formula>
    </cfRule>
    <cfRule type="cellIs" priority="123" operator="greaterThan" dxfId="12">
      <formula>0.85</formula>
    </cfRule>
  </conditionalFormatting>
  <conditionalFormatting sqref="N1:N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19">
      <formula>AV7="X"</formula>
    </cfRule>
    <cfRule type="expression" priority="105" dxfId="18">
      <formula>AV7="후보"</formula>
    </cfRule>
  </conditionalFormatting>
  <conditionalFormatting sqref="AC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7">
    <cfRule type="expression" priority="95" dxfId="3">
      <formula>AND(IF(OR($Q7=1,$Q7=2),1,0),IF($X7&lt;=20,1,0))</formula>
    </cfRule>
    <cfRule type="expression" priority="96" dxfId="2">
      <formula>AND(IF($Q7=2,1,0),IF($X7&lt;30,1,0))</formula>
    </cfRule>
    <cfRule type="expression" priority="97" dxfId="1">
      <formula>AND(IF($Q7=3,1,0),IF($X7&lt;30,1,0))</formula>
    </cfRule>
    <cfRule type="expression" priority="98" dxfId="0">
      <formula>AND(IF($Q7=3,1,IF($Q7=4,1,0)),IF($F7&lt;=85,1,0))</formula>
    </cfRule>
  </conditionalFormatting>
  <conditionalFormatting sqref="X7">
    <cfRule type="expression" priority="91" dxfId="3">
      <formula>AND(IF(OR($Q7=1,$Q7=2),1,0),IF($X7&lt;=20,1,0))</formula>
    </cfRule>
    <cfRule type="expression" priority="92" dxfId="2">
      <formula>AND(IF($Q7=2,1,0),IF($X7&lt;30,1,0))</formula>
    </cfRule>
    <cfRule type="expression" priority="93" dxfId="1">
      <formula>AND(IF($Q7=3,1,0),IF($X7&lt;30,1,0))</formula>
    </cfRule>
    <cfRule type="expression" priority="94" dxfId="0">
      <formula>AND(IF($Q7=3,1,IF($Q7=4,1,0)),IF($F7&lt;=85,1,0))</formula>
    </cfRule>
  </conditionalFormatting>
  <conditionalFormatting sqref="AI7">
    <cfRule type="expression" priority="87" dxfId="3">
      <formula>AND(IF(OR($Q7=1,$Q7=2),1,0),IF($X7&lt;=20,1,0))</formula>
    </cfRule>
    <cfRule type="expression" priority="88" dxfId="2">
      <formula>AND(IF($Q7=2,1,0),IF($X7&lt;30,1,0))</formula>
    </cfRule>
    <cfRule type="expression" priority="89" dxfId="1">
      <formula>AND(IF($Q7=3,1,0),IF($X7&lt;30,1,0))</formula>
    </cfRule>
    <cfRule type="expression" priority="90" dxfId="0">
      <formula>AND(IF($Q7=3,1,IF($Q7=4,1,0)),IF($F7&lt;=85,1,0))</formula>
    </cfRule>
  </conditionalFormatting>
  <conditionalFormatting sqref="AV8">
    <cfRule type="expression" priority="85" dxfId="19">
      <formula>AV8="X"</formula>
    </cfRule>
    <cfRule type="expression" priority="86" dxfId="18">
      <formula>AV8="후보"</formula>
    </cfRule>
  </conditionalFormatting>
  <conditionalFormatting sqref="AC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8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8">
    <cfRule type="expression" priority="76" dxfId="3">
      <formula>AND(IF(OR($Q8=1,$Q8=2),1,0),IF($X8&lt;=20,1,0))</formula>
    </cfRule>
    <cfRule type="expression" priority="77" dxfId="2">
      <formula>AND(IF($Q8=2,1,0),IF($X8&lt;30,1,0))</formula>
    </cfRule>
    <cfRule type="expression" priority="78" dxfId="1">
      <formula>AND(IF($Q8=3,1,0),IF($X8&lt;30,1,0))</formula>
    </cfRule>
    <cfRule type="expression" priority="79" dxfId="0">
      <formula>AND(IF($Q8=3,1,IF($Q8=4,1,0)),IF($F8&lt;=85,1,0))</formula>
    </cfRule>
  </conditionalFormatting>
  <conditionalFormatting sqref="X8">
    <cfRule type="expression" priority="72" dxfId="3">
      <formula>AND(IF(OR($Q8=1,$Q8=2),1,0),IF($X8&lt;=20,1,0))</formula>
    </cfRule>
    <cfRule type="expression" priority="73" dxfId="2">
      <formula>AND(IF($Q8=2,1,0),IF($X8&lt;30,1,0))</formula>
    </cfRule>
    <cfRule type="expression" priority="74" dxfId="1">
      <formula>AND(IF($Q8=3,1,0),IF($X8&lt;30,1,0))</formula>
    </cfRule>
    <cfRule type="expression" priority="75" dxfId="0">
      <formula>AND(IF($Q8=3,1,IF($Q8=4,1,0)),IF($F8&lt;=85,1,0))</formula>
    </cfRule>
  </conditionalFormatting>
  <conditionalFormatting sqref="AI8">
    <cfRule type="expression" priority="68" dxfId="3">
      <formula>AND(IF(OR($Q8=1,$Q8=2),1,0),IF($X8&lt;=20,1,0))</formula>
    </cfRule>
    <cfRule type="expression" priority="69" dxfId="2">
      <formula>AND(IF($Q8=2,1,0),IF($X8&lt;30,1,0))</formula>
    </cfRule>
    <cfRule type="expression" priority="70" dxfId="1">
      <formula>AND(IF($Q8=3,1,0),IF($X8&lt;30,1,0))</formula>
    </cfRule>
    <cfRule type="expression" priority="71" dxfId="0">
      <formula>AND(IF($Q8=3,1,IF($Q8=4,1,0)),IF($F8&lt;=85,1,0))</formula>
    </cfRule>
  </conditionalFormatting>
  <conditionalFormatting sqref="AV9">
    <cfRule type="expression" priority="66" dxfId="19">
      <formula>AV9="X"</formula>
    </cfRule>
    <cfRule type="expression" priority="67" dxfId="18">
      <formula>AV9="후보"</formula>
    </cfRule>
  </conditionalFormatting>
  <conditionalFormatting sqref="AC9 N9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0">
    <cfRule type="expression" priority="61" dxfId="19">
      <formula>AV10="X"</formula>
    </cfRule>
    <cfRule type="expression" priority="62" dxfId="18">
      <formula>AV10="후보"</formula>
    </cfRule>
  </conditionalFormatting>
  <conditionalFormatting sqref="AC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19">
      <formula>AV11="X"</formula>
    </cfRule>
    <cfRule type="expression" priority="43" dxfId="18">
      <formula>AV11="후보"</formula>
    </cfRule>
  </conditionalFormatting>
  <conditionalFormatting sqref="AC1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1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1">
    <cfRule type="expression" priority="33" dxfId="3">
      <formula>AND(IF(OR($Q11=1,$Q11=2),1,0),IF($X11&lt;=20,1,0))</formula>
    </cfRule>
    <cfRule type="expression" priority="34" dxfId="2">
      <formula>AND(IF($Q11=2,1,0),IF($X11&lt;30,1,0))</formula>
    </cfRule>
    <cfRule type="expression" priority="35" dxfId="1">
      <formula>AND(IF($Q11=3,1,0),IF($X11&lt;30,1,0))</formula>
    </cfRule>
    <cfRule type="expression" priority="36" dxfId="0">
      <formula>AND(IF($Q11=3,1,IF($Q11=4,1,0)),IF($F11&lt;=85,1,0))</formula>
    </cfRule>
  </conditionalFormatting>
  <conditionalFormatting sqref="X11">
    <cfRule type="expression" priority="29" dxfId="3">
      <formula>AND(IF(OR($Q11=1,$Q11=2),1,0),IF($X11&lt;=20,1,0))</formula>
    </cfRule>
    <cfRule type="expression" priority="30" dxfId="2">
      <formula>AND(IF($Q11=2,1,0),IF($X11&lt;30,1,0))</formula>
    </cfRule>
    <cfRule type="expression" priority="31" dxfId="1">
      <formula>AND(IF($Q11=3,1,0),IF($X11&lt;30,1,0))</formula>
    </cfRule>
    <cfRule type="expression" priority="32" dxfId="0">
      <formula>AND(IF($Q11=3,1,IF($Q11=4,1,0)),IF($F11&lt;=85,1,0))</formula>
    </cfRule>
  </conditionalFormatting>
  <conditionalFormatting sqref="AI11">
    <cfRule type="expression" priority="25" dxfId="3">
      <formula>AND(IF(OR($Q11=1,$Q11=2),1,0),IF($X11&lt;=20,1,0))</formula>
    </cfRule>
    <cfRule type="expression" priority="26" dxfId="2">
      <formula>AND(IF($Q11=2,1,0),IF($X11&lt;30,1,0))</formula>
    </cfRule>
    <cfRule type="expression" priority="27" dxfId="1">
      <formula>AND(IF($Q11=3,1,0),IF($X11&lt;30,1,0))</formula>
    </cfRule>
    <cfRule type="expression" priority="28" dxfId="0">
      <formula>AND(IF($Q11=3,1,IF($Q11=4,1,0)),IF($F11&lt;=85,1,0))</formula>
    </cfRule>
  </conditionalFormatting>
  <conditionalFormatting sqref="AV12">
    <cfRule type="expression" priority="23" dxfId="19">
      <formula>AV12="X"</formula>
    </cfRule>
    <cfRule type="expression" priority="24" dxfId="18">
      <formula>AV12="후보"</formula>
    </cfRule>
  </conditionalFormatting>
  <conditionalFormatting sqref="AC12 N12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3">
    <cfRule type="expression" priority="18" dxfId="19">
      <formula>AV13="X"</formula>
    </cfRule>
    <cfRule type="expression" priority="19" dxfId="18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2022-03-12T18:15:12Z</dcterms:modified>
  <cp:lastModifiedBy>MinsuKwon</cp:lastModifiedBy>
  <cp:lastPrinted>2018-04-28T10:52:41Z</cp:lastPrinted>
</cp:coreProperties>
</file>